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am" sheetId="1" state="visible" r:id="rId1"/>
  </sheets>
  <definedNames>
    <definedName name="_xlnm._FilterDatabase" localSheetId="0" hidden="1">'Stylam'!$B$2:$BE$2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right" vertical="center"/>
    </xf>
    <xf numFmtId="4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right" vertical="center"/>
    </xf>
    <xf numFmtId="4" fontId="7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Stylam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60.3</v>
      </c>
      <c r="D3" s="8" t="n">
        <v>60.3</v>
      </c>
      <c r="E3" s="8" t="n">
        <v>58.3</v>
      </c>
      <c r="F3" s="8" t="n">
        <v>70</v>
      </c>
      <c r="G3" s="9">
        <f>SUM(C3:F3)</f>
        <v/>
      </c>
      <c r="H3" s="8" t="n">
        <v>72.5</v>
      </c>
      <c r="I3" s="8" t="n">
        <v>77.3</v>
      </c>
      <c r="J3" s="8" t="n">
        <v>72.5</v>
      </c>
      <c r="K3" s="8" t="n">
        <v>90.7</v>
      </c>
      <c r="L3" s="9">
        <f>SUM(H3:K3)</f>
        <v/>
      </c>
      <c r="M3" s="8" t="n">
        <v>76.5</v>
      </c>
      <c r="N3" s="8" t="n">
        <v>78.5</v>
      </c>
      <c r="O3" s="8" t="n">
        <v>81.90000000000001</v>
      </c>
      <c r="P3" s="8" t="n">
        <v>102.7</v>
      </c>
      <c r="Q3" s="9">
        <f>SUM(M3:P3)</f>
        <v/>
      </c>
      <c r="R3" s="8" t="n">
        <v>107.7</v>
      </c>
      <c r="S3" s="8" t="n">
        <v>108.7</v>
      </c>
      <c r="T3" s="8" t="n">
        <v>119.6</v>
      </c>
      <c r="U3" s="8" t="n">
        <v>125.3</v>
      </c>
      <c r="V3" s="9">
        <f>SUM(R3:U3)</f>
        <v/>
      </c>
      <c r="W3" s="8" t="n">
        <v>112.8</v>
      </c>
      <c r="X3" s="8" t="n">
        <v>117.4</v>
      </c>
      <c r="Y3" s="8" t="n">
        <v>126.8</v>
      </c>
      <c r="Z3" s="8" t="n">
        <v>105.1</v>
      </c>
      <c r="AA3" s="9">
        <f>SUM(W3:Z3)</f>
        <v/>
      </c>
      <c r="AB3" s="8" t="n">
        <v>70.3</v>
      </c>
      <c r="AC3" s="8" t="n">
        <v>115</v>
      </c>
      <c r="AD3" s="8" t="n">
        <v>124.1</v>
      </c>
      <c r="AE3" s="8" t="n">
        <v>170.2</v>
      </c>
      <c r="AF3" s="9">
        <f>SUM(AB3:AE3)</f>
        <v/>
      </c>
      <c r="AG3" s="8" t="n">
        <v>130.8</v>
      </c>
      <c r="AH3" s="8" t="n">
        <v>172</v>
      </c>
      <c r="AI3" s="8" t="n">
        <v>176.9</v>
      </c>
      <c r="AJ3" s="8" t="n">
        <v>179.7</v>
      </c>
      <c r="AK3" s="9">
        <f>SUM(AG3:AJ3)</f>
        <v/>
      </c>
      <c r="AL3" s="8" t="n">
        <v>235</v>
      </c>
      <c r="AM3" s="8" t="n">
        <v>246.3</v>
      </c>
      <c r="AN3" s="8" t="n">
        <v>234</v>
      </c>
      <c r="AO3" s="8" t="n">
        <v>236.8</v>
      </c>
      <c r="AP3" s="9">
        <f>SUM(AL3:AO3)</f>
        <v/>
      </c>
      <c r="AQ3" s="8" t="n">
        <v>225.7</v>
      </c>
      <c r="AR3" s="8" t="n">
        <v>233.9</v>
      </c>
      <c r="AS3" s="8" t="n">
        <v>214.6</v>
      </c>
      <c r="AT3" s="8" t="n">
        <v>239.9</v>
      </c>
      <c r="AU3" s="9">
        <f>SUM(AQ3:AT3)</f>
        <v/>
      </c>
      <c r="AV3" s="8" t="n">
        <v>242.6</v>
      </c>
      <c r="AW3" s="8" t="n">
        <v>262.7</v>
      </c>
      <c r="AX3" s="8" t="n">
        <v>254.5</v>
      </c>
      <c r="AY3" s="8" t="n">
        <v>265.3</v>
      </c>
      <c r="AZ3" s="9">
        <f>SUM(AV3:AY3)</f>
        <v/>
      </c>
      <c r="BA3" s="8" t="n">
        <v>283</v>
      </c>
      <c r="BB3" s="8" t="n">
        <v>292.4</v>
      </c>
      <c r="BC3" s="8" t="n">
        <v>271</v>
      </c>
      <c r="BD3" s="8" t="n">
        <v>283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>
        <f>H3/IF(C3=0,1,C3)-1</f>
        <v/>
      </c>
      <c r="I4" s="14">
        <f>I3/IF(D3=0,1,D3)-1</f>
        <v/>
      </c>
      <c r="J4" s="14">
        <f>J3/IF(E3=0,1,E3)-1</f>
        <v/>
      </c>
      <c r="K4" s="14">
        <f>K3/IF(F3=0,1,F3)-1</f>
        <v/>
      </c>
      <c r="L4" s="15">
        <f>L3/IF(G3=0,1,G3)-1</f>
        <v/>
      </c>
      <c r="M4" s="14">
        <f>M3/IF(H3=0,1,H3)-1</f>
        <v/>
      </c>
      <c r="N4" s="14">
        <f>N3/IF(I3=0,1,I3)-1</f>
        <v/>
      </c>
      <c r="O4" s="14">
        <f>O3/IF(J3=0,1,J3)-1</f>
        <v/>
      </c>
      <c r="P4" s="14">
        <f>P3/IF(K3=0,1,K3)-1</f>
        <v/>
      </c>
      <c r="Q4" s="15">
        <f>Q3/IF(L3=0,1,L3)-1</f>
        <v/>
      </c>
      <c r="R4" s="14">
        <f>R3/IF(M3=0,1,M3)-1</f>
        <v/>
      </c>
      <c r="S4" s="14">
        <f>S3/IF(N3=0,1,N3)-1</f>
        <v/>
      </c>
      <c r="T4" s="14">
        <f>T3/IF(O3=0,1,O3)-1</f>
        <v/>
      </c>
      <c r="U4" s="14">
        <f>U3/IF(P3=0,1,P3)-1</f>
        <v/>
      </c>
      <c r="V4" s="15">
        <f>V3/IF(Q3=0,1,Q3)-1</f>
        <v/>
      </c>
      <c r="W4" s="14">
        <f>W3/IF(R3=0,1,R3)-1</f>
        <v/>
      </c>
      <c r="X4" s="14">
        <f>X3/IF(S3=0,1,S3)-1</f>
        <v/>
      </c>
      <c r="Y4" s="14">
        <f>Y3/IF(T3=0,1,T3)-1</f>
        <v/>
      </c>
      <c r="Z4" s="14">
        <f>Z3/IF(U3=0,1,U3)-1</f>
        <v/>
      </c>
      <c r="AA4" s="15">
        <f>AA3/IF(V3=0,1,V3)-1</f>
        <v/>
      </c>
      <c r="AB4" s="14">
        <f>AB3/IF(W3=0,1,W3)-1</f>
        <v/>
      </c>
      <c r="AC4" s="14">
        <f>AC3/IF(X3=0,1,X3)-1</f>
        <v/>
      </c>
      <c r="AD4" s="14">
        <f>AD3/IF(Y3=0,1,Y3)-1</f>
        <v/>
      </c>
      <c r="AE4" s="14">
        <f>AE3/IF(Z3=0,1,Z3)-1</f>
        <v/>
      </c>
      <c r="AF4" s="15">
        <f>AF3/IF(AA3=0,1,AA3)-1</f>
        <v/>
      </c>
      <c r="AG4" s="14">
        <f>AG3/IF(AB3=0,1,AB3)-1</f>
        <v/>
      </c>
      <c r="AH4" s="14">
        <f>AH3/IF(AC3=0,1,AC3)-1</f>
        <v/>
      </c>
      <c r="AI4" s="14">
        <f>AI3/IF(AD3=0,1,AD3)-1</f>
        <v/>
      </c>
      <c r="AJ4" s="14">
        <f>AJ3/IF(AE3=0,1,AE3)-1</f>
        <v/>
      </c>
      <c r="AK4" s="15">
        <f>AK3/IF(AF3=0,1,AF3)-1</f>
        <v/>
      </c>
      <c r="AL4" s="14">
        <f>AL3/IF(AG3=0,1,AG3)-1</f>
        <v/>
      </c>
      <c r="AM4" s="14">
        <f>AM3/IF(AH3=0,1,AH3)-1</f>
        <v/>
      </c>
      <c r="AN4" s="14">
        <f>AN3/IF(AI3=0,1,AI3)-1</f>
        <v/>
      </c>
      <c r="AO4" s="14">
        <f>AO3/IF(AJ3=0,1,AJ3)-1</f>
        <v/>
      </c>
      <c r="AP4" s="15">
        <f>AP3/IF(AK3=0,1,AK3)-1</f>
        <v/>
      </c>
      <c r="AQ4" s="14">
        <f>AQ3/IF(AL3=0,1,AL3)-1</f>
        <v/>
      </c>
      <c r="AR4" s="14">
        <f>AR3/IF(AM3=0,1,AM3)-1</f>
        <v/>
      </c>
      <c r="AS4" s="14">
        <f>AS3/IF(AN3=0,1,AN3)-1</f>
        <v/>
      </c>
      <c r="AT4" s="14">
        <f>AT3/IF(AO3=0,1,AO3)-1</f>
        <v/>
      </c>
      <c r="AU4" s="15">
        <f>AU3/IF(AP3=0,1,AP3)-1</f>
        <v/>
      </c>
      <c r="AV4" s="14">
        <f>AV3/IF(AQ3=0,1,AQ3)-1</f>
        <v/>
      </c>
      <c r="AW4" s="14">
        <f>AW3/IF(AR3=0,1,AR3)-1</f>
        <v/>
      </c>
      <c r="AX4" s="14">
        <f>AX3/IF(AS3=0,1,AS3)-1</f>
        <v/>
      </c>
      <c r="AY4" s="14">
        <f>AY3/IF(AT3=0,1,AT3)-1</f>
        <v/>
      </c>
      <c r="AZ4" s="15">
        <f>AZ3/IF(AU3=0,1,AU3)-1</f>
        <v/>
      </c>
      <c r="BA4" s="14">
        <f>BA3/IF(AV3=0,1,AV3)-1</f>
        <v/>
      </c>
      <c r="BB4" s="14">
        <f>BB3/IF(AW3=0,1,AW3)-1</f>
        <v/>
      </c>
      <c r="BC4" s="14">
        <f>BC3/IF(AX3=0,1,AX3)-1</f>
        <v/>
      </c>
      <c r="BD4" s="14">
        <f>BD3/IF(AY3=0,1,AY3)-1</f>
        <v/>
      </c>
      <c r="BE4" s="15">
        <f>BE3/IF(AZ3=0,1,AZ3)-1</f>
        <v/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0</v>
      </c>
      <c r="E5" s="8" t="n">
        <v>0</v>
      </c>
      <c r="F5" s="8" t="n">
        <v>0</v>
      </c>
      <c r="G5" s="9">
        <f>SUM(C5:F5)</f>
        <v/>
      </c>
      <c r="H5" s="8" t="n">
        <v>2.5</v>
      </c>
      <c r="I5" s="8" t="n">
        <v>3.3</v>
      </c>
      <c r="J5" s="8" t="n">
        <v>2.6</v>
      </c>
      <c r="K5" s="8" t="n">
        <v>10.4</v>
      </c>
      <c r="L5" s="9">
        <f>SUM(H5:K5)</f>
        <v/>
      </c>
      <c r="M5" s="8" t="n">
        <v>1.4</v>
      </c>
      <c r="N5" s="8" t="n">
        <v>0</v>
      </c>
      <c r="O5" s="8" t="n">
        <v>0</v>
      </c>
      <c r="P5" s="8" t="n">
        <v>0.2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10" t="inlineStr">
        <is>
          <t>DERIVED</t>
        </is>
      </c>
      <c r="B6" s="11" t="inlineStr">
        <is>
          <t>Net Sales</t>
        </is>
      </c>
      <c r="C6" s="16">
        <f>C3-C5</f>
        <v/>
      </c>
      <c r="D6" s="16">
        <f>D3-D5</f>
        <v/>
      </c>
      <c r="E6" s="16">
        <f>E3-E5</f>
        <v/>
      </c>
      <c r="F6" s="16">
        <f>F3-F5</f>
        <v/>
      </c>
      <c r="G6" s="9">
        <f>G3-G5</f>
        <v/>
      </c>
      <c r="H6" s="16">
        <f>H3-H5</f>
        <v/>
      </c>
      <c r="I6" s="16">
        <f>I3-I5</f>
        <v/>
      </c>
      <c r="J6" s="16">
        <f>J3-J5</f>
        <v/>
      </c>
      <c r="K6" s="16">
        <f>K3-K5</f>
        <v/>
      </c>
      <c r="L6" s="9">
        <f>L3-L5</f>
        <v/>
      </c>
      <c r="M6" s="16">
        <f>M3-M5</f>
        <v/>
      </c>
      <c r="N6" s="16">
        <f>N3-N5</f>
        <v/>
      </c>
      <c r="O6" s="16">
        <f>O3-O5</f>
        <v/>
      </c>
      <c r="P6" s="16">
        <f>P3-P5</f>
        <v/>
      </c>
      <c r="Q6" s="9">
        <f>Q3-Q5</f>
        <v/>
      </c>
      <c r="R6" s="16">
        <f>R3-R5</f>
        <v/>
      </c>
      <c r="S6" s="16">
        <f>S3-S5</f>
        <v/>
      </c>
      <c r="T6" s="16">
        <f>T3-T5</f>
        <v/>
      </c>
      <c r="U6" s="16">
        <f>U3-U5</f>
        <v/>
      </c>
      <c r="V6" s="9">
        <f>V3-V5</f>
        <v/>
      </c>
      <c r="W6" s="16">
        <f>W3-W5</f>
        <v/>
      </c>
      <c r="X6" s="16">
        <f>X3-X5</f>
        <v/>
      </c>
      <c r="Y6" s="16">
        <f>Y3-Y5</f>
        <v/>
      </c>
      <c r="Z6" s="16">
        <f>Z3-Z5</f>
        <v/>
      </c>
      <c r="AA6" s="9">
        <f>AA3-AA5</f>
        <v/>
      </c>
      <c r="AB6" s="16">
        <f>AB3-AB5</f>
        <v/>
      </c>
      <c r="AC6" s="16">
        <f>AC3-AC5</f>
        <v/>
      </c>
      <c r="AD6" s="16">
        <f>AD3-AD5</f>
        <v/>
      </c>
      <c r="AE6" s="16">
        <f>AE3-AE5</f>
        <v/>
      </c>
      <c r="AF6" s="9">
        <f>AF3-AF5</f>
        <v/>
      </c>
      <c r="AG6" s="16">
        <f>AG3-AG5</f>
        <v/>
      </c>
      <c r="AH6" s="16">
        <f>AH3-AH5</f>
        <v/>
      </c>
      <c r="AI6" s="16">
        <f>AI3-AI5</f>
        <v/>
      </c>
      <c r="AJ6" s="16">
        <f>AJ3-AJ5</f>
        <v/>
      </c>
      <c r="AK6" s="9">
        <f>AK3-AK5</f>
        <v/>
      </c>
      <c r="AL6" s="16">
        <f>AL3-AL5</f>
        <v/>
      </c>
      <c r="AM6" s="16">
        <f>AM3-AM5</f>
        <v/>
      </c>
      <c r="AN6" s="16">
        <f>AN3-AN5</f>
        <v/>
      </c>
      <c r="AO6" s="16">
        <f>AO3-AO5</f>
        <v/>
      </c>
      <c r="AP6" s="9">
        <f>AP3-AP5</f>
        <v/>
      </c>
      <c r="AQ6" s="16">
        <f>AQ3-AQ5</f>
        <v/>
      </c>
      <c r="AR6" s="16">
        <f>AR3-AR5</f>
        <v/>
      </c>
      <c r="AS6" s="16">
        <f>AS3-AS5</f>
        <v/>
      </c>
      <c r="AT6" s="16">
        <f>AT3-AT5</f>
        <v/>
      </c>
      <c r="AU6" s="9">
        <f>AU3-AU5</f>
        <v/>
      </c>
      <c r="AV6" s="16">
        <f>AV3-AV5</f>
        <v/>
      </c>
      <c r="AW6" s="16">
        <f>AW3-AW5</f>
        <v/>
      </c>
      <c r="AX6" s="16">
        <f>AX3-AX5</f>
        <v/>
      </c>
      <c r="AY6" s="16">
        <f>AY3-AY5</f>
        <v/>
      </c>
      <c r="AZ6" s="9">
        <f>AZ3-AZ5</f>
        <v/>
      </c>
      <c r="BA6" s="16">
        <f>BA3-BA5</f>
        <v/>
      </c>
      <c r="BB6" s="16">
        <f>BB3-BB5</f>
        <v/>
      </c>
      <c r="BC6" s="16">
        <f>BC3-BC5</f>
        <v/>
      </c>
      <c r="BD6" s="16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>
        <f>H6/IF(C6=0,1,C6)-1</f>
        <v/>
      </c>
      <c r="I7" s="14">
        <f>I6/IF(D6=0,1,D6)-1</f>
        <v/>
      </c>
      <c r="J7" s="14">
        <f>J6/IF(E6=0,1,E6)-1</f>
        <v/>
      </c>
      <c r="K7" s="14">
        <f>K6/IF(F6=0,1,F6)-1</f>
        <v/>
      </c>
      <c r="L7" s="15">
        <f>L6/IF(G6=0,1,G6)-1</f>
        <v/>
      </c>
      <c r="M7" s="14">
        <f>M6/IF(H6=0,1,H6)-1</f>
        <v/>
      </c>
      <c r="N7" s="14">
        <f>N6/IF(I6=0,1,I6)-1</f>
        <v/>
      </c>
      <c r="O7" s="14">
        <f>O6/IF(J6=0,1,J6)-1</f>
        <v/>
      </c>
      <c r="P7" s="14">
        <f>P6/IF(K6=0,1,K6)-1</f>
        <v/>
      </c>
      <c r="Q7" s="15">
        <f>Q6/IF(L6=0,1,L6)-1</f>
        <v/>
      </c>
      <c r="R7" s="14">
        <f>R6/IF(M6=0,1,M6)-1</f>
        <v/>
      </c>
      <c r="S7" s="14">
        <f>S6/IF(N6=0,1,N6)-1</f>
        <v/>
      </c>
      <c r="T7" s="14">
        <f>T6/IF(O6=0,1,O6)-1</f>
        <v/>
      </c>
      <c r="U7" s="14">
        <f>U6/IF(P6=0,1,P6)-1</f>
        <v/>
      </c>
      <c r="V7" s="15">
        <f>V6/IF(Q6=0,1,Q6)-1</f>
        <v/>
      </c>
      <c r="W7" s="14">
        <f>W6/IF(R6=0,1,R6)-1</f>
        <v/>
      </c>
      <c r="X7" s="14">
        <f>X6/IF(S6=0,1,S6)-1</f>
        <v/>
      </c>
      <c r="Y7" s="14">
        <f>Y6/IF(T6=0,1,T6)-1</f>
        <v/>
      </c>
      <c r="Z7" s="14">
        <f>Z6/IF(U6=0,1,U6)-1</f>
        <v/>
      </c>
      <c r="AA7" s="15">
        <f>AA6/IF(V6=0,1,V6)-1</f>
        <v/>
      </c>
      <c r="AB7" s="14">
        <f>AB6/IF(W6=0,1,W6)-1</f>
        <v/>
      </c>
      <c r="AC7" s="14">
        <f>AC6/IF(X6=0,1,X6)-1</f>
        <v/>
      </c>
      <c r="AD7" s="14">
        <f>AD6/IF(Y6=0,1,Y6)-1</f>
        <v/>
      </c>
      <c r="AE7" s="14">
        <f>AE6/IF(Z6=0,1,Z6)-1</f>
        <v/>
      </c>
      <c r="AF7" s="15">
        <f>AF6/IF(AA6=0,1,AA6)-1</f>
        <v/>
      </c>
      <c r="AG7" s="14">
        <f>AG6/IF(AB6=0,1,AB6)-1</f>
        <v/>
      </c>
      <c r="AH7" s="14">
        <f>AH6/IF(AC6=0,1,AC6)-1</f>
        <v/>
      </c>
      <c r="AI7" s="14">
        <f>AI6/IF(AD6=0,1,AD6)-1</f>
        <v/>
      </c>
      <c r="AJ7" s="14">
        <f>AJ6/IF(AE6=0,1,AE6)-1</f>
        <v/>
      </c>
      <c r="AK7" s="15">
        <f>AK6/IF(AF6=0,1,AF6)-1</f>
        <v/>
      </c>
      <c r="AL7" s="14">
        <f>AL6/IF(AG6=0,1,AG6)-1</f>
        <v/>
      </c>
      <c r="AM7" s="14">
        <f>AM6/IF(AH6=0,1,AH6)-1</f>
        <v/>
      </c>
      <c r="AN7" s="14">
        <f>AN6/IF(AI6=0,1,AI6)-1</f>
        <v/>
      </c>
      <c r="AO7" s="14">
        <f>AO6/IF(AJ6=0,1,AJ6)-1</f>
        <v/>
      </c>
      <c r="AP7" s="15">
        <f>AP6/IF(AK6=0,1,AK6)-1</f>
        <v/>
      </c>
      <c r="AQ7" s="14">
        <f>AQ6/IF(AL6=0,1,AL6)-1</f>
        <v/>
      </c>
      <c r="AR7" s="14">
        <f>AR6/IF(AM6=0,1,AM6)-1</f>
        <v/>
      </c>
      <c r="AS7" s="14">
        <f>AS6/IF(AN6=0,1,AN6)-1</f>
        <v/>
      </c>
      <c r="AT7" s="14">
        <f>AT6/IF(AO6=0,1,AO6)-1</f>
        <v/>
      </c>
      <c r="AU7" s="15">
        <f>AU6/IF(AP6=0,1,AP6)-1</f>
        <v/>
      </c>
      <c r="AV7" s="14">
        <f>AV6/IF(AQ6=0,1,AQ6)-1</f>
        <v/>
      </c>
      <c r="AW7" s="14">
        <f>AW6/IF(AR6=0,1,AR6)-1</f>
        <v/>
      </c>
      <c r="AX7" s="14">
        <f>AX6/IF(AS6=0,1,AS6)-1</f>
        <v/>
      </c>
      <c r="AY7" s="14">
        <f>AY6/IF(AT6=0,1,AT6)-1</f>
        <v/>
      </c>
      <c r="AZ7" s="15">
        <f>AZ6/IF(AU6=0,1,AU6)-1</f>
        <v/>
      </c>
      <c r="BA7" s="14">
        <f>BA6/IF(AV6=0,1,AV6)-1</f>
        <v/>
      </c>
      <c r="BB7" s="14">
        <f>BB6/IF(AW6=0,1,AW6)-1</f>
        <v/>
      </c>
      <c r="BC7" s="14">
        <f>BC6/IF(AX6=0,1,AX6)-1</f>
        <v/>
      </c>
      <c r="BD7" s="14">
        <f>BD6/IF(AY6=0,1,AY6)-1</f>
        <v/>
      </c>
      <c r="BE7" s="15">
        <f>BE6/IF(AZ6=0,1,AZ6)-1</f>
        <v/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7" t="n"/>
      <c r="D8" s="17" t="n"/>
      <c r="E8" s="17" t="n"/>
      <c r="F8" s="17" t="n"/>
      <c r="G8" s="9">
        <f>SUM(C8:F8)</f>
        <v/>
      </c>
      <c r="H8" s="17" t="n"/>
      <c r="I8" s="17" t="n"/>
      <c r="J8" s="17" t="n"/>
      <c r="K8" s="17" t="n"/>
      <c r="L8" s="9">
        <f>SUM(H8:K8)</f>
        <v/>
      </c>
      <c r="M8" s="17" t="n"/>
      <c r="N8" s="17" t="n"/>
      <c r="O8" s="17" t="n"/>
      <c r="P8" s="17" t="n"/>
      <c r="Q8" s="9">
        <f>SUM(M8:P8)</f>
        <v/>
      </c>
      <c r="R8" s="17" t="n"/>
      <c r="S8" s="17" t="n"/>
      <c r="T8" s="17" t="n"/>
      <c r="U8" s="17" t="n"/>
      <c r="V8" s="9">
        <f>SUM(R8:U8)</f>
        <v/>
      </c>
      <c r="W8" s="17" t="n"/>
      <c r="X8" s="17" t="n"/>
      <c r="Y8" s="17" t="n"/>
      <c r="Z8" s="17" t="n"/>
      <c r="AA8" s="9">
        <f>SUM(W8:Z8)</f>
        <v/>
      </c>
      <c r="AB8" s="17" t="n"/>
      <c r="AC8" s="17" t="n"/>
      <c r="AD8" s="17" t="n"/>
      <c r="AE8" s="17" t="n"/>
      <c r="AF8" s="9">
        <f>SUM(AB8:AE8)</f>
        <v/>
      </c>
      <c r="AG8" s="17" t="n"/>
      <c r="AH8" s="17" t="n"/>
      <c r="AI8" s="17" t="n"/>
      <c r="AJ8" s="17" t="n"/>
      <c r="AK8" s="9">
        <f>SUM(AG8:AJ8)</f>
        <v/>
      </c>
      <c r="AL8" s="17" t="n"/>
      <c r="AM8" s="17" t="n"/>
      <c r="AN8" s="17" t="n"/>
      <c r="AO8" s="17" t="n"/>
      <c r="AP8" s="9">
        <f>SUM(AL8:AO8)</f>
        <v/>
      </c>
      <c r="AQ8" s="17" t="n"/>
      <c r="AR8" s="17" t="n"/>
      <c r="AS8" s="17" t="n"/>
      <c r="AT8" s="17" t="n"/>
      <c r="AU8" s="9">
        <f>SUM(AQ8:AT8)</f>
        <v/>
      </c>
      <c r="AV8" s="17" t="n"/>
      <c r="AW8" s="17" t="n"/>
      <c r="AX8" s="17" t="n"/>
      <c r="AY8" s="17" t="n"/>
      <c r="AZ8" s="9">
        <f>SUM(AV8:AY8)</f>
        <v/>
      </c>
      <c r="BA8" s="17" t="n"/>
      <c r="BB8" s="17" t="n"/>
      <c r="BC8" s="17" t="n"/>
      <c r="BD8" s="17" t="n"/>
      <c r="BE8" s="9">
        <f>SUM(BA8:BD8)</f>
        <v/>
      </c>
    </row>
    <row r="9" ht="16" customHeight="1">
      <c r="A9" s="10" t="inlineStr">
        <is>
          <t>DERIVED</t>
        </is>
      </c>
      <c r="B9" s="11" t="inlineStr">
        <is>
          <t>Total Income</t>
        </is>
      </c>
      <c r="C9" s="16">
        <f>C6+C8</f>
        <v/>
      </c>
      <c r="D9" s="16">
        <f>D6+D8</f>
        <v/>
      </c>
      <c r="E9" s="16">
        <f>E6+E8</f>
        <v/>
      </c>
      <c r="F9" s="16">
        <f>F6+F8</f>
        <v/>
      </c>
      <c r="G9" s="9">
        <f>G6+G8</f>
        <v/>
      </c>
      <c r="H9" s="16">
        <f>H6+H8</f>
        <v/>
      </c>
      <c r="I9" s="16">
        <f>I6+I8</f>
        <v/>
      </c>
      <c r="J9" s="16">
        <f>J6+J8</f>
        <v/>
      </c>
      <c r="K9" s="16">
        <f>K6+K8</f>
        <v/>
      </c>
      <c r="L9" s="9">
        <f>L6+L8</f>
        <v/>
      </c>
      <c r="M9" s="16">
        <f>M6+M8</f>
        <v/>
      </c>
      <c r="N9" s="16">
        <f>N6+N8</f>
        <v/>
      </c>
      <c r="O9" s="16">
        <f>O6+O8</f>
        <v/>
      </c>
      <c r="P9" s="16">
        <f>P6+P8</f>
        <v/>
      </c>
      <c r="Q9" s="9">
        <f>Q6+Q8</f>
        <v/>
      </c>
      <c r="R9" s="16">
        <f>R6+R8</f>
        <v/>
      </c>
      <c r="S9" s="16">
        <f>S6+S8</f>
        <v/>
      </c>
      <c r="T9" s="16">
        <f>T6+T8</f>
        <v/>
      </c>
      <c r="U9" s="16">
        <f>U6+U8</f>
        <v/>
      </c>
      <c r="V9" s="9">
        <f>V6+V8</f>
        <v/>
      </c>
      <c r="W9" s="16">
        <f>W6+W8</f>
        <v/>
      </c>
      <c r="X9" s="16">
        <f>X6+X8</f>
        <v/>
      </c>
      <c r="Y9" s="16">
        <f>Y6+Y8</f>
        <v/>
      </c>
      <c r="Z9" s="16">
        <f>Z6+Z8</f>
        <v/>
      </c>
      <c r="AA9" s="9">
        <f>AA6+AA8</f>
        <v/>
      </c>
      <c r="AB9" s="16">
        <f>AB6+AB8</f>
        <v/>
      </c>
      <c r="AC9" s="16">
        <f>AC6+AC8</f>
        <v/>
      </c>
      <c r="AD9" s="16">
        <f>AD6+AD8</f>
        <v/>
      </c>
      <c r="AE9" s="16">
        <f>AE6+AE8</f>
        <v/>
      </c>
      <c r="AF9" s="9">
        <f>AF6+AF8</f>
        <v/>
      </c>
      <c r="AG9" s="16">
        <f>AG6+AG8</f>
        <v/>
      </c>
      <c r="AH9" s="16">
        <f>AH6+AH8</f>
        <v/>
      </c>
      <c r="AI9" s="16">
        <f>AI6+AI8</f>
        <v/>
      </c>
      <c r="AJ9" s="16">
        <f>AJ6+AJ8</f>
        <v/>
      </c>
      <c r="AK9" s="9">
        <f>AK6+AK8</f>
        <v/>
      </c>
      <c r="AL9" s="16">
        <f>AL6+AL8</f>
        <v/>
      </c>
      <c r="AM9" s="16">
        <f>AM6+AM8</f>
        <v/>
      </c>
      <c r="AN9" s="16">
        <f>AN6+AN8</f>
        <v/>
      </c>
      <c r="AO9" s="16">
        <f>AO6+AO8</f>
        <v/>
      </c>
      <c r="AP9" s="9">
        <f>AP6+AP8</f>
        <v/>
      </c>
      <c r="AQ9" s="16">
        <f>AQ6+AQ8</f>
        <v/>
      </c>
      <c r="AR9" s="16">
        <f>AR6+AR8</f>
        <v/>
      </c>
      <c r="AS9" s="16">
        <f>AS6+AS8</f>
        <v/>
      </c>
      <c r="AT9" s="16">
        <f>AT6+AT8</f>
        <v/>
      </c>
      <c r="AU9" s="9">
        <f>AU6+AU8</f>
        <v/>
      </c>
      <c r="AV9" s="16">
        <f>AV6+AV8</f>
        <v/>
      </c>
      <c r="AW9" s="16">
        <f>AW6+AW8</f>
        <v/>
      </c>
      <c r="AX9" s="16">
        <f>AX6+AX8</f>
        <v/>
      </c>
      <c r="AY9" s="16">
        <f>AY6+AY8</f>
        <v/>
      </c>
      <c r="AZ9" s="9">
        <f>AZ6+AZ8</f>
        <v/>
      </c>
      <c r="BA9" s="16">
        <f>BA6+BA8</f>
        <v/>
      </c>
      <c r="BB9" s="16">
        <f>BB6+BB8</f>
        <v/>
      </c>
      <c r="BC9" s="16">
        <f>BC6+BC8</f>
        <v/>
      </c>
      <c r="BD9" s="16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>
        <f>H9/IF(C9=0,1,C9)-1</f>
        <v/>
      </c>
      <c r="I10" s="14">
        <f>I9/IF(D9=0,1,D9)-1</f>
        <v/>
      </c>
      <c r="J10" s="14">
        <f>J9/IF(E9=0,1,E9)-1</f>
        <v/>
      </c>
      <c r="K10" s="14">
        <f>K9/IF(F9=0,1,F9)-1</f>
        <v/>
      </c>
      <c r="L10" s="15">
        <f>L9/IF(G9=0,1,G9)-1</f>
        <v/>
      </c>
      <c r="M10" s="14">
        <f>M9/IF(H9=0,1,H9)-1</f>
        <v/>
      </c>
      <c r="N10" s="14">
        <f>N9/IF(I9=0,1,I9)-1</f>
        <v/>
      </c>
      <c r="O10" s="14">
        <f>O9/IF(J9=0,1,J9)-1</f>
        <v/>
      </c>
      <c r="P10" s="14">
        <f>P9/IF(K9=0,1,K9)-1</f>
        <v/>
      </c>
      <c r="Q10" s="15">
        <f>Q9/IF(L9=0,1,L9)-1</f>
        <v/>
      </c>
      <c r="R10" s="14">
        <f>R9/IF(M9=0,1,M9)-1</f>
        <v/>
      </c>
      <c r="S10" s="14">
        <f>S9/IF(N9=0,1,N9)-1</f>
        <v/>
      </c>
      <c r="T10" s="14">
        <f>T9/IF(O9=0,1,O9)-1</f>
        <v/>
      </c>
      <c r="U10" s="14">
        <f>U9/IF(P9=0,1,P9)-1</f>
        <v/>
      </c>
      <c r="V10" s="15">
        <f>V9/IF(Q9=0,1,Q9)-1</f>
        <v/>
      </c>
      <c r="W10" s="14">
        <f>W9/IF(R9=0,1,R9)-1</f>
        <v/>
      </c>
      <c r="X10" s="14">
        <f>X9/IF(S9=0,1,S9)-1</f>
        <v/>
      </c>
      <c r="Y10" s="14">
        <f>Y9/IF(T9=0,1,T9)-1</f>
        <v/>
      </c>
      <c r="Z10" s="14">
        <f>Z9/IF(U9=0,1,U9)-1</f>
        <v/>
      </c>
      <c r="AA10" s="15">
        <f>AA9/IF(V9=0,1,V9)-1</f>
        <v/>
      </c>
      <c r="AB10" s="14">
        <f>AB9/IF(W9=0,1,W9)-1</f>
        <v/>
      </c>
      <c r="AC10" s="14">
        <f>AC9/IF(X9=0,1,X9)-1</f>
        <v/>
      </c>
      <c r="AD10" s="14">
        <f>AD9/IF(Y9=0,1,Y9)-1</f>
        <v/>
      </c>
      <c r="AE10" s="14">
        <f>AE9/IF(Z9=0,1,Z9)-1</f>
        <v/>
      </c>
      <c r="AF10" s="15">
        <f>AF9/IF(AA9=0,1,AA9)-1</f>
        <v/>
      </c>
      <c r="AG10" s="14">
        <f>AG9/IF(AB9=0,1,AB9)-1</f>
        <v/>
      </c>
      <c r="AH10" s="14">
        <f>AH9/IF(AC9=0,1,AC9)-1</f>
        <v/>
      </c>
      <c r="AI10" s="14">
        <f>AI9/IF(AD9=0,1,AD9)-1</f>
        <v/>
      </c>
      <c r="AJ10" s="14">
        <f>AJ9/IF(AE9=0,1,AE9)-1</f>
        <v/>
      </c>
      <c r="AK10" s="15">
        <f>AK9/IF(AF9=0,1,AF9)-1</f>
        <v/>
      </c>
      <c r="AL10" s="14">
        <f>AL9/IF(AG9=0,1,AG9)-1</f>
        <v/>
      </c>
      <c r="AM10" s="14">
        <f>AM9/IF(AH9=0,1,AH9)-1</f>
        <v/>
      </c>
      <c r="AN10" s="14">
        <f>AN9/IF(AI9=0,1,AI9)-1</f>
        <v/>
      </c>
      <c r="AO10" s="14">
        <f>AO9/IF(AJ9=0,1,AJ9)-1</f>
        <v/>
      </c>
      <c r="AP10" s="15">
        <f>AP9/IF(AK9=0,1,AK9)-1</f>
        <v/>
      </c>
      <c r="AQ10" s="14">
        <f>AQ9/IF(AL9=0,1,AL9)-1</f>
        <v/>
      </c>
      <c r="AR10" s="14">
        <f>AR9/IF(AM9=0,1,AM9)-1</f>
        <v/>
      </c>
      <c r="AS10" s="14">
        <f>AS9/IF(AN9=0,1,AN9)-1</f>
        <v/>
      </c>
      <c r="AT10" s="14">
        <f>AT9/IF(AO9=0,1,AO9)-1</f>
        <v/>
      </c>
      <c r="AU10" s="15">
        <f>AU9/IF(AP9=0,1,AP9)-1</f>
        <v/>
      </c>
      <c r="AV10" s="14">
        <f>AV9/IF(AQ9=0,1,AQ9)-1</f>
        <v/>
      </c>
      <c r="AW10" s="14">
        <f>AW9/IF(AR9=0,1,AR9)-1</f>
        <v/>
      </c>
      <c r="AX10" s="14">
        <f>AX9/IF(AS9=0,1,AS9)-1</f>
        <v/>
      </c>
      <c r="AY10" s="14">
        <f>AY9/IF(AT9=0,1,AT9)-1</f>
        <v/>
      </c>
      <c r="AZ10" s="15">
        <f>AZ9/IF(AU9=0,1,AU9)-1</f>
        <v/>
      </c>
      <c r="BA10" s="14">
        <f>BA9/IF(AV9=0,1,AV9)-1</f>
        <v/>
      </c>
      <c r="BB10" s="14">
        <f>BB9/IF(AW9=0,1,AW9)-1</f>
        <v/>
      </c>
      <c r="BC10" s="14">
        <f>BC9/IF(AX9=0,1,AX9)-1</f>
        <v/>
      </c>
      <c r="BD10" s="14">
        <f>BD9/IF(AY9=0,1,AY9)-1</f>
        <v/>
      </c>
      <c r="BE10" s="15">
        <f>BE9/IF(AZ9=0,1,AZ9)-1</f>
        <v/>
      </c>
    </row>
    <row r="11" ht="16" customHeight="1">
      <c r="A11" s="18" t="inlineStr"/>
      <c r="B11" s="19" t="inlineStr"/>
      <c r="C11" s="20" t="n"/>
      <c r="D11" s="20" t="n"/>
      <c r="E11" s="20" t="n"/>
      <c r="F11" s="20" t="n"/>
      <c r="G11" s="13" t="n"/>
      <c r="H11" s="20" t="n"/>
      <c r="I11" s="20" t="n"/>
      <c r="J11" s="20" t="n"/>
      <c r="K11" s="20" t="n"/>
      <c r="L11" s="13" t="n"/>
      <c r="M11" s="20" t="n"/>
      <c r="N11" s="20" t="n"/>
      <c r="O11" s="20" t="n"/>
      <c r="P11" s="20" t="n"/>
      <c r="Q11" s="13" t="n"/>
      <c r="R11" s="20" t="n"/>
      <c r="S11" s="20" t="n"/>
      <c r="T11" s="20" t="n"/>
      <c r="U11" s="20" t="n"/>
      <c r="V11" s="13" t="n"/>
      <c r="W11" s="20" t="n"/>
      <c r="X11" s="20" t="n"/>
      <c r="Y11" s="20" t="n"/>
      <c r="Z11" s="20" t="n"/>
      <c r="AA11" s="13" t="n"/>
      <c r="AB11" s="20" t="n"/>
      <c r="AC11" s="20" t="n"/>
      <c r="AD11" s="20" t="n"/>
      <c r="AE11" s="20" t="n"/>
      <c r="AF11" s="13" t="n"/>
      <c r="AG11" s="20" t="n"/>
      <c r="AH11" s="20" t="n"/>
      <c r="AI11" s="20" t="n"/>
      <c r="AJ11" s="20" t="n"/>
      <c r="AK11" s="13" t="n"/>
      <c r="AL11" s="20" t="n"/>
      <c r="AM11" s="20" t="n"/>
      <c r="AN11" s="20" t="n"/>
      <c r="AO11" s="20" t="n"/>
      <c r="AP11" s="13" t="n"/>
      <c r="AQ11" s="20" t="n"/>
      <c r="AR11" s="20" t="n"/>
      <c r="AS11" s="20" t="n"/>
      <c r="AT11" s="20" t="n"/>
      <c r="AU11" s="13" t="n"/>
      <c r="AV11" s="20" t="n"/>
      <c r="AW11" s="20" t="n"/>
      <c r="AX11" s="20" t="n"/>
      <c r="AY11" s="20" t="n"/>
      <c r="AZ11" s="13" t="n"/>
      <c r="BA11" s="20" t="n"/>
      <c r="BB11" s="20" t="n"/>
      <c r="BC11" s="20" t="n"/>
      <c r="BD11" s="20" t="n"/>
      <c r="BE11" s="13" t="n"/>
    </row>
    <row r="12" ht="16" customHeight="1">
      <c r="A12" s="18" t="inlineStr"/>
      <c r="B12" s="19" t="inlineStr"/>
      <c r="C12" s="20" t="n"/>
      <c r="D12" s="20" t="n"/>
      <c r="E12" s="20" t="n"/>
      <c r="F12" s="20" t="n"/>
      <c r="G12" s="13" t="n"/>
      <c r="H12" s="20" t="n"/>
      <c r="I12" s="20" t="n"/>
      <c r="J12" s="20" t="n"/>
      <c r="K12" s="20" t="n"/>
      <c r="L12" s="13" t="n"/>
      <c r="M12" s="20" t="n"/>
      <c r="N12" s="20" t="n"/>
      <c r="O12" s="20" t="n"/>
      <c r="P12" s="20" t="n"/>
      <c r="Q12" s="13" t="n"/>
      <c r="R12" s="20" t="n"/>
      <c r="S12" s="20" t="n"/>
      <c r="T12" s="20" t="n"/>
      <c r="U12" s="20" t="n"/>
      <c r="V12" s="13" t="n"/>
      <c r="W12" s="20" t="n"/>
      <c r="X12" s="20" t="n"/>
      <c r="Y12" s="20" t="n"/>
      <c r="Z12" s="20" t="n"/>
      <c r="AA12" s="13" t="n"/>
      <c r="AB12" s="20" t="n"/>
      <c r="AC12" s="20" t="n"/>
      <c r="AD12" s="20" t="n"/>
      <c r="AE12" s="20" t="n"/>
      <c r="AF12" s="13" t="n"/>
      <c r="AG12" s="20" t="n"/>
      <c r="AH12" s="20" t="n"/>
      <c r="AI12" s="20" t="n"/>
      <c r="AJ12" s="20" t="n"/>
      <c r="AK12" s="13" t="n"/>
      <c r="AL12" s="20" t="n"/>
      <c r="AM12" s="20" t="n"/>
      <c r="AN12" s="20" t="n"/>
      <c r="AO12" s="20" t="n"/>
      <c r="AP12" s="13" t="n"/>
      <c r="AQ12" s="20" t="n"/>
      <c r="AR12" s="20" t="n"/>
      <c r="AS12" s="20" t="n"/>
      <c r="AT12" s="20" t="n"/>
      <c r="AU12" s="13" t="n"/>
      <c r="AV12" s="20" t="n"/>
      <c r="AW12" s="20" t="n"/>
      <c r="AX12" s="20" t="n"/>
      <c r="AY12" s="20" t="n"/>
      <c r="AZ12" s="13" t="n"/>
      <c r="BA12" s="20" t="n"/>
      <c r="BB12" s="20" t="n"/>
      <c r="BC12" s="20" t="n"/>
      <c r="BD12" s="20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35.2</v>
      </c>
      <c r="D13" s="8" t="n">
        <v>38.3</v>
      </c>
      <c r="E13" s="8" t="n">
        <v>29.1</v>
      </c>
      <c r="F13" s="8" t="n">
        <v>35.2</v>
      </c>
      <c r="G13" s="9">
        <f>SUM(C13:F13)</f>
        <v/>
      </c>
      <c r="H13" s="8" t="n">
        <v>36.5</v>
      </c>
      <c r="I13" s="8" t="n">
        <v>39.2</v>
      </c>
      <c r="J13" s="8" t="n">
        <v>37.2</v>
      </c>
      <c r="K13" s="8" t="n">
        <v>31.7</v>
      </c>
      <c r="L13" s="9">
        <f>SUM(H13:K13)</f>
        <v/>
      </c>
      <c r="M13" s="8" t="n">
        <v>36.8</v>
      </c>
      <c r="N13" s="8" t="n">
        <v>50.5</v>
      </c>
      <c r="O13" s="8" t="n">
        <v>46.6</v>
      </c>
      <c r="P13" s="8" t="n">
        <v>44.6</v>
      </c>
      <c r="Q13" s="9">
        <f>SUM(M13:P13)</f>
        <v/>
      </c>
      <c r="R13" s="8" t="n">
        <v>50</v>
      </c>
      <c r="S13" s="8" t="n">
        <v>63.1</v>
      </c>
      <c r="T13" s="8" t="n">
        <v>62</v>
      </c>
      <c r="U13" s="8" t="n">
        <v>76.40000000000001</v>
      </c>
      <c r="V13" s="9">
        <f>SUM(R13:U13)</f>
        <v/>
      </c>
      <c r="W13" s="8" t="n">
        <v>59.2</v>
      </c>
      <c r="X13" s="8" t="n">
        <v>62.4</v>
      </c>
      <c r="Y13" s="8" t="n">
        <v>66.5</v>
      </c>
      <c r="Z13" s="8" t="n">
        <v>53.6</v>
      </c>
      <c r="AA13" s="9">
        <f>SUM(W13:Z13)</f>
        <v/>
      </c>
      <c r="AB13" s="8" t="n">
        <v>32.9</v>
      </c>
      <c r="AC13" s="8" t="n">
        <v>58</v>
      </c>
      <c r="AD13" s="8" t="n">
        <v>62.3</v>
      </c>
      <c r="AE13" s="8" t="n">
        <v>98</v>
      </c>
      <c r="AF13" s="9">
        <f>SUM(AB13:AE13)</f>
        <v/>
      </c>
      <c r="AG13" s="8" t="n">
        <v>76.5</v>
      </c>
      <c r="AH13" s="8" t="n">
        <v>101</v>
      </c>
      <c r="AI13" s="8" t="n">
        <v>102.2</v>
      </c>
      <c r="AJ13" s="8" t="n">
        <v>110.1</v>
      </c>
      <c r="AK13" s="9">
        <f>SUM(AG13:AJ13)</f>
        <v/>
      </c>
      <c r="AL13" s="8" t="n">
        <v>144.6</v>
      </c>
      <c r="AM13" s="8" t="n">
        <v>145.2</v>
      </c>
      <c r="AN13" s="8" t="n">
        <v>129.4</v>
      </c>
      <c r="AO13" s="8" t="n">
        <v>135</v>
      </c>
      <c r="AP13" s="9">
        <f>SUM(AL13:AO13)</f>
        <v/>
      </c>
      <c r="AQ13" s="8" t="n">
        <v>118.8</v>
      </c>
      <c r="AR13" s="8" t="n">
        <v>120</v>
      </c>
      <c r="AS13" s="8" t="n">
        <v>106.9</v>
      </c>
      <c r="AT13" s="8" t="n">
        <v>113.5</v>
      </c>
      <c r="AU13" s="9">
        <f>SUM(AQ13:AT13)</f>
        <v/>
      </c>
      <c r="AV13" s="8" t="n">
        <v>129.2</v>
      </c>
      <c r="AW13" s="8" t="n">
        <v>146.4</v>
      </c>
      <c r="AX13" s="8" t="n">
        <v>145.3</v>
      </c>
      <c r="AY13" s="8" t="n">
        <v>141.4</v>
      </c>
      <c r="AZ13" s="9">
        <f>SUM(AV13:AY13)</f>
        <v/>
      </c>
      <c r="BA13" s="8" t="n">
        <v>155.3</v>
      </c>
      <c r="BB13" s="8" t="n">
        <v>166.2</v>
      </c>
      <c r="BC13" s="8" t="n">
        <v>148.2</v>
      </c>
      <c r="BD13" s="8" t="n">
        <v>144.3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1.2</v>
      </c>
      <c r="D15" s="8" t="n">
        <v>-6.9</v>
      </c>
      <c r="E15" s="8" t="n">
        <v>1.8</v>
      </c>
      <c r="F15" s="8" t="n">
        <v>0.3</v>
      </c>
      <c r="G15" s="9">
        <f>SUM(C15:F15)</f>
        <v/>
      </c>
      <c r="H15" s="8" t="n">
        <v>0.1</v>
      </c>
      <c r="I15" s="8" t="n">
        <v>-5.1</v>
      </c>
      <c r="J15" s="8" t="n">
        <v>-2.2</v>
      </c>
      <c r="K15" s="8" t="n">
        <v>6.9</v>
      </c>
      <c r="L15" s="9">
        <f>SUM(H15:K15)</f>
        <v/>
      </c>
      <c r="M15" s="8" t="n">
        <v>1.7</v>
      </c>
      <c r="N15" s="8" t="n">
        <v>-10.8</v>
      </c>
      <c r="O15" s="8" t="n">
        <v>-3.3</v>
      </c>
      <c r="P15" s="8" t="n">
        <v>8.9</v>
      </c>
      <c r="Q15" s="9">
        <f>SUM(M15:P15)</f>
        <v/>
      </c>
      <c r="R15" s="8" t="n">
        <v>9.5</v>
      </c>
      <c r="S15" s="8" t="n">
        <v>-3.5</v>
      </c>
      <c r="T15" s="8" t="n">
        <v>4.4</v>
      </c>
      <c r="U15" s="8" t="n">
        <v>-11.1</v>
      </c>
      <c r="V15" s="9">
        <f>SUM(R15:U15)</f>
        <v/>
      </c>
      <c r="W15" s="8" t="n">
        <v>4.1</v>
      </c>
      <c r="X15" s="8" t="n">
        <v>2.3</v>
      </c>
      <c r="Y15" s="8" t="n">
        <v>0.7</v>
      </c>
      <c r="Z15" s="8" t="n">
        <v>0.1</v>
      </c>
      <c r="AA15" s="9">
        <f>SUM(W15:Z15)</f>
        <v/>
      </c>
      <c r="AB15" s="8" t="n">
        <v>4.2</v>
      </c>
      <c r="AC15" s="8" t="n">
        <v>-0.1</v>
      </c>
      <c r="AD15" s="8" t="n">
        <v>0.4</v>
      </c>
      <c r="AE15" s="8" t="n">
        <v>-9.4</v>
      </c>
      <c r="AF15" s="9">
        <f>SUM(AB15:AE15)</f>
        <v/>
      </c>
      <c r="AG15" s="8" t="n">
        <v>-7.5</v>
      </c>
      <c r="AH15" s="8" t="n">
        <v>-0.7</v>
      </c>
      <c r="AI15" s="8" t="n">
        <v>-4.1</v>
      </c>
      <c r="AJ15" s="8" t="n">
        <v>-3</v>
      </c>
      <c r="AK15" s="9">
        <f>SUM(AG15:AJ15)</f>
        <v/>
      </c>
      <c r="AL15" s="8" t="n">
        <v>-10.8</v>
      </c>
      <c r="AM15" s="8" t="n">
        <v>-8.199999999999999</v>
      </c>
      <c r="AN15" s="8" t="n">
        <v>1.3</v>
      </c>
      <c r="AO15" s="8" t="n">
        <v>-5.4</v>
      </c>
      <c r="AP15" s="9">
        <f>SUM(AL15:AO15)</f>
        <v/>
      </c>
      <c r="AQ15" s="8" t="n">
        <v>6.6</v>
      </c>
      <c r="AR15" s="8" t="n">
        <v>4.5</v>
      </c>
      <c r="AS15" s="8" t="n">
        <v>2.3</v>
      </c>
      <c r="AT15" s="8" t="n">
        <v>1.6</v>
      </c>
      <c r="AU15" s="9">
        <f>SUM(AQ15:AT15)</f>
        <v/>
      </c>
      <c r="AV15" s="8" t="n">
        <v>5.4</v>
      </c>
      <c r="AW15" s="8" t="n">
        <v>-12.3</v>
      </c>
      <c r="AX15" s="8" t="n">
        <v>-6</v>
      </c>
      <c r="AY15" s="8" t="n">
        <v>8</v>
      </c>
      <c r="AZ15" s="9">
        <f>SUM(AV15:AY15)</f>
        <v/>
      </c>
      <c r="BA15" s="8" t="n">
        <v>1.6</v>
      </c>
      <c r="BB15" s="8" t="n">
        <v>-9</v>
      </c>
      <c r="BC15" s="8" t="n">
        <v>-3.3</v>
      </c>
      <c r="BD15" s="8" t="n">
        <v>0.7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1</v>
      </c>
      <c r="D17" s="8" t="n">
        <v>4.8</v>
      </c>
      <c r="E17" s="8" t="n">
        <v>1.8</v>
      </c>
      <c r="F17" s="8" t="n">
        <v>0.1</v>
      </c>
      <c r="G17" s="9">
        <f>SUM(C17:F17)</f>
        <v/>
      </c>
      <c r="H17" s="8" t="n">
        <v>1.6</v>
      </c>
      <c r="I17" s="8" t="n">
        <v>1.7</v>
      </c>
      <c r="J17" s="8" t="n">
        <v>1.2</v>
      </c>
      <c r="K17" s="8" t="n">
        <v>4.8</v>
      </c>
      <c r="L17" s="9">
        <f>SUM(H17:K17)</f>
        <v/>
      </c>
      <c r="M17" s="8" t="n">
        <v>1.8</v>
      </c>
      <c r="N17" s="8" t="n">
        <v>1.6</v>
      </c>
      <c r="O17" s="8" t="n">
        <v>1.4</v>
      </c>
      <c r="P17" s="8" t="n">
        <v>2.8</v>
      </c>
      <c r="Q17" s="9">
        <f>SUM(M17:P17)</f>
        <v/>
      </c>
      <c r="R17" s="8" t="n">
        <v>0</v>
      </c>
      <c r="S17" s="8" t="n">
        <v>0</v>
      </c>
      <c r="T17" s="8" t="n">
        <v>0.1</v>
      </c>
      <c r="U17" s="8" t="n">
        <v>0.1</v>
      </c>
      <c r="V17" s="9">
        <f>SUM(R17:U17)</f>
        <v/>
      </c>
      <c r="W17" s="8" t="n">
        <v>0.8</v>
      </c>
      <c r="X17" s="8" t="n">
        <v>-0.7</v>
      </c>
      <c r="Y17" s="8" t="n">
        <v>0.1</v>
      </c>
      <c r="Z17" s="8" t="n">
        <v>0.1</v>
      </c>
      <c r="AA17" s="9">
        <f>SUM(W17:Z17)</f>
        <v/>
      </c>
      <c r="AB17" s="8" t="n">
        <v>0.1</v>
      </c>
      <c r="AC17" s="8" t="n">
        <v>0</v>
      </c>
      <c r="AD17" s="8" t="n">
        <v>0</v>
      </c>
      <c r="AE17" s="8" t="n">
        <v>0.2</v>
      </c>
      <c r="AF17" s="9">
        <f>SUM(AB17:AE17)</f>
        <v/>
      </c>
      <c r="AG17" s="8" t="n">
        <v>0.2</v>
      </c>
      <c r="AH17" s="8" t="n">
        <v>0.2</v>
      </c>
      <c r="AI17" s="8" t="n">
        <v>0.6</v>
      </c>
      <c r="AJ17" s="8" t="n">
        <v>0</v>
      </c>
      <c r="AK17" s="9">
        <f>SUM(AG17:AJ17)</f>
        <v/>
      </c>
      <c r="AL17" s="8" t="n">
        <v>0</v>
      </c>
      <c r="AM17" s="8" t="n">
        <v>0</v>
      </c>
      <c r="AN17" s="8" t="n">
        <v>0</v>
      </c>
      <c r="AO17" s="8" t="n">
        <v>0.1</v>
      </c>
      <c r="AP17" s="9">
        <f>SUM(AL17:AO17)</f>
        <v/>
      </c>
      <c r="AQ17" s="8" t="n">
        <v>0</v>
      </c>
      <c r="AR17" s="8" t="n">
        <v>0</v>
      </c>
      <c r="AS17" s="8" t="n">
        <v>0</v>
      </c>
      <c r="AT17" s="8" t="n">
        <v>0</v>
      </c>
      <c r="AU17" s="9">
        <f>SUM(AQ17:AT17)</f>
        <v/>
      </c>
      <c r="AV17" s="8" t="n">
        <v>0</v>
      </c>
      <c r="AW17" s="8" t="n">
        <v>0</v>
      </c>
      <c r="AX17" s="8" t="n">
        <v>0</v>
      </c>
      <c r="AY17" s="8" t="n">
        <v>0</v>
      </c>
      <c r="AZ17" s="9">
        <f>SUM(AV17:AY17)</f>
        <v/>
      </c>
      <c r="BA17" s="8" t="n">
        <v>0</v>
      </c>
      <c r="BB17" s="8" t="n">
        <v>0</v>
      </c>
      <c r="BC17" s="8" t="n">
        <v>0</v>
      </c>
      <c r="BD17" s="8" t="n">
        <v>0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3.8</v>
      </c>
      <c r="D19" s="8" t="n">
        <v>4.1</v>
      </c>
      <c r="E19" s="8" t="n">
        <v>5</v>
      </c>
      <c r="F19" s="8" t="n">
        <v>5.7</v>
      </c>
      <c r="G19" s="9">
        <f>SUM(C19:F19)</f>
        <v/>
      </c>
      <c r="H19" s="8" t="n">
        <v>5.3</v>
      </c>
      <c r="I19" s="8" t="n">
        <v>6.3</v>
      </c>
      <c r="J19" s="8" t="n">
        <v>6.5</v>
      </c>
      <c r="K19" s="8" t="n">
        <v>8.5</v>
      </c>
      <c r="L19" s="9">
        <f>SUM(H19:K19)</f>
        <v/>
      </c>
      <c r="M19" s="8" t="n">
        <v>6.5</v>
      </c>
      <c r="N19" s="8" t="n">
        <v>7.4</v>
      </c>
      <c r="O19" s="8" t="n">
        <v>8.4</v>
      </c>
      <c r="P19" s="8" t="n">
        <v>7.9</v>
      </c>
      <c r="Q19" s="9">
        <f>SUM(M19:P19)</f>
        <v/>
      </c>
      <c r="R19" s="8" t="n">
        <v>6</v>
      </c>
      <c r="S19" s="8" t="n">
        <v>7</v>
      </c>
      <c r="T19" s="8" t="n">
        <v>8.300000000000001</v>
      </c>
      <c r="U19" s="8" t="n">
        <v>8.800000000000001</v>
      </c>
      <c r="V19" s="9">
        <f>SUM(R19:U19)</f>
        <v/>
      </c>
      <c r="W19" s="8" t="n">
        <v>7.9</v>
      </c>
      <c r="X19" s="8" t="n">
        <v>9.199999999999999</v>
      </c>
      <c r="Y19" s="8" t="n">
        <v>10.2</v>
      </c>
      <c r="Z19" s="8" t="n">
        <v>10.3</v>
      </c>
      <c r="AA19" s="9">
        <f>SUM(W19:Z19)</f>
        <v/>
      </c>
      <c r="AB19" s="8" t="n">
        <v>6.3</v>
      </c>
      <c r="AC19" s="8" t="n">
        <v>8.699999999999999</v>
      </c>
      <c r="AD19" s="8" t="n">
        <v>10.6</v>
      </c>
      <c r="AE19" s="8" t="n">
        <v>12.7</v>
      </c>
      <c r="AF19" s="9">
        <f>SUM(AB19:AE19)</f>
        <v/>
      </c>
      <c r="AG19" s="8" t="n">
        <v>11.8</v>
      </c>
      <c r="AH19" s="8" t="n">
        <v>14.3</v>
      </c>
      <c r="AI19" s="8" t="n">
        <v>14.6</v>
      </c>
      <c r="AJ19" s="8" t="n">
        <v>14.1</v>
      </c>
      <c r="AK19" s="9">
        <f>SUM(AG19:AJ19)</f>
        <v/>
      </c>
      <c r="AL19" s="8" t="n">
        <v>15.4</v>
      </c>
      <c r="AM19" s="8" t="n">
        <v>16.9</v>
      </c>
      <c r="AN19" s="8" t="n">
        <v>17.9</v>
      </c>
      <c r="AO19" s="8" t="n">
        <v>18.6</v>
      </c>
      <c r="AP19" s="9">
        <f>SUM(AL19:AO19)</f>
        <v/>
      </c>
      <c r="AQ19" s="8" t="n">
        <v>18.6</v>
      </c>
      <c r="AR19" s="8" t="n">
        <v>18.7</v>
      </c>
      <c r="AS19" s="8" t="n">
        <v>19</v>
      </c>
      <c r="AT19" s="8" t="n">
        <v>18.8</v>
      </c>
      <c r="AU19" s="9">
        <f>SUM(AQ19:AT19)</f>
        <v/>
      </c>
      <c r="AV19" s="8" t="n">
        <v>19.4</v>
      </c>
      <c r="AW19" s="8" t="n">
        <v>20.5</v>
      </c>
      <c r="AX19" s="8" t="n">
        <v>20.7</v>
      </c>
      <c r="AY19" s="8" t="n">
        <v>23</v>
      </c>
      <c r="AZ19" s="9">
        <f>SUM(AV19:AY19)</f>
        <v/>
      </c>
      <c r="BA19" s="8" t="n">
        <v>22.4</v>
      </c>
      <c r="BB19" s="8" t="n">
        <v>23.7</v>
      </c>
      <c r="BC19" s="8" t="n">
        <v>19.8</v>
      </c>
      <c r="BD19" s="8" t="n">
        <v>30.1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25.8</v>
      </c>
      <c r="D21" s="8" t="n">
        <v>12.5</v>
      </c>
      <c r="E21" s="8" t="n">
        <v>13</v>
      </c>
      <c r="F21" s="8" t="n">
        <v>20.4</v>
      </c>
      <c r="G21" s="9">
        <f>SUM(C21:F21)</f>
        <v/>
      </c>
      <c r="H21" s="8" t="n">
        <v>15.9</v>
      </c>
      <c r="I21" s="8" t="n">
        <v>20.6</v>
      </c>
      <c r="J21" s="8" t="n">
        <v>17.5</v>
      </c>
      <c r="K21" s="8" t="n">
        <v>14.4</v>
      </c>
      <c r="L21" s="9">
        <f>SUM(H21:K21)</f>
        <v/>
      </c>
      <c r="M21" s="8" t="n">
        <v>16.9</v>
      </c>
      <c r="N21" s="8" t="n">
        <v>18.2</v>
      </c>
      <c r="O21" s="8" t="n">
        <v>17.9</v>
      </c>
      <c r="P21" s="8" t="n">
        <v>22.9</v>
      </c>
      <c r="Q21" s="9">
        <f>SUM(M21:P21)</f>
        <v/>
      </c>
      <c r="R21" s="8" t="n">
        <v>24.9</v>
      </c>
      <c r="S21" s="8" t="n">
        <v>23.7</v>
      </c>
      <c r="T21" s="8" t="n">
        <v>24.1</v>
      </c>
      <c r="U21" s="8" t="n">
        <v>30</v>
      </c>
      <c r="V21" s="9">
        <f>SUM(R21:U21)</f>
        <v/>
      </c>
      <c r="W21" s="8" t="n">
        <v>22.3</v>
      </c>
      <c r="X21" s="8" t="n">
        <v>24.3</v>
      </c>
      <c r="Y21" s="8" t="n">
        <v>26.8</v>
      </c>
      <c r="Z21" s="8" t="n">
        <v>22.6</v>
      </c>
      <c r="AA21" s="9">
        <f>SUM(W21:Z21)</f>
        <v/>
      </c>
      <c r="AB21" s="8" t="n">
        <v>12.2</v>
      </c>
      <c r="AC21" s="8" t="n">
        <v>23.9</v>
      </c>
      <c r="AD21" s="8" t="n">
        <v>25.4</v>
      </c>
      <c r="AE21" s="8" t="n">
        <v>34.2</v>
      </c>
      <c r="AF21" s="9">
        <f>SUM(AB21:AE21)</f>
        <v/>
      </c>
      <c r="AG21" s="8" t="n">
        <v>23.7</v>
      </c>
      <c r="AH21" s="8" t="n">
        <v>32.6</v>
      </c>
      <c r="AI21" s="8" t="n">
        <v>30.6</v>
      </c>
      <c r="AJ21" s="8" t="n">
        <v>38.5</v>
      </c>
      <c r="AK21" s="9">
        <f>SUM(AG21:AJ21)</f>
        <v/>
      </c>
      <c r="AL21" s="8" t="n">
        <v>50.6</v>
      </c>
      <c r="AM21" s="8" t="n">
        <v>52.9</v>
      </c>
      <c r="AN21" s="8" t="n">
        <v>46</v>
      </c>
      <c r="AO21" s="8" t="n">
        <v>48.1</v>
      </c>
      <c r="AP21" s="9">
        <f>SUM(AL21:AO21)</f>
        <v/>
      </c>
      <c r="AQ21" s="8" t="n">
        <v>39.9</v>
      </c>
      <c r="AR21" s="8" t="n">
        <v>43.5</v>
      </c>
      <c r="AS21" s="8" t="n">
        <v>38.6</v>
      </c>
      <c r="AT21" s="8" t="n">
        <v>58.4</v>
      </c>
      <c r="AU21" s="9">
        <f>SUM(AQ21:AT21)</f>
        <v/>
      </c>
      <c r="AV21" s="8" t="n">
        <v>46.7</v>
      </c>
      <c r="AW21" s="8" t="n">
        <v>53.8</v>
      </c>
      <c r="AX21" s="8" t="n">
        <v>48.5</v>
      </c>
      <c r="AY21" s="8" t="n">
        <v>50</v>
      </c>
      <c r="AZ21" s="9">
        <f>SUM(AV21:AY21)</f>
        <v/>
      </c>
      <c r="BA21" s="8" t="n">
        <v>50.8</v>
      </c>
      <c r="BB21" s="8" t="n">
        <v>54.9</v>
      </c>
      <c r="BC21" s="8" t="n">
        <v>50.7</v>
      </c>
      <c r="BD21" s="8" t="n">
        <v>52.4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6">
        <f>C13+C15+C17</f>
        <v/>
      </c>
      <c r="D23" s="16">
        <f>D13+D15+D17</f>
        <v/>
      </c>
      <c r="E23" s="16">
        <f>E13+E15+E17</f>
        <v/>
      </c>
      <c r="F23" s="16">
        <f>F13+F15+F17</f>
        <v/>
      </c>
      <c r="G23" s="9">
        <f>G13+G15+G17</f>
        <v/>
      </c>
      <c r="H23" s="16">
        <f>H13+H15+H17</f>
        <v/>
      </c>
      <c r="I23" s="16">
        <f>I13+I15+I17</f>
        <v/>
      </c>
      <c r="J23" s="16">
        <f>J13+J15+J17</f>
        <v/>
      </c>
      <c r="K23" s="16">
        <f>K13+K15+K17</f>
        <v/>
      </c>
      <c r="L23" s="9">
        <f>L13+L15+L17</f>
        <v/>
      </c>
      <c r="M23" s="16">
        <f>M13+M15+M17</f>
        <v/>
      </c>
      <c r="N23" s="16">
        <f>N13+N15+N17</f>
        <v/>
      </c>
      <c r="O23" s="16">
        <f>O13+O15+O17</f>
        <v/>
      </c>
      <c r="P23" s="16">
        <f>P13+P15+P17</f>
        <v/>
      </c>
      <c r="Q23" s="9">
        <f>Q13+Q15+Q17</f>
        <v/>
      </c>
      <c r="R23" s="16">
        <f>R13+R15+R17</f>
        <v/>
      </c>
      <c r="S23" s="16">
        <f>S13+S15+S17</f>
        <v/>
      </c>
      <c r="T23" s="16">
        <f>T13+T15+T17</f>
        <v/>
      </c>
      <c r="U23" s="16">
        <f>U13+U15+U17</f>
        <v/>
      </c>
      <c r="V23" s="9">
        <f>V13+V15+V17</f>
        <v/>
      </c>
      <c r="W23" s="16">
        <f>W13+W15+W17</f>
        <v/>
      </c>
      <c r="X23" s="16">
        <f>X13+X15+X17</f>
        <v/>
      </c>
      <c r="Y23" s="16">
        <f>Y13+Y15+Y17</f>
        <v/>
      </c>
      <c r="Z23" s="16">
        <f>Z13+Z15+Z17</f>
        <v/>
      </c>
      <c r="AA23" s="9">
        <f>AA13+AA15+AA17</f>
        <v/>
      </c>
      <c r="AB23" s="16">
        <f>AB13+AB15+AB17</f>
        <v/>
      </c>
      <c r="AC23" s="16">
        <f>AC13+AC15+AC17</f>
        <v/>
      </c>
      <c r="AD23" s="16">
        <f>AD13+AD15+AD17</f>
        <v/>
      </c>
      <c r="AE23" s="16">
        <f>AE13+AE15+AE17</f>
        <v/>
      </c>
      <c r="AF23" s="9">
        <f>AF13+AF15+AF17</f>
        <v/>
      </c>
      <c r="AG23" s="16">
        <f>AG13+AG15+AG17</f>
        <v/>
      </c>
      <c r="AH23" s="16">
        <f>AH13+AH15+AH17</f>
        <v/>
      </c>
      <c r="AI23" s="16">
        <f>AI13+AI15+AI17</f>
        <v/>
      </c>
      <c r="AJ23" s="16">
        <f>AJ13+AJ15+AJ17</f>
        <v/>
      </c>
      <c r="AK23" s="9">
        <f>AK13+AK15+AK17</f>
        <v/>
      </c>
      <c r="AL23" s="16">
        <f>AL13+AL15+AL17</f>
        <v/>
      </c>
      <c r="AM23" s="16">
        <f>AM13+AM15+AM17</f>
        <v/>
      </c>
      <c r="AN23" s="16">
        <f>AN13+AN15+AN17</f>
        <v/>
      </c>
      <c r="AO23" s="16">
        <f>AO13+AO15+AO17</f>
        <v/>
      </c>
      <c r="AP23" s="9">
        <f>AP13+AP15+AP17</f>
        <v/>
      </c>
      <c r="AQ23" s="16">
        <f>AQ13+AQ15+AQ17</f>
        <v/>
      </c>
      <c r="AR23" s="16">
        <f>AR13+AR15+AR17</f>
        <v/>
      </c>
      <c r="AS23" s="16">
        <f>AS13+AS15+AS17</f>
        <v/>
      </c>
      <c r="AT23" s="16">
        <f>AT13+AT15+AT17</f>
        <v/>
      </c>
      <c r="AU23" s="9">
        <f>AU13+AU15+AU17</f>
        <v/>
      </c>
      <c r="AV23" s="16">
        <f>AV13+AV15+AV17</f>
        <v/>
      </c>
      <c r="AW23" s="16">
        <f>AW13+AW15+AW17</f>
        <v/>
      </c>
      <c r="AX23" s="16">
        <f>AX13+AX15+AX17</f>
        <v/>
      </c>
      <c r="AY23" s="16">
        <f>AY13+AY15+AY17</f>
        <v/>
      </c>
      <c r="AZ23" s="9">
        <f>AZ13+AZ15+AZ17</f>
        <v/>
      </c>
      <c r="BA23" s="16">
        <f>BA13+BA15+BA17</f>
        <v/>
      </c>
      <c r="BB23" s="16">
        <f>BB13+BB15+BB17</f>
        <v/>
      </c>
      <c r="BC23" s="16">
        <f>BC13+BC15+BC17</f>
        <v/>
      </c>
      <c r="BD23" s="16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6">
        <f>C6-(C13+C15)</f>
        <v/>
      </c>
      <c r="D24" s="16">
        <f>D6-(D13+D15)</f>
        <v/>
      </c>
      <c r="E24" s="16">
        <f>E6-(E13+E15)</f>
        <v/>
      </c>
      <c r="F24" s="16">
        <f>F6-(F13+F15)</f>
        <v/>
      </c>
      <c r="G24" s="9">
        <f>G6-(G13+G15)</f>
        <v/>
      </c>
      <c r="H24" s="16">
        <f>H6-(H13+H15)</f>
        <v/>
      </c>
      <c r="I24" s="16">
        <f>I6-(I13+I15)</f>
        <v/>
      </c>
      <c r="J24" s="16">
        <f>J6-(J13+J15)</f>
        <v/>
      </c>
      <c r="K24" s="16">
        <f>K6-(K13+K15)</f>
        <v/>
      </c>
      <c r="L24" s="9">
        <f>L6-(L13+L15)</f>
        <v/>
      </c>
      <c r="M24" s="16">
        <f>M6-(M13+M15)</f>
        <v/>
      </c>
      <c r="N24" s="16">
        <f>N6-(N13+N15)</f>
        <v/>
      </c>
      <c r="O24" s="16">
        <f>O6-(O13+O15)</f>
        <v/>
      </c>
      <c r="P24" s="16">
        <f>P6-(P13+P15)</f>
        <v/>
      </c>
      <c r="Q24" s="9">
        <f>Q6-(Q13+Q15)</f>
        <v/>
      </c>
      <c r="R24" s="16">
        <f>R6-(R13+R15)</f>
        <v/>
      </c>
      <c r="S24" s="16">
        <f>S6-(S13+S15)</f>
        <v/>
      </c>
      <c r="T24" s="16">
        <f>T6-(T13+T15)</f>
        <v/>
      </c>
      <c r="U24" s="16">
        <f>U6-(U13+U15)</f>
        <v/>
      </c>
      <c r="V24" s="9">
        <f>V6-(V13+V15)</f>
        <v/>
      </c>
      <c r="W24" s="16">
        <f>W6-(W13+W15)</f>
        <v/>
      </c>
      <c r="X24" s="16">
        <f>X6-(X13+X15)</f>
        <v/>
      </c>
      <c r="Y24" s="16">
        <f>Y6-(Y13+Y15)</f>
        <v/>
      </c>
      <c r="Z24" s="16">
        <f>Z6-(Z13+Z15)</f>
        <v/>
      </c>
      <c r="AA24" s="9">
        <f>AA6-(AA13+AA15)</f>
        <v/>
      </c>
      <c r="AB24" s="16">
        <f>AB6-(AB13+AB15)</f>
        <v/>
      </c>
      <c r="AC24" s="16">
        <f>AC6-(AC13+AC15)</f>
        <v/>
      </c>
      <c r="AD24" s="16">
        <f>AD6-(AD13+AD15)</f>
        <v/>
      </c>
      <c r="AE24" s="16">
        <f>AE6-(AE13+AE15)</f>
        <v/>
      </c>
      <c r="AF24" s="9">
        <f>AF6-(AF13+AF15)</f>
        <v/>
      </c>
      <c r="AG24" s="16">
        <f>AG6-(AG13+AG15)</f>
        <v/>
      </c>
      <c r="AH24" s="16">
        <f>AH6-(AH13+AH15)</f>
        <v/>
      </c>
      <c r="AI24" s="16">
        <f>AI6-(AI13+AI15)</f>
        <v/>
      </c>
      <c r="AJ24" s="16">
        <f>AJ6-(AJ13+AJ15)</f>
        <v/>
      </c>
      <c r="AK24" s="9">
        <f>AK6-(AK13+AK15)</f>
        <v/>
      </c>
      <c r="AL24" s="16">
        <f>AL6-(AL13+AL15)</f>
        <v/>
      </c>
      <c r="AM24" s="16">
        <f>AM6-(AM13+AM15)</f>
        <v/>
      </c>
      <c r="AN24" s="16">
        <f>AN6-(AN13+AN15)</f>
        <v/>
      </c>
      <c r="AO24" s="16">
        <f>AO6-(AO13+AO15)</f>
        <v/>
      </c>
      <c r="AP24" s="9">
        <f>AP6-(AP13+AP15)</f>
        <v/>
      </c>
      <c r="AQ24" s="16">
        <f>AQ6-(AQ13+AQ15)</f>
        <v/>
      </c>
      <c r="AR24" s="16">
        <f>AR6-(AR13+AR15)</f>
        <v/>
      </c>
      <c r="AS24" s="16">
        <f>AS6-(AS13+AS15)</f>
        <v/>
      </c>
      <c r="AT24" s="16">
        <f>AT6-(AT13+AT15)</f>
        <v/>
      </c>
      <c r="AU24" s="9">
        <f>AU6-(AU13+AU15)</f>
        <v/>
      </c>
      <c r="AV24" s="16">
        <f>AV6-(AV13+AV15)</f>
        <v/>
      </c>
      <c r="AW24" s="16">
        <f>AW6-(AW13+AW15)</f>
        <v/>
      </c>
      <c r="AX24" s="16">
        <f>AX6-(AX13+AX15)</f>
        <v/>
      </c>
      <c r="AY24" s="16">
        <f>AY6-(AY13+AY15)</f>
        <v/>
      </c>
      <c r="AZ24" s="9">
        <f>AZ6-(AZ13+AZ15)</f>
        <v/>
      </c>
      <c r="BA24" s="16">
        <f>BA6-(BA13+BA15)</f>
        <v/>
      </c>
      <c r="BB24" s="16">
        <f>BB6-(BB13+BB15)</f>
        <v/>
      </c>
      <c r="BC24" s="16">
        <f>BC6-(BC13+BC15)</f>
        <v/>
      </c>
      <c r="BD24" s="16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10" t="inlineStr">
        <is>
          <t>DERIVED</t>
        </is>
      </c>
      <c r="B26" s="11" t="inlineStr">
        <is>
          <t>Total Expenditure</t>
        </is>
      </c>
      <c r="C26" s="16">
        <f>C13+C15+C17+C19+C21</f>
        <v/>
      </c>
      <c r="D26" s="16">
        <f>D13+D15+D17+D19+D21</f>
        <v/>
      </c>
      <c r="E26" s="16">
        <f>E13+E15+E17+E19+E21</f>
        <v/>
      </c>
      <c r="F26" s="16">
        <f>F13+F15+F17+F19+F21</f>
        <v/>
      </c>
      <c r="G26" s="9">
        <f>G13+G15+G17+G19+G21</f>
        <v/>
      </c>
      <c r="H26" s="16">
        <f>H13+H15+H17+H19+H21</f>
        <v/>
      </c>
      <c r="I26" s="16">
        <f>I13+I15+I17+I19+I21</f>
        <v/>
      </c>
      <c r="J26" s="16">
        <f>J13+J15+J17+J19+J21</f>
        <v/>
      </c>
      <c r="K26" s="16">
        <f>K13+K15+K17+K19+K21</f>
        <v/>
      </c>
      <c r="L26" s="9">
        <f>L13+L15+L17+L19+L21</f>
        <v/>
      </c>
      <c r="M26" s="16">
        <f>M13+M15+M17+M19+M21</f>
        <v/>
      </c>
      <c r="N26" s="16">
        <f>N13+N15+N17+N19+N21</f>
        <v/>
      </c>
      <c r="O26" s="16">
        <f>O13+O15+O17+O19+O21</f>
        <v/>
      </c>
      <c r="P26" s="16">
        <f>P13+P15+P17+P19+P21</f>
        <v/>
      </c>
      <c r="Q26" s="9">
        <f>Q13+Q15+Q17+Q19+Q21</f>
        <v/>
      </c>
      <c r="R26" s="16">
        <f>R13+R15+R17+R19+R21</f>
        <v/>
      </c>
      <c r="S26" s="16">
        <f>S13+S15+S17+S19+S21</f>
        <v/>
      </c>
      <c r="T26" s="16">
        <f>T13+T15+T17+T19+T21</f>
        <v/>
      </c>
      <c r="U26" s="16">
        <f>U13+U15+U17+U19+U21</f>
        <v/>
      </c>
      <c r="V26" s="9">
        <f>V13+V15+V17+V19+V21</f>
        <v/>
      </c>
      <c r="W26" s="16">
        <f>W13+W15+W17+W19+W21</f>
        <v/>
      </c>
      <c r="X26" s="16">
        <f>X13+X15+X17+X19+X21</f>
        <v/>
      </c>
      <c r="Y26" s="16">
        <f>Y13+Y15+Y17+Y19+Y21</f>
        <v/>
      </c>
      <c r="Z26" s="16">
        <f>Z13+Z15+Z17+Z19+Z21</f>
        <v/>
      </c>
      <c r="AA26" s="9">
        <f>AA13+AA15+AA17+AA19+AA21</f>
        <v/>
      </c>
      <c r="AB26" s="16">
        <f>AB13+AB15+AB17+AB19+AB21</f>
        <v/>
      </c>
      <c r="AC26" s="16">
        <f>AC13+AC15+AC17+AC19+AC21</f>
        <v/>
      </c>
      <c r="AD26" s="16">
        <f>AD13+AD15+AD17+AD19+AD21</f>
        <v/>
      </c>
      <c r="AE26" s="16">
        <f>AE13+AE15+AE17+AE19+AE21</f>
        <v/>
      </c>
      <c r="AF26" s="9">
        <f>AF13+AF15+AF17+AF19+AF21</f>
        <v/>
      </c>
      <c r="AG26" s="16">
        <f>AG13+AG15+AG17+AG19+AG21</f>
        <v/>
      </c>
      <c r="AH26" s="16">
        <f>AH13+AH15+AH17+AH19+AH21</f>
        <v/>
      </c>
      <c r="AI26" s="16">
        <f>AI13+AI15+AI17+AI19+AI21</f>
        <v/>
      </c>
      <c r="AJ26" s="16">
        <f>AJ13+AJ15+AJ17+AJ19+AJ21</f>
        <v/>
      </c>
      <c r="AK26" s="9">
        <f>AK13+AK15+AK17+AK19+AK21</f>
        <v/>
      </c>
      <c r="AL26" s="16">
        <f>AL13+AL15+AL17+AL19+AL21</f>
        <v/>
      </c>
      <c r="AM26" s="16">
        <f>AM13+AM15+AM17+AM19+AM21</f>
        <v/>
      </c>
      <c r="AN26" s="16">
        <f>AN13+AN15+AN17+AN19+AN21</f>
        <v/>
      </c>
      <c r="AO26" s="16">
        <f>AO13+AO15+AO17+AO19+AO21</f>
        <v/>
      </c>
      <c r="AP26" s="9">
        <f>AP13+AP15+AP17+AP19+AP21</f>
        <v/>
      </c>
      <c r="AQ26" s="16">
        <f>AQ13+AQ15+AQ17+AQ19+AQ21</f>
        <v/>
      </c>
      <c r="AR26" s="16">
        <f>AR13+AR15+AR17+AR19+AR21</f>
        <v/>
      </c>
      <c r="AS26" s="16">
        <f>AS13+AS15+AS17+AS19+AS21</f>
        <v/>
      </c>
      <c r="AT26" s="16">
        <f>AT13+AT15+AT17+AT19+AT21</f>
        <v/>
      </c>
      <c r="AU26" s="9">
        <f>AU13+AU15+AU17+AU19+AU21</f>
        <v/>
      </c>
      <c r="AV26" s="16">
        <f>AV13+AV15+AV17+AV19+AV21</f>
        <v/>
      </c>
      <c r="AW26" s="16">
        <f>AW13+AW15+AW17+AW19+AW21</f>
        <v/>
      </c>
      <c r="AX26" s="16">
        <f>AX13+AX15+AX17+AX19+AX21</f>
        <v/>
      </c>
      <c r="AY26" s="16">
        <f>AY13+AY15+AY17+AY19+AY21</f>
        <v/>
      </c>
      <c r="AZ26" s="9">
        <f>AZ13+AZ15+AZ17+AZ19+AZ21</f>
        <v/>
      </c>
      <c r="BA26" s="16">
        <f>BA13+BA15+BA17+BA19+BA21</f>
        <v/>
      </c>
      <c r="BB26" s="16">
        <f>BB13+BB15+BB17+BB19+BB21</f>
        <v/>
      </c>
      <c r="BC26" s="16">
        <f>BC13+BC15+BC17+BC19+BC21</f>
        <v/>
      </c>
      <c r="BD26" s="16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6">
        <f>C9-C26</f>
        <v/>
      </c>
      <c r="D28" s="16">
        <f>D9-D26</f>
        <v/>
      </c>
      <c r="E28" s="16">
        <f>E9-E26</f>
        <v/>
      </c>
      <c r="F28" s="16">
        <f>F9-F26</f>
        <v/>
      </c>
      <c r="G28" s="9">
        <f>G9-G26</f>
        <v/>
      </c>
      <c r="H28" s="16">
        <f>H9-H26</f>
        <v/>
      </c>
      <c r="I28" s="16">
        <f>I9-I26</f>
        <v/>
      </c>
      <c r="J28" s="16">
        <f>J9-J26</f>
        <v/>
      </c>
      <c r="K28" s="16">
        <f>K9-K26</f>
        <v/>
      </c>
      <c r="L28" s="9">
        <f>L9-L26</f>
        <v/>
      </c>
      <c r="M28" s="16">
        <f>M9-M26</f>
        <v/>
      </c>
      <c r="N28" s="16">
        <f>N9-N26</f>
        <v/>
      </c>
      <c r="O28" s="16">
        <f>O9-O26</f>
        <v/>
      </c>
      <c r="P28" s="16">
        <f>P9-P26</f>
        <v/>
      </c>
      <c r="Q28" s="9">
        <f>Q9-Q26</f>
        <v/>
      </c>
      <c r="R28" s="16">
        <f>R9-R26</f>
        <v/>
      </c>
      <c r="S28" s="16">
        <f>S9-S26</f>
        <v/>
      </c>
      <c r="T28" s="16">
        <f>T9-T26</f>
        <v/>
      </c>
      <c r="U28" s="16">
        <f>U9-U26</f>
        <v/>
      </c>
      <c r="V28" s="9">
        <f>V9-V26</f>
        <v/>
      </c>
      <c r="W28" s="16">
        <f>W9-W26</f>
        <v/>
      </c>
      <c r="X28" s="16">
        <f>X9-X26</f>
        <v/>
      </c>
      <c r="Y28" s="16">
        <f>Y9-Y26</f>
        <v/>
      </c>
      <c r="Z28" s="16">
        <f>Z9-Z26</f>
        <v/>
      </c>
      <c r="AA28" s="9">
        <f>AA9-AA26</f>
        <v/>
      </c>
      <c r="AB28" s="16">
        <f>AB9-AB26</f>
        <v/>
      </c>
      <c r="AC28" s="16">
        <f>AC9-AC26</f>
        <v/>
      </c>
      <c r="AD28" s="16">
        <f>AD9-AD26</f>
        <v/>
      </c>
      <c r="AE28" s="16">
        <f>AE9-AE26</f>
        <v/>
      </c>
      <c r="AF28" s="9">
        <f>AF9-AF26</f>
        <v/>
      </c>
      <c r="AG28" s="16">
        <f>AG9-AG26</f>
        <v/>
      </c>
      <c r="AH28" s="16">
        <f>AH9-AH26</f>
        <v/>
      </c>
      <c r="AI28" s="16">
        <f>AI9-AI26</f>
        <v/>
      </c>
      <c r="AJ28" s="16">
        <f>AJ9-AJ26</f>
        <v/>
      </c>
      <c r="AK28" s="9">
        <f>AK9-AK26</f>
        <v/>
      </c>
      <c r="AL28" s="16">
        <f>AL9-AL26</f>
        <v/>
      </c>
      <c r="AM28" s="16">
        <f>AM9-AM26</f>
        <v/>
      </c>
      <c r="AN28" s="16">
        <f>AN9-AN26</f>
        <v/>
      </c>
      <c r="AO28" s="16">
        <f>AO9-AO26</f>
        <v/>
      </c>
      <c r="AP28" s="9">
        <f>AP9-AP26</f>
        <v/>
      </c>
      <c r="AQ28" s="16">
        <f>AQ9-AQ26</f>
        <v/>
      </c>
      <c r="AR28" s="16">
        <f>AR9-AR26</f>
        <v/>
      </c>
      <c r="AS28" s="16">
        <f>AS9-AS26</f>
        <v/>
      </c>
      <c r="AT28" s="16">
        <f>AT9-AT26</f>
        <v/>
      </c>
      <c r="AU28" s="9">
        <f>AU9-AU26</f>
        <v/>
      </c>
      <c r="AV28" s="16">
        <f>AV9-AV26</f>
        <v/>
      </c>
      <c r="AW28" s="16">
        <f>AW9-AW26</f>
        <v/>
      </c>
      <c r="AX28" s="16">
        <f>AX9-AX26</f>
        <v/>
      </c>
      <c r="AY28" s="16">
        <f>AY9-AY26</f>
        <v/>
      </c>
      <c r="AZ28" s="9">
        <f>AZ9-AZ26</f>
        <v/>
      </c>
      <c r="BA28" s="16">
        <f>BA9-BA26</f>
        <v/>
      </c>
      <c r="BB28" s="16">
        <f>BB9-BB26</f>
        <v/>
      </c>
      <c r="BC28" s="16">
        <f>BC9-BC26</f>
        <v/>
      </c>
      <c r="BD28" s="16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>
        <f>H28/IF(C28=0,1,C28)-1</f>
        <v/>
      </c>
      <c r="I29" s="14">
        <f>I28/IF(D28=0,1,D28)-1</f>
        <v/>
      </c>
      <c r="J29" s="14">
        <f>J28/IF(E28=0,1,E28)-1</f>
        <v/>
      </c>
      <c r="K29" s="14">
        <f>K28/IF(F28=0,1,F28)-1</f>
        <v/>
      </c>
      <c r="L29" s="15">
        <f>L28/IF(G28=0,1,G28)-1</f>
        <v/>
      </c>
      <c r="M29" s="14">
        <f>M28/IF(H28=0,1,H28)-1</f>
        <v/>
      </c>
      <c r="N29" s="14">
        <f>N28/IF(I28=0,1,I28)-1</f>
        <v/>
      </c>
      <c r="O29" s="14">
        <f>O28/IF(J28=0,1,J28)-1</f>
        <v/>
      </c>
      <c r="P29" s="14">
        <f>P28/IF(K28=0,1,K28)-1</f>
        <v/>
      </c>
      <c r="Q29" s="15">
        <f>Q28/IF(L28=0,1,L28)-1</f>
        <v/>
      </c>
      <c r="R29" s="14">
        <f>R28/IF(M28=0,1,M28)-1</f>
        <v/>
      </c>
      <c r="S29" s="14">
        <f>S28/IF(N28=0,1,N28)-1</f>
        <v/>
      </c>
      <c r="T29" s="14">
        <f>T28/IF(O28=0,1,O28)-1</f>
        <v/>
      </c>
      <c r="U29" s="14">
        <f>U28/IF(P28=0,1,P28)-1</f>
        <v/>
      </c>
      <c r="V29" s="15">
        <f>V28/IF(Q28=0,1,Q28)-1</f>
        <v/>
      </c>
      <c r="W29" s="14">
        <f>W28/IF(R28=0,1,R28)-1</f>
        <v/>
      </c>
      <c r="X29" s="14">
        <f>X28/IF(S28=0,1,S28)-1</f>
        <v/>
      </c>
      <c r="Y29" s="14">
        <f>Y28/IF(T28=0,1,T28)-1</f>
        <v/>
      </c>
      <c r="Z29" s="14">
        <f>Z28/IF(U28=0,1,U28)-1</f>
        <v/>
      </c>
      <c r="AA29" s="15">
        <f>AA28/IF(V28=0,1,V28)-1</f>
        <v/>
      </c>
      <c r="AB29" s="14">
        <f>AB28/IF(W28=0,1,W28)-1</f>
        <v/>
      </c>
      <c r="AC29" s="14">
        <f>AC28/IF(X28=0,1,X28)-1</f>
        <v/>
      </c>
      <c r="AD29" s="14">
        <f>AD28/IF(Y28=0,1,Y28)-1</f>
        <v/>
      </c>
      <c r="AE29" s="14">
        <f>AE28/IF(Z28=0,1,Z28)-1</f>
        <v/>
      </c>
      <c r="AF29" s="15">
        <f>AF28/IF(AA28=0,1,AA28)-1</f>
        <v/>
      </c>
      <c r="AG29" s="14">
        <f>AG28/IF(AB28=0,1,AB28)-1</f>
        <v/>
      </c>
      <c r="AH29" s="14">
        <f>AH28/IF(AC28=0,1,AC28)-1</f>
        <v/>
      </c>
      <c r="AI29" s="14">
        <f>AI28/IF(AD28=0,1,AD28)-1</f>
        <v/>
      </c>
      <c r="AJ29" s="14">
        <f>AJ28/IF(AE28=0,1,AE28)-1</f>
        <v/>
      </c>
      <c r="AK29" s="15">
        <f>AK28/IF(AF28=0,1,AF28)-1</f>
        <v/>
      </c>
      <c r="AL29" s="14">
        <f>AL28/IF(AG28=0,1,AG28)-1</f>
        <v/>
      </c>
      <c r="AM29" s="14">
        <f>AM28/IF(AH28=0,1,AH28)-1</f>
        <v/>
      </c>
      <c r="AN29" s="14">
        <f>AN28/IF(AI28=0,1,AI28)-1</f>
        <v/>
      </c>
      <c r="AO29" s="14">
        <f>AO28/IF(AJ28=0,1,AJ28)-1</f>
        <v/>
      </c>
      <c r="AP29" s="15">
        <f>AP28/IF(AK28=0,1,AK28)-1</f>
        <v/>
      </c>
      <c r="AQ29" s="14">
        <f>AQ28/IF(AL28=0,1,AL28)-1</f>
        <v/>
      </c>
      <c r="AR29" s="14">
        <f>AR28/IF(AM28=0,1,AM28)-1</f>
        <v/>
      </c>
      <c r="AS29" s="14">
        <f>AS28/IF(AN28=0,1,AN28)-1</f>
        <v/>
      </c>
      <c r="AT29" s="14">
        <f>AT28/IF(AO28=0,1,AO28)-1</f>
        <v/>
      </c>
      <c r="AU29" s="15">
        <f>AU28/IF(AP28=0,1,AP28)-1</f>
        <v/>
      </c>
      <c r="AV29" s="14">
        <f>AV28/IF(AQ28=0,1,AQ28)-1</f>
        <v/>
      </c>
      <c r="AW29" s="14">
        <f>AW28/IF(AR28=0,1,AR28)-1</f>
        <v/>
      </c>
      <c r="AX29" s="14">
        <f>AX28/IF(AS28=0,1,AS28)-1</f>
        <v/>
      </c>
      <c r="AY29" s="14">
        <f>AY28/IF(AT28=0,1,AT28)-1</f>
        <v/>
      </c>
      <c r="AZ29" s="15">
        <f>AZ28/IF(AU28=0,1,AU28)-1</f>
        <v/>
      </c>
      <c r="BA29" s="14">
        <f>BA28/IF(AV28=0,1,AV28)-1</f>
        <v/>
      </c>
      <c r="BB29" s="14">
        <f>BB28/IF(AW28=0,1,AW28)-1</f>
        <v/>
      </c>
      <c r="BC29" s="14">
        <f>BC28/IF(AX28=0,1,AX28)-1</f>
        <v/>
      </c>
      <c r="BD29" s="14">
        <f>BD28/IF(AY28=0,1,AY28)-1</f>
        <v/>
      </c>
      <c r="BE29" s="15">
        <f>BE28/IF(AZ28=0,1,AZ28)-1</f>
        <v/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6">
        <f>C28-C38</f>
        <v/>
      </c>
      <c r="D31" s="16">
        <f>D28-D38</f>
        <v/>
      </c>
      <c r="E31" s="16">
        <f>E28-E38</f>
        <v/>
      </c>
      <c r="F31" s="16">
        <f>F28-F38</f>
        <v/>
      </c>
      <c r="G31" s="9">
        <f>G28-G38</f>
        <v/>
      </c>
      <c r="H31" s="16">
        <f>H28-H38</f>
        <v/>
      </c>
      <c r="I31" s="16">
        <f>I28-I38</f>
        <v/>
      </c>
      <c r="J31" s="16">
        <f>J28-J38</f>
        <v/>
      </c>
      <c r="K31" s="16">
        <f>K28-K38</f>
        <v/>
      </c>
      <c r="L31" s="9">
        <f>L28-L38</f>
        <v/>
      </c>
      <c r="M31" s="16">
        <f>M28-M38</f>
        <v/>
      </c>
      <c r="N31" s="16">
        <f>N28-N38</f>
        <v/>
      </c>
      <c r="O31" s="16">
        <f>O28-O38</f>
        <v/>
      </c>
      <c r="P31" s="16">
        <f>P28-P38</f>
        <v/>
      </c>
      <c r="Q31" s="9">
        <f>Q28-Q38</f>
        <v/>
      </c>
      <c r="R31" s="16">
        <f>R28-R38</f>
        <v/>
      </c>
      <c r="S31" s="16">
        <f>S28-S38</f>
        <v/>
      </c>
      <c r="T31" s="16">
        <f>T28-T38</f>
        <v/>
      </c>
      <c r="U31" s="16">
        <f>U28-U38</f>
        <v/>
      </c>
      <c r="V31" s="9">
        <f>V28-V38</f>
        <v/>
      </c>
      <c r="W31" s="16">
        <f>W28-W38</f>
        <v/>
      </c>
      <c r="X31" s="16">
        <f>X28-X38</f>
        <v/>
      </c>
      <c r="Y31" s="16">
        <f>Y28-Y38</f>
        <v/>
      </c>
      <c r="Z31" s="16">
        <f>Z28-Z38</f>
        <v/>
      </c>
      <c r="AA31" s="9">
        <f>AA28-AA38</f>
        <v/>
      </c>
      <c r="AB31" s="16">
        <f>AB28-AB38</f>
        <v/>
      </c>
      <c r="AC31" s="16">
        <f>AC28-AC38</f>
        <v/>
      </c>
      <c r="AD31" s="16">
        <f>AD28-AD38</f>
        <v/>
      </c>
      <c r="AE31" s="16">
        <f>AE28-AE38</f>
        <v/>
      </c>
      <c r="AF31" s="9">
        <f>AF28-AF38</f>
        <v/>
      </c>
      <c r="AG31" s="16">
        <f>AG28-AG38</f>
        <v/>
      </c>
      <c r="AH31" s="16">
        <f>AH28-AH38</f>
        <v/>
      </c>
      <c r="AI31" s="16">
        <f>AI28-AI38</f>
        <v/>
      </c>
      <c r="AJ31" s="16">
        <f>AJ28-AJ38</f>
        <v/>
      </c>
      <c r="AK31" s="9">
        <f>AK28-AK38</f>
        <v/>
      </c>
      <c r="AL31" s="16">
        <f>AL28-AL38</f>
        <v/>
      </c>
      <c r="AM31" s="16">
        <f>AM28-AM38</f>
        <v/>
      </c>
      <c r="AN31" s="16">
        <f>AN28-AN38</f>
        <v/>
      </c>
      <c r="AO31" s="16">
        <f>AO28-AO38</f>
        <v/>
      </c>
      <c r="AP31" s="9">
        <f>AP28-AP38</f>
        <v/>
      </c>
      <c r="AQ31" s="16">
        <f>AQ28-AQ38</f>
        <v/>
      </c>
      <c r="AR31" s="16">
        <f>AR28-AR38</f>
        <v/>
      </c>
      <c r="AS31" s="16">
        <f>AS28-AS38</f>
        <v/>
      </c>
      <c r="AT31" s="16">
        <f>AT28-AT38</f>
        <v/>
      </c>
      <c r="AU31" s="9">
        <f>AU28-AU38</f>
        <v/>
      </c>
      <c r="AV31" s="16">
        <f>AV28-AV38</f>
        <v/>
      </c>
      <c r="AW31" s="16">
        <f>AW28-AW38</f>
        <v/>
      </c>
      <c r="AX31" s="16">
        <f>AX28-AX38</f>
        <v/>
      </c>
      <c r="AY31" s="16">
        <f>AY28-AY38</f>
        <v/>
      </c>
      <c r="AZ31" s="9">
        <f>AZ28-AZ38</f>
        <v/>
      </c>
      <c r="BA31" s="16">
        <f>BA28-BA38</f>
        <v/>
      </c>
      <c r="BB31" s="16">
        <f>BB28-BB38</f>
        <v/>
      </c>
      <c r="BC31" s="16">
        <f>BC28-BC38</f>
        <v/>
      </c>
      <c r="BD31" s="16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>
        <f>H31/IF(C31=0,1,C31)-1</f>
        <v/>
      </c>
      <c r="I32" s="14">
        <f>I31/IF(D31=0,1,D31)-1</f>
        <v/>
      </c>
      <c r="J32" s="14">
        <f>J31/IF(E31=0,1,E31)-1</f>
        <v/>
      </c>
      <c r="K32" s="14">
        <f>K31/IF(F31=0,1,F31)-1</f>
        <v/>
      </c>
      <c r="L32" s="15">
        <f>L31/IF(G31=0,1,G31)-1</f>
        <v/>
      </c>
      <c r="M32" s="14">
        <f>M31/IF(H31=0,1,H31)-1</f>
        <v/>
      </c>
      <c r="N32" s="14">
        <f>N31/IF(I31=0,1,I31)-1</f>
        <v/>
      </c>
      <c r="O32" s="14">
        <f>O31/IF(J31=0,1,J31)-1</f>
        <v/>
      </c>
      <c r="P32" s="14">
        <f>P31/IF(K31=0,1,K31)-1</f>
        <v/>
      </c>
      <c r="Q32" s="15">
        <f>Q31/IF(L31=0,1,L31)-1</f>
        <v/>
      </c>
      <c r="R32" s="14">
        <f>R31/IF(M31=0,1,M31)-1</f>
        <v/>
      </c>
      <c r="S32" s="14">
        <f>S31/IF(N31=0,1,N31)-1</f>
        <v/>
      </c>
      <c r="T32" s="14">
        <f>T31/IF(O31=0,1,O31)-1</f>
        <v/>
      </c>
      <c r="U32" s="14">
        <f>U31/IF(P31=0,1,P31)-1</f>
        <v/>
      </c>
      <c r="V32" s="15">
        <f>V31/IF(Q31=0,1,Q31)-1</f>
        <v/>
      </c>
      <c r="W32" s="14">
        <f>W31/IF(R31=0,1,R31)-1</f>
        <v/>
      </c>
      <c r="X32" s="14">
        <f>X31/IF(S31=0,1,S31)-1</f>
        <v/>
      </c>
      <c r="Y32" s="14">
        <f>Y31/IF(T31=0,1,T31)-1</f>
        <v/>
      </c>
      <c r="Z32" s="14">
        <f>Z31/IF(U31=0,1,U31)-1</f>
        <v/>
      </c>
      <c r="AA32" s="15">
        <f>AA31/IF(V31=0,1,V31)-1</f>
        <v/>
      </c>
      <c r="AB32" s="14">
        <f>AB31/IF(W31=0,1,W31)-1</f>
        <v/>
      </c>
      <c r="AC32" s="14">
        <f>AC31/IF(X31=0,1,X31)-1</f>
        <v/>
      </c>
      <c r="AD32" s="14">
        <f>AD31/IF(Y31=0,1,Y31)-1</f>
        <v/>
      </c>
      <c r="AE32" s="14">
        <f>AE31/IF(Z31=0,1,Z31)-1</f>
        <v/>
      </c>
      <c r="AF32" s="15">
        <f>AF31/IF(AA31=0,1,AA31)-1</f>
        <v/>
      </c>
      <c r="AG32" s="14">
        <f>AG31/IF(AB31=0,1,AB31)-1</f>
        <v/>
      </c>
      <c r="AH32" s="14">
        <f>AH31/IF(AC31=0,1,AC31)-1</f>
        <v/>
      </c>
      <c r="AI32" s="14">
        <f>AI31/IF(AD31=0,1,AD31)-1</f>
        <v/>
      </c>
      <c r="AJ32" s="14">
        <f>AJ31/IF(AE31=0,1,AE31)-1</f>
        <v/>
      </c>
      <c r="AK32" s="15">
        <f>AK31/IF(AF31=0,1,AF31)-1</f>
        <v/>
      </c>
      <c r="AL32" s="14">
        <f>AL31/IF(AG31=0,1,AG31)-1</f>
        <v/>
      </c>
      <c r="AM32" s="14">
        <f>AM31/IF(AH31=0,1,AH31)-1</f>
        <v/>
      </c>
      <c r="AN32" s="14">
        <f>AN31/IF(AI31=0,1,AI31)-1</f>
        <v/>
      </c>
      <c r="AO32" s="14">
        <f>AO31/IF(AJ31=0,1,AJ31)-1</f>
        <v/>
      </c>
      <c r="AP32" s="15">
        <f>AP31/IF(AK31=0,1,AK31)-1</f>
        <v/>
      </c>
      <c r="AQ32" s="14">
        <f>AQ31/IF(AL31=0,1,AL31)-1</f>
        <v/>
      </c>
      <c r="AR32" s="14">
        <f>AR31/IF(AM31=0,1,AM31)-1</f>
        <v/>
      </c>
      <c r="AS32" s="14">
        <f>AS31/IF(AN31=0,1,AN31)-1</f>
        <v/>
      </c>
      <c r="AT32" s="14">
        <f>AT31/IF(AO31=0,1,AO31)-1</f>
        <v/>
      </c>
      <c r="AU32" s="15">
        <f>AU31/IF(AP31=0,1,AP31)-1</f>
        <v/>
      </c>
      <c r="AV32" s="14">
        <f>AV31/IF(AQ31=0,1,AQ31)-1</f>
        <v/>
      </c>
      <c r="AW32" s="14">
        <f>AW31/IF(AR31=0,1,AR31)-1</f>
        <v/>
      </c>
      <c r="AX32" s="14">
        <f>AX31/IF(AS31=0,1,AS31)-1</f>
        <v/>
      </c>
      <c r="AY32" s="14">
        <f>AY31/IF(AT31=0,1,AT31)-1</f>
        <v/>
      </c>
      <c r="AZ32" s="15">
        <f>AZ31/IF(AU31=0,1,AU31)-1</f>
        <v/>
      </c>
      <c r="BA32" s="14">
        <f>BA31/IF(AV31=0,1,AV31)-1</f>
        <v/>
      </c>
      <c r="BB32" s="14">
        <f>BB31/IF(AW31=0,1,AW31)-1</f>
        <v/>
      </c>
      <c r="BC32" s="14">
        <f>BC31/IF(AX31=0,1,AX31)-1</f>
        <v/>
      </c>
      <c r="BD32" s="14">
        <f>BD31/IF(AY31=0,1,AY31)-1</f>
        <v/>
      </c>
      <c r="BE32" s="15">
        <f>BE31/IF(AZ31=0,1,AZ31)-1</f>
        <v/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8" t="inlineStr"/>
      <c r="B34" s="19" t="inlineStr"/>
      <c r="C34" s="20" t="n"/>
      <c r="D34" s="20" t="n"/>
      <c r="E34" s="20" t="n"/>
      <c r="F34" s="20" t="n"/>
      <c r="G34" s="13" t="n"/>
      <c r="H34" s="20" t="n"/>
      <c r="I34" s="20" t="n"/>
      <c r="J34" s="20" t="n"/>
      <c r="K34" s="20" t="n"/>
      <c r="L34" s="13" t="n"/>
      <c r="M34" s="20" t="n"/>
      <c r="N34" s="20" t="n"/>
      <c r="O34" s="20" t="n"/>
      <c r="P34" s="20" t="n"/>
      <c r="Q34" s="13" t="n"/>
      <c r="R34" s="20" t="n"/>
      <c r="S34" s="20" t="n"/>
      <c r="T34" s="20" t="n"/>
      <c r="U34" s="20" t="n"/>
      <c r="V34" s="13" t="n"/>
      <c r="W34" s="20" t="n"/>
      <c r="X34" s="20" t="n"/>
      <c r="Y34" s="20" t="n"/>
      <c r="Z34" s="20" t="n"/>
      <c r="AA34" s="13" t="n"/>
      <c r="AB34" s="20" t="n"/>
      <c r="AC34" s="20" t="n"/>
      <c r="AD34" s="20" t="n"/>
      <c r="AE34" s="20" t="n"/>
      <c r="AF34" s="13" t="n"/>
      <c r="AG34" s="20" t="n"/>
      <c r="AH34" s="20" t="n"/>
      <c r="AI34" s="20" t="n"/>
      <c r="AJ34" s="20" t="n"/>
      <c r="AK34" s="13" t="n"/>
      <c r="AL34" s="20" t="n"/>
      <c r="AM34" s="20" t="n"/>
      <c r="AN34" s="20" t="n"/>
      <c r="AO34" s="20" t="n"/>
      <c r="AP34" s="13" t="n"/>
      <c r="AQ34" s="20" t="n"/>
      <c r="AR34" s="20" t="n"/>
      <c r="AS34" s="20" t="n"/>
      <c r="AT34" s="20" t="n"/>
      <c r="AU34" s="13" t="n"/>
      <c r="AV34" s="20" t="n"/>
      <c r="AW34" s="20" t="n"/>
      <c r="AX34" s="20" t="n"/>
      <c r="AY34" s="20" t="n"/>
      <c r="AZ34" s="13" t="n"/>
      <c r="BA34" s="20" t="n"/>
      <c r="BB34" s="20" t="n"/>
      <c r="BC34" s="20" t="n"/>
      <c r="BD34" s="20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0.3</v>
      </c>
      <c r="D35" s="8" t="n">
        <v>0.5</v>
      </c>
      <c r="E35" s="8" t="n">
        <v>0</v>
      </c>
      <c r="F35" s="8" t="n">
        <v>0.4</v>
      </c>
      <c r="G35" s="9">
        <f>SUM(C35:F35)</f>
        <v/>
      </c>
      <c r="H35" s="8" t="n">
        <v>0.1</v>
      </c>
      <c r="I35" s="8" t="n">
        <v>0.3</v>
      </c>
      <c r="J35" s="8" t="n">
        <v>0.4</v>
      </c>
      <c r="K35" s="8" t="n">
        <v>0.4</v>
      </c>
      <c r="L35" s="9">
        <f>SUM(H35:K35)</f>
        <v/>
      </c>
      <c r="M35" s="8" t="n">
        <v>0.1</v>
      </c>
      <c r="N35" s="8" t="n">
        <v>0.1</v>
      </c>
      <c r="O35" s="8" t="n">
        <v>1.1</v>
      </c>
      <c r="P35" s="8" t="n">
        <v>1.1</v>
      </c>
      <c r="Q35" s="9">
        <f>SUM(M35:P35)</f>
        <v/>
      </c>
      <c r="R35" s="8" t="n">
        <v>0.7</v>
      </c>
      <c r="S35" s="8" t="n">
        <v>0.1</v>
      </c>
      <c r="T35" s="8" t="n">
        <v>-0.4</v>
      </c>
      <c r="U35" s="8" t="n">
        <v>1.2</v>
      </c>
      <c r="V35" s="9">
        <f>SUM(R35:U35)</f>
        <v/>
      </c>
      <c r="W35" s="8" t="n">
        <v>0.1</v>
      </c>
      <c r="X35" s="8" t="n">
        <v>0.3</v>
      </c>
      <c r="Y35" s="8" t="n">
        <v>0.1</v>
      </c>
      <c r="Z35" s="8" t="n">
        <v>0.5</v>
      </c>
      <c r="AA35" s="9">
        <f>SUM(W35:Z35)</f>
        <v/>
      </c>
      <c r="AB35" s="8" t="n">
        <v>0</v>
      </c>
      <c r="AC35" s="8" t="n">
        <v>0.3</v>
      </c>
      <c r="AD35" s="8" t="n">
        <v>0.1</v>
      </c>
      <c r="AE35" s="8" t="n">
        <v>0.6</v>
      </c>
      <c r="AF35" s="9">
        <f>SUM(AB35:AE35)</f>
        <v/>
      </c>
      <c r="AG35" s="8" t="n">
        <v>0.4</v>
      </c>
      <c r="AH35" s="8" t="n">
        <v>4.2</v>
      </c>
      <c r="AI35" s="8" t="n">
        <v>-3.6</v>
      </c>
      <c r="AJ35" s="8" t="n">
        <v>7</v>
      </c>
      <c r="AK35" s="9">
        <f>SUM(AG35:AJ35)</f>
        <v/>
      </c>
      <c r="AL35" s="8" t="n">
        <v>0.3</v>
      </c>
      <c r="AM35" s="8" t="n">
        <v>0.3</v>
      </c>
      <c r="AN35" s="8" t="n">
        <v>0.2</v>
      </c>
      <c r="AO35" s="8" t="n">
        <v>0.7</v>
      </c>
      <c r="AP35" s="9">
        <f>SUM(AL35:AO35)</f>
        <v/>
      </c>
      <c r="AQ35" s="8" t="n">
        <v>0.5</v>
      </c>
      <c r="AR35" s="8" t="n">
        <v>1.9</v>
      </c>
      <c r="AS35" s="8" t="n">
        <v>2</v>
      </c>
      <c r="AT35" s="8" t="n">
        <v>1.3</v>
      </c>
      <c r="AU35" s="9">
        <f>SUM(AQ35:AT35)</f>
        <v/>
      </c>
      <c r="AV35" s="8" t="n">
        <v>2.6</v>
      </c>
      <c r="AW35" s="8" t="n">
        <v>1.9</v>
      </c>
      <c r="AX35" s="8" t="n">
        <v>1.8</v>
      </c>
      <c r="AY35" s="8" t="n">
        <v>1.2</v>
      </c>
      <c r="AZ35" s="9">
        <f>SUM(AV35:AY35)</f>
        <v/>
      </c>
      <c r="BA35" s="8" t="n">
        <v>0.8</v>
      </c>
      <c r="BB35" s="8" t="n">
        <v>0.9</v>
      </c>
      <c r="BC35" s="8" t="n">
        <v>1.1</v>
      </c>
      <c r="BD35" s="8" t="n">
        <v>4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1.4</v>
      </c>
      <c r="D36" s="8" t="n">
        <v>2.2</v>
      </c>
      <c r="E36" s="8" t="n">
        <v>1.7</v>
      </c>
      <c r="F36" s="8" t="n">
        <v>1.2</v>
      </c>
      <c r="G36" s="9">
        <f>SUM(C36:F36)</f>
        <v/>
      </c>
      <c r="H36" s="8" t="n">
        <v>1.7</v>
      </c>
      <c r="I36" s="8" t="n">
        <v>2.3</v>
      </c>
      <c r="J36" s="8" t="n">
        <v>2.5</v>
      </c>
      <c r="K36" s="8" t="n">
        <v>3.5</v>
      </c>
      <c r="L36" s="9">
        <f>SUM(H36:K36)</f>
        <v/>
      </c>
      <c r="M36" s="8" t="n">
        <v>2</v>
      </c>
      <c r="N36" s="8" t="n">
        <v>2.3</v>
      </c>
      <c r="O36" s="8" t="n">
        <v>2.4</v>
      </c>
      <c r="P36" s="8" t="n">
        <v>1</v>
      </c>
      <c r="Q36" s="9">
        <f>SUM(M36:P36)</f>
        <v/>
      </c>
      <c r="R36" s="8" t="n">
        <v>2.1</v>
      </c>
      <c r="S36" s="8" t="n">
        <v>2.6</v>
      </c>
      <c r="T36" s="8" t="n">
        <v>3</v>
      </c>
      <c r="U36" s="8" t="n">
        <v>3.5</v>
      </c>
      <c r="V36" s="9">
        <f>SUM(R36:U36)</f>
        <v/>
      </c>
      <c r="W36" s="8" t="n">
        <v>2.5</v>
      </c>
      <c r="X36" s="8" t="n">
        <v>2.2</v>
      </c>
      <c r="Y36" s="8" t="n">
        <v>3.6</v>
      </c>
      <c r="Z36" s="8" t="n">
        <v>2.6</v>
      </c>
      <c r="AA36" s="9">
        <f>SUM(W36:Z36)</f>
        <v/>
      </c>
      <c r="AB36" s="8" t="n">
        <v>1.8</v>
      </c>
      <c r="AC36" s="8" t="n">
        <v>1.6</v>
      </c>
      <c r="AD36" s="8" t="n">
        <v>1.4</v>
      </c>
      <c r="AE36" s="8" t="n">
        <v>1.3</v>
      </c>
      <c r="AF36" s="9">
        <f>SUM(AB36:AE36)</f>
        <v/>
      </c>
      <c r="AG36" s="8" t="n">
        <v>1.8</v>
      </c>
      <c r="AH36" s="8" t="n">
        <v>1.9</v>
      </c>
      <c r="AI36" s="8" t="n">
        <v>2</v>
      </c>
      <c r="AJ36" s="8" t="n">
        <v>2.1</v>
      </c>
      <c r="AK36" s="9">
        <f>SUM(AG36:AJ36)</f>
        <v/>
      </c>
      <c r="AL36" s="8" t="n">
        <v>2.2</v>
      </c>
      <c r="AM36" s="8" t="n">
        <v>1.3</v>
      </c>
      <c r="AN36" s="8" t="n">
        <v>4.1</v>
      </c>
      <c r="AO36" s="8" t="n">
        <v>0.6</v>
      </c>
      <c r="AP36" s="9">
        <f>SUM(AL36:AO36)</f>
        <v/>
      </c>
      <c r="AQ36" s="8" t="n">
        <v>0.7</v>
      </c>
      <c r="AR36" s="8" t="n">
        <v>0.6</v>
      </c>
      <c r="AS36" s="8" t="n">
        <v>0.7</v>
      </c>
      <c r="AT36" s="8" t="n">
        <v>0.5</v>
      </c>
      <c r="AU36" s="9">
        <f>SUM(AQ36:AT36)</f>
        <v/>
      </c>
      <c r="AV36" s="8" t="n">
        <v>0.5</v>
      </c>
      <c r="AW36" s="8" t="n">
        <v>4</v>
      </c>
      <c r="AX36" s="8" t="n">
        <v>-0.6</v>
      </c>
      <c r="AY36" s="8" t="n">
        <v>-0.1</v>
      </c>
      <c r="AZ36" s="9">
        <f>SUM(AV36:AY36)</f>
        <v/>
      </c>
      <c r="BA36" s="8" t="n">
        <v>7.5</v>
      </c>
      <c r="BB36" s="8" t="n">
        <v>1.9</v>
      </c>
      <c r="BC36" s="8" t="n">
        <v>-7.3</v>
      </c>
      <c r="BD36" s="8" t="n">
        <v>1.4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6">
        <f>C28-C36+C35</f>
        <v/>
      </c>
      <c r="D37" s="16">
        <f>D28-D36+D35</f>
        <v/>
      </c>
      <c r="E37" s="16">
        <f>E28-E36+E35</f>
        <v/>
      </c>
      <c r="F37" s="16">
        <f>F28-F36+F35</f>
        <v/>
      </c>
      <c r="G37" s="9">
        <f>G28-G36+G35</f>
        <v/>
      </c>
      <c r="H37" s="16">
        <f>H28-H36+H35</f>
        <v/>
      </c>
      <c r="I37" s="16">
        <f>I28-I36+I35</f>
        <v/>
      </c>
      <c r="J37" s="16">
        <f>J28-J36+J35</f>
        <v/>
      </c>
      <c r="K37" s="16">
        <f>K28-K36+K35</f>
        <v/>
      </c>
      <c r="L37" s="9">
        <f>L28-L36+L35</f>
        <v/>
      </c>
      <c r="M37" s="16">
        <f>M28-M36+M35</f>
        <v/>
      </c>
      <c r="N37" s="16">
        <f>N28-N36+N35</f>
        <v/>
      </c>
      <c r="O37" s="16">
        <f>O28-O36+O35</f>
        <v/>
      </c>
      <c r="P37" s="16">
        <f>P28-P36+P35</f>
        <v/>
      </c>
      <c r="Q37" s="9">
        <f>Q28-Q36+Q35</f>
        <v/>
      </c>
      <c r="R37" s="16">
        <f>R28-R36+R35</f>
        <v/>
      </c>
      <c r="S37" s="16">
        <f>S28-S36+S35</f>
        <v/>
      </c>
      <c r="T37" s="16">
        <f>T28-T36+T35</f>
        <v/>
      </c>
      <c r="U37" s="16">
        <f>U28-U36+U35</f>
        <v/>
      </c>
      <c r="V37" s="9">
        <f>V28-V36+V35</f>
        <v/>
      </c>
      <c r="W37" s="16">
        <f>W28-W36+W35</f>
        <v/>
      </c>
      <c r="X37" s="16">
        <f>X28-X36+X35</f>
        <v/>
      </c>
      <c r="Y37" s="16">
        <f>Y28-Y36+Y35</f>
        <v/>
      </c>
      <c r="Z37" s="16">
        <f>Z28-Z36+Z35</f>
        <v/>
      </c>
      <c r="AA37" s="9">
        <f>AA28-AA36+AA35</f>
        <v/>
      </c>
      <c r="AB37" s="16">
        <f>AB28-AB36+AB35</f>
        <v/>
      </c>
      <c r="AC37" s="16">
        <f>AC28-AC36+AC35</f>
        <v/>
      </c>
      <c r="AD37" s="16">
        <f>AD28-AD36+AD35</f>
        <v/>
      </c>
      <c r="AE37" s="16">
        <f>AE28-AE36+AE35</f>
        <v/>
      </c>
      <c r="AF37" s="9">
        <f>AF28-AF36+AF35</f>
        <v/>
      </c>
      <c r="AG37" s="16">
        <f>AG28-AG36+AG35</f>
        <v/>
      </c>
      <c r="AH37" s="16">
        <f>AH28-AH36+AH35</f>
        <v/>
      </c>
      <c r="AI37" s="16">
        <f>AI28-AI36+AI35</f>
        <v/>
      </c>
      <c r="AJ37" s="16">
        <f>AJ28-AJ36+AJ35</f>
        <v/>
      </c>
      <c r="AK37" s="9">
        <f>AK28-AK36+AK35</f>
        <v/>
      </c>
      <c r="AL37" s="16">
        <f>AL28-AL36+AL35</f>
        <v/>
      </c>
      <c r="AM37" s="16">
        <f>AM28-AM36+AM35</f>
        <v/>
      </c>
      <c r="AN37" s="16">
        <f>AN28-AN36+AN35</f>
        <v/>
      </c>
      <c r="AO37" s="16">
        <f>AO28-AO36+AO35</f>
        <v/>
      </c>
      <c r="AP37" s="9">
        <f>AP28-AP36+AP35</f>
        <v/>
      </c>
      <c r="AQ37" s="16">
        <f>AQ28-AQ36+AQ35</f>
        <v/>
      </c>
      <c r="AR37" s="16">
        <f>AR28-AR36+AR35</f>
        <v/>
      </c>
      <c r="AS37" s="16">
        <f>AS28-AS36+AS35</f>
        <v/>
      </c>
      <c r="AT37" s="16">
        <f>AT28-AT36+AT35</f>
        <v/>
      </c>
      <c r="AU37" s="9">
        <f>AU28-AU36+AU35</f>
        <v/>
      </c>
      <c r="AV37" s="16">
        <f>AV28-AV36+AV35</f>
        <v/>
      </c>
      <c r="AW37" s="16">
        <f>AW28-AW36+AW35</f>
        <v/>
      </c>
      <c r="AX37" s="16">
        <f>AX28-AX36+AX35</f>
        <v/>
      </c>
      <c r="AY37" s="16">
        <f>AY28-AY36+AY35</f>
        <v/>
      </c>
      <c r="AZ37" s="9">
        <f>AZ28-AZ36+AZ35</f>
        <v/>
      </c>
      <c r="BA37" s="16">
        <f>BA28-BA36+BA35</f>
        <v/>
      </c>
      <c r="BB37" s="16">
        <f>BB28-BB36+BB35</f>
        <v/>
      </c>
      <c r="BC37" s="16">
        <f>BC28-BC36+BC35</f>
        <v/>
      </c>
      <c r="BD37" s="16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1.1</v>
      </c>
      <c r="D38" s="8" t="n">
        <v>1.2</v>
      </c>
      <c r="E38" s="8" t="n">
        <v>1.2</v>
      </c>
      <c r="F38" s="8" t="n">
        <v>1.2</v>
      </c>
      <c r="G38" s="9">
        <f>SUM(C38:F38)</f>
        <v/>
      </c>
      <c r="H38" s="8" t="n">
        <v>1.2</v>
      </c>
      <c r="I38" s="8" t="n">
        <v>1.3</v>
      </c>
      <c r="J38" s="8" t="n">
        <v>1.3</v>
      </c>
      <c r="K38" s="8" t="n">
        <v>1.8</v>
      </c>
      <c r="L38" s="9">
        <f>SUM(H38:K38)</f>
        <v/>
      </c>
      <c r="M38" s="8" t="n">
        <v>1.7</v>
      </c>
      <c r="N38" s="8" t="n">
        <v>2.2</v>
      </c>
      <c r="O38" s="8" t="n">
        <v>2.6</v>
      </c>
      <c r="P38" s="8" t="n">
        <v>4.3</v>
      </c>
      <c r="Q38" s="9">
        <f>SUM(M38:P38)</f>
        <v/>
      </c>
      <c r="R38" s="8" t="n">
        <v>3.8</v>
      </c>
      <c r="S38" s="8" t="n">
        <v>3.6</v>
      </c>
      <c r="T38" s="8" t="n">
        <v>3.6</v>
      </c>
      <c r="U38" s="8" t="n">
        <v>6.5</v>
      </c>
      <c r="V38" s="9">
        <f>SUM(R38:U38)</f>
        <v/>
      </c>
      <c r="W38" s="8" t="n">
        <v>4.1</v>
      </c>
      <c r="X38" s="8" t="n">
        <v>4.2</v>
      </c>
      <c r="Y38" s="8" t="n">
        <v>6.7</v>
      </c>
      <c r="Z38" s="8" t="n">
        <v>6</v>
      </c>
      <c r="AA38" s="9">
        <f>SUM(W38:Z38)</f>
        <v/>
      </c>
      <c r="AB38" s="8" t="n">
        <v>5.3</v>
      </c>
      <c r="AC38" s="8" t="n">
        <v>5.5</v>
      </c>
      <c r="AD38" s="8" t="n">
        <v>6.8</v>
      </c>
      <c r="AE38" s="8" t="n">
        <v>5.5</v>
      </c>
      <c r="AF38" s="9">
        <f>SUM(AB38:AE38)</f>
        <v/>
      </c>
      <c r="AG38" s="8" t="n">
        <v>5.7</v>
      </c>
      <c r="AH38" s="8" t="n">
        <v>5.9</v>
      </c>
      <c r="AI38" s="8" t="n">
        <v>6</v>
      </c>
      <c r="AJ38" s="8" t="n">
        <v>5.6</v>
      </c>
      <c r="AK38" s="9">
        <f>SUM(AG38:AJ38)</f>
        <v/>
      </c>
      <c r="AL38" s="8" t="n">
        <v>5.8</v>
      </c>
      <c r="AM38" s="8" t="n">
        <v>6</v>
      </c>
      <c r="AN38" s="8" t="n">
        <v>3.8</v>
      </c>
      <c r="AO38" s="8" t="n">
        <v>4.4</v>
      </c>
      <c r="AP38" s="9">
        <f>SUM(AL38:AO38)</f>
        <v/>
      </c>
      <c r="AQ38" s="8" t="n">
        <v>5.1</v>
      </c>
      <c r="AR38" s="8" t="n">
        <v>5.3</v>
      </c>
      <c r="AS38" s="8" t="n">
        <v>5.6</v>
      </c>
      <c r="AT38" s="8" t="n">
        <v>6.3</v>
      </c>
      <c r="AU38" s="9">
        <f>SUM(AQ38:AT38)</f>
        <v/>
      </c>
      <c r="AV38" s="8" t="n">
        <v>6.1</v>
      </c>
      <c r="AW38" s="8" t="n">
        <v>5.4</v>
      </c>
      <c r="AX38" s="8" t="n">
        <v>5.9</v>
      </c>
      <c r="AY38" s="8" t="n">
        <v>6.5</v>
      </c>
      <c r="AZ38" s="9">
        <f>SUM(AV38:AY38)</f>
        <v/>
      </c>
      <c r="BA38" s="8" t="n">
        <v>5</v>
      </c>
      <c r="BB38" s="8" t="n">
        <v>4.8</v>
      </c>
      <c r="BC38" s="8" t="n">
        <v>4.7</v>
      </c>
      <c r="BD38" s="8" t="n">
        <v>6.2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6">
        <f>C37-C38</f>
        <v/>
      </c>
      <c r="D39" s="16">
        <f>D37-D38</f>
        <v/>
      </c>
      <c r="E39" s="16">
        <f>E37-E38</f>
        <v/>
      </c>
      <c r="F39" s="16">
        <f>F37-F38</f>
        <v/>
      </c>
      <c r="G39" s="9">
        <f>G37-G38</f>
        <v/>
      </c>
      <c r="H39" s="16">
        <f>H37-H38</f>
        <v/>
      </c>
      <c r="I39" s="16">
        <f>I37-I38</f>
        <v/>
      </c>
      <c r="J39" s="16">
        <f>J37-J38</f>
        <v/>
      </c>
      <c r="K39" s="16">
        <f>K37-K38</f>
        <v/>
      </c>
      <c r="L39" s="9">
        <f>L37-L38</f>
        <v/>
      </c>
      <c r="M39" s="16">
        <f>M37-M38</f>
        <v/>
      </c>
      <c r="N39" s="16">
        <f>N37-N38</f>
        <v/>
      </c>
      <c r="O39" s="16">
        <f>O37-O38</f>
        <v/>
      </c>
      <c r="P39" s="16">
        <f>P37-P38</f>
        <v/>
      </c>
      <c r="Q39" s="9">
        <f>Q37-Q38</f>
        <v/>
      </c>
      <c r="R39" s="16">
        <f>R37-R38</f>
        <v/>
      </c>
      <c r="S39" s="16">
        <f>S37-S38</f>
        <v/>
      </c>
      <c r="T39" s="16">
        <f>T37-T38</f>
        <v/>
      </c>
      <c r="U39" s="16">
        <f>U37-U38</f>
        <v/>
      </c>
      <c r="V39" s="9">
        <f>V37-V38</f>
        <v/>
      </c>
      <c r="W39" s="16">
        <f>W37-W38</f>
        <v/>
      </c>
      <c r="X39" s="16">
        <f>X37-X38</f>
        <v/>
      </c>
      <c r="Y39" s="16">
        <f>Y37-Y38</f>
        <v/>
      </c>
      <c r="Z39" s="16">
        <f>Z37-Z38</f>
        <v/>
      </c>
      <c r="AA39" s="9">
        <f>AA37-AA38</f>
        <v/>
      </c>
      <c r="AB39" s="16">
        <f>AB37-AB38</f>
        <v/>
      </c>
      <c r="AC39" s="16">
        <f>AC37-AC38</f>
        <v/>
      </c>
      <c r="AD39" s="16">
        <f>AD37-AD38</f>
        <v/>
      </c>
      <c r="AE39" s="16">
        <f>AE37-AE38</f>
        <v/>
      </c>
      <c r="AF39" s="9">
        <f>AF37-AF38</f>
        <v/>
      </c>
      <c r="AG39" s="16">
        <f>AG37-AG38</f>
        <v/>
      </c>
      <c r="AH39" s="16">
        <f>AH37-AH38</f>
        <v/>
      </c>
      <c r="AI39" s="16">
        <f>AI37-AI38</f>
        <v/>
      </c>
      <c r="AJ39" s="16">
        <f>AJ37-AJ38</f>
        <v/>
      </c>
      <c r="AK39" s="9">
        <f>AK37-AK38</f>
        <v/>
      </c>
      <c r="AL39" s="16">
        <f>AL37-AL38</f>
        <v/>
      </c>
      <c r="AM39" s="16">
        <f>AM37-AM38</f>
        <v/>
      </c>
      <c r="AN39" s="16">
        <f>AN37-AN38</f>
        <v/>
      </c>
      <c r="AO39" s="16">
        <f>AO37-AO38</f>
        <v/>
      </c>
      <c r="AP39" s="9">
        <f>AP37-AP38</f>
        <v/>
      </c>
      <c r="AQ39" s="16">
        <f>AQ37-AQ38</f>
        <v/>
      </c>
      <c r="AR39" s="16">
        <f>AR37-AR38</f>
        <v/>
      </c>
      <c r="AS39" s="16">
        <f>AS37-AS38</f>
        <v/>
      </c>
      <c r="AT39" s="16">
        <f>AT37-AT38</f>
        <v/>
      </c>
      <c r="AU39" s="9">
        <f>AU37-AU38</f>
        <v/>
      </c>
      <c r="AV39" s="16">
        <f>AV37-AV38</f>
        <v/>
      </c>
      <c r="AW39" s="16">
        <f>AW37-AW38</f>
        <v/>
      </c>
      <c r="AX39" s="16">
        <f>AX37-AX38</f>
        <v/>
      </c>
      <c r="AY39" s="16">
        <f>AY37-AY38</f>
        <v/>
      </c>
      <c r="AZ39" s="9">
        <f>AZ37-AZ38</f>
        <v/>
      </c>
      <c r="BA39" s="16">
        <f>BA37-BA38</f>
        <v/>
      </c>
      <c r="BB39" s="16">
        <f>BB37-BB38</f>
        <v/>
      </c>
      <c r="BC39" s="16">
        <f>BC37-BC38</f>
        <v/>
      </c>
      <c r="BD39" s="16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>
        <f>H39/IF(C39=0,1,C39)-1</f>
        <v/>
      </c>
      <c r="I40" s="14">
        <f>I39/IF(D39=0,1,D39)-1</f>
        <v/>
      </c>
      <c r="J40" s="14">
        <f>J39/IF(E39=0,1,E39)-1</f>
        <v/>
      </c>
      <c r="K40" s="14">
        <f>K39/IF(F39=0,1,F39)-1</f>
        <v/>
      </c>
      <c r="L40" s="15">
        <f>L39/IF(G39=0,1,G39)-1</f>
        <v/>
      </c>
      <c r="M40" s="14">
        <f>M39/IF(H39=0,1,H39)-1</f>
        <v/>
      </c>
      <c r="N40" s="14">
        <f>N39/IF(I39=0,1,I39)-1</f>
        <v/>
      </c>
      <c r="O40" s="14">
        <f>O39/IF(J39=0,1,J39)-1</f>
        <v/>
      </c>
      <c r="P40" s="14">
        <f>P39/IF(K39=0,1,K39)-1</f>
        <v/>
      </c>
      <c r="Q40" s="15">
        <f>Q39/IF(L39=0,1,L39)-1</f>
        <v/>
      </c>
      <c r="R40" s="14">
        <f>R39/IF(M39=0,1,M39)-1</f>
        <v/>
      </c>
      <c r="S40" s="14">
        <f>S39/IF(N39=0,1,N39)-1</f>
        <v/>
      </c>
      <c r="T40" s="14">
        <f>T39/IF(O39=0,1,O39)-1</f>
        <v/>
      </c>
      <c r="U40" s="14">
        <f>U39/IF(P39=0,1,P39)-1</f>
        <v/>
      </c>
      <c r="V40" s="15">
        <f>V39/IF(Q39=0,1,Q39)-1</f>
        <v/>
      </c>
      <c r="W40" s="14">
        <f>W39/IF(R39=0,1,R39)-1</f>
        <v/>
      </c>
      <c r="X40" s="14">
        <f>X39/IF(S39=0,1,S39)-1</f>
        <v/>
      </c>
      <c r="Y40" s="14">
        <f>Y39/IF(T39=0,1,T39)-1</f>
        <v/>
      </c>
      <c r="Z40" s="14">
        <f>Z39/IF(U39=0,1,U39)-1</f>
        <v/>
      </c>
      <c r="AA40" s="15">
        <f>AA39/IF(V39=0,1,V39)-1</f>
        <v/>
      </c>
      <c r="AB40" s="14">
        <f>AB39/IF(W39=0,1,W39)-1</f>
        <v/>
      </c>
      <c r="AC40" s="14">
        <f>AC39/IF(X39=0,1,X39)-1</f>
        <v/>
      </c>
      <c r="AD40" s="14">
        <f>AD39/IF(Y39=0,1,Y39)-1</f>
        <v/>
      </c>
      <c r="AE40" s="14">
        <f>AE39/IF(Z39=0,1,Z39)-1</f>
        <v/>
      </c>
      <c r="AF40" s="15">
        <f>AF39/IF(AA39=0,1,AA39)-1</f>
        <v/>
      </c>
      <c r="AG40" s="14">
        <f>AG39/IF(AB39=0,1,AB39)-1</f>
        <v/>
      </c>
      <c r="AH40" s="14">
        <f>AH39/IF(AC39=0,1,AC39)-1</f>
        <v/>
      </c>
      <c r="AI40" s="14">
        <f>AI39/IF(AD39=0,1,AD39)-1</f>
        <v/>
      </c>
      <c r="AJ40" s="14">
        <f>AJ39/IF(AE39=0,1,AE39)-1</f>
        <v/>
      </c>
      <c r="AK40" s="15">
        <f>AK39/IF(AF39=0,1,AF39)-1</f>
        <v/>
      </c>
      <c r="AL40" s="14">
        <f>AL39/IF(AG39=0,1,AG39)-1</f>
        <v/>
      </c>
      <c r="AM40" s="14">
        <f>AM39/IF(AH39=0,1,AH39)-1</f>
        <v/>
      </c>
      <c r="AN40" s="14">
        <f>AN39/IF(AI39=0,1,AI39)-1</f>
        <v/>
      </c>
      <c r="AO40" s="14">
        <f>AO39/IF(AJ39=0,1,AJ39)-1</f>
        <v/>
      </c>
      <c r="AP40" s="15">
        <f>AP39/IF(AK39=0,1,AK39)-1</f>
        <v/>
      </c>
      <c r="AQ40" s="14">
        <f>AQ39/IF(AL39=0,1,AL39)-1</f>
        <v/>
      </c>
      <c r="AR40" s="14">
        <f>AR39/IF(AM39=0,1,AM39)-1</f>
        <v/>
      </c>
      <c r="AS40" s="14">
        <f>AS39/IF(AN39=0,1,AN39)-1</f>
        <v/>
      </c>
      <c r="AT40" s="14">
        <f>AT39/IF(AO39=0,1,AO39)-1</f>
        <v/>
      </c>
      <c r="AU40" s="15">
        <f>AU39/IF(AP39=0,1,AP39)-1</f>
        <v/>
      </c>
      <c r="AV40" s="14">
        <f>AV39/IF(AQ39=0,1,AQ39)-1</f>
        <v/>
      </c>
      <c r="AW40" s="14">
        <f>AW39/IF(AR39=0,1,AR39)-1</f>
        <v/>
      </c>
      <c r="AX40" s="14">
        <f>AX39/IF(AS39=0,1,AS39)-1</f>
        <v/>
      </c>
      <c r="AY40" s="14">
        <f>AY39/IF(AT39=0,1,AT39)-1</f>
        <v/>
      </c>
      <c r="AZ40" s="15">
        <f>AZ39/IF(AU39=0,1,AU39)-1</f>
        <v/>
      </c>
      <c r="BA40" s="14">
        <f>BA39/IF(AV39=0,1,AV39)-1</f>
        <v/>
      </c>
      <c r="BB40" s="14">
        <f>BB39/IF(AW39=0,1,AW39)-1</f>
        <v/>
      </c>
      <c r="BC40" s="14">
        <f>BC39/IF(AX39=0,1,AX39)-1</f>
        <v/>
      </c>
      <c r="BD40" s="14">
        <f>BD39/IF(AY39=0,1,AY39)-1</f>
        <v/>
      </c>
      <c r="BE40" s="15">
        <f>BE39/IF(AZ39=0,1,AZ39)-1</f>
        <v/>
      </c>
    </row>
    <row r="41" ht="16" customHeight="1">
      <c r="A41" s="6" t="inlineStr">
        <is>
          <t>PL</t>
        </is>
      </c>
      <c r="B41" s="7" t="inlineStr">
        <is>
          <t>Tax (Current)</t>
        </is>
      </c>
      <c r="C41" s="8" t="n">
        <v>1.3</v>
      </c>
      <c r="D41" s="8" t="n">
        <v>1.9</v>
      </c>
      <c r="E41" s="8" t="n">
        <v>1.8</v>
      </c>
      <c r="F41" s="8" t="n">
        <v>2.5</v>
      </c>
      <c r="G41" s="9">
        <f>SUM(C41:F41)</f>
        <v/>
      </c>
      <c r="H41" s="8" t="n">
        <v>2.9</v>
      </c>
      <c r="I41" s="8" t="n">
        <v>2.8</v>
      </c>
      <c r="J41" s="8" t="n">
        <v>2.1</v>
      </c>
      <c r="K41" s="8" t="n">
        <v>2.2</v>
      </c>
      <c r="L41" s="9">
        <f>SUM(H41:K41)</f>
        <v/>
      </c>
      <c r="M41" s="8" t="n">
        <v>2.9</v>
      </c>
      <c r="N41" s="8" t="n">
        <v>2.1</v>
      </c>
      <c r="O41" s="8" t="n">
        <v>0.8</v>
      </c>
      <c r="P41" s="8" t="n">
        <v>1.7</v>
      </c>
      <c r="Q41" s="9">
        <f>SUM(M41:P41)</f>
        <v/>
      </c>
      <c r="R41" s="8" t="n">
        <v>4.4</v>
      </c>
      <c r="S41" s="8" t="n">
        <v>3.6</v>
      </c>
      <c r="T41" s="8" t="n">
        <v>1.9</v>
      </c>
      <c r="U41" s="8" t="n">
        <v>4.3</v>
      </c>
      <c r="V41" s="9">
        <f>SUM(R41:U41)</f>
        <v/>
      </c>
      <c r="W41" s="8" t="n">
        <v>3.8</v>
      </c>
      <c r="X41" s="8" t="n">
        <v>3.5</v>
      </c>
      <c r="Y41" s="8" t="n">
        <v>3.4</v>
      </c>
      <c r="Z41" s="8" t="n">
        <v>3.9</v>
      </c>
      <c r="AA41" s="9">
        <f>SUM(W41:Z41)</f>
        <v/>
      </c>
      <c r="AB41" s="8" t="n">
        <v>1.9</v>
      </c>
      <c r="AC41" s="8" t="n">
        <v>5.4</v>
      </c>
      <c r="AD41" s="8" t="n">
        <v>3</v>
      </c>
      <c r="AE41" s="8" t="n">
        <v>6.7</v>
      </c>
      <c r="AF41" s="9">
        <f>SUM(AB41:AE41)</f>
        <v/>
      </c>
      <c r="AG41" s="8" t="n">
        <v>5.1</v>
      </c>
      <c r="AH41" s="8" t="n">
        <v>5.4</v>
      </c>
      <c r="AI41" s="8" t="n">
        <v>5.9</v>
      </c>
      <c r="AJ41" s="8" t="n">
        <v>3.5</v>
      </c>
      <c r="AK41" s="9">
        <f>SUM(AG41:AJ41)</f>
        <v/>
      </c>
      <c r="AL41" s="8" t="n">
        <v>7.6</v>
      </c>
      <c r="AM41" s="8" t="n">
        <v>8.699999999999999</v>
      </c>
      <c r="AN41" s="8" t="n">
        <v>7.3</v>
      </c>
      <c r="AO41" s="8" t="n">
        <v>9.4</v>
      </c>
      <c r="AP41" s="9">
        <f>SUM(AL41:AO41)</f>
        <v/>
      </c>
      <c r="AQ41" s="8" t="n">
        <v>9.1</v>
      </c>
      <c r="AR41" s="8" t="n">
        <v>11</v>
      </c>
      <c r="AS41" s="8" t="n">
        <v>11.8</v>
      </c>
      <c r="AT41" s="8" t="n">
        <v>11.4</v>
      </c>
      <c r="AU41" s="9">
        <f>SUM(AQ41:AT41)</f>
        <v/>
      </c>
      <c r="AV41" s="8" t="n">
        <v>10</v>
      </c>
      <c r="AW41" s="8" t="n">
        <v>13.6</v>
      </c>
      <c r="AX41" s="8" t="n">
        <v>11.7</v>
      </c>
      <c r="AY41" s="8" t="n">
        <v>8.699999999999999</v>
      </c>
      <c r="AZ41" s="9">
        <f>SUM(AV41:AY41)</f>
        <v/>
      </c>
      <c r="BA41" s="8" t="n">
        <v>13.1</v>
      </c>
      <c r="BB41" s="8" t="n">
        <v>13.3</v>
      </c>
      <c r="BC41" s="8" t="n">
        <v>13</v>
      </c>
      <c r="BD41" s="8" t="n">
        <v>13</v>
      </c>
      <c r="BE41" s="9">
        <f>SUM(BA41:BD41)</f>
        <v/>
      </c>
    </row>
    <row r="42" ht="16" customHeight="1">
      <c r="A42" s="18" t="inlineStr"/>
      <c r="B42" s="19" t="inlineStr">
        <is>
          <t>Fringe Benefit Tax</t>
        </is>
      </c>
      <c r="C42" s="20" t="n"/>
      <c r="D42" s="20" t="n"/>
      <c r="E42" s="20" t="n"/>
      <c r="F42" s="20" t="n"/>
      <c r="G42" s="13" t="n"/>
      <c r="H42" s="20" t="n"/>
      <c r="I42" s="20" t="n"/>
      <c r="J42" s="20" t="n"/>
      <c r="K42" s="20" t="n"/>
      <c r="L42" s="13" t="n"/>
      <c r="M42" s="20" t="n"/>
      <c r="N42" s="20" t="n"/>
      <c r="O42" s="20" t="n"/>
      <c r="P42" s="20" t="n"/>
      <c r="Q42" s="13" t="n"/>
      <c r="R42" s="20" t="n"/>
      <c r="S42" s="20" t="n"/>
      <c r="T42" s="20" t="n"/>
      <c r="U42" s="20" t="n"/>
      <c r="V42" s="13" t="n"/>
      <c r="W42" s="20" t="n"/>
      <c r="X42" s="20" t="n"/>
      <c r="Y42" s="20" t="n"/>
      <c r="Z42" s="20" t="n"/>
      <c r="AA42" s="13" t="n"/>
      <c r="AB42" s="20" t="n"/>
      <c r="AC42" s="20" t="n"/>
      <c r="AD42" s="20" t="n"/>
      <c r="AE42" s="20" t="n"/>
      <c r="AF42" s="13" t="n"/>
      <c r="AG42" s="20" t="n"/>
      <c r="AH42" s="20" t="n"/>
      <c r="AI42" s="20" t="n"/>
      <c r="AJ42" s="20" t="n"/>
      <c r="AK42" s="13" t="n"/>
      <c r="AL42" s="20" t="n"/>
      <c r="AM42" s="20" t="n"/>
      <c r="AN42" s="20" t="n"/>
      <c r="AO42" s="20" t="n"/>
      <c r="AP42" s="13" t="n"/>
      <c r="AQ42" s="20" t="n"/>
      <c r="AR42" s="20" t="n"/>
      <c r="AS42" s="20" t="n"/>
      <c r="AT42" s="20" t="n"/>
      <c r="AU42" s="13" t="n"/>
      <c r="AV42" s="20" t="n"/>
      <c r="AW42" s="20" t="n"/>
      <c r="AX42" s="20" t="n"/>
      <c r="AY42" s="20" t="n"/>
      <c r="AZ42" s="13" t="n"/>
      <c r="BA42" s="20" t="n"/>
      <c r="BB42" s="20" t="n"/>
      <c r="BC42" s="20" t="n"/>
      <c r="BD42" s="20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0</v>
      </c>
      <c r="I43" s="8" t="n">
        <v>0.1</v>
      </c>
      <c r="J43" s="8" t="n">
        <v>0</v>
      </c>
      <c r="K43" s="8" t="n">
        <v>1.5</v>
      </c>
      <c r="L43" s="9">
        <f>SUM(H43:K43)</f>
        <v/>
      </c>
      <c r="M43" s="8" t="n">
        <v>0.1</v>
      </c>
      <c r="N43" s="8" t="n">
        <v>0.5</v>
      </c>
      <c r="O43" s="8" t="n">
        <v>1.7</v>
      </c>
      <c r="P43" s="8" t="n">
        <v>3.2</v>
      </c>
      <c r="Q43" s="9">
        <f>SUM(M43:P43)</f>
        <v/>
      </c>
      <c r="R43" s="8" t="n">
        <v>0.7</v>
      </c>
      <c r="S43" s="8" t="n">
        <v>0.4</v>
      </c>
      <c r="T43" s="8" t="n">
        <v>0.5</v>
      </c>
      <c r="U43" s="8" t="n">
        <v>1.2</v>
      </c>
      <c r="V43" s="9">
        <f>SUM(R43:U43)</f>
        <v/>
      </c>
      <c r="W43" s="8" t="n">
        <v>0.3</v>
      </c>
      <c r="X43" s="8" t="n">
        <v>-0.5</v>
      </c>
      <c r="Y43" s="8" t="n">
        <v>-0.3</v>
      </c>
      <c r="Z43" s="8" t="n">
        <v>0.6</v>
      </c>
      <c r="AA43" s="9">
        <f>SUM(W43:Z43)</f>
        <v/>
      </c>
      <c r="AB43" s="8" t="n">
        <v>0</v>
      </c>
      <c r="AC43" s="8" t="n">
        <v>-1.4</v>
      </c>
      <c r="AD43" s="8" t="n">
        <v>1.9</v>
      </c>
      <c r="AE43" s="8" t="n">
        <v>-1.7</v>
      </c>
      <c r="AF43" s="9">
        <f>SUM(AB43:AE43)</f>
        <v/>
      </c>
      <c r="AG43" s="8" t="n">
        <v>0.2</v>
      </c>
      <c r="AH43" s="8" t="n">
        <v>0.4</v>
      </c>
      <c r="AI43" s="8" t="n">
        <v>0</v>
      </c>
      <c r="AJ43" s="8" t="n">
        <v>-1.8</v>
      </c>
      <c r="AK43" s="9">
        <f>SUM(AG43:AJ43)</f>
        <v/>
      </c>
      <c r="AL43" s="8" t="n">
        <v>-0.9</v>
      </c>
      <c r="AM43" s="8" t="n">
        <v>-0.4</v>
      </c>
      <c r="AN43" s="8" t="n">
        <v>0.4</v>
      </c>
      <c r="AO43" s="8" t="n">
        <v>0.1</v>
      </c>
      <c r="AP43" s="9">
        <f>SUM(AL43:AO43)</f>
        <v/>
      </c>
      <c r="AQ43" s="8" t="n">
        <v>-0.4</v>
      </c>
      <c r="AR43" s="8" t="n">
        <v>0.5</v>
      </c>
      <c r="AS43" s="8" t="n">
        <v>0.4</v>
      </c>
      <c r="AT43" s="8" t="n">
        <v>-7.9</v>
      </c>
      <c r="AU43" s="9">
        <f>SUM(AQ43:AT43)</f>
        <v/>
      </c>
      <c r="AV43" s="8" t="n">
        <v>-0.5</v>
      </c>
      <c r="AW43" s="8" t="n">
        <v>-0.8</v>
      </c>
      <c r="AX43" s="8" t="n">
        <v>0.9</v>
      </c>
      <c r="AY43" s="8" t="n">
        <v>-0.5</v>
      </c>
      <c r="AZ43" s="9">
        <f>SUM(AV43:AY43)</f>
        <v/>
      </c>
      <c r="BA43" s="8" t="n">
        <v>-0.1</v>
      </c>
      <c r="BB43" s="8" t="n">
        <v>0.2</v>
      </c>
      <c r="BC43" s="8" t="n">
        <v>0.4</v>
      </c>
      <c r="BD43" s="8" t="n">
        <v>0.7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6">
        <f>C39-C41-C43</f>
        <v/>
      </c>
      <c r="D44" s="16">
        <f>D39-D41-D43</f>
        <v/>
      </c>
      <c r="E44" s="16">
        <f>E39-E41-E43</f>
        <v/>
      </c>
      <c r="F44" s="16">
        <f>F39-F41-F43</f>
        <v/>
      </c>
      <c r="G44" s="9">
        <f>G39-G41-G43</f>
        <v/>
      </c>
      <c r="H44" s="16">
        <f>H39-H41-H43</f>
        <v/>
      </c>
      <c r="I44" s="16">
        <f>I39-I41-I43</f>
        <v/>
      </c>
      <c r="J44" s="16">
        <f>J39-J41-J43</f>
        <v/>
      </c>
      <c r="K44" s="16">
        <f>K39-K41-K43</f>
        <v/>
      </c>
      <c r="L44" s="9">
        <f>L39-L41-L43</f>
        <v/>
      </c>
      <c r="M44" s="16">
        <f>M39-M41-M43</f>
        <v/>
      </c>
      <c r="N44" s="16">
        <f>N39-N41-N43</f>
        <v/>
      </c>
      <c r="O44" s="16">
        <f>O39-O41-O43</f>
        <v/>
      </c>
      <c r="P44" s="16">
        <f>P39-P41-P43</f>
        <v/>
      </c>
      <c r="Q44" s="9">
        <f>Q39-Q41-Q43</f>
        <v/>
      </c>
      <c r="R44" s="16">
        <f>R39-R41-R43</f>
        <v/>
      </c>
      <c r="S44" s="16">
        <f>S39-S41-S43</f>
        <v/>
      </c>
      <c r="T44" s="16">
        <f>T39-T41-T43</f>
        <v/>
      </c>
      <c r="U44" s="16">
        <f>U39-U41-U43</f>
        <v/>
      </c>
      <c r="V44" s="9">
        <f>V39-V41-V43</f>
        <v/>
      </c>
      <c r="W44" s="16">
        <f>W39-W41-W43</f>
        <v/>
      </c>
      <c r="X44" s="16">
        <f>X39-X41-X43</f>
        <v/>
      </c>
      <c r="Y44" s="16">
        <f>Y39-Y41-Y43</f>
        <v/>
      </c>
      <c r="Z44" s="16">
        <f>Z39-Z41-Z43</f>
        <v/>
      </c>
      <c r="AA44" s="9">
        <f>AA39-AA41-AA43</f>
        <v/>
      </c>
      <c r="AB44" s="16">
        <f>AB39-AB41-AB43</f>
        <v/>
      </c>
      <c r="AC44" s="16">
        <f>AC39-AC41-AC43</f>
        <v/>
      </c>
      <c r="AD44" s="16">
        <f>AD39-AD41-AD43</f>
        <v/>
      </c>
      <c r="AE44" s="16">
        <f>AE39-AE41-AE43</f>
        <v/>
      </c>
      <c r="AF44" s="9">
        <f>AF39-AF41-AF43</f>
        <v/>
      </c>
      <c r="AG44" s="16">
        <f>AG39-AG41-AG43</f>
        <v/>
      </c>
      <c r="AH44" s="16">
        <f>AH39-AH41-AH43</f>
        <v/>
      </c>
      <c r="AI44" s="16">
        <f>AI39-AI41-AI43</f>
        <v/>
      </c>
      <c r="AJ44" s="16">
        <f>AJ39-AJ41-AJ43</f>
        <v/>
      </c>
      <c r="AK44" s="9">
        <f>AK39-AK41-AK43</f>
        <v/>
      </c>
      <c r="AL44" s="16">
        <f>AL39-AL41-AL43</f>
        <v/>
      </c>
      <c r="AM44" s="16">
        <f>AM39-AM41-AM43</f>
        <v/>
      </c>
      <c r="AN44" s="16">
        <f>AN39-AN41-AN43</f>
        <v/>
      </c>
      <c r="AO44" s="16">
        <f>AO39-AO41-AO43</f>
        <v/>
      </c>
      <c r="AP44" s="9">
        <f>AP39-AP41-AP43</f>
        <v/>
      </c>
      <c r="AQ44" s="16">
        <f>AQ39-AQ41-AQ43</f>
        <v/>
      </c>
      <c r="AR44" s="16">
        <f>AR39-AR41-AR43</f>
        <v/>
      </c>
      <c r="AS44" s="16">
        <f>AS39-AS41-AS43</f>
        <v/>
      </c>
      <c r="AT44" s="16">
        <f>AT39-AT41-AT43</f>
        <v/>
      </c>
      <c r="AU44" s="9">
        <f>AU39-AU41-AU43</f>
        <v/>
      </c>
      <c r="AV44" s="16">
        <f>AV39-AV41-AV43</f>
        <v/>
      </c>
      <c r="AW44" s="16">
        <f>AW39-AW41-AW43</f>
        <v/>
      </c>
      <c r="AX44" s="16">
        <f>AX39-AX41-AX43</f>
        <v/>
      </c>
      <c r="AY44" s="16">
        <f>AY39-AY41-AY43</f>
        <v/>
      </c>
      <c r="AZ44" s="9">
        <f>AZ39-AZ41-AZ43</f>
        <v/>
      </c>
      <c r="BA44" s="16">
        <f>BA39-BA41-BA43</f>
        <v/>
      </c>
      <c r="BB44" s="16">
        <f>BB39-BB41-BB43</f>
        <v/>
      </c>
      <c r="BC44" s="16">
        <f>BC39-BC41-BC43</f>
        <v/>
      </c>
      <c r="BD44" s="16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7" t="n"/>
      <c r="D45" s="17" t="n"/>
      <c r="E45" s="17" t="n"/>
      <c r="F45" s="17" t="n"/>
      <c r="G45" s="9">
        <f>SUM(C45:F45)</f>
        <v/>
      </c>
      <c r="H45" s="17" t="n"/>
      <c r="I45" s="17" t="n"/>
      <c r="J45" s="17" t="n"/>
      <c r="K45" s="17" t="n"/>
      <c r="L45" s="9">
        <f>SUM(H45:K45)</f>
        <v/>
      </c>
      <c r="M45" s="17" t="n"/>
      <c r="N45" s="17" t="n"/>
      <c r="O45" s="17" t="n"/>
      <c r="P45" s="17" t="n"/>
      <c r="Q45" s="9">
        <f>SUM(M45:P45)</f>
        <v/>
      </c>
      <c r="R45" s="17" t="n"/>
      <c r="S45" s="17" t="n"/>
      <c r="T45" s="17" t="n"/>
      <c r="U45" s="17" t="n"/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5.4</v>
      </c>
      <c r="AC45" s="8" t="n">
        <v>13.9</v>
      </c>
      <c r="AD45" s="8" t="n">
        <v>12.5</v>
      </c>
      <c r="AE45" s="8" t="n">
        <v>23.2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8" t="inlineStr"/>
      <c r="B46" s="19" t="inlineStr">
        <is>
          <t>P/L of Associate Company</t>
        </is>
      </c>
      <c r="C46" s="20" t="n"/>
      <c r="D46" s="20" t="n"/>
      <c r="E46" s="20" t="n"/>
      <c r="F46" s="20" t="n"/>
      <c r="G46" s="13" t="n"/>
      <c r="H46" s="20" t="n"/>
      <c r="I46" s="20" t="n"/>
      <c r="J46" s="20" t="n"/>
      <c r="K46" s="20" t="n"/>
      <c r="L46" s="13" t="n"/>
      <c r="M46" s="20" t="n"/>
      <c r="N46" s="20" t="n"/>
      <c r="O46" s="20" t="n"/>
      <c r="P46" s="20" t="n"/>
      <c r="Q46" s="13" t="n"/>
      <c r="R46" s="20" t="n"/>
      <c r="S46" s="20" t="n"/>
      <c r="T46" s="20" t="n"/>
      <c r="U46" s="20" t="n"/>
      <c r="V46" s="13" t="n"/>
      <c r="W46" s="20" t="n"/>
      <c r="X46" s="20" t="n"/>
      <c r="Y46" s="20" t="n"/>
      <c r="Z46" s="20" t="n"/>
      <c r="AA46" s="13" t="n"/>
      <c r="AB46" s="20" t="n"/>
      <c r="AC46" s="20" t="n"/>
      <c r="AD46" s="20" t="n"/>
      <c r="AE46" s="20" t="n"/>
      <c r="AF46" s="13" t="n"/>
      <c r="AG46" s="20" t="n"/>
      <c r="AH46" s="20" t="n"/>
      <c r="AI46" s="20" t="n"/>
      <c r="AJ46" s="20" t="n"/>
      <c r="AK46" s="13" t="n"/>
      <c r="AL46" s="20" t="n"/>
      <c r="AM46" s="20" t="n"/>
      <c r="AN46" s="20" t="n"/>
      <c r="AO46" s="20" t="n"/>
      <c r="AP46" s="13" t="n"/>
      <c r="AQ46" s="20" t="n"/>
      <c r="AR46" s="20" t="n"/>
      <c r="AS46" s="20" t="n"/>
      <c r="AT46" s="20" t="n"/>
      <c r="AU46" s="13" t="n"/>
      <c r="AV46" s="20" t="n"/>
      <c r="AW46" s="20" t="n"/>
      <c r="AX46" s="20" t="n"/>
      <c r="AY46" s="20" t="n"/>
      <c r="AZ46" s="13" t="n"/>
      <c r="BA46" s="20" t="n"/>
      <c r="BB46" s="20" t="n"/>
      <c r="BC46" s="20" t="n"/>
      <c r="BD46" s="20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17" t="n"/>
      <c r="D48" s="8" t="n">
        <v>0</v>
      </c>
      <c r="E48" s="8" t="n">
        <v>0</v>
      </c>
      <c r="F48" s="8" t="n">
        <v>0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0</v>
      </c>
      <c r="S48" s="8" t="n">
        <v>0</v>
      </c>
      <c r="T48" s="8" t="n">
        <v>0</v>
      </c>
      <c r="U48" s="8" t="n">
        <v>0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-15.2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-1.1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>
        <f>H49/IF(C49=0,1,C49)-1</f>
        <v/>
      </c>
      <c r="I50" s="14">
        <f>I49/IF(D49=0,1,D49)-1</f>
        <v/>
      </c>
      <c r="J50" s="14">
        <f>J49/IF(E49=0,1,E49)-1</f>
        <v/>
      </c>
      <c r="K50" s="14">
        <f>K49/IF(F49=0,1,F49)-1</f>
        <v/>
      </c>
      <c r="L50" s="15">
        <f>L49/IF(G49=0,1,G49)-1</f>
        <v/>
      </c>
      <c r="M50" s="14">
        <f>M49/IF(H49=0,1,H49)-1</f>
        <v/>
      </c>
      <c r="N50" s="14">
        <f>N49/IF(I49=0,1,I49)-1</f>
        <v/>
      </c>
      <c r="O50" s="14">
        <f>O49/IF(J49=0,1,J49)-1</f>
        <v/>
      </c>
      <c r="P50" s="14">
        <f>P49/IF(K49=0,1,K49)-1</f>
        <v/>
      </c>
      <c r="Q50" s="15">
        <f>Q49/IF(L49=0,1,L49)-1</f>
        <v/>
      </c>
      <c r="R50" s="14">
        <f>R49/IF(M49=0,1,M49)-1</f>
        <v/>
      </c>
      <c r="S50" s="14">
        <f>S49/IF(N49=0,1,N49)-1</f>
        <v/>
      </c>
      <c r="T50" s="14">
        <f>T49/IF(O49=0,1,O49)-1</f>
        <v/>
      </c>
      <c r="U50" s="14">
        <f>U49/IF(P49=0,1,P49)-1</f>
        <v/>
      </c>
      <c r="V50" s="15">
        <f>V49/IF(Q49=0,1,Q49)-1</f>
        <v/>
      </c>
      <c r="W50" s="14">
        <f>W49/IF(R49=0,1,R49)-1</f>
        <v/>
      </c>
      <c r="X50" s="14">
        <f>X49/IF(S49=0,1,S49)-1</f>
        <v/>
      </c>
      <c r="Y50" s="14">
        <f>Y49/IF(T49=0,1,T49)-1</f>
        <v/>
      </c>
      <c r="Z50" s="14">
        <f>Z49/IF(U49=0,1,U49)-1</f>
        <v/>
      </c>
      <c r="AA50" s="15">
        <f>AA49/IF(V49=0,1,V49)-1</f>
        <v/>
      </c>
      <c r="AB50" s="14">
        <f>AB49/IF(W49=0,1,W49)-1</f>
        <v/>
      </c>
      <c r="AC50" s="14">
        <f>AC49/IF(X49=0,1,X49)-1</f>
        <v/>
      </c>
      <c r="AD50" s="14">
        <f>AD49/IF(Y49=0,1,Y49)-1</f>
        <v/>
      </c>
      <c r="AE50" s="14">
        <f>AE49/IF(Z49=0,1,Z49)-1</f>
        <v/>
      </c>
      <c r="AF50" s="15">
        <f>AF49/IF(AA49=0,1,AA49)-1</f>
        <v/>
      </c>
      <c r="AG50" s="14">
        <f>AG49/IF(AB49=0,1,AB49)-1</f>
        <v/>
      </c>
      <c r="AH50" s="14">
        <f>AH49/IF(AC49=0,1,AC49)-1</f>
        <v/>
      </c>
      <c r="AI50" s="14">
        <f>AI49/IF(AD49=0,1,AD49)-1</f>
        <v/>
      </c>
      <c r="AJ50" s="14">
        <f>AJ49/IF(AE49=0,1,AE49)-1</f>
        <v/>
      </c>
      <c r="AK50" s="15">
        <f>AK49/IF(AF49=0,1,AF49)-1</f>
        <v/>
      </c>
      <c r="AL50" s="14">
        <f>AL49/IF(AG49=0,1,AG49)-1</f>
        <v/>
      </c>
      <c r="AM50" s="14">
        <f>AM49/IF(AH49=0,1,AH49)-1</f>
        <v/>
      </c>
      <c r="AN50" s="14">
        <f>AN49/IF(AI49=0,1,AI49)-1</f>
        <v/>
      </c>
      <c r="AO50" s="14">
        <f>AO49/IF(AJ49=0,1,AJ49)-1</f>
        <v/>
      </c>
      <c r="AP50" s="15">
        <f>AP49/IF(AK49=0,1,AK49)-1</f>
        <v/>
      </c>
      <c r="AQ50" s="14">
        <f>AQ49/IF(AL49=0,1,AL49)-1</f>
        <v/>
      </c>
      <c r="AR50" s="14">
        <f>AR49/IF(AM49=0,1,AM49)-1</f>
        <v/>
      </c>
      <c r="AS50" s="14">
        <f>AS49/IF(AN49=0,1,AN49)-1</f>
        <v/>
      </c>
      <c r="AT50" s="14">
        <f>AT49/IF(AO49=0,1,AO49)-1</f>
        <v/>
      </c>
      <c r="AU50" s="15">
        <f>AU49/IF(AP49=0,1,AP49)-1</f>
        <v/>
      </c>
      <c r="AV50" s="14">
        <f>AV49/IF(AQ49=0,1,AQ49)-1</f>
        <v/>
      </c>
      <c r="AW50" s="14">
        <f>AW49/IF(AR49=0,1,AR49)-1</f>
        <v/>
      </c>
      <c r="AX50" s="14">
        <f>AX49/IF(AS49=0,1,AS49)-1</f>
        <v/>
      </c>
      <c r="AY50" s="14">
        <f>AY49/IF(AT49=0,1,AT49)-1</f>
        <v/>
      </c>
      <c r="AZ50" s="15">
        <f>AZ49/IF(AU49=0,1,AU49)-1</f>
        <v/>
      </c>
      <c r="BA50" s="14">
        <f>BA49/IF(AV49=0,1,AV49)-1</f>
        <v/>
      </c>
      <c r="BB50" s="14">
        <f>BB49/IF(AW49=0,1,AW49)-1</f>
        <v/>
      </c>
      <c r="BC50" s="14">
        <f>BC49/IF(AX49=0,1,AX49)-1</f>
        <v/>
      </c>
      <c r="BD50" s="14">
        <f>BD49/IF(AY49=0,1,AY49)-1</f>
        <v/>
      </c>
      <c r="BE50" s="15">
        <f>BE49/IF(AZ49=0,1,AZ49)-1</f>
        <v/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/>
      <c r="D51" s="24" t="n">
        <v>7.3</v>
      </c>
      <c r="E51" s="24" t="n">
        <v>7.3</v>
      </c>
      <c r="F51" s="24" t="n">
        <v>7.3</v>
      </c>
      <c r="G51" s="9" t="n">
        <v>7.3</v>
      </c>
      <c r="H51" s="24" t="n">
        <v>7.3</v>
      </c>
      <c r="I51" s="24" t="n">
        <v>7.3</v>
      </c>
      <c r="J51" s="24" t="n">
        <v>7.3</v>
      </c>
      <c r="K51" s="24" t="n">
        <v>7.3</v>
      </c>
      <c r="L51" s="9" t="n">
        <v>7.3</v>
      </c>
      <c r="M51" s="24" t="n">
        <v>8.199999999999999</v>
      </c>
      <c r="N51" s="24" t="n">
        <v>8.199999999999999</v>
      </c>
      <c r="O51" s="24" t="n">
        <v>8.199999999999999</v>
      </c>
      <c r="P51" s="24" t="n">
        <v>8.199999999999999</v>
      </c>
      <c r="Q51" s="9" t="n">
        <v>8.199999999999999</v>
      </c>
      <c r="R51" s="24" t="n">
        <v>8.199999999999999</v>
      </c>
      <c r="S51" s="24" t="n">
        <v>8.199999999999999</v>
      </c>
      <c r="T51" s="24" t="n">
        <v>8.199999999999999</v>
      </c>
      <c r="U51" s="24" t="n">
        <v>8.5</v>
      </c>
      <c r="V51" s="9" t="n">
        <v>8.5</v>
      </c>
      <c r="W51" s="24" t="n">
        <v>8.5</v>
      </c>
      <c r="X51" s="24" t="n">
        <v>8.199999999999999</v>
      </c>
      <c r="Y51" s="24" t="n">
        <v>8.199999999999999</v>
      </c>
      <c r="Z51" s="24" t="n">
        <v>8.5</v>
      </c>
      <c r="AA51" s="9" t="n">
        <v>8.5</v>
      </c>
      <c r="AB51" s="24" t="n">
        <v>8.5</v>
      </c>
      <c r="AC51" s="24" t="n">
        <v>8.5</v>
      </c>
      <c r="AD51" s="24" t="n">
        <v>8.5</v>
      </c>
      <c r="AE51" s="24" t="n">
        <v>8.5</v>
      </c>
      <c r="AF51" s="9" t="n">
        <v>8.5</v>
      </c>
      <c r="AG51" s="24" t="n">
        <v>8.5</v>
      </c>
      <c r="AH51" s="24" t="n">
        <v>8.5</v>
      </c>
      <c r="AI51" s="24" t="n">
        <v>8.5</v>
      </c>
      <c r="AJ51" s="24" t="n">
        <v>8.5</v>
      </c>
      <c r="AK51" s="9" t="n">
        <v>8.5</v>
      </c>
      <c r="AL51" s="24" t="n">
        <v>8.5</v>
      </c>
      <c r="AM51" s="24" t="n">
        <v>8.5</v>
      </c>
      <c r="AN51" s="24" t="n">
        <v>8.5</v>
      </c>
      <c r="AO51" s="24" t="n">
        <v>8.5</v>
      </c>
      <c r="AP51" s="9" t="n">
        <v>8.5</v>
      </c>
      <c r="AQ51" s="24" t="n">
        <v>8.5</v>
      </c>
      <c r="AR51" s="24" t="n">
        <v>8.5</v>
      </c>
      <c r="AS51" s="24" t="n">
        <v>8.5</v>
      </c>
      <c r="AT51" s="24" t="n">
        <v>8.5</v>
      </c>
      <c r="AU51" s="9" t="n">
        <v>8.5</v>
      </c>
      <c r="AV51" s="24" t="n">
        <v>8.5</v>
      </c>
      <c r="AW51" s="24" t="n">
        <v>8.5</v>
      </c>
      <c r="AX51" s="24" t="n">
        <v>8.5</v>
      </c>
      <c r="AY51" s="24" t="n">
        <v>8.5</v>
      </c>
      <c r="AZ51" s="9" t="n">
        <v>8.5</v>
      </c>
      <c r="BA51" s="24" t="n">
        <v>8.5</v>
      </c>
      <c r="BB51" s="24" t="n">
        <v>8.5</v>
      </c>
      <c r="BC51" s="24" t="n">
        <v>8.5</v>
      </c>
      <c r="BD51" s="24" t="n">
        <v>8.5</v>
      </c>
      <c r="BE51" s="9" t="n">
        <v>8.5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/>
      <c r="D52" s="24" t="n">
        <v>42.1</v>
      </c>
      <c r="E52" s="23" t="n"/>
      <c r="F52" s="24" t="n">
        <v>48.9</v>
      </c>
      <c r="G52" s="9" t="n">
        <v>48.9</v>
      </c>
      <c r="H52" s="23" t="n"/>
      <c r="I52" s="24" t="n">
        <v>58.9</v>
      </c>
      <c r="J52" s="23" t="n"/>
      <c r="K52" s="24" t="n">
        <v>69.2</v>
      </c>
      <c r="L52" s="9" t="n">
        <v>69.2</v>
      </c>
      <c r="M52" s="23" t="n"/>
      <c r="N52" s="24" t="n">
        <v>126.6</v>
      </c>
      <c r="O52" s="23" t="n"/>
      <c r="P52" s="24" t="n">
        <v>137.5</v>
      </c>
      <c r="Q52" s="9" t="n">
        <v>137.5</v>
      </c>
      <c r="R52" s="23" t="n"/>
      <c r="S52" s="24" t="n">
        <v>152.6</v>
      </c>
      <c r="T52" s="23" t="n"/>
      <c r="U52" s="24" t="n">
        <v>177</v>
      </c>
      <c r="V52" s="9" t="n">
        <v>177</v>
      </c>
      <c r="W52" s="23" t="n"/>
      <c r="X52" s="24" t="n">
        <v>186.9</v>
      </c>
      <c r="Y52" s="23" t="n"/>
      <c r="Z52" s="24" t="n">
        <v>195.8</v>
      </c>
      <c r="AA52" s="9" t="n">
        <v>195.8</v>
      </c>
      <c r="AB52" s="23" t="n"/>
      <c r="AC52" s="24" t="n">
        <v>215.1</v>
      </c>
      <c r="AD52" s="23" t="n"/>
      <c r="AE52" s="24" t="n">
        <v>251</v>
      </c>
      <c r="AF52" s="9" t="n">
        <v>251</v>
      </c>
      <c r="AG52" s="23" t="n"/>
      <c r="AH52" s="24" t="n">
        <v>275.7</v>
      </c>
      <c r="AI52" s="23" t="n"/>
      <c r="AJ52" s="24" t="n">
        <v>307.6</v>
      </c>
      <c r="AK52" s="9" t="n">
        <v>307.6</v>
      </c>
      <c r="AL52" s="23" t="n"/>
      <c r="AM52" s="24" t="n">
        <v>352.8</v>
      </c>
      <c r="AN52" s="23" t="n"/>
      <c r="AO52" s="24" t="n">
        <v>403.6</v>
      </c>
      <c r="AP52" s="9" t="n">
        <v>403.6</v>
      </c>
      <c r="AQ52" s="23" t="n"/>
      <c r="AR52" s="24" t="n">
        <v>463.1</v>
      </c>
      <c r="AS52" s="23" t="n"/>
      <c r="AT52" s="24" t="n">
        <v>527.8</v>
      </c>
      <c r="AU52" s="9" t="n">
        <v>527.8</v>
      </c>
      <c r="AV52" s="23" t="n"/>
      <c r="AW52" s="24" t="n">
        <v>590.5</v>
      </c>
      <c r="AX52" s="23" t="n"/>
      <c r="AY52" s="24" t="n">
        <v>648.9</v>
      </c>
      <c r="AZ52" s="9" t="n">
        <v>648.9</v>
      </c>
      <c r="BA52" s="23" t="n"/>
      <c r="BB52" s="24" t="n">
        <v>714.6</v>
      </c>
      <c r="BC52" s="23" t="n"/>
      <c r="BD52" s="24" t="n">
        <v>798.5</v>
      </c>
      <c r="BE52" s="9" t="n">
        <v>798.5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4" t="n">
        <v>0</v>
      </c>
      <c r="D53" s="24" t="n">
        <v>86.59999999999999</v>
      </c>
      <c r="E53" s="24" t="n">
        <v>0</v>
      </c>
      <c r="F53" s="24" t="n">
        <v>111.7</v>
      </c>
      <c r="G53" s="9" t="n">
        <v>111.7</v>
      </c>
      <c r="H53" s="24" t="n">
        <v>0</v>
      </c>
      <c r="I53" s="24" t="n">
        <v>166.8</v>
      </c>
      <c r="J53" s="24" t="n">
        <v>0</v>
      </c>
      <c r="K53" s="24" t="n">
        <v>171.4</v>
      </c>
      <c r="L53" s="9" t="n">
        <v>171.4</v>
      </c>
      <c r="M53" s="24" t="n">
        <v>0</v>
      </c>
      <c r="N53" s="24" t="n">
        <v>129.5</v>
      </c>
      <c r="O53" s="24" t="n">
        <v>0</v>
      </c>
      <c r="P53" s="24" t="n">
        <v>116.6</v>
      </c>
      <c r="Q53" s="9" t="n">
        <v>116.6</v>
      </c>
      <c r="R53" s="24" t="n">
        <v>0</v>
      </c>
      <c r="S53" s="24" t="n">
        <v>125.7</v>
      </c>
      <c r="T53" s="24" t="n">
        <v>0</v>
      </c>
      <c r="U53" s="24" t="n">
        <v>169.7</v>
      </c>
      <c r="V53" s="9" t="n">
        <v>169.7</v>
      </c>
      <c r="W53" s="24" t="n">
        <v>0</v>
      </c>
      <c r="X53" s="24" t="n">
        <v>132.8</v>
      </c>
      <c r="Y53" s="24" t="n">
        <v>0</v>
      </c>
      <c r="Z53" s="24" t="n">
        <v>94.2</v>
      </c>
      <c r="AA53" s="9" t="n">
        <v>94.2</v>
      </c>
      <c r="AB53" s="24" t="n">
        <v>0</v>
      </c>
      <c r="AC53" s="24" t="n">
        <v>73.69999999999999</v>
      </c>
      <c r="AD53" s="24" t="n">
        <v>0</v>
      </c>
      <c r="AE53" s="24" t="n">
        <v>42.6</v>
      </c>
      <c r="AF53" s="9" t="n">
        <v>42.6</v>
      </c>
      <c r="AG53" s="24" t="n">
        <v>0</v>
      </c>
      <c r="AH53" s="24" t="n">
        <v>51.5</v>
      </c>
      <c r="AI53" s="24" t="n">
        <v>0</v>
      </c>
      <c r="AJ53" s="24" t="n">
        <v>65</v>
      </c>
      <c r="AK53" s="9" t="n">
        <v>65</v>
      </c>
      <c r="AL53" s="24" t="n">
        <v>0</v>
      </c>
      <c r="AM53" s="24" t="n">
        <v>75.09999999999999</v>
      </c>
      <c r="AN53" s="24" t="n">
        <v>0</v>
      </c>
      <c r="AO53" s="24" t="n">
        <v>36.8</v>
      </c>
      <c r="AP53" s="9" t="n">
        <v>36.8</v>
      </c>
      <c r="AQ53" s="24" t="n">
        <v>0</v>
      </c>
      <c r="AR53" s="24" t="n">
        <v>0</v>
      </c>
      <c r="AS53" s="24" t="n">
        <v>0</v>
      </c>
      <c r="AT53" s="24" t="n">
        <v>0</v>
      </c>
      <c r="AU53" s="9" t="n">
        <v>0</v>
      </c>
      <c r="AV53" s="24" t="n">
        <v>0</v>
      </c>
      <c r="AW53" s="24" t="n">
        <v>6.7</v>
      </c>
      <c r="AX53" s="24" t="n">
        <v>0</v>
      </c>
      <c r="AY53" s="24" t="n">
        <v>36.1</v>
      </c>
      <c r="AZ53" s="9" t="n">
        <v>36.1</v>
      </c>
      <c r="BA53" s="24" t="n">
        <v>0</v>
      </c>
      <c r="BB53" s="24" t="n">
        <v>0</v>
      </c>
      <c r="BC53" s="24" t="n">
        <v>0</v>
      </c>
      <c r="BD53" s="24" t="n">
        <v>29.1</v>
      </c>
      <c r="BE53" s="9" t="n">
        <v>29.1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/>
      <c r="D54" s="24" t="n">
        <v>1.7</v>
      </c>
      <c r="E54" s="23" t="n"/>
      <c r="F54" s="24" t="n">
        <v>1.7</v>
      </c>
      <c r="G54" s="9" t="n">
        <v>1.7</v>
      </c>
      <c r="H54" s="23" t="n"/>
      <c r="I54" s="24" t="n">
        <v>1.8</v>
      </c>
      <c r="J54" s="23" t="n"/>
      <c r="K54" s="24" t="n">
        <v>1.4</v>
      </c>
      <c r="L54" s="9" t="n">
        <v>1.4</v>
      </c>
      <c r="M54" s="23" t="n"/>
      <c r="N54" s="24" t="n">
        <v>1.2</v>
      </c>
      <c r="O54" s="23" t="n"/>
      <c r="P54" s="24" t="n">
        <v>0.9</v>
      </c>
      <c r="Q54" s="9" t="n">
        <v>0.9</v>
      </c>
      <c r="R54" s="23" t="n"/>
      <c r="S54" s="24" t="n">
        <v>1.6</v>
      </c>
      <c r="T54" s="23" t="n"/>
      <c r="U54" s="24" t="n">
        <v>2.2</v>
      </c>
      <c r="V54" s="9" t="n">
        <v>2.2</v>
      </c>
      <c r="W54" s="23" t="n"/>
      <c r="X54" s="24" t="n">
        <v>1.6</v>
      </c>
      <c r="Y54" s="23" t="n"/>
      <c r="Z54" s="24" t="n">
        <v>6.1</v>
      </c>
      <c r="AA54" s="9" t="n">
        <v>6.1</v>
      </c>
      <c r="AB54" s="23" t="n"/>
      <c r="AC54" s="24" t="n">
        <v>10.1</v>
      </c>
      <c r="AD54" s="23" t="n"/>
      <c r="AE54" s="24" t="n">
        <v>15.1</v>
      </c>
      <c r="AF54" s="9" t="n">
        <v>15.1</v>
      </c>
      <c r="AG54" s="23" t="n"/>
      <c r="AH54" s="24" t="n">
        <v>10.6</v>
      </c>
      <c r="AI54" s="23" t="n"/>
      <c r="AJ54" s="24" t="n">
        <v>8.699999999999999</v>
      </c>
      <c r="AK54" s="9" t="n">
        <v>8.699999999999999</v>
      </c>
      <c r="AL54" s="23" t="n"/>
      <c r="AM54" s="24" t="n">
        <v>3.3</v>
      </c>
      <c r="AN54" s="23" t="n"/>
      <c r="AO54" s="24" t="n">
        <v>26.7</v>
      </c>
      <c r="AP54" s="9" t="n">
        <v>26.7</v>
      </c>
      <c r="AQ54" s="23" t="n"/>
      <c r="AR54" s="24" t="n">
        <v>71.59999999999999</v>
      </c>
      <c r="AS54" s="23" t="n"/>
      <c r="AT54" s="24" t="n">
        <v>72</v>
      </c>
      <c r="AU54" s="9" t="n">
        <v>72</v>
      </c>
      <c r="AV54" s="23" t="n"/>
      <c r="AW54" s="24" t="n">
        <v>74</v>
      </c>
      <c r="AX54" s="23" t="n"/>
      <c r="AY54" s="24" t="n">
        <v>50.7</v>
      </c>
      <c r="AZ54" s="9" t="n">
        <v>50.7</v>
      </c>
      <c r="BA54" s="23" t="n"/>
      <c r="BB54" s="24" t="n">
        <v>27.8</v>
      </c>
      <c r="BC54" s="23" t="n"/>
      <c r="BD54" s="24" t="n">
        <v>68.59999999999999</v>
      </c>
      <c r="BE54" s="9" t="n">
        <v>68.59999999999999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/>
      <c r="D55" s="24" t="n">
        <v>85.59999999999999</v>
      </c>
      <c r="E55" s="23" t="n"/>
      <c r="F55" s="24" t="n">
        <v>112.3</v>
      </c>
      <c r="G55" s="9" t="n">
        <v>112.3</v>
      </c>
      <c r="H55" s="23" t="n"/>
      <c r="I55" s="24" t="n">
        <v>146.1</v>
      </c>
      <c r="J55" s="23" t="n"/>
      <c r="K55" s="24" t="n">
        <v>188.4</v>
      </c>
      <c r="L55" s="9" t="n">
        <v>188.4</v>
      </c>
      <c r="M55" s="23" t="n"/>
      <c r="N55" s="24" t="n">
        <v>190.2</v>
      </c>
      <c r="O55" s="23" t="n"/>
      <c r="P55" s="24" t="n">
        <v>185.7</v>
      </c>
      <c r="Q55" s="9" t="n">
        <v>185.7</v>
      </c>
      <c r="R55" s="23" t="n"/>
      <c r="S55" s="24" t="n">
        <v>189.5</v>
      </c>
      <c r="T55" s="23" t="n"/>
      <c r="U55" s="24" t="n">
        <v>246.2</v>
      </c>
      <c r="V55" s="9" t="n">
        <v>246.2</v>
      </c>
      <c r="W55" s="23" t="n"/>
      <c r="X55" s="24" t="n">
        <v>217.3</v>
      </c>
      <c r="Y55" s="23" t="n"/>
      <c r="Z55" s="24" t="n">
        <v>206.1</v>
      </c>
      <c r="AA55" s="9" t="n">
        <v>206.1</v>
      </c>
      <c r="AB55" s="23" t="n"/>
      <c r="AC55" s="24" t="n">
        <v>196</v>
      </c>
      <c r="AD55" s="23" t="n"/>
      <c r="AE55" s="24" t="n">
        <v>187.8</v>
      </c>
      <c r="AF55" s="9" t="n">
        <v>187.8</v>
      </c>
      <c r="AG55" s="23" t="n"/>
      <c r="AH55" s="24" t="n">
        <v>184.6</v>
      </c>
      <c r="AI55" s="23" t="n"/>
      <c r="AJ55" s="24" t="n">
        <v>178.7</v>
      </c>
      <c r="AK55" s="9" t="n">
        <v>178.7</v>
      </c>
      <c r="AL55" s="23" t="n"/>
      <c r="AM55" s="24" t="n">
        <v>185.1</v>
      </c>
      <c r="AN55" s="23" t="n"/>
      <c r="AO55" s="24" t="n">
        <v>184.6</v>
      </c>
      <c r="AP55" s="9" t="n">
        <v>184.6</v>
      </c>
      <c r="AQ55" s="23" t="n"/>
      <c r="AR55" s="24" t="n">
        <v>181.9</v>
      </c>
      <c r="AS55" s="23" t="n"/>
      <c r="AT55" s="24" t="n">
        <v>176.7</v>
      </c>
      <c r="AU55" s="9" t="n">
        <v>176.7</v>
      </c>
      <c r="AV55" s="23" t="n"/>
      <c r="AW55" s="24" t="n">
        <v>185.5</v>
      </c>
      <c r="AX55" s="23" t="n"/>
      <c r="AY55" s="24" t="n">
        <v>260.3</v>
      </c>
      <c r="AZ55" s="9" t="n">
        <v>260.3</v>
      </c>
      <c r="BA55" s="23" t="n"/>
      <c r="BB55" s="24" t="n">
        <v>358.8</v>
      </c>
      <c r="BC55" s="23" t="n"/>
      <c r="BD55" s="24" t="n">
        <v>422.3</v>
      </c>
      <c r="BE55" s="9" t="n">
        <v>422.3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6">
        <f>IF(C63=0,0,(C51+C52)/(C51/IF(C63=0,1,C63)))</f>
        <v/>
      </c>
      <c r="D56" s="16">
        <f>IF(D63=0,0,(D51+D52)/(D51/IF(D63=0,1,D63)))</f>
        <v/>
      </c>
      <c r="E56" s="16">
        <f>IF(E63=0,0,(E51+E52)/(E51/IF(E63=0,1,E63)))</f>
        <v/>
      </c>
      <c r="F56" s="16">
        <f>IF(F63=0,0,(F51+F52)/(F51/IF(F63=0,1,F63)))</f>
        <v/>
      </c>
      <c r="G56" s="9">
        <f>IF(G63=0,0,(G51+G52)/(G51/IF(G63=0,1,G63)))</f>
        <v/>
      </c>
      <c r="H56" s="16">
        <f>IF(H63=0,0,(H51+H52)/(H51/IF(H63=0,1,H63)))</f>
        <v/>
      </c>
      <c r="I56" s="16">
        <f>IF(I63=0,0,(I51+I52)/(I51/IF(I63=0,1,I63)))</f>
        <v/>
      </c>
      <c r="J56" s="16">
        <f>IF(J63=0,0,(J51+J52)/(J51/IF(J63=0,1,J63)))</f>
        <v/>
      </c>
      <c r="K56" s="16">
        <f>IF(K63=0,0,(K51+K52)/(K51/IF(K63=0,1,K63)))</f>
        <v/>
      </c>
      <c r="L56" s="9">
        <f>IF(L63=0,0,(L51+L52)/(L51/IF(L63=0,1,L63)))</f>
        <v/>
      </c>
      <c r="M56" s="16">
        <f>IF(M63=0,0,(M51+M52)/(M51/IF(M63=0,1,M63)))</f>
        <v/>
      </c>
      <c r="N56" s="16">
        <f>IF(N63=0,0,(N51+N52)/(N51/IF(N63=0,1,N63)))</f>
        <v/>
      </c>
      <c r="O56" s="16">
        <f>IF(O63=0,0,(O51+O52)/(O51/IF(O63=0,1,O63)))</f>
        <v/>
      </c>
      <c r="P56" s="16">
        <f>IF(P63=0,0,(P51+P52)/(P51/IF(P63=0,1,P63)))</f>
        <v/>
      </c>
      <c r="Q56" s="9">
        <f>IF(Q63=0,0,(Q51+Q52)/(Q51/IF(Q63=0,1,Q63)))</f>
        <v/>
      </c>
      <c r="R56" s="16">
        <f>IF(R63=0,0,(R51+R52)/(R51/IF(R63=0,1,R63)))</f>
        <v/>
      </c>
      <c r="S56" s="16">
        <f>IF(S63=0,0,(S51+S52)/(S51/IF(S63=0,1,S63)))</f>
        <v/>
      </c>
      <c r="T56" s="16">
        <f>IF(T63=0,0,(T51+T52)/(T51/IF(T63=0,1,T63)))</f>
        <v/>
      </c>
      <c r="U56" s="16">
        <f>IF(U63=0,0,(U51+U52)/(U51/IF(U63=0,1,U63)))</f>
        <v/>
      </c>
      <c r="V56" s="9">
        <f>IF(V63=0,0,(V51+V52)/(V51/IF(V63=0,1,V63)))</f>
        <v/>
      </c>
      <c r="W56" s="16">
        <f>IF(W63=0,0,(W51+W52)/(W51/IF(W63=0,1,W63)))</f>
        <v/>
      </c>
      <c r="X56" s="16">
        <f>IF(X63=0,0,(X51+X52)/(X51/IF(X63=0,1,X63)))</f>
        <v/>
      </c>
      <c r="Y56" s="16">
        <f>IF(Y63=0,0,(Y51+Y52)/(Y51/IF(Y63=0,1,Y63)))</f>
        <v/>
      </c>
      <c r="Z56" s="16">
        <f>IF(Z63=0,0,(Z51+Z52)/(Z51/IF(Z63=0,1,Z63)))</f>
        <v/>
      </c>
      <c r="AA56" s="9">
        <f>IF(AA63=0,0,(AA51+AA52)/(AA51/IF(AA63=0,1,AA63)))</f>
        <v/>
      </c>
      <c r="AB56" s="16">
        <f>IF(AB63=0,0,(AB51+AB52)/(AB51/IF(AB63=0,1,AB63)))</f>
        <v/>
      </c>
      <c r="AC56" s="16">
        <f>IF(AC63=0,0,(AC51+AC52)/(AC51/IF(AC63=0,1,AC63)))</f>
        <v/>
      </c>
      <c r="AD56" s="16">
        <f>IF(AD63=0,0,(AD51+AD52)/(AD51/IF(AD63=0,1,AD63)))</f>
        <v/>
      </c>
      <c r="AE56" s="16">
        <f>IF(AE63=0,0,(AE51+AE52)/(AE51/IF(AE63=0,1,AE63)))</f>
        <v/>
      </c>
      <c r="AF56" s="9">
        <f>IF(AF63=0,0,(AF51+AF52)/(AF51/IF(AF63=0,1,AF63)))</f>
        <v/>
      </c>
      <c r="AG56" s="16">
        <f>IF(AG63=0,0,(AG51+AG52)/(AG51/IF(AG63=0,1,AG63)))</f>
        <v/>
      </c>
      <c r="AH56" s="16">
        <f>IF(AH63=0,0,(AH51+AH52)/(AH51/IF(AH63=0,1,AH63)))</f>
        <v/>
      </c>
      <c r="AI56" s="16">
        <f>IF(AI63=0,0,(AI51+AI52)/(AI51/IF(AI63=0,1,AI63)))</f>
        <v/>
      </c>
      <c r="AJ56" s="16">
        <f>IF(AJ63=0,0,(AJ51+AJ52)/(AJ51/IF(AJ63=0,1,AJ63)))</f>
        <v/>
      </c>
      <c r="AK56" s="9">
        <f>IF(AK63=0,0,(AK51+AK52)/(AK51/IF(AK63=0,1,AK63)))</f>
        <v/>
      </c>
      <c r="AL56" s="16">
        <f>IF(AL63=0,0,(AL51+AL52)/(AL51/IF(AL63=0,1,AL63)))</f>
        <v/>
      </c>
      <c r="AM56" s="16">
        <f>IF(AM63=0,0,(AM51+AM52)/(AM51/IF(AM63=0,1,AM63)))</f>
        <v/>
      </c>
      <c r="AN56" s="16">
        <f>IF(AN63=0,0,(AN51+AN52)/(AN51/IF(AN63=0,1,AN63)))</f>
        <v/>
      </c>
      <c r="AO56" s="16">
        <f>IF(AO63=0,0,(AO51+AO52)/(AO51/IF(AO63=0,1,AO63)))</f>
        <v/>
      </c>
      <c r="AP56" s="9">
        <f>IF(AP63=0,0,(AP51+AP52)/(AP51/IF(AP63=0,1,AP63)))</f>
        <v/>
      </c>
      <c r="AQ56" s="16">
        <f>IF(AQ63=0,0,(AQ51+AQ52)/(AQ51/IF(AQ63=0,1,AQ63)))</f>
        <v/>
      </c>
      <c r="AR56" s="16">
        <f>IF(AR63=0,0,(AR51+AR52)/(AR51/IF(AR63=0,1,AR63)))</f>
        <v/>
      </c>
      <c r="AS56" s="16">
        <f>IF(AS63=0,0,(AS51+AS52)/(AS51/IF(AS63=0,1,AS63)))</f>
        <v/>
      </c>
      <c r="AT56" s="16">
        <f>IF(AT63=0,0,(AT51+AT52)/(AT51/IF(AT63=0,1,AT63)))</f>
        <v/>
      </c>
      <c r="AU56" s="9">
        <f>IF(AU63=0,0,(AU51+AU52)/(AU51/IF(AU63=0,1,AU63)))</f>
        <v/>
      </c>
      <c r="AV56" s="16">
        <f>IF(AV63=0,0,(AV51+AV52)/(AV51/IF(AV63=0,1,AV63)))</f>
        <v/>
      </c>
      <c r="AW56" s="16">
        <f>IF(AW63=0,0,(AW51+AW52)/(AW51/IF(AW63=0,1,AW63)))</f>
        <v/>
      </c>
      <c r="AX56" s="16">
        <f>IF(AX63=0,0,(AX51+AX52)/(AX51/IF(AX63=0,1,AX63)))</f>
        <v/>
      </c>
      <c r="AY56" s="16">
        <f>IF(AY63=0,0,(AY51+AY52)/(AY51/IF(AY63=0,1,AY63)))</f>
        <v/>
      </c>
      <c r="AZ56" s="9">
        <f>IF(AZ63=0,0,(AZ51+AZ52)/(AZ51/IF(AZ63=0,1,AZ63)))</f>
        <v/>
      </c>
      <c r="BA56" s="16">
        <f>IF(BA63=0,0,(BA51+BA52)/(BA51/IF(BA63=0,1,BA63)))</f>
        <v/>
      </c>
      <c r="BB56" s="16">
        <f>IF(BB63=0,0,(BB51+BB52)/(BB51/IF(BB63=0,1,BB63)))</f>
        <v/>
      </c>
      <c r="BC56" s="16">
        <f>IF(BC63=0,0,(BC51+BC52)/(BC51/IF(BC63=0,1,BC63)))</f>
        <v/>
      </c>
      <c r="BD56" s="16">
        <f>IF(BD63=0,0,(BD51+BD52)/(BD51/IF(BD63=0,1,BD63)))</f>
        <v/>
      </c>
      <c r="BE56" s="9">
        <f>IF(BE63=0,0,(BE51+BE52)/(BE51/IF(BE63=0,1,BE63)))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IF(C63=0,0,C49/(C51/IF(C63=0,1,C63)))</f>
        <v/>
      </c>
      <c r="D59" s="28">
        <f>IF(D63=0,0,D49/(D51/IF(D63=0,1,D63)))</f>
        <v/>
      </c>
      <c r="E59" s="28">
        <f>IF(E63=0,0,E49/(E51/IF(E63=0,1,E63)))</f>
        <v/>
      </c>
      <c r="F59" s="28">
        <f>IF(F63=0,0,F49/(F51/IF(F63=0,1,F63)))</f>
        <v/>
      </c>
      <c r="G59" s="9">
        <f>IF(G63=0,0,G49/(G51/IF(G63=0,1,G63)))</f>
        <v/>
      </c>
      <c r="H59" s="28">
        <f>IF(H63=0,0,H49/(H51/IF(H63=0,1,H63)))</f>
        <v/>
      </c>
      <c r="I59" s="28">
        <f>IF(I63=0,0,I49/(I51/IF(I63=0,1,I63)))</f>
        <v/>
      </c>
      <c r="J59" s="28">
        <f>IF(J63=0,0,J49/(J51/IF(J63=0,1,J63)))</f>
        <v/>
      </c>
      <c r="K59" s="28">
        <f>IF(K63=0,0,K49/(K51/IF(K63=0,1,K63)))</f>
        <v/>
      </c>
      <c r="L59" s="9">
        <f>IF(L63=0,0,L49/(L51/IF(L63=0,1,L63)))</f>
        <v/>
      </c>
      <c r="M59" s="28">
        <f>IF(M63=0,0,M49/(M51/IF(M63=0,1,M63)))</f>
        <v/>
      </c>
      <c r="N59" s="28">
        <f>IF(N63=0,0,N49/(N51/IF(N63=0,1,N63)))</f>
        <v/>
      </c>
      <c r="O59" s="28">
        <f>IF(O63=0,0,O49/(O51/IF(O63=0,1,O63)))</f>
        <v/>
      </c>
      <c r="P59" s="28">
        <f>IF(P63=0,0,P49/(P51/IF(P63=0,1,P63)))</f>
        <v/>
      </c>
      <c r="Q59" s="9">
        <f>IF(Q63=0,0,Q49/(Q51/IF(Q63=0,1,Q63)))</f>
        <v/>
      </c>
      <c r="R59" s="28">
        <f>IF(R63=0,0,R49/(R51/IF(R63=0,1,R63)))</f>
        <v/>
      </c>
      <c r="S59" s="28">
        <f>IF(S63=0,0,S49/(S51/IF(S63=0,1,S63)))</f>
        <v/>
      </c>
      <c r="T59" s="28">
        <f>IF(T63=0,0,T49/(T51/IF(T63=0,1,T63)))</f>
        <v/>
      </c>
      <c r="U59" s="28">
        <f>IF(U63=0,0,U49/(U51/IF(U63=0,1,U63)))</f>
        <v/>
      </c>
      <c r="V59" s="9">
        <f>IF(V63=0,0,V49/(V51/IF(V63=0,1,V63)))</f>
        <v/>
      </c>
      <c r="W59" s="28">
        <f>IF(W63=0,0,W49/(W51/IF(W63=0,1,W63)))</f>
        <v/>
      </c>
      <c r="X59" s="28">
        <f>IF(X63=0,0,X49/(X51/IF(X63=0,1,X63)))</f>
        <v/>
      </c>
      <c r="Y59" s="28">
        <f>IF(Y63=0,0,Y49/(Y51/IF(Y63=0,1,Y63)))</f>
        <v/>
      </c>
      <c r="Z59" s="28">
        <f>IF(Z63=0,0,Z49/(Z51/IF(Z63=0,1,Z63)))</f>
        <v/>
      </c>
      <c r="AA59" s="9">
        <f>IF(AA63=0,0,AA49/(AA51/IF(AA63=0,1,AA63)))</f>
        <v/>
      </c>
      <c r="AB59" s="28">
        <f>IF(AB63=0,0,AB49/(AB51/IF(AB63=0,1,AB63)))</f>
        <v/>
      </c>
      <c r="AC59" s="28">
        <f>IF(AC63=0,0,AC49/(AC51/IF(AC63=0,1,AC63)))</f>
        <v/>
      </c>
      <c r="AD59" s="28">
        <f>IF(AD63=0,0,AD49/(AD51/IF(AD63=0,1,AD63)))</f>
        <v/>
      </c>
      <c r="AE59" s="28">
        <f>IF(AE63=0,0,AE49/(AE51/IF(AE63=0,1,AE63)))</f>
        <v/>
      </c>
      <c r="AF59" s="9">
        <f>IF(AF63=0,0,AF49/(AF51/IF(AF63=0,1,AF63)))</f>
        <v/>
      </c>
      <c r="AG59" s="28">
        <f>IF(AG63=0,0,AG49/(AG51/IF(AG63=0,1,AG63)))</f>
        <v/>
      </c>
      <c r="AH59" s="28">
        <f>IF(AH63=0,0,AH49/(AH51/IF(AH63=0,1,AH63)))</f>
        <v/>
      </c>
      <c r="AI59" s="28">
        <f>IF(AI63=0,0,AI49/(AI51/IF(AI63=0,1,AI63)))</f>
        <v/>
      </c>
      <c r="AJ59" s="28">
        <f>IF(AJ63=0,0,AJ49/(AJ51/IF(AJ63=0,1,AJ63)))</f>
        <v/>
      </c>
      <c r="AK59" s="9">
        <f>IF(AK63=0,0,AK49/(AK51/IF(AK63=0,1,AK63)))</f>
        <v/>
      </c>
      <c r="AL59" s="28">
        <f>IF(AL63=0,0,AL49/(AL51/IF(AL63=0,1,AL63)))</f>
        <v/>
      </c>
      <c r="AM59" s="28">
        <f>IF(AM63=0,0,AM49/(AM51/IF(AM63=0,1,AM63)))</f>
        <v/>
      </c>
      <c r="AN59" s="28">
        <f>IF(AN63=0,0,AN49/(AN51/IF(AN63=0,1,AN63)))</f>
        <v/>
      </c>
      <c r="AO59" s="28">
        <f>IF(AO63=0,0,AO49/(AO51/IF(AO63=0,1,AO63)))</f>
        <v/>
      </c>
      <c r="AP59" s="9">
        <f>IF(AP63=0,0,AP49/(AP51/IF(AP63=0,1,AP63)))</f>
        <v/>
      </c>
      <c r="AQ59" s="28">
        <f>IF(AQ63=0,0,AQ49/(AQ51/IF(AQ63=0,1,AQ63)))</f>
        <v/>
      </c>
      <c r="AR59" s="28">
        <f>IF(AR63=0,0,AR49/(AR51/IF(AR63=0,1,AR63)))</f>
        <v/>
      </c>
      <c r="AS59" s="28">
        <f>IF(AS63=0,0,AS49/(AS51/IF(AS63=0,1,AS63)))</f>
        <v/>
      </c>
      <c r="AT59" s="28">
        <f>IF(AT63=0,0,AT49/(AT51/IF(AT63=0,1,AT63)))</f>
        <v/>
      </c>
      <c r="AU59" s="9">
        <f>IF(AU63=0,0,AU49/(AU51/IF(AU63=0,1,AU63)))</f>
        <v/>
      </c>
      <c r="AV59" s="28">
        <f>IF(AV63=0,0,AV49/(AV51/IF(AV63=0,1,AV63)))</f>
        <v/>
      </c>
      <c r="AW59" s="28">
        <f>IF(AW63=0,0,AW49/(AW51/IF(AW63=0,1,AW63)))</f>
        <v/>
      </c>
      <c r="AX59" s="28">
        <f>IF(AX63=0,0,AX49/(AX51/IF(AX63=0,1,AX63)))</f>
        <v/>
      </c>
      <c r="AY59" s="28">
        <f>IF(AY63=0,0,AY49/(AY51/IF(AY63=0,1,AY63)))</f>
        <v/>
      </c>
      <c r="AZ59" s="9">
        <f>IF(AZ63=0,0,AZ49/(AZ51/IF(AZ63=0,1,AZ63)))</f>
        <v/>
      </c>
      <c r="BA59" s="28">
        <f>IF(BA63=0,0,BA49/(BA51/IF(BA63=0,1,BA63)))</f>
        <v/>
      </c>
      <c r="BB59" s="28">
        <f>IF(BB63=0,0,BB49/(BB51/IF(BB63=0,1,BB63)))</f>
        <v/>
      </c>
      <c r="BC59" s="28">
        <f>IF(BC63=0,0,BC49/(BC51/IF(BC63=0,1,BC63)))</f>
        <v/>
      </c>
      <c r="BD59" s="28">
        <f>IF(BD63=0,0,BD49/(BD51/IF(BD63=0,1,BD63)))</f>
        <v/>
      </c>
      <c r="BE59" s="9">
        <f>IF(BE63=0,0,BE49/(BE51/IF(BE63=0,1,BE63)))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>
        <f>C31/IF((C51+C52+C53)=0,1,(C51+C52+C53))</f>
        <v/>
      </c>
      <c r="D62" s="27">
        <f>D31/IF((D51+D52+D53)=0,1,(D51+D52+D53))</f>
        <v/>
      </c>
      <c r="E62" s="27">
        <f>E31/IF((E51+E52+E53)=0,1,(E51+E52+E53))</f>
        <v/>
      </c>
      <c r="F62" s="27">
        <f>F31/IF((F51+F52+F53)=0,1,(F51+F52+F53))</f>
        <v/>
      </c>
      <c r="G62" s="15">
        <f>G31/IF((G51+G52+G53)=0,1,(G51+G52+G53))</f>
        <v/>
      </c>
      <c r="H62" s="27">
        <f>H31/IF((H51+H52+H53)=0,1,(H51+H52+H53))</f>
        <v/>
      </c>
      <c r="I62" s="27">
        <f>I31/IF((I51+I52+I53)=0,1,(I51+I52+I53))</f>
        <v/>
      </c>
      <c r="J62" s="27">
        <f>J31/IF((J51+J52+J53)=0,1,(J51+J52+J53))</f>
        <v/>
      </c>
      <c r="K62" s="27">
        <f>K31/IF((K51+K52+K53)=0,1,(K51+K52+K53))</f>
        <v/>
      </c>
      <c r="L62" s="15">
        <f>L31/IF((L51+L52+L53)=0,1,(L51+L52+L53))</f>
        <v/>
      </c>
      <c r="M62" s="27">
        <f>M31/IF((M51+M52+M53)=0,1,(M51+M52+M53))</f>
        <v/>
      </c>
      <c r="N62" s="27">
        <f>N31/IF((N51+N52+N53)=0,1,(N51+N52+N53))</f>
        <v/>
      </c>
      <c r="O62" s="27">
        <f>O31/IF((O51+O52+O53)=0,1,(O51+O52+O53))</f>
        <v/>
      </c>
      <c r="P62" s="27">
        <f>P31/IF((P51+P52+P53)=0,1,(P51+P52+P53))</f>
        <v/>
      </c>
      <c r="Q62" s="15">
        <f>Q31/IF((Q51+Q52+Q53)=0,1,(Q51+Q52+Q53))</f>
        <v/>
      </c>
      <c r="R62" s="27">
        <f>R31/IF((R51+R52+R53)=0,1,(R51+R52+R53))</f>
        <v/>
      </c>
      <c r="S62" s="27">
        <f>S31/IF((S51+S52+S53)=0,1,(S51+S52+S53))</f>
        <v/>
      </c>
      <c r="T62" s="27">
        <f>T31/IF((T51+T52+T53)=0,1,(T51+T52+T53))</f>
        <v/>
      </c>
      <c r="U62" s="27">
        <f>U31/IF((U51+U52+U53)=0,1,(U51+U52+U53))</f>
        <v/>
      </c>
      <c r="V62" s="15">
        <f>V31/IF((V51+V52+V53)=0,1,(V51+V52+V53))</f>
        <v/>
      </c>
      <c r="W62" s="27">
        <f>W31/IF((W51+W52+W53)=0,1,(W51+W52+W53))</f>
        <v/>
      </c>
      <c r="X62" s="27">
        <f>X31/IF((X51+X52+X53)=0,1,(X51+X52+X53))</f>
        <v/>
      </c>
      <c r="Y62" s="27">
        <f>Y31/IF((Y51+Y52+Y53)=0,1,(Y51+Y52+Y53))</f>
        <v/>
      </c>
      <c r="Z62" s="27">
        <f>Z31/IF((Z51+Z52+Z53)=0,1,(Z51+Z52+Z53))</f>
        <v/>
      </c>
      <c r="AA62" s="15">
        <f>AA31/IF((AA51+AA52+AA53)=0,1,(AA51+AA52+AA53))</f>
        <v/>
      </c>
      <c r="AB62" s="27">
        <f>AB31/IF((AB51+AB52+AB53)=0,1,(AB51+AB52+AB53))</f>
        <v/>
      </c>
      <c r="AC62" s="27">
        <f>AC31/IF((AC51+AC52+AC53)=0,1,(AC51+AC52+AC53))</f>
        <v/>
      </c>
      <c r="AD62" s="27">
        <f>AD31/IF((AD51+AD52+AD53)=0,1,(AD51+AD52+AD53))</f>
        <v/>
      </c>
      <c r="AE62" s="27">
        <f>AE31/IF((AE51+AE52+AE53)=0,1,(AE51+AE52+AE53))</f>
        <v/>
      </c>
      <c r="AF62" s="15">
        <f>AF31/IF((AF51+AF52+AF53)=0,1,(AF51+AF52+AF53))</f>
        <v/>
      </c>
      <c r="AG62" s="27">
        <f>AG31/IF((AG51+AG52+AG53)=0,1,(AG51+AG52+AG53))</f>
        <v/>
      </c>
      <c r="AH62" s="27">
        <f>AH31/IF((AH51+AH52+AH53)=0,1,(AH51+AH52+AH53))</f>
        <v/>
      </c>
      <c r="AI62" s="27">
        <f>AI31/IF((AI51+AI52+AI53)=0,1,(AI51+AI52+AI53))</f>
        <v/>
      </c>
      <c r="AJ62" s="27">
        <f>AJ31/IF((AJ51+AJ52+AJ53)=0,1,(AJ51+AJ52+AJ53))</f>
        <v/>
      </c>
      <c r="AK62" s="15">
        <f>AK31/IF((AK51+AK52+AK53)=0,1,(AK51+AK52+AK53))</f>
        <v/>
      </c>
      <c r="AL62" s="27">
        <f>AL31/IF((AL51+AL52+AL53)=0,1,(AL51+AL52+AL53))</f>
        <v/>
      </c>
      <c r="AM62" s="27">
        <f>AM31/IF((AM51+AM52+AM53)=0,1,(AM51+AM52+AM53))</f>
        <v/>
      </c>
      <c r="AN62" s="27">
        <f>AN31/IF((AN51+AN52+AN53)=0,1,(AN51+AN52+AN53))</f>
        <v/>
      </c>
      <c r="AO62" s="27">
        <f>AO31/IF((AO51+AO52+AO53)=0,1,(AO51+AO52+AO53))</f>
        <v/>
      </c>
      <c r="AP62" s="15">
        <f>AP31/IF((AP51+AP52+AP53)=0,1,(AP51+AP52+AP53))</f>
        <v/>
      </c>
      <c r="AQ62" s="27">
        <f>AQ31/IF((AQ51+AQ52+AQ53)=0,1,(AQ51+AQ52+AQ53))</f>
        <v/>
      </c>
      <c r="AR62" s="27">
        <f>AR31/IF((AR51+AR52+AR53)=0,1,(AR51+AR52+AR53))</f>
        <v/>
      </c>
      <c r="AS62" s="27">
        <f>AS31/IF((AS51+AS52+AS53)=0,1,(AS51+AS52+AS53))</f>
        <v/>
      </c>
      <c r="AT62" s="27">
        <f>AT31/IF((AT51+AT52+AT53)=0,1,(AT51+AT52+AT53))</f>
        <v/>
      </c>
      <c r="AU62" s="15">
        <f>AU31/IF((AU51+AU52+AU53)=0,1,(AU51+AU52+AU53))</f>
        <v/>
      </c>
      <c r="AV62" s="27">
        <f>AV31/IF((AV51+AV52+AV53)=0,1,(AV51+AV52+AV53))</f>
        <v/>
      </c>
      <c r="AW62" s="27">
        <f>AW31/IF((AW51+AW52+AW53)=0,1,(AW51+AW52+AW53))</f>
        <v/>
      </c>
      <c r="AX62" s="27">
        <f>AX31/IF((AX51+AX52+AX53)=0,1,(AX51+AX52+AX53))</f>
        <v/>
      </c>
      <c r="AY62" s="27">
        <f>AY31/IF((AY51+AY52+AY53)=0,1,(AY51+AY52+AY53))</f>
        <v/>
      </c>
      <c r="AZ62" s="15">
        <f>AZ31/IF((AZ51+AZ52+AZ53)=0,1,(AZ51+AZ52+AZ53))</f>
        <v/>
      </c>
      <c r="BA62" s="27">
        <f>BA31/IF((BA51+BA52+BA53)=0,1,(BA51+BA52+BA53))</f>
        <v/>
      </c>
      <c r="BB62" s="27">
        <f>BB31/IF((BB51+BB52+BB53)=0,1,(BB51+BB52+BB53))</f>
        <v/>
      </c>
      <c r="BC62" s="27">
        <f>BC31/IF((BC51+BC52+BC53)=0,1,(BC51+BC52+BC53))</f>
        <v/>
      </c>
      <c r="BD62" s="27">
        <f>BD31/IF((BD51+BD52+BD53)=0,1,(BD51+BD52+BD53))</f>
        <v/>
      </c>
      <c r="BE62" s="15">
        <f>BE31/IF((BE51+BE52+BE53)=0,1,(BE51+BE52+BE53))</f>
        <v/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/>
      <c r="D63" s="24" t="n">
        <v>10</v>
      </c>
      <c r="E63" s="24" t="n">
        <v>10</v>
      </c>
      <c r="F63" s="24" t="n">
        <v>10</v>
      </c>
      <c r="G63" s="9" t="n">
        <v>10</v>
      </c>
      <c r="H63" s="24" t="n">
        <v>10</v>
      </c>
      <c r="I63" s="24" t="n">
        <v>10</v>
      </c>
      <c r="J63" s="24" t="n">
        <v>10</v>
      </c>
      <c r="K63" s="24" t="n">
        <v>10</v>
      </c>
      <c r="L63" s="9" t="n">
        <v>10</v>
      </c>
      <c r="M63" s="24" t="n">
        <v>10</v>
      </c>
      <c r="N63" s="24" t="n">
        <v>10</v>
      </c>
      <c r="O63" s="24" t="n">
        <v>10</v>
      </c>
      <c r="P63" s="24" t="n">
        <v>10</v>
      </c>
      <c r="Q63" s="9" t="n">
        <v>10</v>
      </c>
      <c r="R63" s="24" t="n">
        <v>10</v>
      </c>
      <c r="S63" s="24" t="n">
        <v>10</v>
      </c>
      <c r="T63" s="24" t="n">
        <v>10</v>
      </c>
      <c r="U63" s="24" t="n">
        <v>10</v>
      </c>
      <c r="V63" s="9" t="n">
        <v>10</v>
      </c>
      <c r="W63" s="24" t="n">
        <v>10</v>
      </c>
      <c r="X63" s="24" t="n">
        <v>10</v>
      </c>
      <c r="Y63" s="24" t="n">
        <v>10</v>
      </c>
      <c r="Z63" s="24" t="n">
        <v>10</v>
      </c>
      <c r="AA63" s="9" t="n">
        <v>10</v>
      </c>
      <c r="AB63" s="24" t="n">
        <v>10</v>
      </c>
      <c r="AC63" s="24" t="n">
        <v>10</v>
      </c>
      <c r="AD63" s="24" t="n">
        <v>10</v>
      </c>
      <c r="AE63" s="24" t="n">
        <v>5</v>
      </c>
      <c r="AF63" s="9" t="n">
        <v>5</v>
      </c>
      <c r="AG63" s="24" t="n">
        <v>5</v>
      </c>
      <c r="AH63" s="24" t="n">
        <v>5</v>
      </c>
      <c r="AI63" s="24" t="n">
        <v>5</v>
      </c>
      <c r="AJ63" s="24" t="n">
        <v>5</v>
      </c>
      <c r="AK63" s="9" t="n">
        <v>5</v>
      </c>
      <c r="AL63" s="24" t="n">
        <v>5</v>
      </c>
      <c r="AM63" s="24" t="n">
        <v>5</v>
      </c>
      <c r="AN63" s="24" t="n">
        <v>5</v>
      </c>
      <c r="AO63" s="24" t="n">
        <v>5</v>
      </c>
      <c r="AP63" s="9" t="n">
        <v>5</v>
      </c>
      <c r="AQ63" s="24" t="n">
        <v>5</v>
      </c>
      <c r="AR63" s="24" t="n">
        <v>5</v>
      </c>
      <c r="AS63" s="24" t="n">
        <v>5</v>
      </c>
      <c r="AT63" s="24" t="n">
        <v>5</v>
      </c>
      <c r="AU63" s="9" t="n">
        <v>5</v>
      </c>
      <c r="AV63" s="24" t="n">
        <v>5</v>
      </c>
      <c r="AW63" s="24" t="n">
        <v>5</v>
      </c>
      <c r="AX63" s="24" t="n">
        <v>5</v>
      </c>
      <c r="AY63" s="24" t="n">
        <v>5</v>
      </c>
      <c r="AZ63" s="9" t="n">
        <v>5</v>
      </c>
      <c r="BA63" s="24" t="n">
        <v>5</v>
      </c>
      <c r="BB63" s="24" t="n">
        <v>5</v>
      </c>
      <c r="BC63" s="24" t="n">
        <v>5</v>
      </c>
      <c r="BD63" s="24" t="n">
        <v>5</v>
      </c>
      <c r="BE63" s="9" t="n">
        <v>5</v>
      </c>
    </row>
    <row r="64" ht="16" customHeight="1">
      <c r="A64" s="10" t="inlineStr">
        <is>
          <t>DERIVED</t>
        </is>
      </c>
      <c r="B64" s="11" t="inlineStr">
        <is>
          <t>No. of Shares (Cr.)</t>
        </is>
      </c>
      <c r="C64" s="16">
        <f>IF(C63=0,0,C51/C63)</f>
        <v/>
      </c>
      <c r="D64" s="16">
        <f>IF(D63=0,0,D51/D63)</f>
        <v/>
      </c>
      <c r="E64" s="16">
        <f>IF(E63=0,0,E51/E63)</f>
        <v/>
      </c>
      <c r="F64" s="16">
        <f>IF(F63=0,0,F51/F63)</f>
        <v/>
      </c>
      <c r="G64" s="9">
        <f>IF(G63=0,0,G51/G63)</f>
        <v/>
      </c>
      <c r="H64" s="16">
        <f>IF(H63=0,0,H51/H63)</f>
        <v/>
      </c>
      <c r="I64" s="16">
        <f>IF(I63=0,0,I51/I63)</f>
        <v/>
      </c>
      <c r="J64" s="16">
        <f>IF(J63=0,0,J51/J63)</f>
        <v/>
      </c>
      <c r="K64" s="16">
        <f>IF(K63=0,0,K51/K63)</f>
        <v/>
      </c>
      <c r="L64" s="9">
        <f>IF(L63=0,0,L51/L63)</f>
        <v/>
      </c>
      <c r="M64" s="16">
        <f>IF(M63=0,0,M51/M63)</f>
        <v/>
      </c>
      <c r="N64" s="16">
        <f>IF(N63=0,0,N51/N63)</f>
        <v/>
      </c>
      <c r="O64" s="16">
        <f>IF(O63=0,0,O51/O63)</f>
        <v/>
      </c>
      <c r="P64" s="16">
        <f>IF(P63=0,0,P51/P63)</f>
        <v/>
      </c>
      <c r="Q64" s="9">
        <f>IF(Q63=0,0,Q51/Q63)</f>
        <v/>
      </c>
      <c r="R64" s="16">
        <f>IF(R63=0,0,R51/R63)</f>
        <v/>
      </c>
      <c r="S64" s="16">
        <f>IF(S63=0,0,S51/S63)</f>
        <v/>
      </c>
      <c r="T64" s="16">
        <f>IF(T63=0,0,T51/T63)</f>
        <v/>
      </c>
      <c r="U64" s="16">
        <f>IF(U63=0,0,U51/U63)</f>
        <v/>
      </c>
      <c r="V64" s="9">
        <f>IF(V63=0,0,V51/V63)</f>
        <v/>
      </c>
      <c r="W64" s="16">
        <f>IF(W63=0,0,W51/W63)</f>
        <v/>
      </c>
      <c r="X64" s="16">
        <f>IF(X63=0,0,X51/X63)</f>
        <v/>
      </c>
      <c r="Y64" s="16">
        <f>IF(Y63=0,0,Y51/Y63)</f>
        <v/>
      </c>
      <c r="Z64" s="16">
        <f>IF(Z63=0,0,Z51/Z63)</f>
        <v/>
      </c>
      <c r="AA64" s="9">
        <f>IF(AA63=0,0,AA51/AA63)</f>
        <v/>
      </c>
      <c r="AB64" s="16">
        <f>IF(AB63=0,0,AB51/AB63)</f>
        <v/>
      </c>
      <c r="AC64" s="16">
        <f>IF(AC63=0,0,AC51/AC63)</f>
        <v/>
      </c>
      <c r="AD64" s="16">
        <f>IF(AD63=0,0,AD51/AD63)</f>
        <v/>
      </c>
      <c r="AE64" s="16">
        <f>IF(AE63=0,0,AE51/AE63)</f>
        <v/>
      </c>
      <c r="AF64" s="9">
        <f>IF(AF63=0,0,AF51/AF63)</f>
        <v/>
      </c>
      <c r="AG64" s="16">
        <f>IF(AG63=0,0,AG51/AG63)</f>
        <v/>
      </c>
      <c r="AH64" s="16">
        <f>IF(AH63=0,0,AH51/AH63)</f>
        <v/>
      </c>
      <c r="AI64" s="16">
        <f>IF(AI63=0,0,AI51/AI63)</f>
        <v/>
      </c>
      <c r="AJ64" s="16">
        <f>IF(AJ63=0,0,AJ51/AJ63)</f>
        <v/>
      </c>
      <c r="AK64" s="9">
        <f>IF(AK63=0,0,AK51/AK63)</f>
        <v/>
      </c>
      <c r="AL64" s="16">
        <f>IF(AL63=0,0,AL51/AL63)</f>
        <v/>
      </c>
      <c r="AM64" s="16">
        <f>IF(AM63=0,0,AM51/AM63)</f>
        <v/>
      </c>
      <c r="AN64" s="16">
        <f>IF(AN63=0,0,AN51/AN63)</f>
        <v/>
      </c>
      <c r="AO64" s="16">
        <f>IF(AO63=0,0,AO51/AO63)</f>
        <v/>
      </c>
      <c r="AP64" s="9">
        <f>IF(AP63=0,0,AP51/AP63)</f>
        <v/>
      </c>
      <c r="AQ64" s="16">
        <f>IF(AQ63=0,0,AQ51/AQ63)</f>
        <v/>
      </c>
      <c r="AR64" s="16">
        <f>IF(AR63=0,0,AR51/AR63)</f>
        <v/>
      </c>
      <c r="AS64" s="16">
        <f>IF(AS63=0,0,AS51/AS63)</f>
        <v/>
      </c>
      <c r="AT64" s="16">
        <f>IF(AT63=0,0,AT51/AT63)</f>
        <v/>
      </c>
      <c r="AU64" s="9">
        <f>IF(AU63=0,0,AU51/AU63)</f>
        <v/>
      </c>
      <c r="AV64" s="16">
        <f>IF(AV63=0,0,AV51/AV63)</f>
        <v/>
      </c>
      <c r="AW64" s="16">
        <f>IF(AW63=0,0,AW51/AW63)</f>
        <v/>
      </c>
      <c r="AX64" s="16">
        <f>IF(AX63=0,0,AX51/AX63)</f>
        <v/>
      </c>
      <c r="AY64" s="16">
        <f>IF(AY63=0,0,AY51/AY63)</f>
        <v/>
      </c>
      <c r="AZ64" s="9">
        <f>IF(AZ63=0,0,AZ51/AZ63)</f>
        <v/>
      </c>
      <c r="BA64" s="16">
        <f>IF(BA63=0,0,BA51/BA63)</f>
        <v/>
      </c>
      <c r="BB64" s="16">
        <f>IF(BB63=0,0,BB51/BB63)</f>
        <v/>
      </c>
      <c r="BC64" s="16">
        <f>IF(BC63=0,0,BC51/BC63)</f>
        <v/>
      </c>
      <c r="BD64" s="16">
        <f>IF(BD63=0,0,BD51/BD63)</f>
        <v/>
      </c>
      <c r="BE64" s="9">
        <f>IF(BE63=0,0,BE51/BE63)</f>
        <v/>
      </c>
    </row>
    <row r="65" ht="16" customHeight="1">
      <c r="A65" s="18" t="inlineStr"/>
      <c r="B65" s="19" t="inlineStr">
        <is>
          <t>CMP (Rs.)</t>
        </is>
      </c>
      <c r="C65" s="20" t="n"/>
      <c r="D65" s="20" t="n"/>
      <c r="E65" s="20" t="n"/>
      <c r="F65" s="20" t="n"/>
      <c r="G65" s="13" t="n"/>
      <c r="H65" s="20" t="n"/>
      <c r="I65" s="20" t="n"/>
      <c r="J65" s="20" t="n"/>
      <c r="K65" s="20" t="n"/>
      <c r="L65" s="13" t="n"/>
      <c r="M65" s="20" t="n"/>
      <c r="N65" s="20" t="n"/>
      <c r="O65" s="20" t="n"/>
      <c r="P65" s="20" t="n"/>
      <c r="Q65" s="13" t="n"/>
      <c r="R65" s="20" t="n"/>
      <c r="S65" s="20" t="n"/>
      <c r="T65" s="20" t="n"/>
      <c r="U65" s="20" t="n"/>
      <c r="V65" s="13" t="n"/>
      <c r="W65" s="20" t="n"/>
      <c r="X65" s="20" t="n"/>
      <c r="Y65" s="20" t="n"/>
      <c r="Z65" s="20" t="n"/>
      <c r="AA65" s="13" t="n"/>
      <c r="AB65" s="20" t="n"/>
      <c r="AC65" s="20" t="n"/>
      <c r="AD65" s="20" t="n"/>
      <c r="AE65" s="20" t="n"/>
      <c r="AF65" s="13" t="n"/>
      <c r="AG65" s="20" t="n"/>
      <c r="AH65" s="20" t="n"/>
      <c r="AI65" s="20" t="n"/>
      <c r="AJ65" s="20" t="n"/>
      <c r="AK65" s="13" t="n"/>
      <c r="AL65" s="20" t="n"/>
      <c r="AM65" s="20" t="n"/>
      <c r="AN65" s="20" t="n"/>
      <c r="AO65" s="20" t="n"/>
      <c r="AP65" s="13" t="n"/>
      <c r="AQ65" s="20" t="n"/>
      <c r="AR65" s="20" t="n"/>
      <c r="AS65" s="20" t="n"/>
      <c r="AT65" s="20" t="n"/>
      <c r="AU65" s="13" t="n"/>
      <c r="AV65" s="20" t="n"/>
      <c r="AW65" s="20" t="n"/>
      <c r="AX65" s="20" t="n"/>
      <c r="AY65" s="20" t="n"/>
      <c r="AZ65" s="13" t="n"/>
      <c r="BA65" s="20" t="n"/>
      <c r="BB65" s="20" t="n"/>
      <c r="BC65" s="20" t="n"/>
      <c r="BD65" s="20" t="n"/>
      <c r="BE65" s="13" t="n"/>
    </row>
    <row r="66" ht="16" customHeight="1">
      <c r="A66" s="18" t="inlineStr"/>
      <c r="B66" s="19" t="inlineStr">
        <is>
          <t>Market Cap (Rs. Cr.)</t>
        </is>
      </c>
      <c r="C66" s="20" t="n"/>
      <c r="D66" s="20" t="n"/>
      <c r="E66" s="20" t="n"/>
      <c r="F66" s="20" t="n"/>
      <c r="G66" s="13" t="n"/>
      <c r="H66" s="20" t="n"/>
      <c r="I66" s="20" t="n"/>
      <c r="J66" s="20" t="n"/>
      <c r="K66" s="20" t="n"/>
      <c r="L66" s="13" t="n"/>
      <c r="M66" s="20" t="n"/>
      <c r="N66" s="20" t="n"/>
      <c r="O66" s="20" t="n"/>
      <c r="P66" s="20" t="n"/>
      <c r="Q66" s="13" t="n"/>
      <c r="R66" s="20" t="n"/>
      <c r="S66" s="20" t="n"/>
      <c r="T66" s="20" t="n"/>
      <c r="U66" s="20" t="n"/>
      <c r="V66" s="13" t="n"/>
      <c r="W66" s="20" t="n"/>
      <c r="X66" s="20" t="n"/>
      <c r="Y66" s="20" t="n"/>
      <c r="Z66" s="20" t="n"/>
      <c r="AA66" s="13" t="n"/>
      <c r="AB66" s="20" t="n"/>
      <c r="AC66" s="20" t="n"/>
      <c r="AD66" s="20" t="n"/>
      <c r="AE66" s="20" t="n"/>
      <c r="AF66" s="13" t="n"/>
      <c r="AG66" s="20" t="n"/>
      <c r="AH66" s="20" t="n"/>
      <c r="AI66" s="20" t="n"/>
      <c r="AJ66" s="20" t="n"/>
      <c r="AK66" s="13" t="n"/>
      <c r="AL66" s="20" t="n"/>
      <c r="AM66" s="20" t="n"/>
      <c r="AN66" s="20" t="n"/>
      <c r="AO66" s="20" t="n"/>
      <c r="AP66" s="13" t="n"/>
      <c r="AQ66" s="20" t="n"/>
      <c r="AR66" s="20" t="n"/>
      <c r="AS66" s="20" t="n"/>
      <c r="AT66" s="20" t="n"/>
      <c r="AU66" s="13" t="n"/>
      <c r="AV66" s="20" t="n"/>
      <c r="AW66" s="20" t="n"/>
      <c r="AX66" s="20" t="n"/>
      <c r="AY66" s="20" t="n"/>
      <c r="AZ66" s="13" t="n"/>
      <c r="BA66" s="20" t="n"/>
      <c r="BB66" s="20" t="n"/>
      <c r="BC66" s="20" t="n"/>
      <c r="BD66" s="20" t="n"/>
      <c r="BE66" s="13" t="n"/>
    </row>
    <row r="67" ht="16" customHeight="1">
      <c r="A67" s="18" t="inlineStr"/>
      <c r="B67" s="19" t="inlineStr">
        <is>
          <t>PE (x)</t>
        </is>
      </c>
      <c r="C67" s="20" t="n"/>
      <c r="D67" s="20" t="n"/>
      <c r="E67" s="20" t="n"/>
      <c r="F67" s="20" t="n"/>
      <c r="G67" s="13" t="n"/>
      <c r="H67" s="20" t="n"/>
      <c r="I67" s="20" t="n"/>
      <c r="J67" s="20" t="n"/>
      <c r="K67" s="20" t="n"/>
      <c r="L67" s="13" t="n"/>
      <c r="M67" s="20" t="n"/>
      <c r="N67" s="20" t="n"/>
      <c r="O67" s="20" t="n"/>
      <c r="P67" s="20" t="n"/>
      <c r="Q67" s="13" t="n"/>
      <c r="R67" s="20" t="n"/>
      <c r="S67" s="20" t="n"/>
      <c r="T67" s="20" t="n"/>
      <c r="U67" s="20" t="n"/>
      <c r="V67" s="13" t="n"/>
      <c r="W67" s="20" t="n"/>
      <c r="X67" s="20" t="n"/>
      <c r="Y67" s="20" t="n"/>
      <c r="Z67" s="20" t="n"/>
      <c r="AA67" s="13" t="n"/>
      <c r="AB67" s="20" t="n"/>
      <c r="AC67" s="20" t="n"/>
      <c r="AD67" s="20" t="n"/>
      <c r="AE67" s="20" t="n"/>
      <c r="AF67" s="13" t="n"/>
      <c r="AG67" s="20" t="n"/>
      <c r="AH67" s="20" t="n"/>
      <c r="AI67" s="20" t="n"/>
      <c r="AJ67" s="20" t="n"/>
      <c r="AK67" s="13" t="n"/>
      <c r="AL67" s="20" t="n"/>
      <c r="AM67" s="20" t="n"/>
      <c r="AN67" s="20" t="n"/>
      <c r="AO67" s="20" t="n"/>
      <c r="AP67" s="13" t="n"/>
      <c r="AQ67" s="20" t="n"/>
      <c r="AR67" s="20" t="n"/>
      <c r="AS67" s="20" t="n"/>
      <c r="AT67" s="20" t="n"/>
      <c r="AU67" s="13" t="n"/>
      <c r="AV67" s="20" t="n"/>
      <c r="AW67" s="20" t="n"/>
      <c r="AX67" s="20" t="n"/>
      <c r="AY67" s="20" t="n"/>
      <c r="AZ67" s="13" t="n"/>
      <c r="BA67" s="20" t="n"/>
      <c r="BB67" s="20" t="n"/>
      <c r="BC67" s="20" t="n"/>
      <c r="BD67" s="20" t="n"/>
      <c r="BE67" s="13" t="n"/>
    </row>
    <row r="68" ht="16" customHeight="1">
      <c r="A68" s="18" t="inlineStr"/>
      <c r="B68" s="19" t="inlineStr">
        <is>
          <t>Target Multiple (x)</t>
        </is>
      </c>
      <c r="C68" s="20" t="n"/>
      <c r="D68" s="20" t="n"/>
      <c r="E68" s="20" t="n"/>
      <c r="F68" s="20" t="n"/>
      <c r="G68" s="13" t="n"/>
      <c r="H68" s="20" t="n"/>
      <c r="I68" s="20" t="n"/>
      <c r="J68" s="20" t="n"/>
      <c r="K68" s="20" t="n"/>
      <c r="L68" s="13" t="n"/>
      <c r="M68" s="20" t="n"/>
      <c r="N68" s="20" t="n"/>
      <c r="O68" s="20" t="n"/>
      <c r="P68" s="20" t="n"/>
      <c r="Q68" s="13" t="n"/>
      <c r="R68" s="20" t="n"/>
      <c r="S68" s="20" t="n"/>
      <c r="T68" s="20" t="n"/>
      <c r="U68" s="20" t="n"/>
      <c r="V68" s="13" t="n"/>
      <c r="W68" s="20" t="n"/>
      <c r="X68" s="20" t="n"/>
      <c r="Y68" s="20" t="n"/>
      <c r="Z68" s="20" t="n"/>
      <c r="AA68" s="13" t="n"/>
      <c r="AB68" s="20" t="n"/>
      <c r="AC68" s="20" t="n"/>
      <c r="AD68" s="20" t="n"/>
      <c r="AE68" s="20" t="n"/>
      <c r="AF68" s="13" t="n"/>
      <c r="AG68" s="20" t="n"/>
      <c r="AH68" s="20" t="n"/>
      <c r="AI68" s="20" t="n"/>
      <c r="AJ68" s="20" t="n"/>
      <c r="AK68" s="13" t="n"/>
      <c r="AL68" s="20" t="n"/>
      <c r="AM68" s="20" t="n"/>
      <c r="AN68" s="20" t="n"/>
      <c r="AO68" s="20" t="n"/>
      <c r="AP68" s="13" t="n"/>
      <c r="AQ68" s="20" t="n"/>
      <c r="AR68" s="20" t="n"/>
      <c r="AS68" s="20" t="n"/>
      <c r="AT68" s="20" t="n"/>
      <c r="AU68" s="13" t="n"/>
      <c r="AV68" s="20" t="n"/>
      <c r="AW68" s="20" t="n"/>
      <c r="AX68" s="20" t="n"/>
      <c r="AY68" s="20" t="n"/>
      <c r="AZ68" s="13" t="n"/>
      <c r="BA68" s="20" t="n"/>
      <c r="BB68" s="20" t="n"/>
      <c r="BC68" s="20" t="n"/>
      <c r="BD68" s="20" t="n"/>
      <c r="BE68" s="13" t="n"/>
    </row>
    <row r="69" ht="16" customHeight="1">
      <c r="A69" s="18" t="inlineStr"/>
      <c r="B69" s="19" t="inlineStr">
        <is>
          <t>Target Price (Rs.)</t>
        </is>
      </c>
      <c r="C69" s="20" t="n"/>
      <c r="D69" s="20" t="n"/>
      <c r="E69" s="20" t="n"/>
      <c r="F69" s="20" t="n"/>
      <c r="G69" s="13" t="n"/>
      <c r="H69" s="20" t="n"/>
      <c r="I69" s="20" t="n"/>
      <c r="J69" s="20" t="n"/>
      <c r="K69" s="20" t="n"/>
      <c r="L69" s="13" t="n"/>
      <c r="M69" s="20" t="n"/>
      <c r="N69" s="20" t="n"/>
      <c r="O69" s="20" t="n"/>
      <c r="P69" s="20" t="n"/>
      <c r="Q69" s="13" t="n"/>
      <c r="R69" s="20" t="n"/>
      <c r="S69" s="20" t="n"/>
      <c r="T69" s="20" t="n"/>
      <c r="U69" s="20" t="n"/>
      <c r="V69" s="13" t="n"/>
      <c r="W69" s="20" t="n"/>
      <c r="X69" s="20" t="n"/>
      <c r="Y69" s="20" t="n"/>
      <c r="Z69" s="20" t="n"/>
      <c r="AA69" s="13" t="n"/>
      <c r="AB69" s="20" t="n"/>
      <c r="AC69" s="20" t="n"/>
      <c r="AD69" s="20" t="n"/>
      <c r="AE69" s="20" t="n"/>
      <c r="AF69" s="13" t="n"/>
      <c r="AG69" s="20" t="n"/>
      <c r="AH69" s="20" t="n"/>
      <c r="AI69" s="20" t="n"/>
      <c r="AJ69" s="20" t="n"/>
      <c r="AK69" s="13" t="n"/>
      <c r="AL69" s="20" t="n"/>
      <c r="AM69" s="20" t="n"/>
      <c r="AN69" s="20" t="n"/>
      <c r="AO69" s="20" t="n"/>
      <c r="AP69" s="13" t="n"/>
      <c r="AQ69" s="20" t="n"/>
      <c r="AR69" s="20" t="n"/>
      <c r="AS69" s="20" t="n"/>
      <c r="AT69" s="20" t="n"/>
      <c r="AU69" s="13" t="n"/>
      <c r="AV69" s="20" t="n"/>
      <c r="AW69" s="20" t="n"/>
      <c r="AX69" s="20" t="n"/>
      <c r="AY69" s="20" t="n"/>
      <c r="AZ69" s="13" t="n"/>
      <c r="BA69" s="20" t="n"/>
      <c r="BB69" s="20" t="n"/>
      <c r="BC69" s="20" t="n"/>
      <c r="BD69" s="20" t="n"/>
      <c r="BE69" s="13" t="n"/>
    </row>
    <row r="70" ht="16" customHeight="1">
      <c r="A70" s="18" t="inlineStr"/>
      <c r="B70" s="19" t="inlineStr">
        <is>
          <t>Upside (%)</t>
        </is>
      </c>
      <c r="C70" s="20" t="n"/>
      <c r="D70" s="20" t="n"/>
      <c r="E70" s="20" t="n"/>
      <c r="F70" s="20" t="n"/>
      <c r="G70" s="13" t="n"/>
      <c r="H70" s="20" t="n"/>
      <c r="I70" s="20" t="n"/>
      <c r="J70" s="20" t="n"/>
      <c r="K70" s="20" t="n"/>
      <c r="L70" s="13" t="n"/>
      <c r="M70" s="20" t="n"/>
      <c r="N70" s="20" t="n"/>
      <c r="O70" s="20" t="n"/>
      <c r="P70" s="20" t="n"/>
      <c r="Q70" s="13" t="n"/>
      <c r="R70" s="20" t="n"/>
      <c r="S70" s="20" t="n"/>
      <c r="T70" s="20" t="n"/>
      <c r="U70" s="20" t="n"/>
      <c r="V70" s="13" t="n"/>
      <c r="W70" s="20" t="n"/>
      <c r="X70" s="20" t="n"/>
      <c r="Y70" s="20" t="n"/>
      <c r="Z70" s="20" t="n"/>
      <c r="AA70" s="13" t="n"/>
      <c r="AB70" s="20" t="n"/>
      <c r="AC70" s="20" t="n"/>
      <c r="AD70" s="20" t="n"/>
      <c r="AE70" s="20" t="n"/>
      <c r="AF70" s="13" t="n"/>
      <c r="AG70" s="20" t="n"/>
      <c r="AH70" s="20" t="n"/>
      <c r="AI70" s="20" t="n"/>
      <c r="AJ70" s="20" t="n"/>
      <c r="AK70" s="13" t="n"/>
      <c r="AL70" s="20" t="n"/>
      <c r="AM70" s="20" t="n"/>
      <c r="AN70" s="20" t="n"/>
      <c r="AO70" s="20" t="n"/>
      <c r="AP70" s="13" t="n"/>
      <c r="AQ70" s="20" t="n"/>
      <c r="AR70" s="20" t="n"/>
      <c r="AS70" s="20" t="n"/>
      <c r="AT70" s="20" t="n"/>
      <c r="AU70" s="13" t="n"/>
      <c r="AV70" s="20" t="n"/>
      <c r="AW70" s="20" t="n"/>
      <c r="AX70" s="20" t="n"/>
      <c r="AY70" s="20" t="n"/>
      <c r="AZ70" s="13" t="n"/>
      <c r="BA70" s="20" t="n"/>
      <c r="BB70" s="20" t="n"/>
      <c r="BC70" s="20" t="n"/>
      <c r="BD70" s="20" t="n"/>
      <c r="BE70" s="13" t="n"/>
    </row>
    <row r="71" ht="16" customHeight="1">
      <c r="A71" s="18" t="inlineStr"/>
      <c r="B71" s="19" t="inlineStr"/>
      <c r="C71" s="20" t="n"/>
      <c r="D71" s="20" t="n"/>
      <c r="E71" s="20" t="n"/>
      <c r="F71" s="20" t="n"/>
      <c r="G71" s="13" t="n"/>
      <c r="H71" s="20" t="n"/>
      <c r="I71" s="20" t="n"/>
      <c r="J71" s="20" t="n"/>
      <c r="K71" s="20" t="n"/>
      <c r="L71" s="13" t="n"/>
      <c r="M71" s="20" t="n"/>
      <c r="N71" s="20" t="n"/>
      <c r="O71" s="20" t="n"/>
      <c r="P71" s="20" t="n"/>
      <c r="Q71" s="13" t="n"/>
      <c r="R71" s="20" t="n"/>
      <c r="S71" s="20" t="n"/>
      <c r="T71" s="20" t="n"/>
      <c r="U71" s="20" t="n"/>
      <c r="V71" s="13" t="n"/>
      <c r="W71" s="20" t="n"/>
      <c r="X71" s="20" t="n"/>
      <c r="Y71" s="20" t="n"/>
      <c r="Z71" s="20" t="n"/>
      <c r="AA71" s="13" t="n"/>
      <c r="AB71" s="20" t="n"/>
      <c r="AC71" s="20" t="n"/>
      <c r="AD71" s="20" t="n"/>
      <c r="AE71" s="20" t="n"/>
      <c r="AF71" s="13" t="n"/>
      <c r="AG71" s="20" t="n"/>
      <c r="AH71" s="20" t="n"/>
      <c r="AI71" s="20" t="n"/>
      <c r="AJ71" s="20" t="n"/>
      <c r="AK71" s="13" t="n"/>
      <c r="AL71" s="20" t="n"/>
      <c r="AM71" s="20" t="n"/>
      <c r="AN71" s="20" t="n"/>
      <c r="AO71" s="20" t="n"/>
      <c r="AP71" s="13" t="n"/>
      <c r="AQ71" s="20" t="n"/>
      <c r="AR71" s="20" t="n"/>
      <c r="AS71" s="20" t="n"/>
      <c r="AT71" s="20" t="n"/>
      <c r="AU71" s="13" t="n"/>
      <c r="AV71" s="20" t="n"/>
      <c r="AW71" s="20" t="n"/>
      <c r="AX71" s="20" t="n"/>
      <c r="AY71" s="20" t="n"/>
      <c r="AZ71" s="13" t="n"/>
      <c r="BA71" s="20" t="n"/>
      <c r="BB71" s="20" t="n"/>
      <c r="BC71" s="20" t="n"/>
      <c r="BD71" s="20" t="n"/>
      <c r="BE71" s="13" t="n"/>
    </row>
    <row r="72" ht="16" customHeight="1">
      <c r="A72" s="21" t="inlineStr">
        <is>
          <t>BS</t>
        </is>
      </c>
      <c r="B72" s="22" t="inlineStr">
        <is>
          <t>Working Capital</t>
        </is>
      </c>
      <c r="C72" s="23" t="n"/>
      <c r="D72" s="23" t="n"/>
      <c r="E72" s="23" t="n"/>
      <c r="F72" s="23" t="n"/>
      <c r="G72" s="13" t="n"/>
      <c r="H72" s="23" t="n"/>
      <c r="I72" s="23" t="n"/>
      <c r="J72" s="23" t="n"/>
      <c r="K72" s="23" t="n"/>
      <c r="L72" s="13" t="n"/>
      <c r="M72" s="23" t="n"/>
      <c r="N72" s="23" t="n"/>
      <c r="O72" s="23" t="n"/>
      <c r="P72" s="23" t="n"/>
      <c r="Q72" s="13" t="n"/>
      <c r="R72" s="23" t="n"/>
      <c r="S72" s="23" t="n"/>
      <c r="T72" s="23" t="n"/>
      <c r="U72" s="23" t="n"/>
      <c r="V72" s="13" t="n"/>
      <c r="W72" s="23" t="n"/>
      <c r="X72" s="23" t="n"/>
      <c r="Y72" s="23" t="n"/>
      <c r="Z72" s="23" t="n"/>
      <c r="AA72" s="13" t="n"/>
      <c r="AB72" s="23" t="n"/>
      <c r="AC72" s="23" t="n"/>
      <c r="AD72" s="23" t="n"/>
      <c r="AE72" s="23" t="n"/>
      <c r="AF72" s="13" t="n"/>
      <c r="AG72" s="23" t="n"/>
      <c r="AH72" s="23" t="n"/>
      <c r="AI72" s="23" t="n"/>
      <c r="AJ72" s="23" t="n"/>
      <c r="AK72" s="13" t="n"/>
      <c r="AL72" s="23" t="n"/>
      <c r="AM72" s="23" t="n"/>
      <c r="AN72" s="23" t="n"/>
      <c r="AO72" s="23" t="n"/>
      <c r="AP72" s="13" t="n"/>
      <c r="AQ72" s="23" t="n"/>
      <c r="AR72" s="23" t="n"/>
      <c r="AS72" s="23" t="n"/>
      <c r="AT72" s="23" t="n"/>
      <c r="AU72" s="13" t="n"/>
      <c r="AV72" s="23" t="n"/>
      <c r="AW72" s="23" t="n"/>
      <c r="AX72" s="23" t="n"/>
      <c r="AY72" s="23" t="n"/>
      <c r="AZ72" s="13" t="n"/>
      <c r="BA72" s="23" t="n"/>
      <c r="BB72" s="23" t="n"/>
      <c r="BC72" s="23" t="n"/>
      <c r="BD72" s="23" t="n"/>
      <c r="BE72" s="13" t="n"/>
    </row>
    <row r="73" ht="16" customHeight="1">
      <c r="A73" s="29" t="inlineStr">
        <is>
          <t>CF</t>
        </is>
      </c>
      <c r="B73" s="30" t="inlineStr">
        <is>
          <t>OCF</t>
        </is>
      </c>
      <c r="C73" s="31" t="n"/>
      <c r="D73" s="31" t="n"/>
      <c r="E73" s="31" t="n"/>
      <c r="F73" s="31" t="n"/>
      <c r="G73" s="9">
        <f>SUM(C73:F73)</f>
        <v/>
      </c>
      <c r="H73" s="31" t="n"/>
      <c r="I73" s="31" t="n"/>
      <c r="J73" s="31" t="n"/>
      <c r="K73" s="31" t="n"/>
      <c r="L73" s="9">
        <f>SUM(H73:K73)</f>
        <v/>
      </c>
      <c r="M73" s="31" t="n"/>
      <c r="N73" s="31" t="n"/>
      <c r="O73" s="31" t="n"/>
      <c r="P73" s="31" t="n"/>
      <c r="Q73" s="9">
        <f>SUM(M73:P73)</f>
        <v/>
      </c>
      <c r="R73" s="31" t="n"/>
      <c r="S73" s="32" t="n">
        <v>15.2</v>
      </c>
      <c r="T73" s="31" t="n"/>
      <c r="U73" s="32" t="n">
        <v>28.5</v>
      </c>
      <c r="V73" s="9">
        <f>SUM(R73:U73)</f>
        <v/>
      </c>
      <c r="W73" s="31" t="n"/>
      <c r="X73" s="32" t="n">
        <v>15.5</v>
      </c>
      <c r="Y73" s="31" t="n"/>
      <c r="Z73" s="32" t="n">
        <v>65.90000000000001</v>
      </c>
      <c r="AA73" s="9">
        <f>SUM(W73:Z73)</f>
        <v/>
      </c>
      <c r="AB73" s="31" t="n"/>
      <c r="AC73" s="32" t="n">
        <v>32.9</v>
      </c>
      <c r="AD73" s="31" t="n"/>
      <c r="AE73" s="32" t="n">
        <v>81.40000000000001</v>
      </c>
      <c r="AF73" s="9">
        <f>SUM(AB73:AE73)</f>
        <v/>
      </c>
      <c r="AG73" s="31" t="n"/>
      <c r="AH73" s="32" t="n">
        <v>7.9</v>
      </c>
      <c r="AI73" s="31" t="n"/>
      <c r="AJ73" s="32" t="n">
        <v>10.6</v>
      </c>
      <c r="AK73" s="9">
        <f>SUM(AG73:AJ73)</f>
        <v/>
      </c>
      <c r="AL73" s="31" t="n"/>
      <c r="AM73" s="32" t="n">
        <v>2.5</v>
      </c>
      <c r="AN73" s="31" t="n"/>
      <c r="AO73" s="32" t="n">
        <v>66.2</v>
      </c>
      <c r="AP73" s="9">
        <f>SUM(AL73:AO73)</f>
        <v/>
      </c>
      <c r="AQ73" s="31" t="n"/>
      <c r="AR73" s="32" t="n">
        <v>85.09999999999999</v>
      </c>
      <c r="AS73" s="31" t="n"/>
      <c r="AT73" s="32" t="n">
        <v>112.9</v>
      </c>
      <c r="AU73" s="9">
        <f>SUM(AQ73:AT73)</f>
        <v/>
      </c>
      <c r="AV73" s="31" t="n"/>
      <c r="AW73" s="32" t="n">
        <v>49.4</v>
      </c>
      <c r="AX73" s="31" t="n"/>
      <c r="AY73" s="32" t="n">
        <v>107.4</v>
      </c>
      <c r="AZ73" s="9">
        <f>SUM(AV73:AY73)</f>
        <v/>
      </c>
      <c r="BA73" s="31" t="n"/>
      <c r="BB73" s="32" t="n">
        <v>75.3</v>
      </c>
      <c r="BC73" s="31" t="n"/>
      <c r="BD73" s="32" t="n">
        <v>177.4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/>
      <c r="D74" s="31" t="n"/>
      <c r="E74" s="31" t="n"/>
      <c r="F74" s="31" t="n"/>
      <c r="G74" s="9">
        <f>SUM(C74:F74)</f>
        <v/>
      </c>
      <c r="H74" s="31" t="n"/>
      <c r="I74" s="31" t="n"/>
      <c r="J74" s="31" t="n"/>
      <c r="K74" s="31" t="n"/>
      <c r="L74" s="9">
        <f>SUM(H74:K74)</f>
        <v/>
      </c>
      <c r="M74" s="31" t="n"/>
      <c r="N74" s="31" t="n"/>
      <c r="O74" s="31" t="n"/>
      <c r="P74" s="31" t="n"/>
      <c r="Q74" s="9">
        <f>SUM(M74:P74)</f>
        <v/>
      </c>
      <c r="R74" s="31" t="n"/>
      <c r="S74" s="32" t="n">
        <v>-19</v>
      </c>
      <c r="T74" s="31" t="n"/>
      <c r="U74" s="32" t="n">
        <v>-45.6</v>
      </c>
      <c r="V74" s="9">
        <f>SUM(R74:U74)</f>
        <v/>
      </c>
      <c r="W74" s="31" t="n"/>
      <c r="X74" s="32" t="n">
        <v>-15.9</v>
      </c>
      <c r="Y74" s="31" t="n"/>
      <c r="Z74" s="32" t="n">
        <v>-24.4</v>
      </c>
      <c r="AA74" s="9">
        <f>SUM(W74:Z74)</f>
        <v/>
      </c>
      <c r="AB74" s="31" t="n"/>
      <c r="AC74" s="32" t="n">
        <v>-4.7</v>
      </c>
      <c r="AD74" s="31" t="n"/>
      <c r="AE74" s="32" t="n">
        <v>-6.6</v>
      </c>
      <c r="AF74" s="9">
        <f>SUM(AB74:AE74)</f>
        <v/>
      </c>
      <c r="AG74" s="31" t="n"/>
      <c r="AH74" s="32" t="n">
        <v>-8.4</v>
      </c>
      <c r="AI74" s="31" t="n"/>
      <c r="AJ74" s="32" t="n">
        <v>-14.4</v>
      </c>
      <c r="AK74" s="9">
        <f>SUM(AG74:AJ74)</f>
        <v/>
      </c>
      <c r="AL74" s="31" t="n"/>
      <c r="AM74" s="32" t="n">
        <v>-18.2</v>
      </c>
      <c r="AN74" s="31" t="n"/>
      <c r="AO74" s="32" t="n">
        <v>-26.1</v>
      </c>
      <c r="AP74" s="9">
        <f>SUM(AL74:AO74)</f>
        <v/>
      </c>
      <c r="AQ74" s="31" t="n"/>
      <c r="AR74" s="32" t="n">
        <v>-7.8</v>
      </c>
      <c r="AS74" s="31" t="n"/>
      <c r="AT74" s="32" t="n">
        <v>-19.4</v>
      </c>
      <c r="AU74" s="9">
        <f>SUM(AQ74:AT74)</f>
        <v/>
      </c>
      <c r="AV74" s="31" t="n"/>
      <c r="AW74" s="32" t="n">
        <v>-20.4</v>
      </c>
      <c r="AX74" s="31" t="n"/>
      <c r="AY74" s="32" t="n">
        <v>-107.9</v>
      </c>
      <c r="AZ74" s="9">
        <f>SUM(AV74:AY74)</f>
        <v/>
      </c>
      <c r="BA74" s="31" t="n"/>
      <c r="BB74" s="32" t="n">
        <v>-108.4</v>
      </c>
      <c r="BC74" s="31" t="n"/>
      <c r="BD74" s="32" t="n">
        <v>-191.9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/>
      <c r="D75" s="31" t="n"/>
      <c r="E75" s="31" t="n"/>
      <c r="F75" s="31" t="n"/>
      <c r="G75" s="9">
        <f>SUM(C75:F75)</f>
        <v/>
      </c>
      <c r="H75" s="31" t="n"/>
      <c r="I75" s="31" t="n"/>
      <c r="J75" s="31" t="n"/>
      <c r="K75" s="31" t="n"/>
      <c r="L75" s="9">
        <f>SUM(H75:K75)</f>
        <v/>
      </c>
      <c r="M75" s="31" t="n"/>
      <c r="N75" s="31" t="n"/>
      <c r="O75" s="31" t="n"/>
      <c r="P75" s="31" t="n"/>
      <c r="Q75" s="9">
        <f>SUM(M75:P75)</f>
        <v/>
      </c>
      <c r="R75" s="31" t="n"/>
      <c r="S75" s="32" t="n">
        <v>0</v>
      </c>
      <c r="T75" s="31" t="n"/>
      <c r="U75" s="32" t="n">
        <v>0</v>
      </c>
      <c r="V75" s="9">
        <f>SUM(R75:U75)</f>
        <v/>
      </c>
      <c r="W75" s="31" t="n"/>
      <c r="X75" s="32" t="n">
        <v>0</v>
      </c>
      <c r="Y75" s="31" t="n"/>
      <c r="Z75" s="32" t="n">
        <v>0</v>
      </c>
      <c r="AA75" s="9">
        <f>SUM(W75:Z75)</f>
        <v/>
      </c>
      <c r="AB75" s="31" t="n"/>
      <c r="AC75" s="32" t="n">
        <v>0</v>
      </c>
      <c r="AD75" s="31" t="n"/>
      <c r="AE75" s="32" t="n">
        <v>0</v>
      </c>
      <c r="AF75" s="9">
        <f>SUM(AB75:AE75)</f>
        <v/>
      </c>
      <c r="AG75" s="31" t="n"/>
      <c r="AH75" s="32" t="n">
        <v>-4.1</v>
      </c>
      <c r="AI75" s="31" t="n"/>
      <c r="AJ75" s="32" t="n">
        <v>0</v>
      </c>
      <c r="AK75" s="9">
        <f>SUM(AG75:AJ75)</f>
        <v/>
      </c>
      <c r="AL75" s="31" t="n"/>
      <c r="AM75" s="32" t="n">
        <v>0</v>
      </c>
      <c r="AN75" s="31" t="n"/>
      <c r="AO75" s="32" t="n">
        <v>0</v>
      </c>
      <c r="AP75" s="9">
        <f>SUM(AL75:AO75)</f>
        <v/>
      </c>
      <c r="AQ75" s="31" t="n"/>
      <c r="AR75" s="32" t="n">
        <v>0</v>
      </c>
      <c r="AS75" s="31" t="n"/>
      <c r="AT75" s="32" t="n">
        <v>0</v>
      </c>
      <c r="AU75" s="9">
        <f>SUM(AQ75:AT75)</f>
        <v/>
      </c>
      <c r="AV75" s="31" t="n"/>
      <c r="AW75" s="32" t="n">
        <v>0</v>
      </c>
      <c r="AX75" s="31" t="n"/>
      <c r="AY75" s="32" t="n">
        <v>0</v>
      </c>
      <c r="AZ75" s="9">
        <f>SUM(AV75:AY75)</f>
        <v/>
      </c>
      <c r="BA75" s="31" t="n"/>
      <c r="BB75" s="32" t="n">
        <v>0</v>
      </c>
      <c r="BC75" s="31" t="n"/>
      <c r="BD75" s="32" t="n">
        <v>0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6">
        <f>C31*(1-IF(C39=0,0,(C41+C43)/C39))</f>
        <v/>
      </c>
      <c r="D76" s="16">
        <f>D31*(1-IF(D39=0,0,(D41+D43)/D39))</f>
        <v/>
      </c>
      <c r="E76" s="16">
        <f>E31*(1-IF(E39=0,0,(E41+E43)/E39))</f>
        <v/>
      </c>
      <c r="F76" s="16">
        <f>F31*(1-IF(F39=0,0,(F41+F43)/F39))</f>
        <v/>
      </c>
      <c r="G76" s="9">
        <f>G31*(1-IF(G39=0,0,(G41+G43)/G39))</f>
        <v/>
      </c>
      <c r="H76" s="16">
        <f>H31*(1-IF(H39=0,0,(H41+H43)/H39))</f>
        <v/>
      </c>
      <c r="I76" s="16">
        <f>I31*(1-IF(I39=0,0,(I41+I43)/I39))</f>
        <v/>
      </c>
      <c r="J76" s="16">
        <f>J31*(1-IF(J39=0,0,(J41+J43)/J39))</f>
        <v/>
      </c>
      <c r="K76" s="16">
        <f>K31*(1-IF(K39=0,0,(K41+K43)/K39))</f>
        <v/>
      </c>
      <c r="L76" s="9">
        <f>L31*(1-IF(L39=0,0,(L41+L43)/L39))</f>
        <v/>
      </c>
      <c r="M76" s="16">
        <f>M31*(1-IF(M39=0,0,(M41+M43)/M39))</f>
        <v/>
      </c>
      <c r="N76" s="16">
        <f>N31*(1-IF(N39=0,0,(N41+N43)/N39))</f>
        <v/>
      </c>
      <c r="O76" s="16">
        <f>O31*(1-IF(O39=0,0,(O41+O43)/O39))</f>
        <v/>
      </c>
      <c r="P76" s="16">
        <f>P31*(1-IF(P39=0,0,(P41+P43)/P39))</f>
        <v/>
      </c>
      <c r="Q76" s="9">
        <f>Q31*(1-IF(Q39=0,0,(Q41+Q43)/Q39))</f>
        <v/>
      </c>
      <c r="R76" s="16">
        <f>R31*(1-IF(R39=0,0,(R41+R43)/R39))</f>
        <v/>
      </c>
      <c r="S76" s="16">
        <f>S31*(1-IF(S39=0,0,(S41+S43)/S39))</f>
        <v/>
      </c>
      <c r="T76" s="16">
        <f>T31*(1-IF(T39=0,0,(T41+T43)/T39))</f>
        <v/>
      </c>
      <c r="U76" s="16">
        <f>U31*(1-IF(U39=0,0,(U41+U43)/U39))</f>
        <v/>
      </c>
      <c r="V76" s="9">
        <f>V31*(1-IF(V39=0,0,(V41+V43)/V39))</f>
        <v/>
      </c>
      <c r="W76" s="16">
        <f>W31*(1-IF(W39=0,0,(W41+W43)/W39))</f>
        <v/>
      </c>
      <c r="X76" s="16">
        <f>X31*(1-IF(X39=0,0,(X41+X43)/X39))</f>
        <v/>
      </c>
      <c r="Y76" s="16">
        <f>Y31*(1-IF(Y39=0,0,(Y41+Y43)/Y39))</f>
        <v/>
      </c>
      <c r="Z76" s="16">
        <f>Z31*(1-IF(Z39=0,0,(Z41+Z43)/Z39))</f>
        <v/>
      </c>
      <c r="AA76" s="9">
        <f>AA31*(1-IF(AA39=0,0,(AA41+AA43)/AA39))</f>
        <v/>
      </c>
      <c r="AB76" s="16">
        <f>AB31*(1-IF(AB39=0,0,(AB41+AB43)/AB39))</f>
        <v/>
      </c>
      <c r="AC76" s="16">
        <f>AC31*(1-IF(AC39=0,0,(AC41+AC43)/AC39))</f>
        <v/>
      </c>
      <c r="AD76" s="16">
        <f>AD31*(1-IF(AD39=0,0,(AD41+AD43)/AD39))</f>
        <v/>
      </c>
      <c r="AE76" s="16">
        <f>AE31*(1-IF(AE39=0,0,(AE41+AE43)/AE39))</f>
        <v/>
      </c>
      <c r="AF76" s="9">
        <f>AF31*(1-IF(AF39=0,0,(AF41+AF43)/AF39))</f>
        <v/>
      </c>
      <c r="AG76" s="16">
        <f>AG31*(1-IF(AG39=0,0,(AG41+AG43)/AG39))</f>
        <v/>
      </c>
      <c r="AH76" s="16">
        <f>AH31*(1-IF(AH39=0,0,(AH41+AH43)/AH39))</f>
        <v/>
      </c>
      <c r="AI76" s="16">
        <f>AI31*(1-IF(AI39=0,0,(AI41+AI43)/AI39))</f>
        <v/>
      </c>
      <c r="AJ76" s="16">
        <f>AJ31*(1-IF(AJ39=0,0,(AJ41+AJ43)/AJ39))</f>
        <v/>
      </c>
      <c r="AK76" s="9">
        <f>AK31*(1-IF(AK39=0,0,(AK41+AK43)/AK39))</f>
        <v/>
      </c>
      <c r="AL76" s="16">
        <f>AL31*(1-IF(AL39=0,0,(AL41+AL43)/AL39))</f>
        <v/>
      </c>
      <c r="AM76" s="16">
        <f>AM31*(1-IF(AM39=0,0,(AM41+AM43)/AM39))</f>
        <v/>
      </c>
      <c r="AN76" s="16">
        <f>AN31*(1-IF(AN39=0,0,(AN41+AN43)/AN39))</f>
        <v/>
      </c>
      <c r="AO76" s="16">
        <f>AO31*(1-IF(AO39=0,0,(AO41+AO43)/AO39))</f>
        <v/>
      </c>
      <c r="AP76" s="9">
        <f>AP31*(1-IF(AP39=0,0,(AP41+AP43)/AP39))</f>
        <v/>
      </c>
      <c r="AQ76" s="16">
        <f>AQ31*(1-IF(AQ39=0,0,(AQ41+AQ43)/AQ39))</f>
        <v/>
      </c>
      <c r="AR76" s="16">
        <f>AR31*(1-IF(AR39=0,0,(AR41+AR43)/AR39))</f>
        <v/>
      </c>
      <c r="AS76" s="16">
        <f>AS31*(1-IF(AS39=0,0,(AS41+AS43)/AS39))</f>
        <v/>
      </c>
      <c r="AT76" s="16">
        <f>AT31*(1-IF(AT39=0,0,(AT41+AT43)/AT39))</f>
        <v/>
      </c>
      <c r="AU76" s="9">
        <f>AU31*(1-IF(AU39=0,0,(AU41+AU43)/AU39))</f>
        <v/>
      </c>
      <c r="AV76" s="16">
        <f>AV31*(1-IF(AV39=0,0,(AV41+AV43)/AV39))</f>
        <v/>
      </c>
      <c r="AW76" s="16">
        <f>AW31*(1-IF(AW39=0,0,(AW41+AW43)/AW39))</f>
        <v/>
      </c>
      <c r="AX76" s="16">
        <f>AX31*(1-IF(AX39=0,0,(AX41+AX43)/AX39))</f>
        <v/>
      </c>
      <c r="AY76" s="16">
        <f>AY31*(1-IF(AY39=0,0,(AY41+AY43)/AY39))</f>
        <v/>
      </c>
      <c r="AZ76" s="9">
        <f>AZ31*(1-IF(AZ39=0,0,(AZ41+AZ43)/AZ39))</f>
        <v/>
      </c>
      <c r="BA76" s="16">
        <f>BA31*(1-IF(BA39=0,0,(BA41+BA43)/BA39))</f>
        <v/>
      </c>
      <c r="BB76" s="16">
        <f>BB31*(1-IF(BB39=0,0,(BB41+BB43)/BB39))</f>
        <v/>
      </c>
      <c r="BC76" s="16">
        <f>BC31*(1-IF(BC39=0,0,(BC41+BC43)/BC39))</f>
        <v/>
      </c>
      <c r="BD76" s="16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6">
        <f>C51+C52+C53</f>
        <v/>
      </c>
      <c r="D77" s="16">
        <f>D51+D52+D53</f>
        <v/>
      </c>
      <c r="E77" s="16">
        <f>E51+E52+E53</f>
        <v/>
      </c>
      <c r="F77" s="16">
        <f>F51+F52+F53</f>
        <v/>
      </c>
      <c r="G77" s="9">
        <f>G51+G52+G53</f>
        <v/>
      </c>
      <c r="H77" s="16">
        <f>H51+H52+H53</f>
        <v/>
      </c>
      <c r="I77" s="16">
        <f>I51+I52+I53</f>
        <v/>
      </c>
      <c r="J77" s="16">
        <f>J51+J52+J53</f>
        <v/>
      </c>
      <c r="K77" s="16">
        <f>K51+K52+K53</f>
        <v/>
      </c>
      <c r="L77" s="9">
        <f>L51+L52+L53</f>
        <v/>
      </c>
      <c r="M77" s="16">
        <f>M51+M52+M53</f>
        <v/>
      </c>
      <c r="N77" s="16">
        <f>N51+N52+N53</f>
        <v/>
      </c>
      <c r="O77" s="16">
        <f>O51+O52+O53</f>
        <v/>
      </c>
      <c r="P77" s="16">
        <f>P51+P52+P53</f>
        <v/>
      </c>
      <c r="Q77" s="9">
        <f>Q51+Q52+Q53</f>
        <v/>
      </c>
      <c r="R77" s="16">
        <f>R51+R52+R53</f>
        <v/>
      </c>
      <c r="S77" s="16">
        <f>S51+S52+S53</f>
        <v/>
      </c>
      <c r="T77" s="16">
        <f>T51+T52+T53</f>
        <v/>
      </c>
      <c r="U77" s="16">
        <f>U51+U52+U53</f>
        <v/>
      </c>
      <c r="V77" s="9">
        <f>V51+V52+V53</f>
        <v/>
      </c>
      <c r="W77" s="16">
        <f>W51+W52+W53</f>
        <v/>
      </c>
      <c r="X77" s="16">
        <f>X51+X52+X53</f>
        <v/>
      </c>
      <c r="Y77" s="16">
        <f>Y51+Y52+Y53</f>
        <v/>
      </c>
      <c r="Z77" s="16">
        <f>Z51+Z52+Z53</f>
        <v/>
      </c>
      <c r="AA77" s="9">
        <f>AA51+AA52+AA53</f>
        <v/>
      </c>
      <c r="AB77" s="16">
        <f>AB51+AB52+AB53</f>
        <v/>
      </c>
      <c r="AC77" s="16">
        <f>AC51+AC52+AC53</f>
        <v/>
      </c>
      <c r="AD77" s="16">
        <f>AD51+AD52+AD53</f>
        <v/>
      </c>
      <c r="AE77" s="16">
        <f>AE51+AE52+AE53</f>
        <v/>
      </c>
      <c r="AF77" s="9">
        <f>AF51+AF52+AF53</f>
        <v/>
      </c>
      <c r="AG77" s="16">
        <f>AG51+AG52+AG53</f>
        <v/>
      </c>
      <c r="AH77" s="16">
        <f>AH51+AH52+AH53</f>
        <v/>
      </c>
      <c r="AI77" s="16">
        <f>AI51+AI52+AI53</f>
        <v/>
      </c>
      <c r="AJ77" s="16">
        <f>AJ51+AJ52+AJ53</f>
        <v/>
      </c>
      <c r="AK77" s="9">
        <f>AK51+AK52+AK53</f>
        <v/>
      </c>
      <c r="AL77" s="16">
        <f>AL51+AL52+AL53</f>
        <v/>
      </c>
      <c r="AM77" s="16">
        <f>AM51+AM52+AM53</f>
        <v/>
      </c>
      <c r="AN77" s="16">
        <f>AN51+AN52+AN53</f>
        <v/>
      </c>
      <c r="AO77" s="16">
        <f>AO51+AO52+AO53</f>
        <v/>
      </c>
      <c r="AP77" s="9">
        <f>AP51+AP52+AP53</f>
        <v/>
      </c>
      <c r="AQ77" s="16">
        <f>AQ51+AQ52+AQ53</f>
        <v/>
      </c>
      <c r="AR77" s="16">
        <f>AR51+AR52+AR53</f>
        <v/>
      </c>
      <c r="AS77" s="16">
        <f>AS51+AS52+AS53</f>
        <v/>
      </c>
      <c r="AT77" s="16">
        <f>AT51+AT52+AT53</f>
        <v/>
      </c>
      <c r="AU77" s="9">
        <f>AU51+AU52+AU53</f>
        <v/>
      </c>
      <c r="AV77" s="16">
        <f>AV51+AV52+AV53</f>
        <v/>
      </c>
      <c r="AW77" s="16">
        <f>AW51+AW52+AW53</f>
        <v/>
      </c>
      <c r="AX77" s="16">
        <f>AX51+AX52+AX53</f>
        <v/>
      </c>
      <c r="AY77" s="16">
        <f>AY51+AY52+AY53</f>
        <v/>
      </c>
      <c r="AZ77" s="9">
        <f>AZ51+AZ52+AZ53</f>
        <v/>
      </c>
      <c r="BA77" s="16">
        <f>BA51+BA52+BA53</f>
        <v/>
      </c>
      <c r="BB77" s="16">
        <f>BB51+BB52+BB53</f>
        <v/>
      </c>
      <c r="BC77" s="16">
        <f>BC51+BC52+BC53</f>
        <v/>
      </c>
      <c r="BD77" s="16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6">
        <f>C77-C54</f>
        <v/>
      </c>
      <c r="D78" s="16">
        <f>D77-D54</f>
        <v/>
      </c>
      <c r="E78" s="16">
        <f>E77-E54</f>
        <v/>
      </c>
      <c r="F78" s="16">
        <f>F77-F54</f>
        <v/>
      </c>
      <c r="G78" s="9">
        <f>G77-G54</f>
        <v/>
      </c>
      <c r="H78" s="16">
        <f>H77-H54</f>
        <v/>
      </c>
      <c r="I78" s="16">
        <f>I77-I54</f>
        <v/>
      </c>
      <c r="J78" s="16">
        <f>J77-J54</f>
        <v/>
      </c>
      <c r="K78" s="16">
        <f>K77-K54</f>
        <v/>
      </c>
      <c r="L78" s="9">
        <f>L77-L54</f>
        <v/>
      </c>
      <c r="M78" s="16">
        <f>M77-M54</f>
        <v/>
      </c>
      <c r="N78" s="16">
        <f>N77-N54</f>
        <v/>
      </c>
      <c r="O78" s="16">
        <f>O77-O54</f>
        <v/>
      </c>
      <c r="P78" s="16">
        <f>P77-P54</f>
        <v/>
      </c>
      <c r="Q78" s="9">
        <f>Q77-Q54</f>
        <v/>
      </c>
      <c r="R78" s="16">
        <f>R77-R54</f>
        <v/>
      </c>
      <c r="S78" s="16">
        <f>S77-S54</f>
        <v/>
      </c>
      <c r="T78" s="16">
        <f>T77-T54</f>
        <v/>
      </c>
      <c r="U78" s="16">
        <f>U77-U54</f>
        <v/>
      </c>
      <c r="V78" s="9">
        <f>V77-V54</f>
        <v/>
      </c>
      <c r="W78" s="16">
        <f>W77-W54</f>
        <v/>
      </c>
      <c r="X78" s="16">
        <f>X77-X54</f>
        <v/>
      </c>
      <c r="Y78" s="16">
        <f>Y77-Y54</f>
        <v/>
      </c>
      <c r="Z78" s="16">
        <f>Z77-Z54</f>
        <v/>
      </c>
      <c r="AA78" s="9">
        <f>AA77-AA54</f>
        <v/>
      </c>
      <c r="AB78" s="16">
        <f>AB77-AB54</f>
        <v/>
      </c>
      <c r="AC78" s="16">
        <f>AC77-AC54</f>
        <v/>
      </c>
      <c r="AD78" s="16">
        <f>AD77-AD54</f>
        <v/>
      </c>
      <c r="AE78" s="16">
        <f>AE77-AE54</f>
        <v/>
      </c>
      <c r="AF78" s="9">
        <f>AF77-AF54</f>
        <v/>
      </c>
      <c r="AG78" s="16">
        <f>AG77-AG54</f>
        <v/>
      </c>
      <c r="AH78" s="16">
        <f>AH77-AH54</f>
        <v/>
      </c>
      <c r="AI78" s="16">
        <f>AI77-AI54</f>
        <v/>
      </c>
      <c r="AJ78" s="16">
        <f>AJ77-AJ54</f>
        <v/>
      </c>
      <c r="AK78" s="9">
        <f>AK77-AK54</f>
        <v/>
      </c>
      <c r="AL78" s="16">
        <f>AL77-AL54</f>
        <v/>
      </c>
      <c r="AM78" s="16">
        <f>AM77-AM54</f>
        <v/>
      </c>
      <c r="AN78" s="16">
        <f>AN77-AN54</f>
        <v/>
      </c>
      <c r="AO78" s="16">
        <f>AO77-AO54</f>
        <v/>
      </c>
      <c r="AP78" s="9">
        <f>AP77-AP54</f>
        <v/>
      </c>
      <c r="AQ78" s="16">
        <f>AQ77-AQ54</f>
        <v/>
      </c>
      <c r="AR78" s="16">
        <f>AR77-AR54</f>
        <v/>
      </c>
      <c r="AS78" s="16">
        <f>AS77-AS54</f>
        <v/>
      </c>
      <c r="AT78" s="16">
        <f>AT77-AT54</f>
        <v/>
      </c>
      <c r="AU78" s="9">
        <f>AU77-AU54</f>
        <v/>
      </c>
      <c r="AV78" s="16">
        <f>AV77-AV54</f>
        <v/>
      </c>
      <c r="AW78" s="16">
        <f>AW77-AW54</f>
        <v/>
      </c>
      <c r="AX78" s="16">
        <f>AX77-AX54</f>
        <v/>
      </c>
      <c r="AY78" s="16">
        <f>AY77-AY54</f>
        <v/>
      </c>
      <c r="AZ78" s="9">
        <f>AZ77-AZ54</f>
        <v/>
      </c>
      <c r="BA78" s="16">
        <f>BA77-BA54</f>
        <v/>
      </c>
      <c r="BB78" s="16">
        <f>BB77-BB54</f>
        <v/>
      </c>
      <c r="BC78" s="16">
        <f>BC77-BC54</f>
        <v/>
      </c>
      <c r="BD78" s="16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2026-07-23T08:36:16Z</dcterms:created>
  <dcterms:modified xsi:type="dcterms:W3CDTF">2026-07-23T08:36:16Z</dcterms:modified>
</cp:coreProperties>
</file>