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VV_Core_Mapping" sheetId="2" state="visible" r:id="rId2"/>
    <sheet xmlns:r="http://schemas.openxmlformats.org/officeDocument/2006/relationships" name="File_Fingerprints" sheetId="3" state="visible" r:id="rId3"/>
    <sheet xmlns:r="http://schemas.openxmlformats.org/officeDocument/2006/relationships" name="Period_Alignment" sheetId="4" state="visible" r:id="rId4"/>
    <sheet xmlns:r="http://schemas.openxmlformats.org/officeDocument/2006/relationships" name="Hierarchy_and_Duplicates" sheetId="5" state="visible" r:id="rId5"/>
    <sheet xmlns:r="http://schemas.openxmlformats.org/officeDocument/2006/relationships" name="Out_of_Scope"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4"/>
    </font>
    <font>
      <name val="Arial"/>
      <i val="1"/>
      <color rgb="00666666"/>
      <sz val="9"/>
    </font>
    <font>
      <name val="Arial"/>
      <b val="1"/>
      <sz val="10"/>
    </font>
    <font>
      <name val="Arial"/>
      <sz val="10"/>
    </font>
    <font>
      <name val="Arial"/>
      <b val="1"/>
      <color rgb="00FFFFFF"/>
      <sz val="10"/>
    </font>
  </fonts>
  <fills count="4">
    <fill>
      <patternFill/>
    </fill>
    <fill>
      <patternFill patternType="gray125"/>
    </fill>
    <fill>
      <patternFill patternType="solid">
        <fgColor rgb="00D9E1F2"/>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horizontal="center" vertical="top" wrapText="1"/>
    </xf>
    <xf numFmtId="0" fontId="4" fillId="0" borderId="1" pivotButton="0" quotePrefix="0" xfId="0"/>
    <xf numFmtId="0" fontId="4"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6"/>
  <sheetViews>
    <sheetView showGridLines="0" workbookViewId="0">
      <selection activeCell="A1" sqref="A1"/>
    </sheetView>
  </sheetViews>
  <sheetFormatPr baseColWidth="8" defaultRowHeight="15"/>
  <cols>
    <col width="3" customWidth="1" min="1" max="1"/>
    <col width="34" customWidth="1" min="2" max="2"/>
    <col width="110" customWidth="1" min="3" max="3"/>
  </cols>
  <sheetData>
    <row r="2">
      <c r="B2" s="1" t="inlineStr">
        <is>
          <t>ARQ → VV Format: Generalized Line-Item Mapping</t>
        </is>
      </c>
    </row>
    <row r="3">
      <c r="B3" s="2" t="inlineStr">
        <is>
          <t>Purpose: enable a dashboard to auto-populate the VV quarterly-model template for ANY company, given that company's 6 standard ARQ database exports.</t>
        </is>
      </c>
    </row>
    <row r="5">
      <c r="B5" s="3" t="inlineStr">
        <is>
          <t>Section</t>
        </is>
      </c>
      <c r="C5" s="3" t="inlineStr">
        <is>
          <t>Explanation</t>
        </is>
      </c>
    </row>
    <row r="6" ht="75" customHeight="1">
      <c r="B6" s="4" t="inlineStr">
        <is>
          <t>What is the 'VV format'?</t>
        </is>
      </c>
      <c r="C6" s="5" t="inlineStr">
        <is>
          <t>A standing analyst template (one sheet per company, e.g. 'Supreme'). Column A/row-formula tags mark each row as a raw input ('P&amp;L', 'BS') or a calculated row (a formula referencing other rows, or 'Derived'). Columns run quarterly (1QFY10, 2QFY10, 3QFY10, 4QFY10) followed by an annual roll-up (CY10 / FY16 etc.), repeating through FY26, then analyst estimates (FY27E onward).</t>
        </is>
      </c>
    </row>
    <row r="7" ht="60" customHeight="1">
      <c r="B7" s="4" t="inlineStr">
        <is>
          <t>What are the 6 ARQ exports?</t>
        </is>
      </c>
      <c r="C7" s="5" t="inlineStr">
        <is>
          <t>Six CSVs pulled from the same database (ARQ / Ace-Equity style) for one company, each a different statement and periodicity. They are matched to file name by their column headers, not by file name, since 'export_1.csv' etc. will be arbitrary for every new company upload:</t>
        </is>
      </c>
    </row>
    <row r="8" ht="60" customHeight="1">
      <c r="B8" s="4" t="inlineStr">
        <is>
          <t xml:space="preserve">  export_1  — Annual P&amp;L (full note-level detail)</t>
        </is>
      </c>
      <c r="C8" s="5" t="inlineStr">
        <is>
          <t>1 col/year (period-end labels e.g. 'Mar-24'). Row 2 = 'SA/CON'. Contains the fully exploded revenue and expense schedule (Revenue from Operations down to Profit for the Period), Basic/Diluted EPS, Book Value, contingent liabilities and Dividend %. Detected by header cell 'Revenue From Operations(Gross)' in row 3.</t>
        </is>
      </c>
    </row>
    <row r="9" ht="60" customHeight="1">
      <c r="B9" s="4" t="inlineStr">
        <is>
          <t xml:space="preserve">  export_2  — Annual Balance Sheet (full note-level detail)</t>
        </is>
      </c>
      <c r="C9" s="5" t="inlineStr">
        <is>
          <t>1 col/year. ~600+ rows: every note-level break-up of Share Capital, Reserves, Borrowings (secured/unsecured, LT/ST), Fixed Assets gross block/depreciation, Investments, Loans &amp; Advances, etc. Detected by header cell 'Share Capital' in row 1 combined with row count &gt; 300.</t>
        </is>
      </c>
    </row>
    <row r="10" ht="45" customHeight="1">
      <c r="B10" s="4" t="inlineStr">
        <is>
          <t xml:space="preserve">  export_3  — Annual Cash Flow (indirect method, full detail)</t>
        </is>
      </c>
      <c r="C10" s="5" t="inlineStr">
        <is>
          <t>1 col/year. Starts at 'Net Profit' and 'Total Adjustments' and builds down to 'Cash and Cash Equivalents at End'. Detected by header cell 'Net Profit' in row 1 combined with 'Total Adjustments' in row 2.</t>
        </is>
      </c>
    </row>
    <row r="11" ht="45" customHeight="1">
      <c r="B11" s="4" t="inlineStr">
        <is>
          <t xml:space="preserve">  export_4  — Quarterly P&amp;L (full note-level detail)</t>
        </is>
      </c>
      <c r="C11" s="5" t="inlineStr">
        <is>
          <t>1 col/quarter, all quarters (no annual roll-up column). Same P&amp;L schedule as export_1 but quarterly, plus Exceptional/Extraordinary items split out and Owners-vs-NCI split. Detected by header cell 'Gross Sales/Income from operations' in row 1 and &gt;40 period columns.</t>
        </is>
      </c>
    </row>
    <row r="12" ht="45" customHeight="1">
      <c r="B12" s="4" t="inlineStr">
        <is>
          <t xml:space="preserve">  export_5  — Semi-annual Balance Sheet (summary level)</t>
        </is>
      </c>
      <c r="C12" s="5" t="inlineStr">
        <is>
          <t>1 col per half-year end (Mar and Sep only). Pre-aggregated to statement-line level (no note detail) — this is the BS file to use for the VV template, NOT export_2. Detected by header cell 'Shareholders Fund' in row 1.</t>
        </is>
      </c>
    </row>
    <row r="13" ht="30" customHeight="1">
      <c r="B13" s="4" t="inlineStr">
        <is>
          <t xml:space="preserve">  export_6  — Semi-annual Cash Flow (summary level)</t>
        </is>
      </c>
      <c r="C13" s="5" t="inlineStr">
        <is>
          <t>1 col per half-year end (Mar and Sep only). Pre-aggregated cash-flow totals. Detected by header cell 'Net Profit before Tax &amp; Extraordinary Items' in row 1.</t>
        </is>
      </c>
    </row>
    <row r="14" ht="120" customHeight="1">
      <c r="B14" s="4" t="inlineStr">
        <is>
          <t>Why not always use the most granular file (export_1/2 over export_4/5)?</t>
        </is>
      </c>
      <c r="C14" s="5" t="inlineStr">
        <is>
          <t>The annual detail files (1,2,3) are the right source for the ANNUAL columns of the VV sheet (they are the company's audited annual figures, not a sum of quarters — restatements, Ind-AS transitions and consolidation changes mean summed quarters will NOT always tie exactly to the audited annual number, and the annual filing is the more authoritative number for that column). The quarterly file (4) is the ONLY source for the quarterly columns. The BS/CF summary files (5,6) are used because they are already aggregated to exactly the line-item level the VV template needs; export_2 is only needed if you want to build a deeper drill-down than the VV template currently has (e.g. splitting Debt into secured/unsecured).</t>
        </is>
      </c>
    </row>
    <row r="15" ht="105" customHeight="1">
      <c r="B15" s="4" t="inlineStr">
        <is>
          <t>Handling duplicate / aggregate line items</t>
        </is>
      </c>
      <c r="C15" s="5" t="inlineStr">
        <is>
          <t>Every ARQ export is a fixed, hierarchical schedule: a sub-total row is immediately followed by the line items that sum into it, and the same label (e.g. 'Other Expenses', 'Depreciation') can legitimately appear at two different levels of the hierarchy. Matching by NAME ALONE is unsafe. The 'Hierarchy &amp; Duplicates' sheet gives the fixed row POSITION (0-indexed, header rows excluded) of every aggregate row used in this mapping, together with the exact child rows it sums, so the dashboard should read cells by row-position within each file, not by a name lookup that could hit the wrong occurrence.</t>
        </is>
      </c>
    </row>
    <row r="16" ht="135" customHeight="1">
      <c r="B16" s="4" t="inlineStr">
        <is>
          <t>Scope of this mapping</t>
        </is>
      </c>
      <c r="C16" s="5" t="inlineStr">
        <is>
          <t>The VV template's rows 1-97 (P&amp;L, Balance Sheet summary, per-share &amp; return ratios, working-capital/OCF/NOPAT/ROIC block) are fully generalizable from the 6 ARQ exports — see 'VV_Core_Mapping'. Rows 63-70 and 81-97 include market-price / target-price / DCF assumption rows that are NOT financial-statement data (CMP, Target Multiple, Cost of Equity, Growth assumptions) — these must stay analyst inputs. Rows 100-360 are Supreme-Industries-specific operating disclosures (pipe/packaging segment volumes, capacities, realisations) that live in the company's investor presentation, not in the standard ARQ financial-statement exports — they cannot be generalized across companies and are listed in 'Out_of_Scope' only for completeness.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9"/>
  <sheetViews>
    <sheetView showGridLines="0" workbookViewId="0">
      <pane ySplit="1" topLeftCell="A2" activePane="bottomLeft" state="frozen"/>
      <selection pane="bottomLeft" activeCell="A1" sqref="A1"/>
    </sheetView>
  </sheetViews>
  <sheetFormatPr baseColWidth="8" defaultRowHeight="15"/>
  <cols>
    <col width="6" customWidth="1" min="1" max="1"/>
    <col width="10" customWidth="1" min="2" max="2"/>
    <col width="26" customWidth="1" min="3" max="3"/>
    <col width="11" customWidth="1" min="4" max="4"/>
    <col width="30" customWidth="1" min="5" max="5"/>
    <col width="30" customWidth="1" min="6" max="6"/>
    <col width="34" customWidth="1" min="7" max="7"/>
    <col width="40" customWidth="1" min="8" max="8"/>
  </cols>
  <sheetData>
    <row r="1">
      <c r="A1" s="6" t="inlineStr">
        <is>
          <t>VV
Row</t>
        </is>
      </c>
      <c r="B1" s="6" t="inlineStr">
        <is>
          <t>Statement</t>
        </is>
      </c>
      <c r="C1" s="6" t="inlineStr">
        <is>
          <t>VV Line Item</t>
        </is>
      </c>
      <c r="D1" s="6" t="inlineStr">
        <is>
          <t>Row Type</t>
        </is>
      </c>
      <c r="E1" s="6" t="inlineStr">
        <is>
          <t>Quarterly columns (1Q/2Q/3Q/4QFYxx)
Source file &amp; row</t>
        </is>
      </c>
      <c r="F1" s="6" t="inlineStr">
        <is>
          <t>Annual columns (FYxx / CYxx)
Source file &amp; row</t>
        </is>
      </c>
      <c r="G1" s="6" t="inlineStr">
        <is>
          <t>Mapping formula / aggregation rule</t>
        </is>
      </c>
      <c r="H1" s="6" t="inlineStr">
        <is>
          <t>Notes — duplicates, caveats</t>
        </is>
      </c>
    </row>
    <row r="2" ht="46" customHeight="1">
      <c r="A2" s="7" t="n">
        <v>3</v>
      </c>
      <c r="B2" s="7" t="inlineStr">
        <is>
          <t>P&amp;L</t>
        </is>
      </c>
      <c r="C2" s="8" t="inlineStr">
        <is>
          <t>Gross Sales</t>
        </is>
      </c>
      <c r="D2" s="7" t="inlineStr">
        <is>
          <t>Direct</t>
        </is>
      </c>
      <c r="E2" s="8" t="inlineStr">
        <is>
          <t>export_4 (Qtrly P&amp;L) r2 'Gross Sales/Income from operations'</t>
        </is>
      </c>
      <c r="F2" s="8" t="inlineStr">
        <is>
          <t>export_1 (Annual P&amp;L) r2 'Revenue From Operations(Gross)'</t>
        </is>
      </c>
      <c r="G2" s="8" t="inlineStr">
        <is>
          <t>Direct copy</t>
        </is>
      </c>
      <c r="H2" s="8" t="inlineStr">
        <is>
          <t>r2 in export_1 is itself an aggregate = r3 Sale of Products − r7 Claims/Disc/Taxes + r8 Sale of services + r9 Income from Insurance Ops + r10 Other operating revenues. Use r2 as-is; do not re-sum children.</t>
        </is>
      </c>
    </row>
    <row r="3" ht="46" customHeight="1">
      <c r="A3" s="7" t="n">
        <v>5</v>
      </c>
      <c r="B3" s="7" t="inlineStr">
        <is>
          <t>P&amp;L</t>
        </is>
      </c>
      <c r="C3" s="8" t="inlineStr">
        <is>
          <t>Excise Duty</t>
        </is>
      </c>
      <c r="D3" s="7" t="inlineStr">
        <is>
          <t>Direct</t>
        </is>
      </c>
      <c r="E3" s="8" t="inlineStr">
        <is>
          <t>export_4 (Qtrly P&amp;L) r4 'Less: Excise duty'</t>
        </is>
      </c>
      <c r="F3" s="8" t="inlineStr">
        <is>
          <t>export_1 (Annual P&amp;L) r20 'Less: Excise Duty'</t>
        </is>
      </c>
      <c r="G3" s="8" t="inlineStr">
        <is>
          <t>Direct copy</t>
        </is>
      </c>
      <c r="H3" s="8" t="inlineStr">
        <is>
          <t>Mostly 0 post-GST (FY18 onward).</t>
        </is>
      </c>
    </row>
    <row r="4" ht="46" customHeight="1">
      <c r="A4" s="7" t="n">
        <v>6</v>
      </c>
      <c r="B4" s="7" t="inlineStr">
        <is>
          <t>Formula</t>
        </is>
      </c>
      <c r="C4" s="8" t="inlineStr">
        <is>
          <t>Net Sales</t>
        </is>
      </c>
      <c r="D4" s="7" t="inlineStr">
        <is>
          <t>Computed</t>
        </is>
      </c>
      <c r="E4" s="8">
        <f> Row3 − Row5</f>
        <v/>
      </c>
      <c r="F4" s="8">
        <f> Row3 − Row5</f>
        <v/>
      </c>
      <c r="G4" s="8" t="inlineStr">
        <is>
          <t>VV native formula (D6=D3-D5)</t>
        </is>
      </c>
      <c r="H4" s="8" t="inlineStr">
        <is>
          <t>Cross-check only, do not overwrite: should equal export_4 r5 / export_1 r21 'Revenue From Operations(Net)'.</t>
        </is>
      </c>
    </row>
    <row r="5" ht="46" customHeight="1">
      <c r="A5" s="7" t="n">
        <v>8</v>
      </c>
      <c r="B5" s="7" t="inlineStr">
        <is>
          <t>P&amp;L</t>
        </is>
      </c>
      <c r="C5" s="8" t="inlineStr">
        <is>
          <t>Other Operating Income</t>
        </is>
      </c>
      <c r="D5" s="7" t="inlineStr">
        <is>
          <t>Direct</t>
        </is>
      </c>
      <c r="E5" s="8" t="inlineStr">
        <is>
          <t>export_4 (Qtrly P&amp;L) r6 'Other Operating Income'</t>
        </is>
      </c>
      <c r="F5" s="8" t="inlineStr">
        <is>
          <t>0 (see note)</t>
        </is>
      </c>
      <c r="G5" s="8" t="inlineStr">
        <is>
          <t>Direct copy (qtrly); 0 (annual)</t>
        </is>
      </c>
      <c r="H5" s="8" t="inlineStr">
        <is>
          <t>export_1's Gross Sales (r2) already folds in 'Other operating revenues' — keep annual Row 8 at 0 to avoid double counting; the quarterly file keeps it separate.</t>
        </is>
      </c>
    </row>
    <row r="6" ht="46" customHeight="1">
      <c r="A6" s="7" t="n">
        <v>9</v>
      </c>
      <c r="B6" s="7" t="inlineStr">
        <is>
          <t>Formula</t>
        </is>
      </c>
      <c r="C6" s="8" t="inlineStr">
        <is>
          <t>Total Income</t>
        </is>
      </c>
      <c r="D6" s="7" t="inlineStr">
        <is>
          <t>Computed</t>
        </is>
      </c>
      <c r="E6" s="8">
        <f> Row6 + Row8</f>
        <v/>
      </c>
      <c r="F6" s="8">
        <f> Row6 + Row8</f>
        <v/>
      </c>
      <c r="G6" s="8" t="inlineStr">
        <is>
          <t>VV native formula</t>
        </is>
      </c>
      <c r="H6" s="8" t="inlineStr"/>
    </row>
    <row r="7" ht="46" customHeight="1">
      <c r="A7" s="7" t="n">
        <v>13</v>
      </c>
      <c r="B7" s="7" t="inlineStr">
        <is>
          <t>P&amp;L</t>
        </is>
      </c>
      <c r="C7" s="8" t="inlineStr">
        <is>
          <t>Raw Material Consumed</t>
        </is>
      </c>
      <c r="D7" s="7" t="inlineStr">
        <is>
          <t>Direct</t>
        </is>
      </c>
      <c r="E7" s="8" t="inlineStr">
        <is>
          <t>export_4 (Qtrly P&amp;L) r10 'Raw Material Consumed'</t>
        </is>
      </c>
      <c r="F7" s="8" t="inlineStr">
        <is>
          <t>export_1 (Annual P&amp;L) r38 'Cost of Materials Consumed'</t>
        </is>
      </c>
      <c r="G7" s="8" t="inlineStr">
        <is>
          <t>Direct copy</t>
        </is>
      </c>
      <c r="H7" s="8" t="inlineStr">
        <is>
          <t>export_1 r38 is an aggregate of r39 Raw Materials(=Opening+Purchases−Closing) + r43 Packing Materials + r47 Other Materials + r51 Amalgamation adj. Use r38 total only.</t>
        </is>
      </c>
    </row>
    <row r="8" ht="46" customHeight="1">
      <c r="A8" s="7" t="n">
        <v>15</v>
      </c>
      <c r="B8" s="7" t="inlineStr">
        <is>
          <t>P&amp;L</t>
        </is>
      </c>
      <c r="C8" s="8" t="inlineStr">
        <is>
          <t>Stock Adjustment</t>
        </is>
      </c>
      <c r="D8" s="7" t="inlineStr">
        <is>
          <t>Direct</t>
        </is>
      </c>
      <c r="E8" s="8" t="inlineStr">
        <is>
          <t>export_4 (Qtrly P&amp;L) r12 'Changes in inventories…'</t>
        </is>
      </c>
      <c r="F8" s="8" t="inlineStr">
        <is>
          <t>export_1 (Annual P&amp;L) r54 'Changes in Inventories of FG, WIP and Stock-in-Trade'</t>
        </is>
      </c>
      <c r="G8" s="8" t="inlineStr">
        <is>
          <t>Direct copy</t>
        </is>
      </c>
      <c r="H8" s="8" t="inlineStr">
        <is>
          <t>export_1 r54 is an aggregate of Opening/Closing Stock of Finished Goods &amp; Stock-in-Trade (r55-r62). Use r54 total only.</t>
        </is>
      </c>
    </row>
    <row r="9" ht="46" customHeight="1">
      <c r="A9" s="7" t="n">
        <v>17</v>
      </c>
      <c r="B9" s="7" t="inlineStr">
        <is>
          <t>P&amp;L</t>
        </is>
      </c>
      <c r="C9" s="8" t="inlineStr">
        <is>
          <t>Purchase of Finished Goods</t>
        </is>
      </c>
      <c r="D9" s="7" t="inlineStr">
        <is>
          <t>Direct</t>
        </is>
      </c>
      <c r="E9" s="8" t="inlineStr">
        <is>
          <t>export_4 (Qtrly P&amp;L) r11 'Purchase of Finished Goods'</t>
        </is>
      </c>
      <c r="F9" s="8" t="inlineStr">
        <is>
          <t>export_1 (Annual P&amp;L) r52 'Purchases of Stock-in-Trade'</t>
        </is>
      </c>
      <c r="G9" s="8" t="inlineStr">
        <is>
          <t>Direct copy</t>
        </is>
      </c>
      <c r="H9" s="8" t="inlineStr">
        <is>
          <t>export_1 r52 aggregate = r53 'Purchase of Stock in Trade' (single child).</t>
        </is>
      </c>
    </row>
    <row r="10" ht="46" customHeight="1">
      <c r="A10" s="7" t="n">
        <v>19</v>
      </c>
      <c r="B10" s="7" t="inlineStr">
        <is>
          <t>P&amp;L</t>
        </is>
      </c>
      <c r="C10" s="8" t="inlineStr">
        <is>
          <t>Employee Expenses</t>
        </is>
      </c>
      <c r="D10" s="7" t="inlineStr">
        <is>
          <t>Direct</t>
        </is>
      </c>
      <c r="E10" s="8" t="inlineStr">
        <is>
          <t>export_4 (Qtrly P&amp;L) r15 'Employee Cost'</t>
        </is>
      </c>
      <c r="F10" s="8" t="inlineStr">
        <is>
          <t>export_1 (Annual P&amp;L) r63 'Employee Benefits Expenses'</t>
        </is>
      </c>
      <c r="G10" s="8" t="inlineStr">
        <is>
          <t>Direct copy</t>
        </is>
      </c>
      <c r="H10" s="8" t="inlineStr">
        <is>
          <t>export_1 r63 aggregate = Salaries + PF + Staff welfare + Directors Remun. + Floating Staff (r64-r68). Use r63 total only.</t>
        </is>
      </c>
    </row>
    <row r="11" ht="46" customHeight="1">
      <c r="A11" s="7" t="n">
        <v>21</v>
      </c>
      <c r="B11" s="7" t="inlineStr">
        <is>
          <t>P&amp;L</t>
        </is>
      </c>
      <c r="C11" s="8" t="inlineStr">
        <is>
          <t>Other Expenses</t>
        </is>
      </c>
      <c r="D11" s="7" t="inlineStr">
        <is>
          <t>Computed</t>
        </is>
      </c>
      <c r="E11" s="8" t="inlineStr">
        <is>
          <t>export_4 (Qtrly P&amp;L): r8 Total Expenses − r10 Raw Mat − r11 Purchase FG − r12 Stock Adj − r15 Employee Cost − r16 Depreciation</t>
        </is>
      </c>
      <c r="F11" s="8" t="inlineStr">
        <is>
          <t>export_1 (Annual P&amp;L) r79 'Other Expenses' (aggregate)</t>
        </is>
      </c>
      <c r="G11" s="8" t="inlineStr">
        <is>
          <t>Quarterly = plug so that Row13+15+17+19+21+38 reconciles to reported Total Expenses. Annual = direct copy of export_1 r79.</t>
        </is>
      </c>
      <c r="H11" s="8" t="inlineStr">
        <is>
          <t>⚠️ DUPLICATE NAME: export_1 has 'Other Expenses' twice — r79 (the correct aggregate, sits right after Depreciation &amp; before Manufacturing expenses) and r114 'Other Miscellaneous Expenses' (a small residual CHILD deep inside r79's own breakdown). Always take r79 by position, never r114. Similarly export_4 has 'Other Expenses' at r19 (aggregate, use this) and r20 (its own sole child, same value — do not sum r19+r20).</t>
        </is>
      </c>
    </row>
    <row r="12" ht="46" customHeight="1">
      <c r="A12" s="7" t="n">
        <v>23</v>
      </c>
      <c r="B12" s="7" t="inlineStr">
        <is>
          <t>Formula</t>
        </is>
      </c>
      <c r="C12" s="8" t="inlineStr">
        <is>
          <t>COGS</t>
        </is>
      </c>
      <c r="D12" s="7" t="inlineStr">
        <is>
          <t>Computed</t>
        </is>
      </c>
      <c r="E12" s="8">
        <f> Row13+Row15+Row17</f>
        <v/>
      </c>
      <c r="F12" s="8">
        <f> Row13+Row15+Row17</f>
        <v/>
      </c>
      <c r="G12" s="8" t="inlineStr">
        <is>
          <t>VV native formula</t>
        </is>
      </c>
      <c r="H12" s="8" t="inlineStr"/>
    </row>
    <row r="13" ht="46" customHeight="1">
      <c r="A13" s="7" t="n">
        <v>24</v>
      </c>
      <c r="B13" s="7" t="inlineStr">
        <is>
          <t>Formula</t>
        </is>
      </c>
      <c r="C13" s="8" t="inlineStr">
        <is>
          <t>GP</t>
        </is>
      </c>
      <c r="D13" s="7" t="inlineStr">
        <is>
          <t>Computed</t>
        </is>
      </c>
      <c r="E13" s="8">
        <f> Row9 − Row23</f>
        <v/>
      </c>
      <c r="F13" s="8">
        <f> Row9 − Row23</f>
        <v/>
      </c>
      <c r="G13" s="8" t="inlineStr">
        <is>
          <t>VV native formula</t>
        </is>
      </c>
      <c r="H13" s="8" t="inlineStr"/>
    </row>
    <row r="14" ht="46" customHeight="1">
      <c r="A14" s="7" t="n">
        <v>26</v>
      </c>
      <c r="B14" s="7" t="inlineStr">
        <is>
          <t>Formula</t>
        </is>
      </c>
      <c r="C14" s="8" t="inlineStr">
        <is>
          <t>Total Expenditure</t>
        </is>
      </c>
      <c r="D14" s="7" t="inlineStr">
        <is>
          <t>Computed</t>
        </is>
      </c>
      <c r="E14" s="8">
        <f> Row13+15+17+19+21</f>
        <v/>
      </c>
      <c r="F14" s="8">
        <f> Row13+15+17+19+21</f>
        <v/>
      </c>
      <c r="G14" s="8" t="inlineStr">
        <is>
          <t>VV native formula</t>
        </is>
      </c>
      <c r="H14" s="8" t="inlineStr">
        <is>
          <t>Cross-check: should equal export_4 r8 'Total Expenses' / export_1 r115 'Total Expenses' minus Depreciation (r38), since VV keeps Depreciation out of Row26.</t>
        </is>
      </c>
    </row>
    <row r="15" ht="46" customHeight="1">
      <c r="A15" s="7" t="n">
        <v>28</v>
      </c>
      <c r="B15" s="7" t="inlineStr">
        <is>
          <t>Formula</t>
        </is>
      </c>
      <c r="C15" s="8" t="inlineStr">
        <is>
          <t>PBIDT (EBITDA)</t>
        </is>
      </c>
      <c r="D15" s="7" t="inlineStr">
        <is>
          <t>Computed</t>
        </is>
      </c>
      <c r="E15" s="8">
        <f> Row9 − Row26</f>
        <v/>
      </c>
      <c r="F15" s="8">
        <f> Row9 − Row26</f>
        <v/>
      </c>
      <c r="G15" s="8" t="inlineStr">
        <is>
          <t>VV native formula</t>
        </is>
      </c>
      <c r="H15" s="8" t="inlineStr"/>
    </row>
    <row r="16" ht="46" customHeight="1">
      <c r="A16" s="7" t="n">
        <v>31</v>
      </c>
      <c r="B16" s="7" t="inlineStr">
        <is>
          <t>Formula</t>
        </is>
      </c>
      <c r="C16" s="8" t="inlineStr">
        <is>
          <t>PBIT</t>
        </is>
      </c>
      <c r="D16" s="7" t="inlineStr">
        <is>
          <t>Computed</t>
        </is>
      </c>
      <c r="E16" s="8">
        <f> Row28 − Row38</f>
        <v/>
      </c>
      <c r="F16" s="8">
        <f> Row28 − Row38</f>
        <v/>
      </c>
      <c r="G16" s="8" t="inlineStr">
        <is>
          <t>VV native formula</t>
        </is>
      </c>
      <c r="H16" s="8" t="inlineStr"/>
    </row>
    <row r="17" ht="46" customHeight="1">
      <c r="A17" s="7" t="n">
        <v>35</v>
      </c>
      <c r="B17" s="7" t="inlineStr">
        <is>
          <t>P&amp;L</t>
        </is>
      </c>
      <c r="C17" s="8" t="inlineStr">
        <is>
          <t>Other Income</t>
        </is>
      </c>
      <c r="D17" s="7" t="inlineStr">
        <is>
          <t>Direct</t>
        </is>
      </c>
      <c r="E17" s="8" t="inlineStr">
        <is>
          <t>export_4 (Qtrly P&amp;L) r22 'Other Income'</t>
        </is>
      </c>
      <c r="F17" s="8" t="inlineStr">
        <is>
          <t>export_1 (Annual P&amp;L) r22 'Other Income' (aggregate)</t>
        </is>
      </c>
      <c r="G17" s="8" t="inlineStr">
        <is>
          <t>Direct copy</t>
        </is>
      </c>
      <c r="H17" s="8" t="inlineStr">
        <is>
          <t>export_1 r22 aggregate = Interest Income + Dividend Income + Profit on Investments + Lease Rent + Profit on FA sale + Forex gain + Income from Investment Activities + Share of profit-partnership + Other non-operating income (r23-r36). Use r22 total; export_4 also has r23 'Other Miscellaneous Income' as a child of r22 — do not add both.</t>
        </is>
      </c>
    </row>
    <row r="18" ht="46" customHeight="1">
      <c r="A18" s="7" t="n">
        <v>36</v>
      </c>
      <c r="B18" s="7" t="inlineStr">
        <is>
          <t>P&amp;L</t>
        </is>
      </c>
      <c r="C18" s="8" t="inlineStr">
        <is>
          <t>Interest</t>
        </is>
      </c>
      <c r="D18" s="7" t="inlineStr">
        <is>
          <t>Direct</t>
        </is>
      </c>
      <c r="E18" s="8" t="inlineStr">
        <is>
          <t>export_4 (Qtrly P&amp;L) r25 'Finance Costs'</t>
        </is>
      </c>
      <c r="F18" s="8" t="inlineStr">
        <is>
          <t>export_1 (Annual P&amp;L) r69 'Finance Costs' (aggregate)</t>
        </is>
      </c>
      <c r="G18" s="8" t="inlineStr">
        <is>
          <t>Direct copy</t>
        </is>
      </c>
      <c r="H18" s="8" t="inlineStr">
        <is>
          <t>export_1 r69 aggregate = Interest Expenses (Taxes/Other, r70-72) + Other borrowing costs (r73) − Interest Capitalised (r74).</t>
        </is>
      </c>
    </row>
    <row r="19" ht="46" customHeight="1">
      <c r="A19" s="7" t="n">
        <v>37</v>
      </c>
      <c r="B19" s="7" t="inlineStr">
        <is>
          <t>Formula</t>
        </is>
      </c>
      <c r="C19" s="8" t="inlineStr">
        <is>
          <t>PBDT</t>
        </is>
      </c>
      <c r="D19" s="7" t="inlineStr">
        <is>
          <t>Computed</t>
        </is>
      </c>
      <c r="E19" s="8">
        <f> Row28 − Row36 + Row35</f>
        <v/>
      </c>
      <c r="F19" s="8">
        <f> Row28 − Row36 + Row35</f>
        <v/>
      </c>
      <c r="G19" s="8" t="inlineStr">
        <is>
          <t>VV native formula</t>
        </is>
      </c>
      <c r="H19" s="8" t="inlineStr"/>
    </row>
    <row r="20" ht="46" customHeight="1">
      <c r="A20" s="7" t="n">
        <v>38</v>
      </c>
      <c r="B20" s="7" t="inlineStr">
        <is>
          <t>P&amp;L</t>
        </is>
      </c>
      <c r="C20" s="8" t="inlineStr">
        <is>
          <t>Depreciation</t>
        </is>
      </c>
      <c r="D20" s="7" t="inlineStr">
        <is>
          <t>Direct</t>
        </is>
      </c>
      <c r="E20" s="8" t="inlineStr">
        <is>
          <t>export_4 (Qtrly P&amp;L) r16 'Depreciation, amortization and depletion expense'</t>
        </is>
      </c>
      <c r="F20" s="8" t="inlineStr">
        <is>
          <t>export_1 (Annual P&amp;L) r75 'Depreciation and Amortization Expenses' (aggregate)</t>
        </is>
      </c>
      <c r="G20" s="8" t="inlineStr">
        <is>
          <t>Direct copy</t>
        </is>
      </c>
      <c r="H20" s="8" t="inlineStr">
        <is>
          <t>export_1 r75 aggregate = r76 'Depreciation &amp; Amortisation' + r77 'Depreciation' + r78 'Other Adjustment' — note r76/r77 look like duplicate labels; r75 is the safe total to use.</t>
        </is>
      </c>
    </row>
    <row r="21" ht="46" customHeight="1">
      <c r="A21" s="7" t="n">
        <v>39</v>
      </c>
      <c r="B21" s="7" t="inlineStr">
        <is>
          <t>Formula</t>
        </is>
      </c>
      <c r="C21" s="8" t="inlineStr">
        <is>
          <t>PBT</t>
        </is>
      </c>
      <c r="D21" s="7" t="inlineStr">
        <is>
          <t>Computed</t>
        </is>
      </c>
      <c r="E21" s="8">
        <f> Row37 − Row38</f>
        <v/>
      </c>
      <c r="F21" s="8">
        <f> Row37 − Row38</f>
        <v/>
      </c>
      <c r="G21" s="8" t="inlineStr">
        <is>
          <t>VV native formula</t>
        </is>
      </c>
      <c r="H21" s="8" t="inlineStr"/>
    </row>
    <row r="22" ht="46" customHeight="1">
      <c r="A22" s="7" t="n">
        <v>41</v>
      </c>
      <c r="B22" s="7" t="inlineStr">
        <is>
          <t>P&amp;L</t>
        </is>
      </c>
      <c r="C22" s="8" t="inlineStr">
        <is>
          <t>Tax</t>
        </is>
      </c>
      <c r="D22" s="7" t="inlineStr">
        <is>
          <t>Direct</t>
        </is>
      </c>
      <c r="E22" s="8" t="inlineStr">
        <is>
          <t>export_4 (Qtrly P&amp;L) r38 'Current Year Tax'</t>
        </is>
      </c>
      <c r="F22" s="8" t="inlineStr">
        <is>
          <t>export_1 (Annual P&amp;L) r135 '(1) Current Tax'</t>
        </is>
      </c>
      <c r="G22" s="8" t="inlineStr">
        <is>
          <t>Direct copy — CURRENT tax only</t>
        </is>
      </c>
      <c r="H22" s="8" t="inlineStr">
        <is>
          <t>⚠️ Do NOT use export_4 r36 'Total Tax' or export_1 r134 'Tax Expenses' here — those already include Deferred Tax, which VV subtracts separately in Row 43. Using the total would double-count deferred tax.</t>
        </is>
      </c>
    </row>
    <row r="23" ht="46" customHeight="1">
      <c r="A23" s="7" t="n">
        <v>42</v>
      </c>
      <c r="B23" s="7" t="inlineStr">
        <is>
          <t>P&amp;L</t>
        </is>
      </c>
      <c r="C23" s="8" t="inlineStr">
        <is>
          <t>Fringe Benefit Tax</t>
        </is>
      </c>
      <c r="D23" s="7" t="inlineStr">
        <is>
          <t>Direct</t>
        </is>
      </c>
      <c r="E23" s="8" t="inlineStr">
        <is>
          <t>0 / not applicable</t>
        </is>
      </c>
      <c r="F23" s="8" t="inlineStr">
        <is>
          <t>0 / not applicable</t>
        </is>
      </c>
      <c r="G23" s="8" t="inlineStr">
        <is>
          <t>n/a</t>
        </is>
      </c>
      <c r="H23" s="8" t="inlineStr">
        <is>
          <t>FBT was abolished in India from FY10; no equivalent field in ARQ exports post-FY10. Leave 0.</t>
        </is>
      </c>
    </row>
    <row r="24" ht="46" customHeight="1">
      <c r="A24" s="7" t="n">
        <v>43</v>
      </c>
      <c r="B24" s="7" t="inlineStr">
        <is>
          <t>P&amp;L</t>
        </is>
      </c>
      <c r="C24" s="8" t="inlineStr">
        <is>
          <t>Deferred Tax</t>
        </is>
      </c>
      <c r="D24" s="7" t="inlineStr">
        <is>
          <t>Direct</t>
        </is>
      </c>
      <c r="E24" s="8" t="inlineStr">
        <is>
          <t>export_4 (Qtrly P&amp;L) r39 'Deferred Tax' (or r40 'Deferred Tax Current')</t>
        </is>
      </c>
      <c r="F24" s="8" t="inlineStr">
        <is>
          <t>export_1 (Annual P&amp;L) r136 '(2) Deferred Tax'</t>
        </is>
      </c>
      <c r="G24" s="8" t="inlineStr">
        <is>
          <t>Direct copy</t>
        </is>
      </c>
      <c r="H24" s="8" t="inlineStr">
        <is>
          <t>Paired with Row 41 above — together they equal Total Tax.</t>
        </is>
      </c>
    </row>
    <row r="25" ht="46" customHeight="1">
      <c r="A25" s="7" t="n">
        <v>44</v>
      </c>
      <c r="B25" s="7" t="inlineStr">
        <is>
          <t>Formula</t>
        </is>
      </c>
      <c r="C25" s="8" t="inlineStr">
        <is>
          <t>Reported Profit After Tax</t>
        </is>
      </c>
      <c r="D25" s="7" t="inlineStr">
        <is>
          <t>Computed</t>
        </is>
      </c>
      <c r="E25" s="8">
        <f> Row39 − Row41 − Row42 − Row43</f>
        <v/>
      </c>
      <c r="F25" s="8">
        <f> Row39 − Row41 − Row42 − Row43</f>
        <v/>
      </c>
      <c r="G25" s="8" t="inlineStr">
        <is>
          <t>VV native formula</t>
        </is>
      </c>
      <c r="H25" s="8" t="inlineStr">
        <is>
          <t>Cross-check vs export_4 r41 'Net profit from Ordinary Activities After Tax' / export_1 r138 'Profit after Tax before Share of Profit/Loss in Associate Company and Minority interests'.</t>
        </is>
      </c>
    </row>
    <row r="26" ht="46" customHeight="1">
      <c r="A26" s="7" t="n">
        <v>45</v>
      </c>
      <c r="B26" s="7" t="inlineStr">
        <is>
          <t>—</t>
        </is>
      </c>
      <c r="C26" s="8" t="inlineStr">
        <is>
          <t>Minority Interest After NP</t>
        </is>
      </c>
      <c r="D26" s="7" t="inlineStr">
        <is>
          <t>Direct</t>
        </is>
      </c>
      <c r="E26" s="8" t="inlineStr">
        <is>
          <t>export_4 (Qtrly P&amp;L) r50 'Non-Controlling Interest' (under 'Net Profit after taxes…')</t>
        </is>
      </c>
      <c r="F26" s="8" t="inlineStr">
        <is>
          <t>Not separately disclosed in export_1 — derive as (Row44+Row46) − export_1 r141, or 0 if company has no minority interest</t>
        </is>
      </c>
      <c r="G26" s="8" t="inlineStr">
        <is>
          <t>Direct copy (qtrly); derived residual (annual)</t>
        </is>
      </c>
      <c r="H26" s="8" t="inlineStr">
        <is>
          <t>Only relevant for companies with non-wholly-owned subsidiaries.</t>
        </is>
      </c>
    </row>
    <row r="27" ht="46" customHeight="1">
      <c r="A27" s="7" t="n">
        <v>46</v>
      </c>
      <c r="B27" s="7" t="inlineStr">
        <is>
          <t>P&amp;L</t>
        </is>
      </c>
      <c r="C27" s="8" t="inlineStr">
        <is>
          <t>Profit/Loss of Associate Company</t>
        </is>
      </c>
      <c r="D27" s="7" t="inlineStr">
        <is>
          <t>Direct</t>
        </is>
      </c>
      <c r="E27" s="8" t="inlineStr">
        <is>
          <t>export_4 (Qtrly P&amp;L) r47 'Share of Profits / Loss of Associated Companies After Tax'</t>
        </is>
      </c>
      <c r="F27" s="8" t="inlineStr">
        <is>
          <t>export_1 (Annual P&amp;L) r139 'Share of Profit/(Loss) in Associate Company'</t>
        </is>
      </c>
      <c r="G27" s="8" t="inlineStr">
        <is>
          <t>Direct copy</t>
        </is>
      </c>
      <c r="H27" s="8" t="inlineStr">
        <is>
          <t>Note export_1 also has a PRE-tax associate line at r116 (used inside PBT build-up) — do not confuse with the post-tax r139 needed here.</t>
        </is>
      </c>
    </row>
    <row r="28" ht="46" customHeight="1">
      <c r="A28" s="7" t="n">
        <v>47</v>
      </c>
      <c r="B28" s="7" t="inlineStr">
        <is>
          <t>Formula</t>
        </is>
      </c>
      <c r="C28" s="8" t="inlineStr">
        <is>
          <t>Net Profit after Minority Interest &amp; P/L Asso. Co.</t>
        </is>
      </c>
      <c r="D28" s="7" t="inlineStr">
        <is>
          <t>Computed</t>
        </is>
      </c>
      <c r="E28" s="8">
        <f> Row44 − Row45 + Row46</f>
        <v/>
      </c>
      <c r="F28" s="8">
        <f> Row44 − Row45 + Row46</f>
        <v/>
      </c>
      <c r="G28" s="8" t="inlineStr">
        <is>
          <t>VV native formula</t>
        </is>
      </c>
      <c r="H28" s="8" t="inlineStr">
        <is>
          <t>Cross-check vs export_4 r49 'Owners of the Company' / export_1 r141 'Profit/(Loss) for the period'.</t>
        </is>
      </c>
    </row>
    <row r="29" ht="46" customHeight="1">
      <c r="A29" s="7" t="n">
        <v>48</v>
      </c>
      <c r="B29" s="7" t="inlineStr">
        <is>
          <t>P&amp;L</t>
        </is>
      </c>
      <c r="C29" s="8" t="inlineStr">
        <is>
          <t>Extra-ordinary Items</t>
        </is>
      </c>
      <c r="D29" s="7" t="inlineStr">
        <is>
          <t>Direct</t>
        </is>
      </c>
      <c r="E29" s="8" t="inlineStr">
        <is>
          <t>export_4 (Qtrly P&amp;L): (r30 Total Exceptional Income − r33 Total Exceptional Expenses) + (r44 Total Extraordinary Income − r45 Total Extraordinary Expenses)</t>
        </is>
      </c>
      <c r="F29" s="8" t="inlineStr">
        <is>
          <t>export_1 (Annual P&amp;L): (r118 Exceptional Items net) + (r127 Extraordinary Items net)</t>
        </is>
      </c>
      <c r="G29" s="8" t="inlineStr">
        <is>
          <t>Net of income less expenses, both baskets combined</t>
        </is>
      </c>
      <c r="H29" s="8" t="inlineStr">
        <is>
          <t>ARQ splits Exceptional and Extraordinary into separate income/expense pairs; VV has one combined row — sum both nets.</t>
        </is>
      </c>
    </row>
    <row r="30" ht="46" customHeight="1">
      <c r="A30" s="7" t="n">
        <v>49</v>
      </c>
      <c r="B30" s="7" t="inlineStr">
        <is>
          <t>Formula</t>
        </is>
      </c>
      <c r="C30" s="8" t="inlineStr">
        <is>
          <t>Adjusted Profit After Extra-ordinary item</t>
        </is>
      </c>
      <c r="D30" s="7" t="inlineStr">
        <is>
          <t>Computed</t>
        </is>
      </c>
      <c r="E30" s="8">
        <f> Row47 + Row48</f>
        <v/>
      </c>
      <c r="F30" s="8">
        <f> Row47 + Row48</f>
        <v/>
      </c>
      <c r="G30" s="8" t="inlineStr">
        <is>
          <t>VV native formula</t>
        </is>
      </c>
      <c r="H30" s="8" t="inlineStr"/>
    </row>
    <row r="31" ht="46" customHeight="1">
      <c r="A31" s="7" t="n">
        <v>51</v>
      </c>
      <c r="B31" s="7" t="inlineStr">
        <is>
          <t>BS</t>
        </is>
      </c>
      <c r="C31" s="8" t="inlineStr">
        <is>
          <t>Equity</t>
        </is>
      </c>
      <c r="D31" s="7" t="inlineStr">
        <is>
          <t>Direct</t>
        </is>
      </c>
      <c r="E31" s="8" t="inlineStr">
        <is>
          <t>export_5 (Semi-ann BS) 'Share Capital' (use Mar col; also Sep col for 2Q/H1)</t>
        </is>
      </c>
      <c r="F31" s="8" t="inlineStr">
        <is>
          <t>export_5 (Semi-ann BS) 'Share Capital' (Mar column)</t>
        </is>
      </c>
      <c r="G31" s="8" t="inlineStr">
        <is>
          <t>Direct copy</t>
        </is>
      </c>
      <c r="H31" s="8" t="inlineStr">
        <is>
          <t>export_5 only carries Mar &amp; Sep columns — BS rows are populated for 2Q/4Q only; 1Q/3Q left blank or carried fwd, matching normal Indian disclosure practice.</t>
        </is>
      </c>
    </row>
    <row r="32" ht="46" customHeight="1">
      <c r="A32" s="7" t="n">
        <v>52</v>
      </c>
      <c r="B32" s="7" t="inlineStr">
        <is>
          <t>BS</t>
        </is>
      </c>
      <c r="C32" s="8" t="inlineStr">
        <is>
          <t>Reserve &amp; Surplus</t>
        </is>
      </c>
      <c r="D32" s="7" t="inlineStr">
        <is>
          <t>Direct</t>
        </is>
      </c>
      <c r="E32" s="8" t="inlineStr">
        <is>
          <t>export_5 (Semi-ann BS) 'Reserves &amp; Surplus'</t>
        </is>
      </c>
      <c r="F32" s="8" t="inlineStr">
        <is>
          <t>export_5 (Semi-ann BS) 'Reserves &amp; Surplus' (Mar column)</t>
        </is>
      </c>
      <c r="G32" s="8" t="inlineStr">
        <is>
          <t>Direct copy</t>
        </is>
      </c>
      <c r="H32" s="8" t="inlineStr"/>
    </row>
    <row r="33" ht="46" customHeight="1">
      <c r="A33" s="7" t="n">
        <v>53</v>
      </c>
      <c r="B33" s="7" t="inlineStr">
        <is>
          <t>BS</t>
        </is>
      </c>
      <c r="C33" s="8" t="inlineStr">
        <is>
          <t>Debt</t>
        </is>
      </c>
      <c r="D33" s="7" t="inlineStr">
        <is>
          <t>Computed</t>
        </is>
      </c>
      <c r="E33" s="8" t="inlineStr">
        <is>
          <t>export_5 (Semi-ann BS): 'Long Term Borrowings' + 'Short Term Borrowings'</t>
        </is>
      </c>
      <c r="F33" s="8" t="inlineStr">
        <is>
          <t>export_5 (Semi-ann BS): 'Long Term Borrowings' + 'Short Term Borrowings' (Mar column)</t>
        </is>
      </c>
      <c r="G33" s="8" t="inlineStr">
        <is>
          <t>Sum of the two rows</t>
        </is>
      </c>
      <c r="H33" s="8" t="inlineStr">
        <is>
          <t>For a more precise figure add 'Current Maturities of Long-Term Borrowings' from export_2 (it sits inside Other Current Liabilities in the export_5 summary) — optional refinement, flag as override cell.</t>
        </is>
      </c>
    </row>
    <row r="34" ht="46" customHeight="1">
      <c r="A34" s="7" t="n">
        <v>54</v>
      </c>
      <c r="B34" s="7" t="inlineStr">
        <is>
          <t>BS</t>
        </is>
      </c>
      <c r="C34" s="8" t="inlineStr">
        <is>
          <t>Cash Equivalents</t>
        </is>
      </c>
      <c r="D34" s="7" t="inlineStr">
        <is>
          <t>Direct</t>
        </is>
      </c>
      <c r="E34" s="8" t="inlineStr">
        <is>
          <t>export_5 (Semi-ann BS) 'Cash &amp; Cash Equivalents'</t>
        </is>
      </c>
      <c r="F34" s="8" t="inlineStr">
        <is>
          <t>export_5 (Semi-ann BS) 'Cash &amp; Cash Equivalents' (Mar column)</t>
        </is>
      </c>
      <c r="G34" s="8" t="inlineStr">
        <is>
          <t>Direct copy</t>
        </is>
      </c>
      <c r="H34" s="8" t="inlineStr"/>
    </row>
    <row r="35" ht="46" customHeight="1">
      <c r="A35" s="7" t="n">
        <v>55</v>
      </c>
      <c r="B35" s="7" t="inlineStr">
        <is>
          <t>BS</t>
        </is>
      </c>
      <c r="C35" s="8" t="inlineStr">
        <is>
          <t>Net Block</t>
        </is>
      </c>
      <c r="D35" s="7" t="inlineStr">
        <is>
          <t>Direct</t>
        </is>
      </c>
      <c r="E35" s="8" t="inlineStr">
        <is>
          <t>export_5 (Semi-ann BS) 'Fixed Assets(incl. Capital Work in Progress)'</t>
        </is>
      </c>
      <c r="F35" s="8" t="inlineStr">
        <is>
          <t>export_5 (Semi-ann BS) 'Fixed Assets(incl. Capital Work in Progress)' (Mar column)</t>
        </is>
      </c>
      <c r="G35" s="8" t="inlineStr">
        <is>
          <t>Direct copy</t>
        </is>
      </c>
      <c r="H35" s="8" t="inlineStr">
        <is>
          <t>This export_5 row is already the aggregate of Tangible + Intangible Assets shown beneath it — use it directly, do not re-sum.</t>
        </is>
      </c>
    </row>
    <row r="36" ht="46" customHeight="1">
      <c r="A36" s="7" t="n">
        <v>56</v>
      </c>
      <c r="B36" s="7" t="inlineStr">
        <is>
          <t>Formula</t>
        </is>
      </c>
      <c r="C36" s="8" t="inlineStr">
        <is>
          <t>Book Value</t>
        </is>
      </c>
      <c r="D36" s="7" t="inlineStr">
        <is>
          <t>Computed</t>
        </is>
      </c>
      <c r="E36" s="8">
        <f> (Row51+Row52)/Row64</f>
        <v/>
      </c>
      <c r="F36" s="8" t="inlineStr">
        <is>
          <t>same</t>
        </is>
      </c>
      <c r="G36" s="8" t="inlineStr">
        <is>
          <t>VV native formula</t>
        </is>
      </c>
      <c r="H36" s="8" t="inlineStr"/>
    </row>
    <row r="37" ht="46" customHeight="1">
      <c r="A37" s="7" t="n">
        <v>57</v>
      </c>
      <c r="B37" s="7" t="inlineStr">
        <is>
          <t>Formula</t>
        </is>
      </c>
      <c r="C37" s="8" t="inlineStr">
        <is>
          <t>PBIDTM (%)</t>
        </is>
      </c>
      <c r="D37" s="7" t="inlineStr">
        <is>
          <t>Computed</t>
        </is>
      </c>
      <c r="E37" s="8">
        <f> Row28/Row9</f>
        <v/>
      </c>
      <c r="F37" s="8" t="inlineStr">
        <is>
          <t>same</t>
        </is>
      </c>
      <c r="G37" s="8" t="inlineStr">
        <is>
          <t>VV native formula</t>
        </is>
      </c>
      <c r="H37" s="8" t="inlineStr"/>
    </row>
    <row r="38" ht="46" customHeight="1">
      <c r="A38" s="7" t="n">
        <v>58</v>
      </c>
      <c r="B38" s="7" t="inlineStr">
        <is>
          <t>Formula</t>
        </is>
      </c>
      <c r="C38" s="8" t="inlineStr">
        <is>
          <t>Tax/PBT (%)</t>
        </is>
      </c>
      <c r="D38" s="7" t="inlineStr">
        <is>
          <t>Computed</t>
        </is>
      </c>
      <c r="E38" s="8">
        <f> (Row41+Row42+Row43)/Row39</f>
        <v/>
      </c>
      <c r="F38" s="8" t="inlineStr">
        <is>
          <t>same</t>
        </is>
      </c>
      <c r="G38" s="8" t="inlineStr">
        <is>
          <t>VV native formula</t>
        </is>
      </c>
      <c r="H38" s="8" t="inlineStr"/>
    </row>
    <row r="39" ht="46" customHeight="1">
      <c r="A39" s="7" t="n">
        <v>59</v>
      </c>
      <c r="B39" s="7" t="inlineStr">
        <is>
          <t>Formula</t>
        </is>
      </c>
      <c r="C39" s="8" t="inlineStr">
        <is>
          <t>EPS (Rs.)</t>
        </is>
      </c>
      <c r="D39" s="7" t="inlineStr">
        <is>
          <t>Computed</t>
        </is>
      </c>
      <c r="E39" s="8">
        <f> Row49/Row51*Row63</f>
        <v/>
      </c>
      <c r="F39" s="8" t="inlineStr">
        <is>
          <t>same</t>
        </is>
      </c>
      <c r="G39" s="8" t="inlineStr">
        <is>
          <t>VV native formula</t>
        </is>
      </c>
      <c r="H39" s="8" t="inlineStr"/>
    </row>
    <row r="40" ht="46" customHeight="1">
      <c r="A40" s="7" t="n">
        <v>60</v>
      </c>
      <c r="B40" s="7" t="inlineStr">
        <is>
          <t>Formula</t>
        </is>
      </c>
      <c r="C40" s="8" t="inlineStr">
        <is>
          <t>D:E</t>
        </is>
      </c>
      <c r="D40" s="7" t="inlineStr">
        <is>
          <t>Computed</t>
        </is>
      </c>
      <c r="E40" s="8">
        <f> Row53/(Row51+Row52)</f>
        <v/>
      </c>
      <c r="F40" s="8" t="inlineStr">
        <is>
          <t>same</t>
        </is>
      </c>
      <c r="G40" s="8" t="inlineStr">
        <is>
          <t>VV native formula</t>
        </is>
      </c>
      <c r="H40" s="8" t="inlineStr"/>
    </row>
    <row r="41" ht="46" customHeight="1">
      <c r="A41" s="7" t="n">
        <v>61</v>
      </c>
      <c r="B41" s="7" t="inlineStr">
        <is>
          <t>Formula</t>
        </is>
      </c>
      <c r="C41" s="8" t="inlineStr">
        <is>
          <t>ROE (%)</t>
        </is>
      </c>
      <c r="D41" s="7" t="inlineStr">
        <is>
          <t>Computed</t>
        </is>
      </c>
      <c r="E41" s="8">
        <f> Row49/(Row51+Row52)</f>
        <v/>
      </c>
      <c r="F41" s="8" t="inlineStr">
        <is>
          <t>same</t>
        </is>
      </c>
      <c r="G41" s="8" t="inlineStr">
        <is>
          <t>VV native formula</t>
        </is>
      </c>
      <c r="H41" s="8" t="inlineStr"/>
    </row>
    <row r="42" ht="46" customHeight="1">
      <c r="A42" s="7" t="n">
        <v>62</v>
      </c>
      <c r="B42" s="7" t="inlineStr">
        <is>
          <t>Formula</t>
        </is>
      </c>
      <c r="C42" s="8" t="inlineStr">
        <is>
          <t>ROCE</t>
        </is>
      </c>
      <c r="D42" s="7" t="inlineStr">
        <is>
          <t>Computed</t>
        </is>
      </c>
      <c r="E42" s="8">
        <f> Row31/(Row51+Row52+Row53)</f>
        <v/>
      </c>
      <c r="F42" s="8" t="inlineStr">
        <is>
          <t>same</t>
        </is>
      </c>
      <c r="G42" s="8" t="inlineStr">
        <is>
          <t>VV native formula</t>
        </is>
      </c>
      <c r="H42" s="8" t="inlineStr"/>
    </row>
    <row r="43" ht="46" customHeight="1">
      <c r="A43" s="7" t="n">
        <v>63</v>
      </c>
      <c r="B43" s="7" t="inlineStr">
        <is>
          <t>Input</t>
        </is>
      </c>
      <c r="C43" s="8" t="inlineStr">
        <is>
          <t>Face Value</t>
        </is>
      </c>
      <c r="D43" s="7" t="inlineStr">
        <is>
          <t>Direct</t>
        </is>
      </c>
      <c r="E43" s="8" t="inlineStr">
        <is>
          <t>export_4 (Qtrly P&amp;L) r58 'Face Value'</t>
        </is>
      </c>
      <c r="F43" s="8" t="inlineStr">
        <is>
          <t>export_2 (Annual BS detail) 'Ordinary Capital &gt; Issued &gt; Face Value'</t>
        </is>
      </c>
      <c r="G43" s="8" t="inlineStr">
        <is>
          <t>Direct copy</t>
        </is>
      </c>
      <c r="H43" s="8" t="inlineStr">
        <is>
          <t>Constant across periods, rarely changes.</t>
        </is>
      </c>
    </row>
    <row r="44" ht="46" customHeight="1">
      <c r="A44" s="7" t="n">
        <v>64</v>
      </c>
      <c r="B44" s="7" t="inlineStr">
        <is>
          <t>Input</t>
        </is>
      </c>
      <c r="C44" s="8" t="inlineStr">
        <is>
          <t>No. of Shares</t>
        </is>
      </c>
      <c r="D44" s="7" t="inlineStr">
        <is>
          <t>Direct</t>
        </is>
      </c>
      <c r="E44" s="8" t="inlineStr">
        <is>
          <t>export_4 (Qtrly P&amp;L) r57 'Equity' ÷ Row63, or company filing</t>
        </is>
      </c>
      <c r="F44" s="8" t="inlineStr">
        <is>
          <t>export_2 (Annual BS detail) 'Ordinary Capital &gt; Issued &gt; No. of Shares' (in crore, i.e. ÷10,000,000)</t>
        </is>
      </c>
      <c r="G44" s="8" t="inlineStr">
        <is>
          <t>Direct copy / derived</t>
        </is>
      </c>
      <c r="H44" s="8" t="inlineStr">
        <is>
          <t>Watch units — export_2 gives absolute share count, VV wants crore of shares.</t>
        </is>
      </c>
    </row>
    <row r="45" ht="46" customHeight="1">
      <c r="A45" s="7" t="n">
        <v>65</v>
      </c>
      <c r="B45" s="7" t="inlineStr">
        <is>
          <t>Input — OUT OF SCOPE</t>
        </is>
      </c>
      <c r="C45" s="8" t="inlineStr">
        <is>
          <t>CMP (Rs.)</t>
        </is>
      </c>
      <c r="D45" s="7" t="inlineStr">
        <is>
          <t>Manual</t>
        </is>
      </c>
      <c r="E45" s="8" t="inlineStr">
        <is>
          <t>Not in ARQ fundamentals export</t>
        </is>
      </c>
      <c r="F45" s="8" t="inlineStr">
        <is>
          <t>Not in ARQ fundamentals export</t>
        </is>
      </c>
      <c r="G45" s="8" t="inlineStr">
        <is>
          <t>n/a</t>
        </is>
      </c>
      <c r="H45" s="8" t="inlineStr">
        <is>
          <t>Needs a market price feed, not a financial-statement export. Populate from an NSE/BSE price API or leave for manual entry.</t>
        </is>
      </c>
    </row>
    <row r="46" ht="46" customHeight="1">
      <c r="A46" s="7" t="n">
        <v>66</v>
      </c>
      <c r="B46" s="7" t="inlineStr">
        <is>
          <t>Formula</t>
        </is>
      </c>
      <c r="C46" s="8" t="inlineStr">
        <is>
          <t>Market Cap (Rs cr)</t>
        </is>
      </c>
      <c r="D46" s="7" t="inlineStr">
        <is>
          <t>Computed</t>
        </is>
      </c>
      <c r="E46" s="8">
        <f> Row65*Row64</f>
        <v/>
      </c>
      <c r="F46" s="8" t="inlineStr">
        <is>
          <t>same</t>
        </is>
      </c>
      <c r="G46" s="8" t="inlineStr">
        <is>
          <t>VV native formula</t>
        </is>
      </c>
      <c r="H46" s="8" t="inlineStr"/>
    </row>
    <row r="47" ht="46" customHeight="1">
      <c r="A47" s="7" t="n">
        <v>67</v>
      </c>
      <c r="B47" s="7" t="inlineStr">
        <is>
          <t>Formula</t>
        </is>
      </c>
      <c r="C47" s="8" t="inlineStr">
        <is>
          <t>PE (x)</t>
        </is>
      </c>
      <c r="D47" s="7" t="inlineStr">
        <is>
          <t>Computed</t>
        </is>
      </c>
      <c r="E47" s="8">
        <f> Row65/Row59</f>
        <v/>
      </c>
      <c r="F47" s="8" t="inlineStr">
        <is>
          <t>same</t>
        </is>
      </c>
      <c r="G47" s="8" t="inlineStr">
        <is>
          <t>VV native formula</t>
        </is>
      </c>
      <c r="H47" s="8" t="inlineStr"/>
    </row>
    <row r="48" ht="46" customHeight="1">
      <c r="A48" s="7" t="n">
        <v>68</v>
      </c>
      <c r="B48" s="7" t="inlineStr">
        <is>
          <t>Input — OUT OF SCOPE</t>
        </is>
      </c>
      <c r="C48" s="8" t="inlineStr">
        <is>
          <t>Target Multiple (x)</t>
        </is>
      </c>
      <c r="D48" s="7" t="inlineStr">
        <is>
          <t>Manual</t>
        </is>
      </c>
      <c r="E48" s="8" t="inlineStr">
        <is>
          <t>Analyst input</t>
        </is>
      </c>
      <c r="F48" s="8" t="inlineStr">
        <is>
          <t>Analyst input</t>
        </is>
      </c>
      <c r="G48" s="8" t="inlineStr">
        <is>
          <t>n/a</t>
        </is>
      </c>
      <c r="H48" s="8" t="inlineStr">
        <is>
          <t>Subjective valuation call, not derivable from financials.</t>
        </is>
      </c>
    </row>
    <row r="49" ht="46" customHeight="1">
      <c r="A49" s="7" t="n">
        <v>69</v>
      </c>
      <c r="B49" s="7" t="inlineStr">
        <is>
          <t>Input — OUT OF SCOPE</t>
        </is>
      </c>
      <c r="C49" s="8" t="inlineStr">
        <is>
          <t>Target Price (Rs.)</t>
        </is>
      </c>
      <c r="D49" s="7" t="inlineStr">
        <is>
          <t>Manual</t>
        </is>
      </c>
      <c r="E49" s="8" t="inlineStr">
        <is>
          <t>Analyst input / formula off Row68</t>
        </is>
      </c>
      <c r="F49" s="8" t="inlineStr">
        <is>
          <t>Analyst input / formula off Row68</t>
        </is>
      </c>
      <c r="G49" s="8" t="inlineStr">
        <is>
          <t>n/a</t>
        </is>
      </c>
      <c r="H49" s="8" t="inlineStr"/>
    </row>
    <row r="50" ht="46" customHeight="1">
      <c r="A50" s="7" t="n">
        <v>70</v>
      </c>
      <c r="B50" s="7" t="inlineStr">
        <is>
          <t>Formula</t>
        </is>
      </c>
      <c r="C50" s="8" t="inlineStr">
        <is>
          <t>Upside (%)</t>
        </is>
      </c>
      <c r="D50" s="7" t="inlineStr">
        <is>
          <t>Computed</t>
        </is>
      </c>
      <c r="E50" s="8">
        <f> Row69/Row65 − 1</f>
        <v/>
      </c>
      <c r="F50" s="8" t="inlineStr">
        <is>
          <t>same</t>
        </is>
      </c>
      <c r="G50" s="8" t="inlineStr">
        <is>
          <t>VV native formula</t>
        </is>
      </c>
      <c r="H50" s="8" t="inlineStr"/>
    </row>
    <row r="51" ht="46" customHeight="1">
      <c r="A51" s="7" t="n">
        <v>72</v>
      </c>
      <c r="B51" s="7" t="inlineStr">
        <is>
          <t>Special</t>
        </is>
      </c>
      <c r="C51" s="8" t="inlineStr">
        <is>
          <t>Working Capital</t>
        </is>
      </c>
      <c r="D51" s="7" t="inlineStr">
        <is>
          <t>Computed</t>
        </is>
      </c>
      <c r="E51" s="8" t="inlineStr">
        <is>
          <t>export_5 (Semi-ann BS): 'Total Current Assets' − 'Total Current Liabilities'</t>
        </is>
      </c>
      <c r="F51" s="8" t="inlineStr">
        <is>
          <t>same (Mar column)</t>
        </is>
      </c>
      <c r="G51" s="8" t="inlineStr">
        <is>
          <t>TCA − TCL</t>
        </is>
      </c>
      <c r="H51" s="8" t="inlineStr"/>
    </row>
    <row r="52" ht="46" customHeight="1">
      <c r="A52" s="7" t="n">
        <v>73</v>
      </c>
      <c r="B52" s="7" t="inlineStr">
        <is>
          <t>Special</t>
        </is>
      </c>
      <c r="C52" s="8" t="inlineStr">
        <is>
          <t>OCF</t>
        </is>
      </c>
      <c r="D52" s="7" t="inlineStr">
        <is>
          <t>Direct</t>
        </is>
      </c>
      <c r="E52" s="8" t="inlineStr">
        <is>
          <t>export_6 (Semi-ann CF) 'Net Cash from Operating Activities+' (half-year; sum H1+H2 for full FY)</t>
        </is>
      </c>
      <c r="F52" s="8" t="inlineStr">
        <is>
          <t>export_3 (Annual CF) 'Net Cash Generated From (Used in) Operations'</t>
        </is>
      </c>
      <c r="G52" s="8" t="inlineStr">
        <is>
          <t>Direct copy / sum of halves</t>
        </is>
      </c>
      <c r="H52" s="8" t="inlineStr">
        <is>
          <t>export_3 is annual already — preferred for FY columns. export_6 (semi-annual) is the only source for H1/H2 splits; there is no true quarterly OCF in ARQ (cash flow is not disclosed quarterly in India).</t>
        </is>
      </c>
    </row>
    <row r="53" ht="46" customHeight="1">
      <c r="A53" s="7" t="n">
        <v>74</v>
      </c>
      <c r="B53" s="7" t="inlineStr">
        <is>
          <t>Special</t>
        </is>
      </c>
      <c r="C53" s="8" t="inlineStr">
        <is>
          <t>Capex</t>
        </is>
      </c>
      <c r="D53" s="7" t="inlineStr">
        <is>
          <t>Computed</t>
        </is>
      </c>
      <c r="E53" s="8" t="inlineStr">
        <is>
          <t>export_6 (Semi-ann CF): 'Sale of Fixed Assets' − 'Purchased of Fixed Assets'</t>
        </is>
      </c>
      <c r="F53" s="8" t="inlineStr">
        <is>
          <t>export_3 (Annual CF): 'Proceeds from Sale of Fixed Assets' − 'Purchase of Fixed Assets'</t>
        </is>
      </c>
      <c r="G53" s="8" t="inlineStr">
        <is>
          <t>Sale proceeds minus purchases (net capex, sign per VV formula label 'Proceeds+Purchase')</t>
        </is>
      </c>
      <c r="H53" s="8" t="inlineStr"/>
    </row>
    <row r="54" ht="46" customHeight="1">
      <c r="A54" s="7" t="n">
        <v>75</v>
      </c>
      <c r="B54" s="7" t="inlineStr">
        <is>
          <t>Special</t>
        </is>
      </c>
      <c r="C54" s="8" t="inlineStr">
        <is>
          <t>Dividend</t>
        </is>
      </c>
      <c r="D54" s="7" t="inlineStr">
        <is>
          <t>Computed</t>
        </is>
      </c>
      <c r="E54" s="8" t="inlineStr">
        <is>
          <t>export_4 (Qtrly P&amp;L) r63 'Dividend Per Share' * Row64 (or r64 'Dividend (%)' * Row63 * Row64)</t>
        </is>
      </c>
      <c r="F54" s="8" t="inlineStr">
        <is>
          <t>export_1 (Annual P&amp;L) r160 'Dividend Per Share' * Row64 (or r159 'Dividend (%)' * Row63 * Row64)</t>
        </is>
      </c>
      <c r="G54" s="8" t="inlineStr">
        <is>
          <t>Dividend% × Face Value × No. of Shares (per VV formula label)</t>
        </is>
      </c>
      <c r="H54" s="8" t="inlineStr"/>
    </row>
    <row r="55" ht="46" customHeight="1">
      <c r="A55" s="7" t="n">
        <v>76</v>
      </c>
      <c r="B55" s="7" t="inlineStr">
        <is>
          <t>Formula</t>
        </is>
      </c>
      <c r="C55" s="8" t="inlineStr">
        <is>
          <t>NOPAT</t>
        </is>
      </c>
      <c r="D55" s="7" t="inlineStr">
        <is>
          <t>Computed</t>
        </is>
      </c>
      <c r="E55" s="8">
        <f> Row31*(1−Row58)</f>
        <v/>
      </c>
      <c r="F55" s="8" t="inlineStr">
        <is>
          <t>same</t>
        </is>
      </c>
      <c r="G55" s="8" t="inlineStr">
        <is>
          <t>VV native formula</t>
        </is>
      </c>
      <c r="H55" s="8" t="inlineStr"/>
    </row>
    <row r="56" ht="46" customHeight="1">
      <c r="A56" s="7" t="n">
        <v>77</v>
      </c>
      <c r="B56" s="7" t="inlineStr">
        <is>
          <t>Formula</t>
        </is>
      </c>
      <c r="C56" s="8" t="inlineStr">
        <is>
          <t>Capital Employed</t>
        </is>
      </c>
      <c r="D56" s="7" t="inlineStr">
        <is>
          <t>Computed</t>
        </is>
      </c>
      <c r="E56" s="8">
        <f> Row51+Row52+Row53</f>
        <v/>
      </c>
      <c r="F56" s="8" t="inlineStr">
        <is>
          <t>same</t>
        </is>
      </c>
      <c r="G56" s="8" t="inlineStr">
        <is>
          <t>VV native formula</t>
        </is>
      </c>
      <c r="H56" s="8" t="inlineStr"/>
    </row>
    <row r="57" ht="46" customHeight="1">
      <c r="A57" s="7" t="n">
        <v>78</v>
      </c>
      <c r="B57" s="7" t="inlineStr">
        <is>
          <t>Formula</t>
        </is>
      </c>
      <c r="C57" s="8" t="inlineStr">
        <is>
          <t>Invested Capital</t>
        </is>
      </c>
      <c r="D57" s="7" t="inlineStr">
        <is>
          <t>Computed</t>
        </is>
      </c>
      <c r="E57" s="8">
        <f> Row77 − Row54</f>
        <v/>
      </c>
      <c r="F57" s="8" t="inlineStr">
        <is>
          <t>same</t>
        </is>
      </c>
      <c r="G57" s="8" t="inlineStr">
        <is>
          <t>VV native formula</t>
        </is>
      </c>
      <c r="H57" s="8" t="inlineStr"/>
    </row>
    <row r="58" ht="46" customHeight="1">
      <c r="A58" s="7" t="n">
        <v>79</v>
      </c>
      <c r="B58" s="7" t="inlineStr">
        <is>
          <t>Formula</t>
        </is>
      </c>
      <c r="C58" s="8" t="inlineStr">
        <is>
          <t>ROIC</t>
        </is>
      </c>
      <c r="D58" s="7" t="inlineStr">
        <is>
          <t>Computed</t>
        </is>
      </c>
      <c r="E58" s="8">
        <f> Row76/Row78</f>
        <v/>
      </c>
      <c r="F58" s="8" t="inlineStr">
        <is>
          <t>same</t>
        </is>
      </c>
      <c r="G58" s="8" t="inlineStr">
        <is>
          <t>VV native formula</t>
        </is>
      </c>
      <c r="H58" s="8" t="inlineStr"/>
    </row>
    <row r="59" ht="46" customHeight="1">
      <c r="A59" s="7" t="n">
        <v>81</v>
      </c>
      <c r="B59" s="7" t="inlineStr">
        <is>
          <t>Input — OUT OF SCOPE</t>
        </is>
      </c>
      <c r="C59" s="8" t="inlineStr">
        <is>
          <t>Cost of Equity</t>
        </is>
      </c>
      <c r="D59" s="7" t="inlineStr">
        <is>
          <t>Manual</t>
        </is>
      </c>
      <c r="E59" s="8" t="inlineStr">
        <is>
          <t>Analyst/CAPM input</t>
        </is>
      </c>
      <c r="F59" s="8" t="inlineStr">
        <is>
          <t>Analyst/CAPM input</t>
        </is>
      </c>
      <c r="G59" s="8" t="inlineStr">
        <is>
          <t>n/a</t>
        </is>
      </c>
      <c r="H59" s="8" t="inlineStr">
        <is>
          <t>Valuation (DCF) assumption block (rows 81-97): none of these are financial-statement line items — they are analyst-chosen growth, discount-rate and multiple assumptions used to derive a DCF fair value. Not derivable from ARQ exports for any company; leave as a manual assumptions panel in the dashboard.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50" customWidth="1" min="4" max="4"/>
    <col width="16" customWidth="1" min="5" max="5"/>
    <col width="22" customWidth="1" min="6" max="6"/>
  </cols>
  <sheetData>
    <row r="1">
      <c r="A1" s="6" t="inlineStr">
        <is>
          <t>ARQ file role</t>
        </is>
      </c>
      <c r="B1" s="6" t="inlineStr">
        <is>
          <t>Statement</t>
        </is>
      </c>
      <c r="C1" s="6" t="inlineStr">
        <is>
          <t>Periodicity</t>
        </is>
      </c>
      <c r="D1" s="6" t="inlineStr">
        <is>
          <t>Detection rule (row/col fingerprint)</t>
        </is>
      </c>
      <c r="E1" s="6" t="inlineStr">
        <is>
          <t>Typical column count</t>
        </is>
      </c>
      <c r="F1" s="6" t="inlineStr">
        <is>
          <t>Used for VV columns</t>
        </is>
      </c>
    </row>
    <row r="2" ht="60" customHeight="1">
      <c r="A2" s="8" t="inlineStr">
        <is>
          <t>export_1</t>
        </is>
      </c>
      <c r="B2" s="8" t="inlineStr">
        <is>
          <t>Annual P&amp;L (full detail)</t>
        </is>
      </c>
      <c r="C2" s="8" t="inlineStr">
        <is>
          <t>1 col / FY</t>
        </is>
      </c>
      <c r="D2" s="8" t="inlineStr">
        <is>
          <t>Row1 col-headers start with a period label (e.g. 'Mar-24'); Row2 = 'SA/CON'; Row3 label = 'Revenue From Operations(Gross)'; ~160 data rows.</t>
        </is>
      </c>
      <c r="E2" s="8" t="inlineStr">
        <is>
          <t>~12-15</t>
        </is>
      </c>
      <c r="F2" s="8" t="inlineStr">
        <is>
          <t>Annual (FYxx / CYxx) columns, P&amp;L section</t>
        </is>
      </c>
    </row>
    <row r="3" ht="60" customHeight="1">
      <c r="A3" s="8" t="inlineStr">
        <is>
          <t>export_2</t>
        </is>
      </c>
      <c r="B3" s="8" t="inlineStr">
        <is>
          <t>Annual BS (full note detail)</t>
        </is>
      </c>
      <c r="C3" s="8" t="inlineStr">
        <is>
          <t>1 col / FY</t>
        </is>
      </c>
      <c r="D3" s="8" t="inlineStr">
        <is>
          <t>Row1 label = 'Share Capital'; file has 500-650+ rows (by far the largest file).</t>
        </is>
      </c>
      <c r="E3" s="8" t="inlineStr">
        <is>
          <t>~12-15</t>
        </is>
      </c>
      <c r="F3" s="8" t="inlineStr">
        <is>
          <t>Not used directly by VV core rows (export_5 already gives the aggregated BS); use only for deeper drill-downs.</t>
        </is>
      </c>
    </row>
    <row r="4" ht="60" customHeight="1">
      <c r="A4" s="8" t="inlineStr">
        <is>
          <t>export_3</t>
        </is>
      </c>
      <c r="B4" s="8" t="inlineStr">
        <is>
          <t>Annual Cash Flow (full detail)</t>
        </is>
      </c>
      <c r="C4" s="8" t="inlineStr">
        <is>
          <t>1 col / FY</t>
        </is>
      </c>
      <c r="D4" s="8" t="inlineStr">
        <is>
          <t>Row1 label = 'Net Profit'; Row2 label = 'Total Adjustments'; ~85-90 data rows.</t>
        </is>
      </c>
      <c r="E4" s="8" t="inlineStr">
        <is>
          <t>~12-15</t>
        </is>
      </c>
      <c r="F4" s="8" t="inlineStr">
        <is>
          <t>Annual OCF / Capex (Rows 73-74)</t>
        </is>
      </c>
    </row>
    <row r="5" ht="60" customHeight="1">
      <c r="A5" s="8" t="inlineStr">
        <is>
          <t>export_4</t>
        </is>
      </c>
      <c r="B5" s="8" t="inlineStr">
        <is>
          <t>Quarterly P&amp;L (full detail)</t>
        </is>
      </c>
      <c r="C5" s="8" t="inlineStr">
        <is>
          <t>1 col / quarter (no annual col)</t>
        </is>
      </c>
      <c r="D5" s="8" t="inlineStr">
        <is>
          <t>Row1 label = 'Gross Sales/Income from operations'; column count is large (40+) with NO annual roll-up column mixed in; ~60-65 data rows.</t>
        </is>
      </c>
      <c r="E5" s="8" t="inlineStr">
        <is>
          <t>40+</t>
        </is>
      </c>
      <c r="F5" s="8" t="inlineStr">
        <is>
          <t>Quarterly (1Q/2Q/3Q/4QFYxx) columns, P&amp;L section</t>
        </is>
      </c>
    </row>
    <row r="6" ht="60" customHeight="1">
      <c r="A6" s="8" t="inlineStr">
        <is>
          <t>export_5</t>
        </is>
      </c>
      <c r="B6" s="8" t="inlineStr">
        <is>
          <t>Semi-annual BS (summary)</t>
        </is>
      </c>
      <c r="C6" s="8" t="inlineStr">
        <is>
          <t>1 col / half-year (Mar &amp; Sep only)</t>
        </is>
      </c>
      <c r="D6" s="8" t="inlineStr">
        <is>
          <t>Row1 label = 'Shareholders Fund'; ~30-33 data rows (much shorter than export_2).</t>
        </is>
      </c>
      <c r="E6" s="8" t="inlineStr">
        <is>
          <t>~20-25</t>
        </is>
      </c>
      <c r="F6" s="8" t="inlineStr">
        <is>
          <t>BS section (Rows 51-55, 72), both quarterly (Mar/Sep cols only) and annual (Mar col)</t>
        </is>
      </c>
    </row>
    <row r="7" ht="60" customHeight="1">
      <c r="A7" s="8" t="inlineStr">
        <is>
          <t>export_6</t>
        </is>
      </c>
      <c r="B7" s="8" t="inlineStr">
        <is>
          <t>Semi-annual Cash Flow (summary)</t>
        </is>
      </c>
      <c r="C7" s="8" t="inlineStr">
        <is>
          <t>1 col / half-year (Mar &amp; Sep only)</t>
        </is>
      </c>
      <c r="D7" s="8" t="inlineStr">
        <is>
          <t>Row1 label = 'Net Profit before Tax &amp; Extraordinary Items'; ~40-45 data rows.</t>
        </is>
      </c>
      <c r="E7" s="8" t="inlineStr">
        <is>
          <t>~15-20</t>
        </is>
      </c>
      <c r="F7" s="8" t="inlineStr">
        <is>
          <t>Half-year OCF/Capex split when finer granularity than annual is wanted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18" customWidth="1" min="1" max="1"/>
    <col width="26" customWidth="1" min="2" max="2"/>
    <col width="20" customWidth="1" min="3" max="3"/>
    <col width="46" customWidth="1" min="4" max="4"/>
  </cols>
  <sheetData>
    <row r="1">
      <c r="A1" s="6" t="inlineStr">
        <is>
          <t>VV column header</t>
        </is>
      </c>
      <c r="B1" s="6" t="inlineStr">
        <is>
          <t>Meaning</t>
        </is>
      </c>
      <c r="C1" s="6" t="inlineStr">
        <is>
          <t>Source file</t>
        </is>
      </c>
      <c r="D1" s="6" t="inlineStr">
        <is>
          <t>Source column to pick</t>
        </is>
      </c>
    </row>
    <row r="2" ht="46" customHeight="1">
      <c r="A2" s="8" t="inlineStr">
        <is>
          <t>1QFYxx / 2QFYxx / 3QFYxx / 4QFYxx</t>
        </is>
      </c>
      <c r="B2" s="8" t="inlineStr">
        <is>
          <t>Quarter ending Jun/Sep/Dec/Mar of fiscal year xx</t>
        </is>
      </c>
      <c r="C2" s="8" t="inlineStr">
        <is>
          <t>export_4</t>
        </is>
      </c>
      <c r="D2" s="8" t="inlineStr">
        <is>
          <t>Match by the export_4 period-end date, e.g. 4QFY24 → column 'Mar-24'.</t>
        </is>
      </c>
    </row>
    <row r="3" ht="46" customHeight="1">
      <c r="A3" s="8" t="inlineStr">
        <is>
          <t>CYxx (pre-FY16 columns)</t>
        </is>
      </c>
      <c r="B3" s="8" t="inlineStr">
        <is>
          <t>Annual period, calendar/older fiscal convention used before the company standardised to Mar year-end</t>
        </is>
      </c>
      <c r="C3" s="8" t="inlineStr">
        <is>
          <t>export_1 / export_3</t>
        </is>
      </c>
      <c r="D3" s="8" t="inlineStr">
        <is>
          <t>Match by nearest period-end label, e.g. CY13 → column 'Mar-13' if present, else the annual column whose label year matches.</t>
        </is>
      </c>
    </row>
    <row r="4" ht="46" customHeight="1">
      <c r="A4" s="8" t="inlineStr">
        <is>
          <t>FYxx (FY16 onward, actual)</t>
        </is>
      </c>
      <c r="B4" s="8" t="inlineStr">
        <is>
          <t>Annual period ending March of year xx</t>
        </is>
      </c>
      <c r="C4" s="8" t="inlineStr">
        <is>
          <t>export_1 (P&amp;L) / export_3 (CF) / export_5, Mar column (BS)</t>
        </is>
      </c>
      <c r="D4" s="8" t="inlineStr">
        <is>
          <t>Match column label 'Mar-xx' exactly.</t>
        </is>
      </c>
    </row>
    <row r="5" ht="46" customHeight="1">
      <c r="A5" s="8" t="inlineStr">
        <is>
          <t>FYxxE (FY27E onward)</t>
        </is>
      </c>
      <c r="B5" s="8" t="inlineStr">
        <is>
          <t>Analyst estimate, forward-looking</t>
        </is>
      </c>
      <c r="C5" s="8" t="inlineStr">
        <is>
          <t>none — not in any ARQ export</t>
        </is>
      </c>
      <c r="D5" s="8" t="inlineStr">
        <is>
          <t>Leave for manual analyst input / separate forecast model; ARQ exports contain only reported actuals.</t>
        </is>
      </c>
    </row>
    <row r="6" ht="46" customHeight="1">
      <c r="A6" s="8" t="inlineStr">
        <is>
          <t>export_5 / export_6 'Sep-xx' column</t>
        </is>
      </c>
      <c r="B6" s="8" t="inlineStr">
        <is>
          <t>Half-year (H1) figures, i.e. cumulative Apr-Sep</t>
        </is>
      </c>
      <c r="C6" s="8" t="inlineStr">
        <is>
          <t>export_5 / export_6</t>
        </is>
      </c>
      <c r="D6" s="8" t="inlineStr">
        <is>
          <t>Use directly for the 2QFYxx BS/CF snapshot; for a true Q2-only P&amp;L flow use export_4's 2QFYxx column instead (P&amp;L is genuinely quarterly; BS/CF in ARQ is only ever a point-in-time or half-year cumulative figure).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14" customWidth="1" min="1" max="1"/>
    <col width="42" customWidth="1" min="2" max="2"/>
    <col width="60" customWidth="1" min="3" max="3"/>
    <col width="46" customWidth="1" min="4" max="4"/>
  </cols>
  <sheetData>
    <row r="1">
      <c r="B1" s="9" t="inlineStr">
        <is>
          <t>Aggregate ('parent') rows and the child rows they sum — read the parent by position, never re-sum or double-count</t>
        </is>
      </c>
    </row>
    <row r="3">
      <c r="A3" s="6" t="inlineStr">
        <is>
          <t>Source file</t>
        </is>
      </c>
      <c r="B3" s="6" t="inlineStr">
        <is>
          <t>Parent row (row #, label)</t>
        </is>
      </c>
      <c r="C3" s="6">
        <f> sum of child rows</f>
        <v/>
      </c>
      <c r="D3" s="6" t="inlineStr">
        <is>
          <t>Why this matters / duplicate risk</t>
        </is>
      </c>
    </row>
    <row r="4" ht="58" customHeight="1">
      <c r="A4" s="8" t="inlineStr">
        <is>
          <t>export_1</t>
        </is>
      </c>
      <c r="B4" s="8" t="inlineStr">
        <is>
          <t>r2 Revenue From Operations(Gross)</t>
        </is>
      </c>
      <c r="C4" s="8" t="inlineStr">
        <is>
          <t>r3 Sale of Products − r7 Claims/Disc/Taxes + r8 Sale of services + r9 Income from Insurance Ops + r10 Other operating revenues</t>
        </is>
      </c>
      <c r="D4" s="8" t="inlineStr">
        <is>
          <t>r3 itself = r4 Manufactured/Finished Goods + r5 Traded Goods + r6 Other. r10 itself = r11..r18 (Scrap, Export Incentives, Doubtful Debts WB, Write Backs, Licensing, Insurance Claim, Govt Grant, Others).</t>
        </is>
      </c>
    </row>
    <row r="5" ht="58" customHeight="1">
      <c r="A5" s="8" t="inlineStr">
        <is>
          <t>export_1</t>
        </is>
      </c>
      <c r="B5" s="8" t="inlineStr">
        <is>
          <t>r22 Other Income</t>
        </is>
      </c>
      <c r="C5" s="8" t="inlineStr">
        <is>
          <t>r23 Interest Income + r26 Dividend Income + r28 Profit on Sale of Investments + r31 Lease Rent + r32 Profit on FA sale + r33 Forex gain + r34 Income from Investment Activities + r35 Income-share Partnership + r36 Other Non-Operating Income</t>
        </is>
      </c>
      <c r="D5" s="8" t="inlineStr">
        <is>
          <t>Several children (r23,26,28) have their own 'From Others' sub-child — do not add those separately, they are already inside the parent.</t>
        </is>
      </c>
    </row>
    <row r="6" ht="58" customHeight="1">
      <c r="A6" s="8" t="inlineStr">
        <is>
          <t>export_1</t>
        </is>
      </c>
      <c r="B6" s="8" t="inlineStr">
        <is>
          <t>r38 Cost of Materials Consumed</t>
        </is>
      </c>
      <c r="C6" s="8" t="inlineStr">
        <is>
          <t>r39 Raw Materials + r43 Packing Materials + r47 Other Materials + r51 Amalgamation/Trial Run Adj.</t>
        </is>
      </c>
      <c r="D6" s="8" t="inlineStr">
        <is>
          <t>r39/r43/r47 are each Opening Stock + Purchases − Closing Stock — 3-deep hierarchy.</t>
        </is>
      </c>
    </row>
    <row r="7" ht="58" customHeight="1">
      <c r="A7" s="8" t="inlineStr">
        <is>
          <t>export_1</t>
        </is>
      </c>
      <c r="B7" s="8" t="inlineStr">
        <is>
          <t>r54 Changes in Inventories of FG/WIP/SIT</t>
        </is>
      </c>
      <c r="C7" s="8" t="inlineStr">
        <is>
          <t>r55 Opening Stock (FG+SIT) − r58 Closing Stock (FG+SIT) + r61 Excise adj + r62 Trial Production adj</t>
        </is>
      </c>
      <c r="D7" s="8" t="inlineStr">
        <is>
          <t>Same shape as above.</t>
        </is>
      </c>
    </row>
    <row r="8" ht="58" customHeight="1">
      <c r="A8" s="8" t="inlineStr">
        <is>
          <t>export_1</t>
        </is>
      </c>
      <c r="B8" s="8" t="inlineStr">
        <is>
          <t>r63 Employee Benefits Expenses</t>
        </is>
      </c>
      <c r="C8" s="8" t="inlineStr">
        <is>
          <t>r64 Salaries + r65 PF Contribution + r66 Staff Welfare + r67 Directors Remuneration + r68 Floating Staff</t>
        </is>
      </c>
      <c r="D8" s="8" t="inlineStr"/>
    </row>
    <row r="9" ht="58" customHeight="1">
      <c r="A9" s="8" t="inlineStr">
        <is>
          <t>export_1</t>
        </is>
      </c>
      <c r="B9" s="8" t="inlineStr">
        <is>
          <t>r69 Finance Costs</t>
        </is>
      </c>
      <c r="C9" s="8" t="inlineStr">
        <is>
          <t>r70 Interest Expenses (r71 Taxes + r72 Other) + r73 Other borrowing costs − r74 Interest Capitalised</t>
        </is>
      </c>
      <c r="D9" s="8" t="inlineStr"/>
    </row>
    <row r="10" ht="58" customHeight="1">
      <c r="A10" s="8" t="inlineStr">
        <is>
          <t>export_1</t>
        </is>
      </c>
      <c r="B10" s="8" t="inlineStr">
        <is>
          <t>r75 Depreciation and Amortization Expenses</t>
        </is>
      </c>
      <c r="C10" s="8" t="inlineStr">
        <is>
          <t>r76 Depreciation &amp; Amortisation + r77 Depreciation + r78 Other Adjustment</t>
        </is>
      </c>
      <c r="D10" s="8" t="inlineStr">
        <is>
          <t>r76 and r77 look like duplicate labels of the same concept — they are in fact two distinct disclosure lines in the source schedule; only the r75 total is safe to use.</t>
        </is>
      </c>
    </row>
    <row r="11" ht="58" customHeight="1">
      <c r="A11" s="8" t="inlineStr">
        <is>
          <t>export_1</t>
        </is>
      </c>
      <c r="B11" s="8" t="inlineStr">
        <is>
          <t>r79 Other Expenses  ⚠️ DUPLICATE LABEL</t>
        </is>
      </c>
      <c r="C11" s="8" t="inlineStr">
        <is>
          <t>r80 Manufacturing expenses (+11 sub-lines incl. Power/Fuel, Repairs, Direct Labour) + r90 Selling &amp; Admin Expenses (+24 sub-lines incl. Freight, Travel, Rent, Insurance) + r108..r114 Loss/Provision/Misc items</t>
        </is>
      </c>
      <c r="D11" s="8" t="inlineStr">
        <is>
          <t>r114 is ALSO labelled a residual 'Other Miscellaneous Expenses' — it is a CHILD of r79, not a second parent. Grabbing r114 instead of r79, or summing r79+r114, both produce wrong figures.</t>
        </is>
      </c>
    </row>
    <row r="12" ht="58" customHeight="1">
      <c r="A12" s="8" t="inlineStr">
        <is>
          <t>export_1</t>
        </is>
      </c>
      <c r="B12" s="8" t="inlineStr">
        <is>
          <t>r115 Total Expenses</t>
        </is>
      </c>
      <c r="C12" s="8" t="inlineStr">
        <is>
          <t>r38 + r52 + r54 + r63 + r69 + r75 + r79</t>
        </is>
      </c>
      <c r="D12" s="8" t="inlineStr">
        <is>
          <t>Top-level reconciliation check for the whole cost stack.</t>
        </is>
      </c>
    </row>
    <row r="13" ht="58" customHeight="1">
      <c r="A13" s="8" t="inlineStr">
        <is>
          <t>export_1</t>
        </is>
      </c>
      <c r="B13" s="8" t="inlineStr">
        <is>
          <t>r118 Exceptional Items (net)</t>
        </is>
      </c>
      <c r="C13" s="8" t="inlineStr">
        <is>
          <t>r124 Income − r125 Expenditure (each themselves = r119..r123 sub-items)</t>
        </is>
      </c>
      <c r="D13" s="8" t="inlineStr"/>
    </row>
    <row r="14" ht="58" customHeight="1">
      <c r="A14" s="8" t="inlineStr">
        <is>
          <t>export_1</t>
        </is>
      </c>
      <c r="B14" s="8" t="inlineStr">
        <is>
          <t>r127 Extraordinary Items (net)</t>
        </is>
      </c>
      <c r="C14" s="8" t="inlineStr">
        <is>
          <t>r128..r132 items, structured like r118 above</t>
        </is>
      </c>
      <c r="D14" s="8" t="inlineStr"/>
    </row>
    <row r="15" ht="58" customHeight="1">
      <c r="A15" s="8" t="inlineStr">
        <is>
          <t>export_1</t>
        </is>
      </c>
      <c r="B15" s="8" t="inlineStr">
        <is>
          <t>r134 Tax Expenses</t>
        </is>
      </c>
      <c r="C15" s="8" t="inlineStr">
        <is>
          <t>r135 Current Tax + r136 Deferred Tax + r137 Other Tax Adjustments</t>
        </is>
      </c>
      <c r="D15" s="8" t="inlineStr">
        <is>
          <t>VV keeps Current Tax (Row41) and Deferred Tax (Row43) as SEPARATE rows — mapping r134 to either row would double count.</t>
        </is>
      </c>
    </row>
    <row r="16" ht="58" customHeight="1">
      <c r="A16" s="8" t="inlineStr">
        <is>
          <t>export_4</t>
        </is>
      </c>
      <c r="B16" s="8" t="inlineStr">
        <is>
          <t>r8 Total Expenses</t>
        </is>
      </c>
      <c r="C16" s="8" t="inlineStr">
        <is>
          <t>r9 Cost of Sales + r15 Employee Cost + r16 Depreciation + r17 Provisions&amp;WriteOffs + r18 Admin&amp;Selling + r19 Other Expenses</t>
        </is>
      </c>
      <c r="D16" s="8" t="inlineStr">
        <is>
          <t>r9 Cost of Sales itself = r10 Raw Material + r11 Purchase FG + r12 Stock Adj + r13 Power/Oil/Fuel + r14 Other Direct Cost.</t>
        </is>
      </c>
    </row>
    <row r="17" ht="58" customHeight="1">
      <c r="A17" s="8" t="inlineStr">
        <is>
          <t>export_4</t>
        </is>
      </c>
      <c r="B17" s="8" t="inlineStr">
        <is>
          <t>r19 Other Expenses  ⚠️ DUPLICATE LABEL</t>
        </is>
      </c>
      <c r="C17" s="8" t="inlineStr">
        <is>
          <t>r20 Other Expenses (single child, same figure)</t>
        </is>
      </c>
      <c r="D17" s="8" t="inlineStr">
        <is>
          <t>r19 and r20 are two rows with the identical label; r20 is simply r19's own (unbroken) sub-total. Use r19 once — do not sum r19+r20.</t>
        </is>
      </c>
    </row>
    <row r="18" ht="58" customHeight="1">
      <c r="A18" s="8" t="inlineStr">
        <is>
          <t>export_4</t>
        </is>
      </c>
      <c r="B18" s="8" t="inlineStr">
        <is>
          <t>r30 Total Exceptional Income</t>
        </is>
      </c>
      <c r="C18" s="8" t="inlineStr">
        <is>
          <t>r31 Gain on Sale of Assets + r32 Other Incomes</t>
        </is>
      </c>
      <c r="D18" s="8" t="inlineStr"/>
    </row>
    <row r="19" ht="58" customHeight="1">
      <c r="A19" s="8" t="inlineStr">
        <is>
          <t>export_4</t>
        </is>
      </c>
      <c r="B19" s="8" t="inlineStr">
        <is>
          <t>r36 Total Tax</t>
        </is>
      </c>
      <c r="C19" s="8" t="inlineStr">
        <is>
          <t>r37 Tax (=r38 Current Year Tax) + r39 Deferred Tax (=r40 Deferred Tax Current)</t>
        </is>
      </c>
      <c r="D19" s="8" t="inlineStr">
        <is>
          <t>Same double-count risk as export_1 r134 above.</t>
        </is>
      </c>
    </row>
    <row r="20" ht="58" customHeight="1">
      <c r="A20" s="8" t="inlineStr">
        <is>
          <t>export_4</t>
        </is>
      </c>
      <c r="B20" s="8" t="inlineStr">
        <is>
          <t>r48 Net Profit after taxes, minority interest…</t>
        </is>
      </c>
      <c r="C20" s="8" t="inlineStr">
        <is>
          <t>r49 Owners of the Company + r50 Non-Controlling Interest</t>
        </is>
      </c>
      <c r="D20" s="8" t="inlineStr"/>
    </row>
    <row r="21" ht="58" customHeight="1">
      <c r="A21" s="8" t="inlineStr">
        <is>
          <t>export_3 / export_6</t>
        </is>
      </c>
      <c r="B21" s="8" t="inlineStr">
        <is>
          <t>'Total Adjustments' / 'Op. Profit before Working Capital Changes'</t>
        </is>
      </c>
      <c r="C21" s="8" t="inlineStr">
        <is>
          <t>Interest, Depreciation, Forex, Provisions, Associate/JV share, etc. listed beneath</t>
        </is>
      </c>
      <c r="D21" s="8" t="inlineStr">
        <is>
          <t>Indirect-method CF build-up — always consume the stated running sub-totals (Op. Profit before WC Changes → Cash Generated from Operations → Net Cash from Operating Activities), never re-derive from the raw adjustment lines, since sign conventions (+/−) vary by item.</t>
        </is>
      </c>
    </row>
    <row r="22" ht="58" customHeight="1">
      <c r="A22" s="8" t="inlineStr">
        <is>
          <t>export_5</t>
        </is>
      </c>
      <c r="B22" s="8" t="inlineStr">
        <is>
          <t>'Fixed Assets(incl. Capital Work in Progress)'</t>
        </is>
      </c>
      <c r="C22" s="8" t="inlineStr">
        <is>
          <t>Tangible Assets + Intangible Assets (+ CWIP implicitly)</t>
        </is>
      </c>
      <c r="D22" s="8" t="inlineStr">
        <is>
          <t>Use the parent for VV Row 55 'Net Block'.</t>
        </is>
      </c>
    </row>
    <row r="23" ht="58" customHeight="1">
      <c r="A23" s="8" t="inlineStr">
        <is>
          <t>export_5</t>
        </is>
      </c>
      <c r="B23" s="8" t="inlineStr">
        <is>
          <t>'Total Non Current Assets' / 'Total Current Assets' / 'TOTAL EQUITY &amp; LIABILITIES'</t>
        </is>
      </c>
      <c r="C23" s="8" t="inlineStr">
        <is>
          <t>Sum of the respective section's line items directly below each header</t>
        </is>
      </c>
      <c r="D23" s="8" t="inlineStr">
        <is>
          <t>Standard BS check: Total Assets = Total Equity &amp; Liabilities.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showGridLines="0" workbookViewId="0">
      <pane ySplit="1" topLeftCell="A2" activePane="bottomLeft" state="frozen"/>
      <selection pane="bottomLeft" activeCell="A1" sqref="A1"/>
    </sheetView>
  </sheetViews>
  <sheetFormatPr baseColWidth="8" defaultRowHeight="15"/>
  <cols>
    <col width="12" customWidth="1" min="1" max="1"/>
    <col width="30" customWidth="1" min="2" max="2"/>
    <col width="55" customWidth="1" min="3" max="3"/>
    <col width="45" customWidth="1" min="4" max="4"/>
  </cols>
  <sheetData>
    <row r="1">
      <c r="A1" s="6" t="inlineStr">
        <is>
          <t>VV rows</t>
        </is>
      </c>
      <c r="B1" s="6" t="inlineStr">
        <is>
          <t>Section</t>
        </is>
      </c>
      <c r="C1" s="6" t="inlineStr">
        <is>
          <t>Why it's out of scope</t>
        </is>
      </c>
      <c r="D1" s="6" t="inlineStr">
        <is>
          <t>Recommended dashboard handling</t>
        </is>
      </c>
    </row>
    <row r="2" ht="70" customHeight="1">
      <c r="A2" s="8" t="inlineStr">
        <is>
          <t>65, 68, 69</t>
        </is>
      </c>
      <c r="B2" s="8" t="inlineStr">
        <is>
          <t>Market price / target price / analyst inputs</t>
        </is>
      </c>
      <c r="C2" s="8" t="inlineStr">
        <is>
          <t>Live market price and forward valuation targets are not financial-statement data.</t>
        </is>
      </c>
      <c r="D2" s="8" t="inlineStr">
        <is>
          <t>Pull CMP from a market-data API; leave Target Multiple/Price as an editable analyst input cell.</t>
        </is>
      </c>
    </row>
    <row r="3" ht="70" customHeight="1">
      <c r="A3" s="8" t="inlineStr">
        <is>
          <t>81-97</t>
        </is>
      </c>
      <c r="B3" s="8" t="inlineStr">
        <is>
          <t>DCF valuation assumptions (Cost of Equity, growth rates, EV build-up, Fair Price, Implied PE, CAGR)</t>
        </is>
      </c>
      <c r="C3" s="8" t="inlineStr">
        <is>
          <t>Pure analyst judgement / valuation-model assumptions, not reported figures.</t>
        </is>
      </c>
      <c r="D3" s="8" t="inlineStr">
        <is>
          <t>Keep as a manual assumptions panel; can auto-feed off computed Rows 76-79 (NOPAT, Capital Employed, Invested Capital, ROIC) but the growth/discount inputs stay manual.</t>
        </is>
      </c>
    </row>
    <row r="4" ht="70" customHeight="1">
      <c r="A4" s="8" t="inlineStr">
        <is>
          <t>100-360</t>
        </is>
      </c>
      <c r="B4" s="8" t="inlineStr">
        <is>
          <t>Segment volumes, capacities, realisations, EBIT/EBITDA by segment (Plastic Piping, Packaging, Industrial, Consumer, Window &amp; Doors) and per-kg metrics</t>
        </is>
      </c>
      <c r="C4" s="8" t="inlineStr">
        <is>
          <t>This is Supreme Industries' own operating disclosure (investor-presentation / segment-note data specific to a pipes &amp; plastics manufacturer). The 6 ARQ exports are generic financial-statement extracts common to every listed company and do not carry industry-specific operating KPIs.</t>
        </is>
      </c>
      <c r="D4" s="8" t="inlineStr">
        <is>
          <t>Treat as a company-specific 'operating metrics' tab that must be entered manually (or sourced from that company's investor presentations / MD&amp;A) — do not attempt to auto-populate this block from ARQ files for other companies. If the new company discloses segment revenue/EBIT in its annual filings, a similar but company-specific mapping would need to be built from a segment-reporting export (not among the 6 provided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2026-07-22T07:25:33Z</dcterms:created>
  <dcterms:modified xmlns:dcterms="http://purl.org/dc/terms/" xmlns:xsi="http://www.w3.org/2001/XMLSchema-instance" xsi:type="dcterms:W3CDTF">2026-07-22T07:25:33Z</dcterms:modified>
</cp:coreProperties>
</file>