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mpany" sheetId="1" state="visible" r:id="rId1"/>
  </sheets>
  <definedNames>
    <definedName name="_xlnm._FilterDatabase" localSheetId="0" hidden="1">'Test Company'!$B$2:$BE$2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E8B86D"/>
      <sz val="14"/>
    </font>
    <font>
      <name val="Calibri"/>
      <b val="1"/>
      <color rgb="00B0BEC5"/>
      <sz val="9"/>
    </font>
    <font>
      <name val="Calibri"/>
      <b val="1"/>
      <color rgb="004FC3F7"/>
      <sz val="8"/>
    </font>
    <font>
      <name val="Calibri"/>
      <b val="1"/>
      <color rgb="00E8B86D"/>
      <sz val="8"/>
    </font>
    <font>
      <name val="Calibri"/>
      <color rgb="0037474F"/>
      <sz val="7"/>
    </font>
    <font>
      <name val="Calibri"/>
      <b val="1"/>
      <color rgb="004FC3F7"/>
      <sz val="9"/>
    </font>
    <font>
      <name val="Calibri"/>
      <color rgb="00FFFFFF"/>
      <sz val="8"/>
    </font>
    <font>
      <name val="Calibri"/>
      <color rgb="00B0BEC5"/>
      <sz val="9"/>
    </font>
    <font>
      <name val="Calibri"/>
      <color rgb="0037474F"/>
      <sz val="8"/>
    </font>
    <font>
      <name val="Calibri"/>
      <b val="1"/>
      <color rgb="00FFFFFF"/>
      <sz val="8"/>
    </font>
    <font>
      <name val="Calibri"/>
      <color rgb="00FFFFFF"/>
      <sz val="9"/>
    </font>
    <font>
      <name val="Calibri"/>
      <b val="1"/>
      <color rgb="00FFA726"/>
      <sz val="9"/>
    </font>
    <font>
      <name val="Calibri"/>
      <b val="1"/>
      <color rgb="00E8B86D"/>
      <sz val="9"/>
    </font>
    <font>
      <name val="Calibri"/>
      <b val="1"/>
      <color rgb="0066BB6A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B2838"/>
      </patternFill>
    </fill>
    <fill>
      <patternFill patternType="solid">
        <fgColor rgb="00111827"/>
      </patternFill>
    </fill>
    <fill>
      <patternFill patternType="solid">
        <fgColor rgb="00162032"/>
      </patternFill>
    </fill>
    <fill>
      <patternFill patternType="solid">
        <fgColor rgb="000A0F1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indent="1"/>
    </xf>
    <xf numFmtId="4" fontId="7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indent="1"/>
    </xf>
    <xf numFmtId="4" fontId="7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left" vertical="center" indent="1"/>
    </xf>
    <xf numFmtId="164" fontId="7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left" vertical="center" indent="1"/>
    </xf>
    <xf numFmtId="4" fontId="7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9" customWidth="1" min="33" max="33"/>
    <col width="9" customWidth="1" min="34" max="34"/>
    <col width="9" customWidth="1" min="35" max="35"/>
    <col width="9" customWidth="1" min="36" max="36"/>
    <col width="11" customWidth="1" min="37" max="37"/>
    <col width="9" customWidth="1" min="38" max="38"/>
    <col width="9" customWidth="1" min="39" max="39"/>
    <col width="9" customWidth="1" min="40" max="40"/>
    <col width="9" customWidth="1" min="41" max="41"/>
    <col width="11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9" customWidth="1" min="48" max="48"/>
    <col width="9" customWidth="1" min="49" max="49"/>
    <col width="9" customWidth="1" min="50" max="50"/>
    <col width="9" customWidth="1" min="51" max="51"/>
    <col width="11" customWidth="1" min="52" max="52"/>
    <col width="9" customWidth="1" min="53" max="53"/>
    <col width="9" customWidth="1" min="54" max="54"/>
    <col width="9" customWidth="1" min="55" max="55"/>
    <col width="9" customWidth="1" min="56" max="56"/>
    <col width="11" customWidth="1" min="57" max="57"/>
  </cols>
  <sheetData>
    <row r="1" ht="28" customHeight="1">
      <c r="A1" s="1" t="n"/>
      <c r="B1" s="2" t="inlineStr">
        <is>
          <t>Test Company</t>
        </is>
      </c>
    </row>
    <row r="2" ht="22" customHeight="1">
      <c r="A2" s="3" t="inlineStr">
        <is>
          <t>Type</t>
        </is>
      </c>
      <c r="B2" s="3" t="inlineStr">
        <is>
          <t>(Rs. Cr.)</t>
        </is>
      </c>
      <c r="C2" s="4" t="inlineStr">
        <is>
          <t>1QFY16</t>
        </is>
      </c>
      <c r="D2" s="4" t="inlineStr">
        <is>
          <t>2QFY16</t>
        </is>
      </c>
      <c r="E2" s="4" t="inlineStr">
        <is>
          <t>3QFY16</t>
        </is>
      </c>
      <c r="F2" s="4" t="inlineStr">
        <is>
          <t>4QFY16</t>
        </is>
      </c>
      <c r="G2" s="5" t="inlineStr">
        <is>
          <t>FY16</t>
        </is>
      </c>
      <c r="H2" s="4" t="inlineStr">
        <is>
          <t>1QFY17</t>
        </is>
      </c>
      <c r="I2" s="4" t="inlineStr">
        <is>
          <t>2QFY17</t>
        </is>
      </c>
      <c r="J2" s="4" t="inlineStr">
        <is>
          <t>3QFY17</t>
        </is>
      </c>
      <c r="K2" s="4" t="inlineStr">
        <is>
          <t>4QFY17</t>
        </is>
      </c>
      <c r="L2" s="5" t="inlineStr">
        <is>
          <t>FY17</t>
        </is>
      </c>
      <c r="M2" s="4" t="inlineStr">
        <is>
          <t>1QFY18</t>
        </is>
      </c>
      <c r="N2" s="4" t="inlineStr">
        <is>
          <t>2QFY18</t>
        </is>
      </c>
      <c r="O2" s="4" t="inlineStr">
        <is>
          <t>3QFY18</t>
        </is>
      </c>
      <c r="P2" s="4" t="inlineStr">
        <is>
          <t>4QFY18</t>
        </is>
      </c>
      <c r="Q2" s="5" t="inlineStr">
        <is>
          <t>FY18</t>
        </is>
      </c>
      <c r="R2" s="4" t="inlineStr">
        <is>
          <t>1QFY19</t>
        </is>
      </c>
      <c r="S2" s="4" t="inlineStr">
        <is>
          <t>2QFY19</t>
        </is>
      </c>
      <c r="T2" s="4" t="inlineStr">
        <is>
          <t>3QFY19</t>
        </is>
      </c>
      <c r="U2" s="4" t="inlineStr">
        <is>
          <t>4QFY19</t>
        </is>
      </c>
      <c r="V2" s="5" t="inlineStr">
        <is>
          <t>FY19</t>
        </is>
      </c>
      <c r="W2" s="4" t="inlineStr">
        <is>
          <t>1QFY20</t>
        </is>
      </c>
      <c r="X2" s="4" t="inlineStr">
        <is>
          <t>2QFY20</t>
        </is>
      </c>
      <c r="Y2" s="4" t="inlineStr">
        <is>
          <t>3QFY20</t>
        </is>
      </c>
      <c r="Z2" s="4" t="inlineStr">
        <is>
          <t>4QFY20</t>
        </is>
      </c>
      <c r="AA2" s="5" t="inlineStr">
        <is>
          <t>FY20</t>
        </is>
      </c>
      <c r="AB2" s="4" t="inlineStr">
        <is>
          <t>1QFY21</t>
        </is>
      </c>
      <c r="AC2" s="4" t="inlineStr">
        <is>
          <t>2QFY21</t>
        </is>
      </c>
      <c r="AD2" s="4" t="inlineStr">
        <is>
          <t>3QFY21</t>
        </is>
      </c>
      <c r="AE2" s="4" t="inlineStr">
        <is>
          <t>4QFY21</t>
        </is>
      </c>
      <c r="AF2" s="5" t="inlineStr">
        <is>
          <t>FY21</t>
        </is>
      </c>
      <c r="AG2" s="4" t="inlineStr">
        <is>
          <t>1QFY22</t>
        </is>
      </c>
      <c r="AH2" s="4" t="inlineStr">
        <is>
          <t>2QFY22</t>
        </is>
      </c>
      <c r="AI2" s="4" t="inlineStr">
        <is>
          <t>3QFY22</t>
        </is>
      </c>
      <c r="AJ2" s="4" t="inlineStr">
        <is>
          <t>4QFY22</t>
        </is>
      </c>
      <c r="AK2" s="5" t="inlineStr">
        <is>
          <t>FY22</t>
        </is>
      </c>
      <c r="AL2" s="4" t="inlineStr">
        <is>
          <t>1QFY23</t>
        </is>
      </c>
      <c r="AM2" s="4" t="inlineStr">
        <is>
          <t>2QFY23</t>
        </is>
      </c>
      <c r="AN2" s="4" t="inlineStr">
        <is>
          <t>3QFY23</t>
        </is>
      </c>
      <c r="AO2" s="4" t="inlineStr">
        <is>
          <t>4QFY23</t>
        </is>
      </c>
      <c r="AP2" s="5" t="inlineStr">
        <is>
          <t>FY23</t>
        </is>
      </c>
      <c r="AQ2" s="4" t="inlineStr">
        <is>
          <t>1QFY24</t>
        </is>
      </c>
      <c r="AR2" s="4" t="inlineStr">
        <is>
          <t>2QFY24</t>
        </is>
      </c>
      <c r="AS2" s="4" t="inlineStr">
        <is>
          <t>3QFY24</t>
        </is>
      </c>
      <c r="AT2" s="4" t="inlineStr">
        <is>
          <t>4QFY24</t>
        </is>
      </c>
      <c r="AU2" s="5" t="inlineStr">
        <is>
          <t>FY24</t>
        </is>
      </c>
      <c r="AV2" s="4" t="inlineStr">
        <is>
          <t>1QFY25</t>
        </is>
      </c>
      <c r="AW2" s="4" t="inlineStr">
        <is>
          <t>2QFY25</t>
        </is>
      </c>
      <c r="AX2" s="4" t="inlineStr">
        <is>
          <t>3QFY25</t>
        </is>
      </c>
      <c r="AY2" s="4" t="inlineStr">
        <is>
          <t>4QFY25</t>
        </is>
      </c>
      <c r="AZ2" s="5" t="inlineStr">
        <is>
          <t>FY25</t>
        </is>
      </c>
      <c r="BA2" s="4" t="inlineStr">
        <is>
          <t>1QFY26</t>
        </is>
      </c>
      <c r="BB2" s="4" t="inlineStr">
        <is>
          <t>2QFY26</t>
        </is>
      </c>
      <c r="BC2" s="4" t="inlineStr">
        <is>
          <t>3QFY26</t>
        </is>
      </c>
      <c r="BD2" s="4" t="inlineStr">
        <is>
          <t>4QFY26</t>
        </is>
      </c>
      <c r="BE2" s="5" t="inlineStr">
        <is>
          <t>FY26</t>
        </is>
      </c>
    </row>
    <row r="3" ht="16" customHeight="1">
      <c r="A3" s="6" t="inlineStr">
        <is>
          <t>PL</t>
        </is>
      </c>
      <c r="B3" s="7" t="inlineStr">
        <is>
          <t>Gross Sales</t>
        </is>
      </c>
      <c r="C3" s="8" t="n">
        <v>1270.3</v>
      </c>
      <c r="D3" s="8" t="n">
        <v>860</v>
      </c>
      <c r="E3" s="8" t="n">
        <v>1111.7</v>
      </c>
      <c r="F3" s="8" t="n">
        <v>1200.3</v>
      </c>
      <c r="G3" s="9">
        <f>SUM(C3:F3)</f>
        <v/>
      </c>
      <c r="H3" s="8" t="n">
        <v>1189.3</v>
      </c>
      <c r="I3" s="8" t="n">
        <v>882.9</v>
      </c>
      <c r="J3" s="8" t="n">
        <v>1107.4</v>
      </c>
      <c r="K3" s="8" t="n">
        <v>1282.6</v>
      </c>
      <c r="L3" s="9">
        <f>SUM(H3:K3)</f>
        <v/>
      </c>
      <c r="M3" s="8" t="n">
        <v>1161.7</v>
      </c>
      <c r="N3" s="8" t="n">
        <v>1055.1</v>
      </c>
      <c r="O3" s="8" t="n">
        <v>1278.3</v>
      </c>
      <c r="P3" s="8" t="n">
        <v>1471.3</v>
      </c>
      <c r="Q3" s="9">
        <f>SUM(M3:P3)</f>
        <v/>
      </c>
      <c r="R3" s="8" t="n">
        <v>1345.7</v>
      </c>
      <c r="S3" s="8" t="n">
        <v>1320.8</v>
      </c>
      <c r="T3" s="8" t="n">
        <v>1410.4</v>
      </c>
      <c r="U3" s="8" t="n">
        <v>1530.9</v>
      </c>
      <c r="V3" s="9">
        <f>SUM(R3:U3)</f>
        <v/>
      </c>
      <c r="W3" s="8" t="n">
        <v>1436.8</v>
      </c>
      <c r="X3" s="8" t="n">
        <v>1270.9</v>
      </c>
      <c r="Y3" s="8" t="n">
        <v>1373.3</v>
      </c>
      <c r="Z3" s="8" t="n">
        <v>1430.5</v>
      </c>
      <c r="AA3" s="9">
        <f>SUM(W3:Z3)</f>
        <v/>
      </c>
      <c r="AB3" s="8" t="n">
        <v>1053.9</v>
      </c>
      <c r="AC3" s="8" t="n">
        <v>1374.8</v>
      </c>
      <c r="AD3" s="8" t="n">
        <v>1843.8</v>
      </c>
      <c r="AE3" s="8" t="n">
        <v>2082.7</v>
      </c>
      <c r="AF3" s="9">
        <f>SUM(AB3:AE3)</f>
        <v/>
      </c>
      <c r="AG3" s="8" t="n">
        <v>1342.1</v>
      </c>
      <c r="AH3" s="8" t="n">
        <v>1928.5</v>
      </c>
      <c r="AI3" s="8" t="n">
        <v>1945.1</v>
      </c>
      <c r="AJ3" s="8" t="n">
        <v>2557.1</v>
      </c>
      <c r="AK3" s="9">
        <f>SUM(AG3:AJ3)</f>
        <v/>
      </c>
      <c r="AL3" s="8" t="n">
        <v>2206</v>
      </c>
      <c r="AM3" s="8" t="n">
        <v>2086.6</v>
      </c>
      <c r="AN3" s="8" t="n">
        <v>2310.7</v>
      </c>
      <c r="AO3" s="8" t="n">
        <v>2598.3</v>
      </c>
      <c r="AP3" s="9">
        <f>SUM(AL3:AO3)</f>
        <v/>
      </c>
      <c r="AQ3" s="8" t="n">
        <v>2368.6</v>
      </c>
      <c r="AR3" s="8" t="n">
        <v>2308.7</v>
      </c>
      <c r="AS3" s="8" t="n">
        <v>2449.1</v>
      </c>
      <c r="AT3" s="8" t="n">
        <v>3007.9</v>
      </c>
      <c r="AU3" s="9">
        <f>SUM(AQ3:AT3)</f>
        <v/>
      </c>
      <c r="AV3" s="8" t="n">
        <v>2636.4</v>
      </c>
      <c r="AW3" s="8" t="n">
        <v>2273</v>
      </c>
      <c r="AX3" s="8" t="n">
        <v>2509.9</v>
      </c>
      <c r="AY3" s="8" t="n">
        <v>3027.1</v>
      </c>
      <c r="AZ3" s="9">
        <f>SUM(AV3:AY3)</f>
        <v/>
      </c>
      <c r="BA3" s="8" t="n">
        <v>2609.2</v>
      </c>
      <c r="BB3" s="8" t="n">
        <v>2393.9</v>
      </c>
      <c r="BC3" s="8" t="n">
        <v>2686.9</v>
      </c>
      <c r="BD3" s="8" t="n">
        <v>3527.7</v>
      </c>
      <c r="BE3" s="9">
        <f>SUM(BA3:BD3)</f>
        <v/>
      </c>
    </row>
    <row r="4" ht="16" customHeight="1">
      <c r="A4" s="10" t="inlineStr">
        <is>
          <t>DERIVED</t>
        </is>
      </c>
      <c r="B4" s="11" t="inlineStr">
        <is>
          <t>Growth (% YOY)</t>
        </is>
      </c>
      <c r="C4" s="12" t="n"/>
      <c r="D4" s="12" t="n"/>
      <c r="E4" s="12" t="n"/>
      <c r="F4" s="12" t="n"/>
      <c r="G4" s="13" t="n"/>
      <c r="H4" s="14" t="n">
        <v>-0.06376446508698733</v>
      </c>
      <c r="I4" s="14" t="n">
        <v>0.02662790697674416</v>
      </c>
      <c r="J4" s="14" t="n">
        <v>-0.00386794998650711</v>
      </c>
      <c r="K4" s="14" t="n">
        <v>0.06856619178538695</v>
      </c>
      <c r="L4" s="15" t="n">
        <v>0.06856619178538695</v>
      </c>
      <c r="M4" s="14" t="n">
        <v>-0.02320692844530389</v>
      </c>
      <c r="N4" s="14" t="n">
        <v>0.1950390757730207</v>
      </c>
      <c r="O4" s="14" t="n">
        <v>0.1543254469929563</v>
      </c>
      <c r="P4" s="14" t="n">
        <v>0.1471230313425854</v>
      </c>
      <c r="Q4" s="15" t="n">
        <v>0.1471230313425854</v>
      </c>
      <c r="R4" s="14" t="n">
        <v>0.1583885684772317</v>
      </c>
      <c r="S4" s="14" t="n">
        <v>0.2518244716140651</v>
      </c>
      <c r="T4" s="14" t="n">
        <v>0.1033403739341314</v>
      </c>
      <c r="U4" s="14" t="n">
        <v>0.04050839393733442</v>
      </c>
      <c r="V4" s="15" t="n">
        <v>0.04050839393733442</v>
      </c>
      <c r="W4" s="14" t="n">
        <v>0.06769710931113912</v>
      </c>
      <c r="X4" s="14" t="n">
        <v>-0.03778013325257409</v>
      </c>
      <c r="Y4" s="14" t="n">
        <v>-0.02630459444129335</v>
      </c>
      <c r="Z4" s="14" t="n">
        <v>-0.06558233718727552</v>
      </c>
      <c r="AA4" s="15" t="n">
        <v>-0.06558233718727552</v>
      </c>
      <c r="AB4" s="14" t="n">
        <v>-0.2664949888641425</v>
      </c>
      <c r="AC4" s="14" t="n">
        <v>0.08175308836257759</v>
      </c>
      <c r="AD4" s="14" t="n">
        <v>0.3426054030437632</v>
      </c>
      <c r="AE4" s="14" t="n">
        <v>0.4559245019224046</v>
      </c>
      <c r="AF4" s="15" t="n">
        <v>0.4559245019224046</v>
      </c>
      <c r="AG4" s="14" t="n">
        <v>0.2734604801214535</v>
      </c>
      <c r="AH4" s="14" t="n">
        <v>0.4027494908350306</v>
      </c>
      <c r="AI4" s="14" t="n">
        <v>0.05494088295910617</v>
      </c>
      <c r="AJ4" s="14" t="n">
        <v>0.2277812454986317</v>
      </c>
      <c r="AK4" s="15" t="n">
        <v>0.2277812454986317</v>
      </c>
      <c r="AL4" s="14" t="n">
        <v>0.6436927203636094</v>
      </c>
      <c r="AM4" s="14" t="n">
        <v>0.08198081410422603</v>
      </c>
      <c r="AN4" s="14" t="n">
        <v>0.1879594879440645</v>
      </c>
      <c r="AO4" s="14" t="n">
        <v>0.01611200187712654</v>
      </c>
      <c r="AP4" s="15" t="n">
        <v>0.01611200187712654</v>
      </c>
      <c r="AQ4" s="14" t="n">
        <v>0.07370806890299179</v>
      </c>
      <c r="AR4" s="14" t="n">
        <v>0.1064411003546439</v>
      </c>
      <c r="AS4" s="14" t="n">
        <v>0.05989526983165279</v>
      </c>
      <c r="AT4" s="14" t="n">
        <v>0.1576415348497094</v>
      </c>
      <c r="AU4" s="15" t="n">
        <v>0.1576415348497094</v>
      </c>
      <c r="AV4" s="14" t="n">
        <v>0.1130625686059276</v>
      </c>
      <c r="AW4" s="14" t="n">
        <v>-0.0154632477151643</v>
      </c>
      <c r="AX4" s="14" t="n">
        <v>0.02482544608223437</v>
      </c>
      <c r="AY4" s="14" t="n">
        <v>0.006383190930549492</v>
      </c>
      <c r="AZ4" s="15" t="n">
        <v>0.006383190930549492</v>
      </c>
      <c r="BA4" s="14" t="n">
        <v>-0.01031709907449563</v>
      </c>
      <c r="BB4" s="14" t="n">
        <v>0.05318961724593053</v>
      </c>
      <c r="BC4" s="14" t="n">
        <v>0.0705207378780031</v>
      </c>
      <c r="BD4" s="14" t="n">
        <v>0.1653727990485943</v>
      </c>
      <c r="BE4" s="15" t="n">
        <v>0.1653727990485943</v>
      </c>
    </row>
    <row r="5" ht="16" customHeight="1">
      <c r="A5" s="6" t="inlineStr">
        <is>
          <t>PL</t>
        </is>
      </c>
      <c r="B5" s="7" t="inlineStr">
        <is>
          <t>Excise Duty</t>
        </is>
      </c>
      <c r="C5" s="8" t="n">
        <v>0</v>
      </c>
      <c r="D5" s="8" t="n">
        <v>93.90000000000001</v>
      </c>
      <c r="E5" s="8" t="n">
        <v>123.2</v>
      </c>
      <c r="F5" s="8" t="n">
        <v>0</v>
      </c>
      <c r="G5" s="9">
        <f>SUM(C5:F5)</f>
        <v/>
      </c>
      <c r="H5" s="8" t="n">
        <v>0</v>
      </c>
      <c r="I5" s="8" t="n">
        <v>0</v>
      </c>
      <c r="J5" s="8" t="n">
        <v>0</v>
      </c>
      <c r="K5" s="8" t="n">
        <v>0</v>
      </c>
      <c r="L5" s="9">
        <f>SUM(H5:K5)</f>
        <v/>
      </c>
      <c r="M5" s="8" t="n">
        <v>0</v>
      </c>
      <c r="N5" s="8" t="n">
        <v>0</v>
      </c>
      <c r="O5" s="8" t="n">
        <v>0</v>
      </c>
      <c r="P5" s="8" t="n">
        <v>0</v>
      </c>
      <c r="Q5" s="9">
        <f>SUM(M5:P5)</f>
        <v/>
      </c>
      <c r="R5" s="8" t="n">
        <v>0</v>
      </c>
      <c r="S5" s="8" t="n">
        <v>0</v>
      </c>
      <c r="T5" s="8" t="n">
        <v>0</v>
      </c>
      <c r="U5" s="8" t="n">
        <v>0</v>
      </c>
      <c r="V5" s="9">
        <f>SUM(R5:U5)</f>
        <v/>
      </c>
      <c r="W5" s="8" t="n">
        <v>0</v>
      </c>
      <c r="X5" s="8" t="n">
        <v>0</v>
      </c>
      <c r="Y5" s="8" t="n">
        <v>0</v>
      </c>
      <c r="Z5" s="8" t="n">
        <v>0</v>
      </c>
      <c r="AA5" s="9">
        <f>SUM(W5:Z5)</f>
        <v/>
      </c>
      <c r="AB5" s="8" t="n">
        <v>0</v>
      </c>
      <c r="AC5" s="8" t="n">
        <v>0</v>
      </c>
      <c r="AD5" s="8" t="n">
        <v>0</v>
      </c>
      <c r="AE5" s="8" t="n">
        <v>0</v>
      </c>
      <c r="AF5" s="9">
        <f>SUM(AB5:AE5)</f>
        <v/>
      </c>
      <c r="AG5" s="8" t="n">
        <v>0</v>
      </c>
      <c r="AH5" s="8" t="n">
        <v>0</v>
      </c>
      <c r="AI5" s="8" t="n">
        <v>0</v>
      </c>
      <c r="AJ5" s="8" t="n">
        <v>0</v>
      </c>
      <c r="AK5" s="9">
        <f>SUM(AG5:AJ5)</f>
        <v/>
      </c>
      <c r="AL5" s="8" t="n">
        <v>0</v>
      </c>
      <c r="AM5" s="8" t="n">
        <v>0</v>
      </c>
      <c r="AN5" s="8" t="n">
        <v>0</v>
      </c>
      <c r="AO5" s="8" t="n">
        <v>0</v>
      </c>
      <c r="AP5" s="9">
        <f>SUM(AL5:AO5)</f>
        <v/>
      </c>
      <c r="AQ5" s="8" t="n">
        <v>0</v>
      </c>
      <c r="AR5" s="8" t="n">
        <v>0</v>
      </c>
      <c r="AS5" s="8" t="n">
        <v>0</v>
      </c>
      <c r="AT5" s="8" t="n">
        <v>0</v>
      </c>
      <c r="AU5" s="9">
        <f>SUM(AQ5:AT5)</f>
        <v/>
      </c>
      <c r="AV5" s="8" t="n">
        <v>0</v>
      </c>
      <c r="AW5" s="8" t="n">
        <v>0</v>
      </c>
      <c r="AX5" s="8" t="n">
        <v>0</v>
      </c>
      <c r="AY5" s="8" t="n">
        <v>0</v>
      </c>
      <c r="AZ5" s="9">
        <f>SUM(AV5:AY5)</f>
        <v/>
      </c>
      <c r="BA5" s="8" t="n">
        <v>0</v>
      </c>
      <c r="BB5" s="8" t="n">
        <v>0</v>
      </c>
      <c r="BC5" s="8" t="n">
        <v>0</v>
      </c>
      <c r="BD5" s="8" t="n">
        <v>0</v>
      </c>
      <c r="BE5" s="9">
        <f>SUM(BA5:BD5)</f>
        <v/>
      </c>
    </row>
    <row r="6" ht="16" customHeight="1">
      <c r="A6" s="6" t="inlineStr">
        <is>
          <t>PL</t>
        </is>
      </c>
      <c r="B6" s="7" t="inlineStr">
        <is>
          <t>Net Sales</t>
        </is>
      </c>
      <c r="C6" s="8">
        <f>C3-C5</f>
        <v/>
      </c>
      <c r="D6" s="8">
        <f>D3-D5</f>
        <v/>
      </c>
      <c r="E6" s="8">
        <f>E3-E5</f>
        <v/>
      </c>
      <c r="F6" s="8">
        <f>F3-F5</f>
        <v/>
      </c>
      <c r="G6" s="9">
        <f>G3-G5</f>
        <v/>
      </c>
      <c r="H6" s="8">
        <f>H3-H5</f>
        <v/>
      </c>
      <c r="I6" s="8">
        <f>I3-I5</f>
        <v/>
      </c>
      <c r="J6" s="8">
        <f>J3-J5</f>
        <v/>
      </c>
      <c r="K6" s="8">
        <f>K3-K5</f>
        <v/>
      </c>
      <c r="L6" s="9">
        <f>L3-L5</f>
        <v/>
      </c>
      <c r="M6" s="8">
        <f>M3-M5</f>
        <v/>
      </c>
      <c r="N6" s="8">
        <f>N3-N5</f>
        <v/>
      </c>
      <c r="O6" s="8">
        <f>O3-O5</f>
        <v/>
      </c>
      <c r="P6" s="8">
        <f>P3-P5</f>
        <v/>
      </c>
      <c r="Q6" s="9">
        <f>Q3-Q5</f>
        <v/>
      </c>
      <c r="R6" s="8">
        <f>R3-R5</f>
        <v/>
      </c>
      <c r="S6" s="8">
        <f>S3-S5</f>
        <v/>
      </c>
      <c r="T6" s="8">
        <f>T3-T5</f>
        <v/>
      </c>
      <c r="U6" s="8">
        <f>U3-U5</f>
        <v/>
      </c>
      <c r="V6" s="9">
        <f>V3-V5</f>
        <v/>
      </c>
      <c r="W6" s="8">
        <f>W3-W5</f>
        <v/>
      </c>
      <c r="X6" s="8">
        <f>X3-X5</f>
        <v/>
      </c>
      <c r="Y6" s="8">
        <f>Y3-Y5</f>
        <v/>
      </c>
      <c r="Z6" s="8">
        <f>Z3-Z5</f>
        <v/>
      </c>
      <c r="AA6" s="9">
        <f>AA3-AA5</f>
        <v/>
      </c>
      <c r="AB6" s="8">
        <f>AB3-AB5</f>
        <v/>
      </c>
      <c r="AC6" s="8">
        <f>AC3-AC5</f>
        <v/>
      </c>
      <c r="AD6" s="8">
        <f>AD3-AD5</f>
        <v/>
      </c>
      <c r="AE6" s="8">
        <f>AE3-AE5</f>
        <v/>
      </c>
      <c r="AF6" s="9">
        <f>AF3-AF5</f>
        <v/>
      </c>
      <c r="AG6" s="8">
        <f>AG3-AG5</f>
        <v/>
      </c>
      <c r="AH6" s="8">
        <f>AH3-AH5</f>
        <v/>
      </c>
      <c r="AI6" s="8">
        <f>AI3-AI5</f>
        <v/>
      </c>
      <c r="AJ6" s="8">
        <f>AJ3-AJ5</f>
        <v/>
      </c>
      <c r="AK6" s="9">
        <f>AK3-AK5</f>
        <v/>
      </c>
      <c r="AL6" s="8">
        <f>AL3-AL5</f>
        <v/>
      </c>
      <c r="AM6" s="8">
        <f>AM3-AM5</f>
        <v/>
      </c>
      <c r="AN6" s="8">
        <f>AN3-AN5</f>
        <v/>
      </c>
      <c r="AO6" s="8">
        <f>AO3-AO5</f>
        <v/>
      </c>
      <c r="AP6" s="9">
        <f>AP3-AP5</f>
        <v/>
      </c>
      <c r="AQ6" s="8">
        <f>AQ3-AQ5</f>
        <v/>
      </c>
      <c r="AR6" s="8">
        <f>AR3-AR5</f>
        <v/>
      </c>
      <c r="AS6" s="8">
        <f>AS3-AS5</f>
        <v/>
      </c>
      <c r="AT6" s="8">
        <f>AT3-AT5</f>
        <v/>
      </c>
      <c r="AU6" s="9">
        <f>AU3-AU5</f>
        <v/>
      </c>
      <c r="AV6" s="8">
        <f>AV3-AV5</f>
        <v/>
      </c>
      <c r="AW6" s="8">
        <f>AW3-AW5</f>
        <v/>
      </c>
      <c r="AX6" s="8">
        <f>AX3-AX5</f>
        <v/>
      </c>
      <c r="AY6" s="8">
        <f>AY3-AY5</f>
        <v/>
      </c>
      <c r="AZ6" s="9">
        <f>AZ3-AZ5</f>
        <v/>
      </c>
      <c r="BA6" s="8">
        <f>BA3-BA5</f>
        <v/>
      </c>
      <c r="BB6" s="8">
        <f>BB3-BB5</f>
        <v/>
      </c>
      <c r="BC6" s="8">
        <f>BC3-BC5</f>
        <v/>
      </c>
      <c r="BD6" s="8">
        <f>BD3-BD5</f>
        <v/>
      </c>
      <c r="BE6" s="9">
        <f>BE3-BE5</f>
        <v/>
      </c>
    </row>
    <row r="7" ht="16" customHeight="1">
      <c r="A7" s="10" t="inlineStr">
        <is>
          <t>DERIVED</t>
        </is>
      </c>
      <c r="B7" s="11" t="inlineStr">
        <is>
          <t>Growth (% YOY)</t>
        </is>
      </c>
      <c r="C7" s="12" t="n"/>
      <c r="D7" s="12" t="n"/>
      <c r="E7" s="12" t="n"/>
      <c r="F7" s="12" t="n"/>
      <c r="G7" s="13" t="n"/>
      <c r="H7" s="14" t="n">
        <v>-0.06376446508698733</v>
      </c>
      <c r="I7" s="14" t="n">
        <v>0.1524605142931731</v>
      </c>
      <c r="J7" s="14" t="n">
        <v>0.1202832574607993</v>
      </c>
      <c r="K7" s="14" t="n">
        <v>0.06856619178538695</v>
      </c>
      <c r="L7" s="15" t="n">
        <v>0.06856619178538695</v>
      </c>
      <c r="M7" s="14" t="n">
        <v>-0.02320692844530389</v>
      </c>
      <c r="N7" s="14" t="n">
        <v>0.1950390757730207</v>
      </c>
      <c r="O7" s="14" t="n">
        <v>0.1543254469929563</v>
      </c>
      <c r="P7" s="14" t="n">
        <v>0.1471230313425854</v>
      </c>
      <c r="Q7" s="15" t="n">
        <v>0.1471230313425854</v>
      </c>
      <c r="R7" s="14" t="n">
        <v>0.1583885684772317</v>
      </c>
      <c r="S7" s="14" t="n">
        <v>0.2518244716140651</v>
      </c>
      <c r="T7" s="14" t="n">
        <v>0.1033403739341314</v>
      </c>
      <c r="U7" s="14" t="n">
        <v>0.04050839393733442</v>
      </c>
      <c r="V7" s="15" t="n">
        <v>0.04050839393733442</v>
      </c>
      <c r="W7" s="14" t="n">
        <v>0.06769710931113912</v>
      </c>
      <c r="X7" s="14" t="n">
        <v>-0.03778013325257409</v>
      </c>
      <c r="Y7" s="14" t="n">
        <v>-0.02630459444129335</v>
      </c>
      <c r="Z7" s="14" t="n">
        <v>-0.06558233718727552</v>
      </c>
      <c r="AA7" s="15" t="n">
        <v>-0.06558233718727552</v>
      </c>
      <c r="AB7" s="14" t="n">
        <v>-0.2664949888641425</v>
      </c>
      <c r="AC7" s="14" t="n">
        <v>0.08175308836257759</v>
      </c>
      <c r="AD7" s="14" t="n">
        <v>0.3426054030437632</v>
      </c>
      <c r="AE7" s="14" t="n">
        <v>0.4559245019224046</v>
      </c>
      <c r="AF7" s="15" t="n">
        <v>0.4559245019224046</v>
      </c>
      <c r="AG7" s="14" t="n">
        <v>0.2734604801214535</v>
      </c>
      <c r="AH7" s="14" t="n">
        <v>0.4027494908350306</v>
      </c>
      <c r="AI7" s="14" t="n">
        <v>0.05494088295910617</v>
      </c>
      <c r="AJ7" s="14" t="n">
        <v>0.2277812454986317</v>
      </c>
      <c r="AK7" s="15" t="n">
        <v>0.2277812454986317</v>
      </c>
      <c r="AL7" s="14" t="n">
        <v>0.6436927203636094</v>
      </c>
      <c r="AM7" s="14" t="n">
        <v>0.08198081410422603</v>
      </c>
      <c r="AN7" s="14" t="n">
        <v>0.1879594879440645</v>
      </c>
      <c r="AO7" s="14" t="n">
        <v>0.01611200187712654</v>
      </c>
      <c r="AP7" s="15" t="n">
        <v>0.01611200187712654</v>
      </c>
      <c r="AQ7" s="14" t="n">
        <v>0.07370806890299179</v>
      </c>
      <c r="AR7" s="14" t="n">
        <v>0.1064411003546439</v>
      </c>
      <c r="AS7" s="14" t="n">
        <v>0.05989526983165279</v>
      </c>
      <c r="AT7" s="14" t="n">
        <v>0.1576415348497094</v>
      </c>
      <c r="AU7" s="15" t="n">
        <v>0.1576415348497094</v>
      </c>
      <c r="AV7" s="14" t="n">
        <v>0.1130625686059276</v>
      </c>
      <c r="AW7" s="14" t="n">
        <v>-0.0154632477151643</v>
      </c>
      <c r="AX7" s="14" t="n">
        <v>0.02482544608223437</v>
      </c>
      <c r="AY7" s="14" t="n">
        <v>0.006383190930549492</v>
      </c>
      <c r="AZ7" s="15" t="n">
        <v>0.006383190930549492</v>
      </c>
      <c r="BA7" s="14" t="n">
        <v>-0.01031709907449563</v>
      </c>
      <c r="BB7" s="14" t="n">
        <v>0.05318961724593053</v>
      </c>
      <c r="BC7" s="14" t="n">
        <v>0.0705207378780031</v>
      </c>
      <c r="BD7" s="14" t="n">
        <v>0.1653727990485943</v>
      </c>
      <c r="BE7" s="15" t="n">
        <v>0.1653727990485943</v>
      </c>
    </row>
    <row r="8" ht="16" customHeight="1">
      <c r="A8" s="6" t="inlineStr">
        <is>
          <t>PL</t>
        </is>
      </c>
      <c r="B8" s="7" t="inlineStr">
        <is>
          <t>Other Operating Income</t>
        </is>
      </c>
      <c r="C8" s="8" t="n">
        <v>35.7</v>
      </c>
      <c r="D8" s="8" t="n">
        <v>3.2</v>
      </c>
      <c r="E8" s="8" t="n">
        <v>4.2</v>
      </c>
      <c r="F8" s="8" t="n">
        <v>0</v>
      </c>
      <c r="G8" s="9">
        <f>SUM(C8:F8)</f>
        <v/>
      </c>
      <c r="H8" s="8" t="n">
        <v>0</v>
      </c>
      <c r="I8" s="8" t="n">
        <v>0</v>
      </c>
      <c r="J8" s="8" t="n">
        <v>0</v>
      </c>
      <c r="K8" s="8" t="n">
        <v>0</v>
      </c>
      <c r="L8" s="9">
        <f>SUM(H8:K8)</f>
        <v/>
      </c>
      <c r="M8" s="8" t="n">
        <v>0</v>
      </c>
      <c r="N8" s="8" t="n">
        <v>0</v>
      </c>
      <c r="O8" s="8" t="n">
        <v>0</v>
      </c>
      <c r="P8" s="8" t="n">
        <v>0</v>
      </c>
      <c r="Q8" s="9">
        <f>SUM(M8:P8)</f>
        <v/>
      </c>
      <c r="R8" s="8" t="n">
        <v>0</v>
      </c>
      <c r="S8" s="8" t="n">
        <v>0</v>
      </c>
      <c r="T8" s="8" t="n">
        <v>0</v>
      </c>
      <c r="U8" s="8" t="n">
        <v>0</v>
      </c>
      <c r="V8" s="9">
        <f>SUM(R8:U8)</f>
        <v/>
      </c>
      <c r="W8" s="8" t="n">
        <v>0</v>
      </c>
      <c r="X8" s="8" t="n">
        <v>0</v>
      </c>
      <c r="Y8" s="8" t="n">
        <v>0</v>
      </c>
      <c r="Z8" s="8" t="n">
        <v>0</v>
      </c>
      <c r="AA8" s="9">
        <f>SUM(W8:Z8)</f>
        <v/>
      </c>
      <c r="AB8" s="8" t="n">
        <v>0</v>
      </c>
      <c r="AC8" s="8" t="n">
        <v>0</v>
      </c>
      <c r="AD8" s="8" t="n">
        <v>0</v>
      </c>
      <c r="AE8" s="8" t="n">
        <v>0</v>
      </c>
      <c r="AF8" s="9">
        <f>SUM(AB8:AE8)</f>
        <v/>
      </c>
      <c r="AG8" s="8" t="n">
        <v>0</v>
      </c>
      <c r="AH8" s="8" t="n">
        <v>0</v>
      </c>
      <c r="AI8" s="8" t="n">
        <v>0</v>
      </c>
      <c r="AJ8" s="8" t="n">
        <v>0</v>
      </c>
      <c r="AK8" s="9">
        <f>SUM(AG8:AJ8)</f>
        <v/>
      </c>
      <c r="AL8" s="8" t="n">
        <v>0</v>
      </c>
      <c r="AM8" s="8" t="n">
        <v>0</v>
      </c>
      <c r="AN8" s="8" t="n">
        <v>0</v>
      </c>
      <c r="AO8" s="8" t="n">
        <v>0</v>
      </c>
      <c r="AP8" s="9">
        <f>SUM(AL8:AO8)</f>
        <v/>
      </c>
      <c r="AQ8" s="8" t="n">
        <v>0</v>
      </c>
      <c r="AR8" s="8" t="n">
        <v>0</v>
      </c>
      <c r="AS8" s="8" t="n">
        <v>0</v>
      </c>
      <c r="AT8" s="8" t="n">
        <v>0</v>
      </c>
      <c r="AU8" s="9">
        <f>SUM(AQ8:AT8)</f>
        <v/>
      </c>
      <c r="AV8" s="8" t="n">
        <v>0</v>
      </c>
      <c r="AW8" s="8" t="n">
        <v>0</v>
      </c>
      <c r="AX8" s="8" t="n">
        <v>0</v>
      </c>
      <c r="AY8" s="8" t="n">
        <v>0</v>
      </c>
      <c r="AZ8" s="9">
        <f>SUM(AV8:AY8)</f>
        <v/>
      </c>
      <c r="BA8" s="8" t="n">
        <v>0</v>
      </c>
      <c r="BB8" s="8" t="n">
        <v>0</v>
      </c>
      <c r="BC8" s="8" t="n">
        <v>0</v>
      </c>
      <c r="BD8" s="8" t="n">
        <v>0</v>
      </c>
      <c r="BE8" s="9">
        <f>SUM(BA8:BD8)</f>
        <v/>
      </c>
    </row>
    <row r="9" ht="16" customHeight="1">
      <c r="A9" s="6" t="inlineStr">
        <is>
          <t>PL</t>
        </is>
      </c>
      <c r="B9" s="7" t="inlineStr">
        <is>
          <t>Total Income</t>
        </is>
      </c>
      <c r="C9" s="8">
        <f>C6+C8</f>
        <v/>
      </c>
      <c r="D9" s="8">
        <f>D6+D8</f>
        <v/>
      </c>
      <c r="E9" s="8">
        <f>E6+E8</f>
        <v/>
      </c>
      <c r="F9" s="8">
        <f>F6+F8</f>
        <v/>
      </c>
      <c r="G9" s="9">
        <f>G6+G8</f>
        <v/>
      </c>
      <c r="H9" s="8">
        <f>H6+H8</f>
        <v/>
      </c>
      <c r="I9" s="8">
        <f>I6+I8</f>
        <v/>
      </c>
      <c r="J9" s="8">
        <f>J6+J8</f>
        <v/>
      </c>
      <c r="K9" s="8">
        <f>K6+K8</f>
        <v/>
      </c>
      <c r="L9" s="9">
        <f>L6+L8</f>
        <v/>
      </c>
      <c r="M9" s="8">
        <f>M6+M8</f>
        <v/>
      </c>
      <c r="N9" s="8">
        <f>N6+N8</f>
        <v/>
      </c>
      <c r="O9" s="8">
        <f>O6+O8</f>
        <v/>
      </c>
      <c r="P9" s="8">
        <f>P6+P8</f>
        <v/>
      </c>
      <c r="Q9" s="9">
        <f>Q6+Q8</f>
        <v/>
      </c>
      <c r="R9" s="8">
        <f>R6+R8</f>
        <v/>
      </c>
      <c r="S9" s="8">
        <f>S6+S8</f>
        <v/>
      </c>
      <c r="T9" s="8">
        <f>T6+T8</f>
        <v/>
      </c>
      <c r="U9" s="8">
        <f>U6+U8</f>
        <v/>
      </c>
      <c r="V9" s="9">
        <f>V6+V8</f>
        <v/>
      </c>
      <c r="W9" s="8">
        <f>W6+W8</f>
        <v/>
      </c>
      <c r="X9" s="8">
        <f>X6+X8</f>
        <v/>
      </c>
      <c r="Y9" s="8">
        <f>Y6+Y8</f>
        <v/>
      </c>
      <c r="Z9" s="8">
        <f>Z6+Z8</f>
        <v/>
      </c>
      <c r="AA9" s="9">
        <f>AA6+AA8</f>
        <v/>
      </c>
      <c r="AB9" s="8">
        <f>AB6+AB8</f>
        <v/>
      </c>
      <c r="AC9" s="8">
        <f>AC6+AC8</f>
        <v/>
      </c>
      <c r="AD9" s="8">
        <f>AD6+AD8</f>
        <v/>
      </c>
      <c r="AE9" s="8">
        <f>AE6+AE8</f>
        <v/>
      </c>
      <c r="AF9" s="9">
        <f>AF6+AF8</f>
        <v/>
      </c>
      <c r="AG9" s="8">
        <f>AG6+AG8</f>
        <v/>
      </c>
      <c r="AH9" s="8">
        <f>AH6+AH8</f>
        <v/>
      </c>
      <c r="AI9" s="8">
        <f>AI6+AI8</f>
        <v/>
      </c>
      <c r="AJ9" s="8">
        <f>AJ6+AJ8</f>
        <v/>
      </c>
      <c r="AK9" s="9">
        <f>AK6+AK8</f>
        <v/>
      </c>
      <c r="AL9" s="8">
        <f>AL6+AL8</f>
        <v/>
      </c>
      <c r="AM9" s="8">
        <f>AM6+AM8</f>
        <v/>
      </c>
      <c r="AN9" s="8">
        <f>AN6+AN8</f>
        <v/>
      </c>
      <c r="AO9" s="8">
        <f>AO6+AO8</f>
        <v/>
      </c>
      <c r="AP9" s="9">
        <f>AP6+AP8</f>
        <v/>
      </c>
      <c r="AQ9" s="8">
        <f>AQ6+AQ8</f>
        <v/>
      </c>
      <c r="AR9" s="8">
        <f>AR6+AR8</f>
        <v/>
      </c>
      <c r="AS9" s="8">
        <f>AS6+AS8</f>
        <v/>
      </c>
      <c r="AT9" s="8">
        <f>AT6+AT8</f>
        <v/>
      </c>
      <c r="AU9" s="9">
        <f>AU6+AU8</f>
        <v/>
      </c>
      <c r="AV9" s="8">
        <f>AV6+AV8</f>
        <v/>
      </c>
      <c r="AW9" s="8">
        <f>AW6+AW8</f>
        <v/>
      </c>
      <c r="AX9" s="8">
        <f>AX6+AX8</f>
        <v/>
      </c>
      <c r="AY9" s="8">
        <f>AY6+AY8</f>
        <v/>
      </c>
      <c r="AZ9" s="9">
        <f>AZ6+AZ8</f>
        <v/>
      </c>
      <c r="BA9" s="8">
        <f>BA6+BA8</f>
        <v/>
      </c>
      <c r="BB9" s="8">
        <f>BB6+BB8</f>
        <v/>
      </c>
      <c r="BC9" s="8">
        <f>BC6+BC8</f>
        <v/>
      </c>
      <c r="BD9" s="8">
        <f>BD6+BD8</f>
        <v/>
      </c>
      <c r="BE9" s="9">
        <f>BE6+BE8</f>
        <v/>
      </c>
    </row>
    <row r="10" ht="16" customHeight="1">
      <c r="A10" s="10" t="inlineStr">
        <is>
          <t>DERIVED</t>
        </is>
      </c>
      <c r="B10" s="11" t="inlineStr">
        <is>
          <t>Growth (% YOY)</t>
        </is>
      </c>
      <c r="C10" s="12" t="n"/>
      <c r="D10" s="12" t="n"/>
      <c r="E10" s="12" t="n"/>
      <c r="F10" s="12" t="n"/>
      <c r="G10" s="13" t="n"/>
      <c r="H10" s="14" t="n">
        <v>-0.06376446508698733</v>
      </c>
      <c r="I10" s="14" t="n">
        <v>0.1476667099961004</v>
      </c>
      <c r="J10" s="14" t="n">
        <v>0.1155434673113731</v>
      </c>
      <c r="K10" s="14" t="n">
        <v>0.06856619178538695</v>
      </c>
      <c r="L10" s="15" t="n">
        <v>0.06856619178538695</v>
      </c>
      <c r="M10" s="14" t="n">
        <v>-0.02320692844530389</v>
      </c>
      <c r="N10" s="14" t="n">
        <v>0.1950390757730207</v>
      </c>
      <c r="O10" s="14" t="n">
        <v>0.1543254469929563</v>
      </c>
      <c r="P10" s="14" t="n">
        <v>0.1471230313425854</v>
      </c>
      <c r="Q10" s="15" t="n">
        <v>0.1471230313425854</v>
      </c>
      <c r="R10" s="14" t="n">
        <v>0.1583885684772317</v>
      </c>
      <c r="S10" s="14" t="n">
        <v>0.2518244716140651</v>
      </c>
      <c r="T10" s="14" t="n">
        <v>0.1033403739341314</v>
      </c>
      <c r="U10" s="14" t="n">
        <v>0.04050839393733442</v>
      </c>
      <c r="V10" s="15" t="n">
        <v>0.04050839393733442</v>
      </c>
      <c r="W10" s="14" t="n">
        <v>0.06769710931113912</v>
      </c>
      <c r="X10" s="14" t="n">
        <v>-0.03778013325257409</v>
      </c>
      <c r="Y10" s="14" t="n">
        <v>-0.02630459444129335</v>
      </c>
      <c r="Z10" s="14" t="n">
        <v>-0.06558233718727552</v>
      </c>
      <c r="AA10" s="15" t="n">
        <v>-0.06558233718727552</v>
      </c>
      <c r="AB10" s="14" t="n">
        <v>-0.2664949888641425</v>
      </c>
      <c r="AC10" s="14" t="n">
        <v>0.08175308836257759</v>
      </c>
      <c r="AD10" s="14" t="n">
        <v>0.3426054030437632</v>
      </c>
      <c r="AE10" s="14" t="n">
        <v>0.4559245019224046</v>
      </c>
      <c r="AF10" s="15" t="n">
        <v>0.4559245019224046</v>
      </c>
      <c r="AG10" s="14" t="n">
        <v>0.2734604801214535</v>
      </c>
      <c r="AH10" s="14" t="n">
        <v>0.4027494908350306</v>
      </c>
      <c r="AI10" s="14" t="n">
        <v>0.05494088295910617</v>
      </c>
      <c r="AJ10" s="14" t="n">
        <v>0.2277812454986317</v>
      </c>
      <c r="AK10" s="15" t="n">
        <v>0.2277812454986317</v>
      </c>
      <c r="AL10" s="14" t="n">
        <v>0.6436927203636094</v>
      </c>
      <c r="AM10" s="14" t="n">
        <v>0.08198081410422603</v>
      </c>
      <c r="AN10" s="14" t="n">
        <v>0.1879594879440645</v>
      </c>
      <c r="AO10" s="14" t="n">
        <v>0.01611200187712654</v>
      </c>
      <c r="AP10" s="15" t="n">
        <v>0.01611200187712654</v>
      </c>
      <c r="AQ10" s="14" t="n">
        <v>0.07370806890299179</v>
      </c>
      <c r="AR10" s="14" t="n">
        <v>0.1064411003546439</v>
      </c>
      <c r="AS10" s="14" t="n">
        <v>0.05989526983165279</v>
      </c>
      <c r="AT10" s="14" t="n">
        <v>0.1576415348497094</v>
      </c>
      <c r="AU10" s="15" t="n">
        <v>0.1576415348497094</v>
      </c>
      <c r="AV10" s="14" t="n">
        <v>0.1130625686059276</v>
      </c>
      <c r="AW10" s="14" t="n">
        <v>-0.0154632477151643</v>
      </c>
      <c r="AX10" s="14" t="n">
        <v>0.02482544608223437</v>
      </c>
      <c r="AY10" s="14" t="n">
        <v>0.006383190930549492</v>
      </c>
      <c r="AZ10" s="15" t="n">
        <v>0.006383190930549492</v>
      </c>
      <c r="BA10" s="14" t="n">
        <v>-0.01031709907449563</v>
      </c>
      <c r="BB10" s="14" t="n">
        <v>0.05318961724593053</v>
      </c>
      <c r="BC10" s="14" t="n">
        <v>0.0705207378780031</v>
      </c>
      <c r="BD10" s="14" t="n">
        <v>0.1653727990485943</v>
      </c>
      <c r="BE10" s="15" t="n">
        <v>0.1653727990485943</v>
      </c>
    </row>
    <row r="11" ht="16" customHeight="1">
      <c r="A11" s="16" t="inlineStr"/>
      <c r="B11" s="17" t="inlineStr"/>
      <c r="C11" s="18" t="n"/>
      <c r="D11" s="18" t="n"/>
      <c r="E11" s="18" t="n"/>
      <c r="F11" s="18" t="n"/>
      <c r="G11" s="13" t="n"/>
      <c r="H11" s="18" t="n"/>
      <c r="I11" s="18" t="n"/>
      <c r="J11" s="18" t="n"/>
      <c r="K11" s="18" t="n"/>
      <c r="L11" s="13" t="n"/>
      <c r="M11" s="18" t="n"/>
      <c r="N11" s="18" t="n"/>
      <c r="O11" s="18" t="n"/>
      <c r="P11" s="18" t="n"/>
      <c r="Q11" s="13" t="n"/>
      <c r="R11" s="18" t="n"/>
      <c r="S11" s="18" t="n"/>
      <c r="T11" s="18" t="n"/>
      <c r="U11" s="18" t="n"/>
      <c r="V11" s="13" t="n"/>
      <c r="W11" s="18" t="n"/>
      <c r="X11" s="18" t="n"/>
      <c r="Y11" s="18" t="n"/>
      <c r="Z11" s="18" t="n"/>
      <c r="AA11" s="13" t="n"/>
      <c r="AB11" s="18" t="n"/>
      <c r="AC11" s="18" t="n"/>
      <c r="AD11" s="18" t="n"/>
      <c r="AE11" s="18" t="n"/>
      <c r="AF11" s="13" t="n"/>
      <c r="AG11" s="18" t="n"/>
      <c r="AH11" s="18" t="n"/>
      <c r="AI11" s="18" t="n"/>
      <c r="AJ11" s="18" t="n"/>
      <c r="AK11" s="13" t="n"/>
      <c r="AL11" s="18" t="n"/>
      <c r="AM11" s="18" t="n"/>
      <c r="AN11" s="18" t="n"/>
      <c r="AO11" s="18" t="n"/>
      <c r="AP11" s="13" t="n"/>
      <c r="AQ11" s="18" t="n"/>
      <c r="AR11" s="18" t="n"/>
      <c r="AS11" s="18" t="n"/>
      <c r="AT11" s="18" t="n"/>
      <c r="AU11" s="13" t="n"/>
      <c r="AV11" s="18" t="n"/>
      <c r="AW11" s="18" t="n"/>
      <c r="AX11" s="18" t="n"/>
      <c r="AY11" s="18" t="n"/>
      <c r="AZ11" s="13" t="n"/>
      <c r="BA11" s="18" t="n"/>
      <c r="BB11" s="18" t="n"/>
      <c r="BC11" s="18" t="n"/>
      <c r="BD11" s="18" t="n"/>
      <c r="BE11" s="13" t="n"/>
    </row>
    <row r="12" ht="16" customHeight="1">
      <c r="A12" s="16" t="inlineStr"/>
      <c r="B12" s="17" t="inlineStr"/>
      <c r="C12" s="18" t="n"/>
      <c r="D12" s="18" t="n"/>
      <c r="E12" s="18" t="n"/>
      <c r="F12" s="18" t="n"/>
      <c r="G12" s="13" t="n"/>
      <c r="H12" s="18" t="n"/>
      <c r="I12" s="18" t="n"/>
      <c r="J12" s="18" t="n"/>
      <c r="K12" s="18" t="n"/>
      <c r="L12" s="13" t="n"/>
      <c r="M12" s="18" t="n"/>
      <c r="N12" s="18" t="n"/>
      <c r="O12" s="18" t="n"/>
      <c r="P12" s="18" t="n"/>
      <c r="Q12" s="13" t="n"/>
      <c r="R12" s="18" t="n"/>
      <c r="S12" s="18" t="n"/>
      <c r="T12" s="18" t="n"/>
      <c r="U12" s="18" t="n"/>
      <c r="V12" s="13" t="n"/>
      <c r="W12" s="18" t="n"/>
      <c r="X12" s="18" t="n"/>
      <c r="Y12" s="18" t="n"/>
      <c r="Z12" s="18" t="n"/>
      <c r="AA12" s="13" t="n"/>
      <c r="AB12" s="18" t="n"/>
      <c r="AC12" s="18" t="n"/>
      <c r="AD12" s="18" t="n"/>
      <c r="AE12" s="18" t="n"/>
      <c r="AF12" s="13" t="n"/>
      <c r="AG12" s="18" t="n"/>
      <c r="AH12" s="18" t="n"/>
      <c r="AI12" s="18" t="n"/>
      <c r="AJ12" s="18" t="n"/>
      <c r="AK12" s="13" t="n"/>
      <c r="AL12" s="18" t="n"/>
      <c r="AM12" s="18" t="n"/>
      <c r="AN12" s="18" t="n"/>
      <c r="AO12" s="18" t="n"/>
      <c r="AP12" s="13" t="n"/>
      <c r="AQ12" s="18" t="n"/>
      <c r="AR12" s="18" t="n"/>
      <c r="AS12" s="18" t="n"/>
      <c r="AT12" s="18" t="n"/>
      <c r="AU12" s="13" t="n"/>
      <c r="AV12" s="18" t="n"/>
      <c r="AW12" s="18" t="n"/>
      <c r="AX12" s="18" t="n"/>
      <c r="AY12" s="18" t="n"/>
      <c r="AZ12" s="13" t="n"/>
      <c r="BA12" s="18" t="n"/>
      <c r="BB12" s="18" t="n"/>
      <c r="BC12" s="18" t="n"/>
      <c r="BD12" s="18" t="n"/>
      <c r="BE12" s="13" t="n"/>
    </row>
    <row r="13" ht="16" customHeight="1">
      <c r="A13" s="6" t="inlineStr">
        <is>
          <t>PL</t>
        </is>
      </c>
      <c r="B13" s="7" t="inlineStr">
        <is>
          <t>Raw Material Consumed</t>
        </is>
      </c>
      <c r="C13" s="8" t="n">
        <v>636.3</v>
      </c>
      <c r="D13" s="8" t="n">
        <v>610.7</v>
      </c>
      <c r="E13" s="8" t="n">
        <v>627</v>
      </c>
      <c r="F13" s="8" t="n">
        <v>679.3</v>
      </c>
      <c r="G13" s="9">
        <f>SUM(C13:F13)</f>
        <v/>
      </c>
      <c r="H13" s="8" t="n">
        <v>751.4</v>
      </c>
      <c r="I13" s="8" t="n">
        <v>637.7</v>
      </c>
      <c r="J13" s="8" t="n">
        <v>702.1</v>
      </c>
      <c r="K13" s="8" t="n">
        <v>814.8</v>
      </c>
      <c r="L13" s="9">
        <f>SUM(H13:K13)</f>
        <v/>
      </c>
      <c r="M13" s="8" t="n">
        <v>765.5</v>
      </c>
      <c r="N13" s="8" t="n">
        <v>745.9</v>
      </c>
      <c r="O13" s="8" t="n">
        <v>825.3</v>
      </c>
      <c r="P13" s="8" t="n">
        <v>829</v>
      </c>
      <c r="Q13" s="9">
        <f>SUM(M13:P13)</f>
        <v/>
      </c>
      <c r="R13" s="8" t="n">
        <v>881.4</v>
      </c>
      <c r="S13" s="8" t="n">
        <v>959.6</v>
      </c>
      <c r="T13" s="8" t="n">
        <v>956.6</v>
      </c>
      <c r="U13" s="8" t="n">
        <v>947.2</v>
      </c>
      <c r="V13" s="9">
        <f>SUM(R13:U13)</f>
        <v/>
      </c>
      <c r="W13" s="8" t="n">
        <v>995.7</v>
      </c>
      <c r="X13" s="8" t="n">
        <v>877.7</v>
      </c>
      <c r="Y13" s="8" t="n">
        <v>953.3</v>
      </c>
      <c r="Z13" s="8" t="n">
        <v>879.4</v>
      </c>
      <c r="AA13" s="9">
        <f>SUM(W13:Z13)</f>
        <v/>
      </c>
      <c r="AB13" s="8" t="n">
        <v>573.2</v>
      </c>
      <c r="AC13" s="8" t="n">
        <v>903.1</v>
      </c>
      <c r="AD13" s="8" t="n">
        <v>1078.1</v>
      </c>
      <c r="AE13" s="8" t="n">
        <v>1209.1</v>
      </c>
      <c r="AF13" s="9">
        <f>SUM(AB13:AE13)</f>
        <v/>
      </c>
      <c r="AG13" s="8" t="n">
        <v>997.4</v>
      </c>
      <c r="AH13" s="8" t="n">
        <v>1326.4</v>
      </c>
      <c r="AI13" s="8" t="n">
        <v>1317.5</v>
      </c>
      <c r="AJ13" s="8" t="n">
        <v>1787.6</v>
      </c>
      <c r="AK13" s="9">
        <f>SUM(AG13:AJ13)</f>
        <v/>
      </c>
      <c r="AL13" s="8" t="n">
        <v>1558.1</v>
      </c>
      <c r="AM13" s="8" t="n">
        <v>1597.8</v>
      </c>
      <c r="AN13" s="8" t="n">
        <v>1617.5</v>
      </c>
      <c r="AO13" s="8" t="n">
        <v>1651.2</v>
      </c>
      <c r="AP13" s="9">
        <f>SUM(AL13:AO13)</f>
        <v/>
      </c>
      <c r="AQ13" s="8" t="n">
        <v>1688.7</v>
      </c>
      <c r="AR13" s="8" t="n">
        <v>1602.1</v>
      </c>
      <c r="AS13" s="8" t="n">
        <v>1705.2</v>
      </c>
      <c r="AT13" s="8" t="n">
        <v>1763.2</v>
      </c>
      <c r="AU13" s="9">
        <f>SUM(AQ13:AT13)</f>
        <v/>
      </c>
      <c r="AV13" s="8" t="n">
        <v>1776.5</v>
      </c>
      <c r="AW13" s="8" t="n">
        <v>1643.9</v>
      </c>
      <c r="AX13" s="8" t="n">
        <v>1826.9</v>
      </c>
      <c r="AY13" s="8" t="n">
        <v>1783.7</v>
      </c>
      <c r="AZ13" s="9">
        <f>SUM(AV13:AY13)</f>
        <v/>
      </c>
      <c r="BA13" s="8" t="n">
        <v>1920.1</v>
      </c>
      <c r="BB13" s="8" t="n">
        <v>1711.3</v>
      </c>
      <c r="BC13" s="8" t="n">
        <v>1821.6</v>
      </c>
      <c r="BD13" s="8" t="n">
        <v>2101</v>
      </c>
      <c r="BE13" s="9">
        <f>SUM(BA13:BD13)</f>
        <v/>
      </c>
    </row>
    <row r="14" ht="16" customHeight="1">
      <c r="A14" s="10" t="inlineStr">
        <is>
          <t>DERIVED</t>
        </is>
      </c>
      <c r="B14" s="11" t="inlineStr">
        <is>
          <t>% sales</t>
        </is>
      </c>
      <c r="C14" s="14">
        <f>C13/IF(C$6=0,1,C$6)</f>
        <v/>
      </c>
      <c r="D14" s="14">
        <f>D13/IF(D$6=0,1,D$6)</f>
        <v/>
      </c>
      <c r="E14" s="14">
        <f>E13/IF(E$6=0,1,E$6)</f>
        <v/>
      </c>
      <c r="F14" s="14">
        <f>F13/IF(F$6=0,1,F$6)</f>
        <v/>
      </c>
      <c r="G14" s="15">
        <f>G13/IF(G$6=0,1,G$6)</f>
        <v/>
      </c>
      <c r="H14" s="14">
        <f>H13/IF(H$6=0,1,H$6)</f>
        <v/>
      </c>
      <c r="I14" s="14">
        <f>I13/IF(I$6=0,1,I$6)</f>
        <v/>
      </c>
      <c r="J14" s="14">
        <f>J13/IF(J$6=0,1,J$6)</f>
        <v/>
      </c>
      <c r="K14" s="14">
        <f>K13/IF(K$6=0,1,K$6)</f>
        <v/>
      </c>
      <c r="L14" s="15">
        <f>L13/IF(L$6=0,1,L$6)</f>
        <v/>
      </c>
      <c r="M14" s="14">
        <f>M13/IF(M$6=0,1,M$6)</f>
        <v/>
      </c>
      <c r="N14" s="14">
        <f>N13/IF(N$6=0,1,N$6)</f>
        <v/>
      </c>
      <c r="O14" s="14">
        <f>O13/IF(O$6=0,1,O$6)</f>
        <v/>
      </c>
      <c r="P14" s="14">
        <f>P13/IF(P$6=0,1,P$6)</f>
        <v/>
      </c>
      <c r="Q14" s="15">
        <f>Q13/IF(Q$6=0,1,Q$6)</f>
        <v/>
      </c>
      <c r="R14" s="14">
        <f>R13/IF(R$6=0,1,R$6)</f>
        <v/>
      </c>
      <c r="S14" s="14">
        <f>S13/IF(S$6=0,1,S$6)</f>
        <v/>
      </c>
      <c r="T14" s="14">
        <f>T13/IF(T$6=0,1,T$6)</f>
        <v/>
      </c>
      <c r="U14" s="14">
        <f>U13/IF(U$6=0,1,U$6)</f>
        <v/>
      </c>
      <c r="V14" s="15">
        <f>V13/IF(V$6=0,1,V$6)</f>
        <v/>
      </c>
      <c r="W14" s="14">
        <f>W13/IF(W$6=0,1,W$6)</f>
        <v/>
      </c>
      <c r="X14" s="14">
        <f>X13/IF(X$6=0,1,X$6)</f>
        <v/>
      </c>
      <c r="Y14" s="14">
        <f>Y13/IF(Y$6=0,1,Y$6)</f>
        <v/>
      </c>
      <c r="Z14" s="14">
        <f>Z13/IF(Z$6=0,1,Z$6)</f>
        <v/>
      </c>
      <c r="AA14" s="15">
        <f>AA13/IF(AA$6=0,1,AA$6)</f>
        <v/>
      </c>
      <c r="AB14" s="14">
        <f>AB13/IF(AB$6=0,1,AB$6)</f>
        <v/>
      </c>
      <c r="AC14" s="14">
        <f>AC13/IF(AC$6=0,1,AC$6)</f>
        <v/>
      </c>
      <c r="AD14" s="14">
        <f>AD13/IF(AD$6=0,1,AD$6)</f>
        <v/>
      </c>
      <c r="AE14" s="14">
        <f>AE13/IF(AE$6=0,1,AE$6)</f>
        <v/>
      </c>
      <c r="AF14" s="15">
        <f>AF13/IF(AF$6=0,1,AF$6)</f>
        <v/>
      </c>
      <c r="AG14" s="14">
        <f>AG13/IF(AG$6=0,1,AG$6)</f>
        <v/>
      </c>
      <c r="AH14" s="14">
        <f>AH13/IF(AH$6=0,1,AH$6)</f>
        <v/>
      </c>
      <c r="AI14" s="14">
        <f>AI13/IF(AI$6=0,1,AI$6)</f>
        <v/>
      </c>
      <c r="AJ14" s="14">
        <f>AJ13/IF(AJ$6=0,1,AJ$6)</f>
        <v/>
      </c>
      <c r="AK14" s="15">
        <f>AK13/IF(AK$6=0,1,AK$6)</f>
        <v/>
      </c>
      <c r="AL14" s="14">
        <f>AL13/IF(AL$6=0,1,AL$6)</f>
        <v/>
      </c>
      <c r="AM14" s="14">
        <f>AM13/IF(AM$6=0,1,AM$6)</f>
        <v/>
      </c>
      <c r="AN14" s="14">
        <f>AN13/IF(AN$6=0,1,AN$6)</f>
        <v/>
      </c>
      <c r="AO14" s="14">
        <f>AO13/IF(AO$6=0,1,AO$6)</f>
        <v/>
      </c>
      <c r="AP14" s="15">
        <f>AP13/IF(AP$6=0,1,AP$6)</f>
        <v/>
      </c>
      <c r="AQ14" s="14">
        <f>AQ13/IF(AQ$6=0,1,AQ$6)</f>
        <v/>
      </c>
      <c r="AR14" s="14">
        <f>AR13/IF(AR$6=0,1,AR$6)</f>
        <v/>
      </c>
      <c r="AS14" s="14">
        <f>AS13/IF(AS$6=0,1,AS$6)</f>
        <v/>
      </c>
      <c r="AT14" s="14">
        <f>AT13/IF(AT$6=0,1,AT$6)</f>
        <v/>
      </c>
      <c r="AU14" s="15">
        <f>AU13/IF(AU$6=0,1,AU$6)</f>
        <v/>
      </c>
      <c r="AV14" s="14">
        <f>AV13/IF(AV$6=0,1,AV$6)</f>
        <v/>
      </c>
      <c r="AW14" s="14">
        <f>AW13/IF(AW$6=0,1,AW$6)</f>
        <v/>
      </c>
      <c r="AX14" s="14">
        <f>AX13/IF(AX$6=0,1,AX$6)</f>
        <v/>
      </c>
      <c r="AY14" s="14">
        <f>AY13/IF(AY$6=0,1,AY$6)</f>
        <v/>
      </c>
      <c r="AZ14" s="15">
        <f>AZ13/IF(AZ$6=0,1,AZ$6)</f>
        <v/>
      </c>
      <c r="BA14" s="14">
        <f>BA13/IF(BA$6=0,1,BA$6)</f>
        <v/>
      </c>
      <c r="BB14" s="14">
        <f>BB13/IF(BB$6=0,1,BB$6)</f>
        <v/>
      </c>
      <c r="BC14" s="14">
        <f>BC13/IF(BC$6=0,1,BC$6)</f>
        <v/>
      </c>
      <c r="BD14" s="14">
        <f>BD13/IF(BD$6=0,1,BD$6)</f>
        <v/>
      </c>
      <c r="BE14" s="15">
        <f>BE13/IF(BE$6=0,1,BE$6)</f>
        <v/>
      </c>
    </row>
    <row r="15" ht="16" customHeight="1">
      <c r="A15" s="6" t="inlineStr">
        <is>
          <t>PL</t>
        </is>
      </c>
      <c r="B15" s="7" t="inlineStr">
        <is>
          <t>Stock Adjustment</t>
        </is>
      </c>
      <c r="C15" s="8" t="n">
        <v>135.7</v>
      </c>
      <c r="D15" s="8" t="n">
        <v>-139.1</v>
      </c>
      <c r="E15" s="8" t="n">
        <v>-4.6</v>
      </c>
      <c r="F15" s="8" t="n">
        <v>73.59999999999999</v>
      </c>
      <c r="G15" s="9">
        <f>SUM(C15:F15)</f>
        <v/>
      </c>
      <c r="H15" s="8" t="n">
        <v>-6.9</v>
      </c>
      <c r="I15" s="8" t="n">
        <v>-96.3</v>
      </c>
      <c r="J15" s="8" t="n">
        <v>-14.5</v>
      </c>
      <c r="K15" s="8" t="n">
        <v>-4.2</v>
      </c>
      <c r="L15" s="9">
        <f>SUM(H15:K15)</f>
        <v/>
      </c>
      <c r="M15" s="8" t="n">
        <v>15.4</v>
      </c>
      <c r="N15" s="8" t="n">
        <v>-67.2</v>
      </c>
      <c r="O15" s="8" t="n">
        <v>12.4</v>
      </c>
      <c r="P15" s="8" t="n">
        <v>76.90000000000001</v>
      </c>
      <c r="Q15" s="9">
        <f>SUM(M15:P15)</f>
        <v/>
      </c>
      <c r="R15" s="8" t="n">
        <v>29.5</v>
      </c>
      <c r="S15" s="8" t="n">
        <v>-113</v>
      </c>
      <c r="T15" s="8" t="n">
        <v>9.6</v>
      </c>
      <c r="U15" s="8" t="n">
        <v>64.8</v>
      </c>
      <c r="V15" s="9">
        <f>SUM(R15:U15)</f>
        <v/>
      </c>
      <c r="W15" s="8" t="n">
        <v>-4.9</v>
      </c>
      <c r="X15" s="8" t="n">
        <v>-53.5</v>
      </c>
      <c r="Y15" s="8" t="n">
        <v>-73.5</v>
      </c>
      <c r="Z15" s="8" t="n">
        <v>-43.3</v>
      </c>
      <c r="AA15" s="9">
        <f>SUM(W15:Z15)</f>
        <v/>
      </c>
      <c r="AB15" s="8" t="n">
        <v>173.5</v>
      </c>
      <c r="AC15" s="8" t="n">
        <v>-93.8</v>
      </c>
      <c r="AD15" s="8" t="n">
        <v>33.5</v>
      </c>
      <c r="AE15" s="8" t="n">
        <v>37.3</v>
      </c>
      <c r="AF15" s="9">
        <f>SUM(AB15:AE15)</f>
        <v/>
      </c>
      <c r="AG15" s="8" t="n">
        <v>-160.4</v>
      </c>
      <c r="AH15" s="8" t="n">
        <v>-36.5</v>
      </c>
      <c r="AI15" s="8" t="n">
        <v>-33.9</v>
      </c>
      <c r="AJ15" s="8" t="n">
        <v>18.6</v>
      </c>
      <c r="AK15" s="9">
        <f>SUM(AG15:AJ15)</f>
        <v/>
      </c>
      <c r="AL15" s="8" t="n">
        <v>31.8</v>
      </c>
      <c r="AM15" s="8" t="n">
        <v>-33</v>
      </c>
      <c r="AN15" s="8" t="n">
        <v>1.6</v>
      </c>
      <c r="AO15" s="8" t="n">
        <v>45.5</v>
      </c>
      <c r="AP15" s="9">
        <f>SUM(AL15:AO15)</f>
        <v/>
      </c>
      <c r="AQ15" s="8" t="n">
        <v>-63.7</v>
      </c>
      <c r="AR15" s="8" t="n">
        <v>-98.09999999999999</v>
      </c>
      <c r="AS15" s="8" t="n">
        <v>-87.09999999999999</v>
      </c>
      <c r="AT15" s="8" t="n">
        <v>243</v>
      </c>
      <c r="AU15" s="9">
        <f>SUM(AQ15:AT15)</f>
        <v/>
      </c>
      <c r="AV15" s="8" t="n">
        <v>2.3</v>
      </c>
      <c r="AW15" s="8" t="n">
        <v>-178.7</v>
      </c>
      <c r="AX15" s="8" t="n">
        <v>-128.2</v>
      </c>
      <c r="AY15" s="8" t="n">
        <v>284.6</v>
      </c>
      <c r="AZ15" s="9">
        <f>SUM(AV15:AY15)</f>
        <v/>
      </c>
      <c r="BA15" s="8" t="n">
        <v>-166.8</v>
      </c>
      <c r="BB15" s="8" t="n">
        <v>-167.4</v>
      </c>
      <c r="BC15" s="8" t="n">
        <v>-37.7</v>
      </c>
      <c r="BD15" s="8" t="n">
        <v>204.8</v>
      </c>
      <c r="BE15" s="9">
        <f>SUM(BA15:BD15)</f>
        <v/>
      </c>
    </row>
    <row r="16" ht="16" customHeight="1">
      <c r="A16" s="10" t="inlineStr">
        <is>
          <t>DERIVED</t>
        </is>
      </c>
      <c r="B16" s="11" t="inlineStr">
        <is>
          <t>% sales</t>
        </is>
      </c>
      <c r="C16" s="14">
        <f>C15/IF(C$6=0,1,C$6)</f>
        <v/>
      </c>
      <c r="D16" s="14">
        <f>D15/IF(D$6=0,1,D$6)</f>
        <v/>
      </c>
      <c r="E16" s="14">
        <f>E15/IF(E$6=0,1,E$6)</f>
        <v/>
      </c>
      <c r="F16" s="14">
        <f>F15/IF(F$6=0,1,F$6)</f>
        <v/>
      </c>
      <c r="G16" s="15">
        <f>G15/IF(G$6=0,1,G$6)</f>
        <v/>
      </c>
      <c r="H16" s="14">
        <f>H15/IF(H$6=0,1,H$6)</f>
        <v/>
      </c>
      <c r="I16" s="14">
        <f>I15/IF(I$6=0,1,I$6)</f>
        <v/>
      </c>
      <c r="J16" s="14">
        <f>J15/IF(J$6=0,1,J$6)</f>
        <v/>
      </c>
      <c r="K16" s="14">
        <f>K15/IF(K$6=0,1,K$6)</f>
        <v/>
      </c>
      <c r="L16" s="15">
        <f>L15/IF(L$6=0,1,L$6)</f>
        <v/>
      </c>
      <c r="M16" s="14">
        <f>M15/IF(M$6=0,1,M$6)</f>
        <v/>
      </c>
      <c r="N16" s="14">
        <f>N15/IF(N$6=0,1,N$6)</f>
        <v/>
      </c>
      <c r="O16" s="14">
        <f>O15/IF(O$6=0,1,O$6)</f>
        <v/>
      </c>
      <c r="P16" s="14">
        <f>P15/IF(P$6=0,1,P$6)</f>
        <v/>
      </c>
      <c r="Q16" s="15">
        <f>Q15/IF(Q$6=0,1,Q$6)</f>
        <v/>
      </c>
      <c r="R16" s="14">
        <f>R15/IF(R$6=0,1,R$6)</f>
        <v/>
      </c>
      <c r="S16" s="14">
        <f>S15/IF(S$6=0,1,S$6)</f>
        <v/>
      </c>
      <c r="T16" s="14">
        <f>T15/IF(T$6=0,1,T$6)</f>
        <v/>
      </c>
      <c r="U16" s="14">
        <f>U15/IF(U$6=0,1,U$6)</f>
        <v/>
      </c>
      <c r="V16" s="15">
        <f>V15/IF(V$6=0,1,V$6)</f>
        <v/>
      </c>
      <c r="W16" s="14">
        <f>W15/IF(W$6=0,1,W$6)</f>
        <v/>
      </c>
      <c r="X16" s="14">
        <f>X15/IF(X$6=0,1,X$6)</f>
        <v/>
      </c>
      <c r="Y16" s="14">
        <f>Y15/IF(Y$6=0,1,Y$6)</f>
        <v/>
      </c>
      <c r="Z16" s="14">
        <f>Z15/IF(Z$6=0,1,Z$6)</f>
        <v/>
      </c>
      <c r="AA16" s="15">
        <f>AA15/IF(AA$6=0,1,AA$6)</f>
        <v/>
      </c>
      <c r="AB16" s="14">
        <f>AB15/IF(AB$6=0,1,AB$6)</f>
        <v/>
      </c>
      <c r="AC16" s="14">
        <f>AC15/IF(AC$6=0,1,AC$6)</f>
        <v/>
      </c>
      <c r="AD16" s="14">
        <f>AD15/IF(AD$6=0,1,AD$6)</f>
        <v/>
      </c>
      <c r="AE16" s="14">
        <f>AE15/IF(AE$6=0,1,AE$6)</f>
        <v/>
      </c>
      <c r="AF16" s="15">
        <f>AF15/IF(AF$6=0,1,AF$6)</f>
        <v/>
      </c>
      <c r="AG16" s="14">
        <f>AG15/IF(AG$6=0,1,AG$6)</f>
        <v/>
      </c>
      <c r="AH16" s="14">
        <f>AH15/IF(AH$6=0,1,AH$6)</f>
        <v/>
      </c>
      <c r="AI16" s="14">
        <f>AI15/IF(AI$6=0,1,AI$6)</f>
        <v/>
      </c>
      <c r="AJ16" s="14">
        <f>AJ15/IF(AJ$6=0,1,AJ$6)</f>
        <v/>
      </c>
      <c r="AK16" s="15">
        <f>AK15/IF(AK$6=0,1,AK$6)</f>
        <v/>
      </c>
      <c r="AL16" s="14">
        <f>AL15/IF(AL$6=0,1,AL$6)</f>
        <v/>
      </c>
      <c r="AM16" s="14">
        <f>AM15/IF(AM$6=0,1,AM$6)</f>
        <v/>
      </c>
      <c r="AN16" s="14">
        <f>AN15/IF(AN$6=0,1,AN$6)</f>
        <v/>
      </c>
      <c r="AO16" s="14">
        <f>AO15/IF(AO$6=0,1,AO$6)</f>
        <v/>
      </c>
      <c r="AP16" s="15">
        <f>AP15/IF(AP$6=0,1,AP$6)</f>
        <v/>
      </c>
      <c r="AQ16" s="14">
        <f>AQ15/IF(AQ$6=0,1,AQ$6)</f>
        <v/>
      </c>
      <c r="AR16" s="14">
        <f>AR15/IF(AR$6=0,1,AR$6)</f>
        <v/>
      </c>
      <c r="AS16" s="14">
        <f>AS15/IF(AS$6=0,1,AS$6)</f>
        <v/>
      </c>
      <c r="AT16" s="14">
        <f>AT15/IF(AT$6=0,1,AT$6)</f>
        <v/>
      </c>
      <c r="AU16" s="15">
        <f>AU15/IF(AU$6=0,1,AU$6)</f>
        <v/>
      </c>
      <c r="AV16" s="14">
        <f>AV15/IF(AV$6=0,1,AV$6)</f>
        <v/>
      </c>
      <c r="AW16" s="14">
        <f>AW15/IF(AW$6=0,1,AW$6)</f>
        <v/>
      </c>
      <c r="AX16" s="14">
        <f>AX15/IF(AX$6=0,1,AX$6)</f>
        <v/>
      </c>
      <c r="AY16" s="14">
        <f>AY15/IF(AY$6=0,1,AY$6)</f>
        <v/>
      </c>
      <c r="AZ16" s="15">
        <f>AZ15/IF(AZ$6=0,1,AZ$6)</f>
        <v/>
      </c>
      <c r="BA16" s="14">
        <f>BA15/IF(BA$6=0,1,BA$6)</f>
        <v/>
      </c>
      <c r="BB16" s="14">
        <f>BB15/IF(BB$6=0,1,BB$6)</f>
        <v/>
      </c>
      <c r="BC16" s="14">
        <f>BC15/IF(BC$6=0,1,BC$6)</f>
        <v/>
      </c>
      <c r="BD16" s="14">
        <f>BD15/IF(BD$6=0,1,BD$6)</f>
        <v/>
      </c>
      <c r="BE16" s="15">
        <f>BE15/IF(BE$6=0,1,BE$6)</f>
        <v/>
      </c>
    </row>
    <row r="17" ht="16" customHeight="1">
      <c r="A17" s="6" t="inlineStr">
        <is>
          <t>PL</t>
        </is>
      </c>
      <c r="B17" s="7" t="inlineStr">
        <is>
          <t>Purchase of Finished Goods</t>
        </is>
      </c>
      <c r="C17" s="8" t="n">
        <v>48.2</v>
      </c>
      <c r="D17" s="8" t="n">
        <v>22.5</v>
      </c>
      <c r="E17" s="8" t="n">
        <v>14.9</v>
      </c>
      <c r="F17" s="8" t="n">
        <v>15.7</v>
      </c>
      <c r="G17" s="9">
        <f>SUM(C17:F17)</f>
        <v/>
      </c>
      <c r="H17" s="8" t="n">
        <v>32.7</v>
      </c>
      <c r="I17" s="8" t="n">
        <v>21.2</v>
      </c>
      <c r="J17" s="8" t="n">
        <v>27</v>
      </c>
      <c r="K17" s="8" t="n">
        <v>26.7</v>
      </c>
      <c r="L17" s="9">
        <f>SUM(H17:K17)</f>
        <v/>
      </c>
      <c r="M17" s="8" t="n">
        <v>13.1</v>
      </c>
      <c r="N17" s="8" t="n">
        <v>18.9</v>
      </c>
      <c r="O17" s="8" t="n">
        <v>11.1</v>
      </c>
      <c r="P17" s="8" t="n">
        <v>42</v>
      </c>
      <c r="Q17" s="9">
        <f>SUM(M17:P17)</f>
        <v/>
      </c>
      <c r="R17" s="8" t="n">
        <v>11.4</v>
      </c>
      <c r="S17" s="8" t="n">
        <v>16.7</v>
      </c>
      <c r="T17" s="8" t="n">
        <v>7.3</v>
      </c>
      <c r="U17" s="8" t="n">
        <v>49</v>
      </c>
      <c r="V17" s="9">
        <f>SUM(R17:U17)</f>
        <v/>
      </c>
      <c r="W17" s="8" t="n">
        <v>11.9</v>
      </c>
      <c r="X17" s="8" t="n">
        <v>14.3</v>
      </c>
      <c r="Y17" s="8" t="n">
        <v>9.300000000000001</v>
      </c>
      <c r="Z17" s="8" t="n">
        <v>12</v>
      </c>
      <c r="AA17" s="9">
        <f>SUM(W17:Z17)</f>
        <v/>
      </c>
      <c r="AB17" s="8" t="n">
        <v>7.7</v>
      </c>
      <c r="AC17" s="8" t="n">
        <v>39.3</v>
      </c>
      <c r="AD17" s="8" t="n">
        <v>49.4</v>
      </c>
      <c r="AE17" s="8" t="n">
        <v>32.2</v>
      </c>
      <c r="AF17" s="9">
        <f>SUM(AB17:AE17)</f>
        <v/>
      </c>
      <c r="AG17" s="8" t="n">
        <v>29.2</v>
      </c>
      <c r="AH17" s="8" t="n">
        <v>30.8</v>
      </c>
      <c r="AI17" s="8" t="n">
        <v>38.8</v>
      </c>
      <c r="AJ17" s="8" t="n">
        <v>37.7</v>
      </c>
      <c r="AK17" s="9">
        <f>SUM(AG17:AJ17)</f>
        <v/>
      </c>
      <c r="AL17" s="8" t="n">
        <v>32.5</v>
      </c>
      <c r="AM17" s="8" t="n">
        <v>37.4</v>
      </c>
      <c r="AN17" s="8" t="n">
        <v>27.2</v>
      </c>
      <c r="AO17" s="8" t="n">
        <v>31.7</v>
      </c>
      <c r="AP17" s="9">
        <f>SUM(AL17:AO17)</f>
        <v/>
      </c>
      <c r="AQ17" s="8" t="n">
        <v>31</v>
      </c>
      <c r="AR17" s="8" t="n">
        <v>31.6</v>
      </c>
      <c r="AS17" s="8" t="n">
        <v>22.4</v>
      </c>
      <c r="AT17" s="8" t="n">
        <v>20</v>
      </c>
      <c r="AU17" s="9">
        <f>SUM(AQ17:AT17)</f>
        <v/>
      </c>
      <c r="AV17" s="8" t="n">
        <v>17</v>
      </c>
      <c r="AW17" s="8" t="n">
        <v>23.4</v>
      </c>
      <c r="AX17" s="8" t="n">
        <v>30.3</v>
      </c>
      <c r="AY17" s="8" t="n">
        <v>64.90000000000001</v>
      </c>
      <c r="AZ17" s="9">
        <f>SUM(AV17:AY17)</f>
        <v/>
      </c>
      <c r="BA17" s="8" t="n">
        <v>36.2</v>
      </c>
      <c r="BB17" s="8" t="n">
        <v>43.1</v>
      </c>
      <c r="BC17" s="8" t="n">
        <v>43.1</v>
      </c>
      <c r="BD17" s="8" t="n">
        <v>49.9</v>
      </c>
      <c r="BE17" s="9">
        <f>SUM(BA17:BD17)</f>
        <v/>
      </c>
    </row>
    <row r="18" ht="16" customHeight="1">
      <c r="A18" s="10" t="inlineStr">
        <is>
          <t>DERIVED</t>
        </is>
      </c>
      <c r="B18" s="11" t="inlineStr">
        <is>
          <t>% sales</t>
        </is>
      </c>
      <c r="C18" s="14">
        <f>C17/IF(C$6=0,1,C$6)</f>
        <v/>
      </c>
      <c r="D18" s="14">
        <f>D17/IF(D$6=0,1,D$6)</f>
        <v/>
      </c>
      <c r="E18" s="14">
        <f>E17/IF(E$6=0,1,E$6)</f>
        <v/>
      </c>
      <c r="F18" s="14">
        <f>F17/IF(F$6=0,1,F$6)</f>
        <v/>
      </c>
      <c r="G18" s="15">
        <f>G17/IF(G$6=0,1,G$6)</f>
        <v/>
      </c>
      <c r="H18" s="14">
        <f>H17/IF(H$6=0,1,H$6)</f>
        <v/>
      </c>
      <c r="I18" s="14">
        <f>I17/IF(I$6=0,1,I$6)</f>
        <v/>
      </c>
      <c r="J18" s="14">
        <f>J17/IF(J$6=0,1,J$6)</f>
        <v/>
      </c>
      <c r="K18" s="14">
        <f>K17/IF(K$6=0,1,K$6)</f>
        <v/>
      </c>
      <c r="L18" s="15">
        <f>L17/IF(L$6=0,1,L$6)</f>
        <v/>
      </c>
      <c r="M18" s="14">
        <f>M17/IF(M$6=0,1,M$6)</f>
        <v/>
      </c>
      <c r="N18" s="14">
        <f>N17/IF(N$6=0,1,N$6)</f>
        <v/>
      </c>
      <c r="O18" s="14">
        <f>O17/IF(O$6=0,1,O$6)</f>
        <v/>
      </c>
      <c r="P18" s="14">
        <f>P17/IF(P$6=0,1,P$6)</f>
        <v/>
      </c>
      <c r="Q18" s="15">
        <f>Q17/IF(Q$6=0,1,Q$6)</f>
        <v/>
      </c>
      <c r="R18" s="14">
        <f>R17/IF(R$6=0,1,R$6)</f>
        <v/>
      </c>
      <c r="S18" s="14">
        <f>S17/IF(S$6=0,1,S$6)</f>
        <v/>
      </c>
      <c r="T18" s="14">
        <f>T17/IF(T$6=0,1,T$6)</f>
        <v/>
      </c>
      <c r="U18" s="14">
        <f>U17/IF(U$6=0,1,U$6)</f>
        <v/>
      </c>
      <c r="V18" s="15">
        <f>V17/IF(V$6=0,1,V$6)</f>
        <v/>
      </c>
      <c r="W18" s="14">
        <f>W17/IF(W$6=0,1,W$6)</f>
        <v/>
      </c>
      <c r="X18" s="14">
        <f>X17/IF(X$6=0,1,X$6)</f>
        <v/>
      </c>
      <c r="Y18" s="14">
        <f>Y17/IF(Y$6=0,1,Y$6)</f>
        <v/>
      </c>
      <c r="Z18" s="14">
        <f>Z17/IF(Z$6=0,1,Z$6)</f>
        <v/>
      </c>
      <c r="AA18" s="15">
        <f>AA17/IF(AA$6=0,1,AA$6)</f>
        <v/>
      </c>
      <c r="AB18" s="14">
        <f>AB17/IF(AB$6=0,1,AB$6)</f>
        <v/>
      </c>
      <c r="AC18" s="14">
        <f>AC17/IF(AC$6=0,1,AC$6)</f>
        <v/>
      </c>
      <c r="AD18" s="14">
        <f>AD17/IF(AD$6=0,1,AD$6)</f>
        <v/>
      </c>
      <c r="AE18" s="14">
        <f>AE17/IF(AE$6=0,1,AE$6)</f>
        <v/>
      </c>
      <c r="AF18" s="15">
        <f>AF17/IF(AF$6=0,1,AF$6)</f>
        <v/>
      </c>
      <c r="AG18" s="14">
        <f>AG17/IF(AG$6=0,1,AG$6)</f>
        <v/>
      </c>
      <c r="AH18" s="14">
        <f>AH17/IF(AH$6=0,1,AH$6)</f>
        <v/>
      </c>
      <c r="AI18" s="14">
        <f>AI17/IF(AI$6=0,1,AI$6)</f>
        <v/>
      </c>
      <c r="AJ18" s="14">
        <f>AJ17/IF(AJ$6=0,1,AJ$6)</f>
        <v/>
      </c>
      <c r="AK18" s="15">
        <f>AK17/IF(AK$6=0,1,AK$6)</f>
        <v/>
      </c>
      <c r="AL18" s="14">
        <f>AL17/IF(AL$6=0,1,AL$6)</f>
        <v/>
      </c>
      <c r="AM18" s="14">
        <f>AM17/IF(AM$6=0,1,AM$6)</f>
        <v/>
      </c>
      <c r="AN18" s="14">
        <f>AN17/IF(AN$6=0,1,AN$6)</f>
        <v/>
      </c>
      <c r="AO18" s="14">
        <f>AO17/IF(AO$6=0,1,AO$6)</f>
        <v/>
      </c>
      <c r="AP18" s="15">
        <f>AP17/IF(AP$6=0,1,AP$6)</f>
        <v/>
      </c>
      <c r="AQ18" s="14">
        <f>AQ17/IF(AQ$6=0,1,AQ$6)</f>
        <v/>
      </c>
      <c r="AR18" s="14">
        <f>AR17/IF(AR$6=0,1,AR$6)</f>
        <v/>
      </c>
      <c r="AS18" s="14">
        <f>AS17/IF(AS$6=0,1,AS$6)</f>
        <v/>
      </c>
      <c r="AT18" s="14">
        <f>AT17/IF(AT$6=0,1,AT$6)</f>
        <v/>
      </c>
      <c r="AU18" s="15">
        <f>AU17/IF(AU$6=0,1,AU$6)</f>
        <v/>
      </c>
      <c r="AV18" s="14">
        <f>AV17/IF(AV$6=0,1,AV$6)</f>
        <v/>
      </c>
      <c r="AW18" s="14">
        <f>AW17/IF(AW$6=0,1,AW$6)</f>
        <v/>
      </c>
      <c r="AX18" s="14">
        <f>AX17/IF(AX$6=0,1,AX$6)</f>
        <v/>
      </c>
      <c r="AY18" s="14">
        <f>AY17/IF(AY$6=0,1,AY$6)</f>
        <v/>
      </c>
      <c r="AZ18" s="15">
        <f>AZ17/IF(AZ$6=0,1,AZ$6)</f>
        <v/>
      </c>
      <c r="BA18" s="14">
        <f>BA17/IF(BA$6=0,1,BA$6)</f>
        <v/>
      </c>
      <c r="BB18" s="14">
        <f>BB17/IF(BB$6=0,1,BB$6)</f>
        <v/>
      </c>
      <c r="BC18" s="14">
        <f>BC17/IF(BC$6=0,1,BC$6)</f>
        <v/>
      </c>
      <c r="BD18" s="14">
        <f>BD17/IF(BD$6=0,1,BD$6)</f>
        <v/>
      </c>
      <c r="BE18" s="15">
        <f>BE17/IF(BE$6=0,1,BE$6)</f>
        <v/>
      </c>
    </row>
    <row r="19" ht="16" customHeight="1">
      <c r="A19" s="6" t="inlineStr">
        <is>
          <t>PL</t>
        </is>
      </c>
      <c r="B19" s="7" t="inlineStr">
        <is>
          <t>Employee Expenses</t>
        </is>
      </c>
      <c r="C19" s="8" t="n">
        <v>52.7</v>
      </c>
      <c r="D19" s="8" t="n">
        <v>42.2</v>
      </c>
      <c r="E19" s="8" t="n">
        <v>44.7</v>
      </c>
      <c r="F19" s="8" t="n">
        <v>61.7</v>
      </c>
      <c r="G19" s="9">
        <f>SUM(C19:F19)</f>
        <v/>
      </c>
      <c r="H19" s="8" t="n">
        <v>50.5</v>
      </c>
      <c r="I19" s="8" t="n">
        <v>50</v>
      </c>
      <c r="J19" s="8" t="n">
        <v>53.3</v>
      </c>
      <c r="K19" s="8" t="n">
        <v>57.8</v>
      </c>
      <c r="L19" s="9">
        <f>SUM(H19:K19)</f>
        <v/>
      </c>
      <c r="M19" s="8" t="n">
        <v>53.7</v>
      </c>
      <c r="N19" s="8" t="n">
        <v>57.9</v>
      </c>
      <c r="O19" s="8" t="n">
        <v>59.8</v>
      </c>
      <c r="P19" s="8" t="n">
        <v>70.5</v>
      </c>
      <c r="Q19" s="9">
        <f>SUM(M19:P19)</f>
        <v/>
      </c>
      <c r="R19" s="8" t="n">
        <v>60</v>
      </c>
      <c r="S19" s="8" t="n">
        <v>59.8</v>
      </c>
      <c r="T19" s="8" t="n">
        <v>62.8</v>
      </c>
      <c r="U19" s="8" t="n">
        <v>72</v>
      </c>
      <c r="V19" s="9">
        <f>SUM(R19:U19)</f>
        <v/>
      </c>
      <c r="W19" s="8" t="n">
        <v>65.5</v>
      </c>
      <c r="X19" s="8" t="n">
        <v>68.5</v>
      </c>
      <c r="Y19" s="8" t="n">
        <v>68.5</v>
      </c>
      <c r="Z19" s="8" t="n">
        <v>74</v>
      </c>
      <c r="AA19" s="9">
        <f>SUM(W19:Z19)</f>
        <v/>
      </c>
      <c r="AB19" s="8" t="n">
        <v>63.3</v>
      </c>
      <c r="AC19" s="8" t="n">
        <v>72.7</v>
      </c>
      <c r="AD19" s="8" t="n">
        <v>81.3</v>
      </c>
      <c r="AE19" s="8" t="n">
        <v>93.09999999999999</v>
      </c>
      <c r="AF19" s="9">
        <f>SUM(AB19:AE19)</f>
        <v/>
      </c>
      <c r="AG19" s="8" t="n">
        <v>80.3</v>
      </c>
      <c r="AH19" s="8" t="n">
        <v>86.59999999999999</v>
      </c>
      <c r="AI19" s="8" t="n">
        <v>88</v>
      </c>
      <c r="AJ19" s="8" t="n">
        <v>90.40000000000001</v>
      </c>
      <c r="AK19" s="9">
        <f>SUM(AG19:AJ19)</f>
        <v/>
      </c>
      <c r="AL19" s="8" t="n">
        <v>91</v>
      </c>
      <c r="AM19" s="8" t="n">
        <v>88.2</v>
      </c>
      <c r="AN19" s="8" t="n">
        <v>95.90000000000001</v>
      </c>
      <c r="AO19" s="8" t="n">
        <v>99.7</v>
      </c>
      <c r="AP19" s="9">
        <f>SUM(AL19:AO19)</f>
        <v/>
      </c>
      <c r="AQ19" s="8" t="n">
        <v>103.2</v>
      </c>
      <c r="AR19" s="8" t="n">
        <v>105.9</v>
      </c>
      <c r="AS19" s="8" t="n">
        <v>109.8</v>
      </c>
      <c r="AT19" s="8" t="n">
        <v>123.3</v>
      </c>
      <c r="AU19" s="9">
        <f>SUM(AQ19:AT19)</f>
        <v/>
      </c>
      <c r="AV19" s="8" t="n">
        <v>121.3</v>
      </c>
      <c r="AW19" s="8" t="n">
        <v>119.8</v>
      </c>
      <c r="AX19" s="8" t="n">
        <v>115.2</v>
      </c>
      <c r="AY19" s="8" t="n">
        <v>131</v>
      </c>
      <c r="AZ19" s="9">
        <f>SUM(AV19:AY19)</f>
        <v/>
      </c>
      <c r="BA19" s="8" t="n">
        <v>134.9</v>
      </c>
      <c r="BB19" s="8" t="n">
        <v>134.6</v>
      </c>
      <c r="BC19" s="8" t="n">
        <v>155.8</v>
      </c>
      <c r="BD19" s="8" t="n">
        <v>155.9</v>
      </c>
      <c r="BE19" s="9">
        <f>SUM(BA19:BD19)</f>
        <v/>
      </c>
    </row>
    <row r="20" ht="16" customHeight="1">
      <c r="A20" s="10" t="inlineStr">
        <is>
          <t>DERIVED</t>
        </is>
      </c>
      <c r="B20" s="11" t="inlineStr">
        <is>
          <t>% sales</t>
        </is>
      </c>
      <c r="C20" s="14">
        <f>C19/IF(C$6=0,1,C$6)</f>
        <v/>
      </c>
      <c r="D20" s="14">
        <f>D19/IF(D$6=0,1,D$6)</f>
        <v/>
      </c>
      <c r="E20" s="14">
        <f>E19/IF(E$6=0,1,E$6)</f>
        <v/>
      </c>
      <c r="F20" s="14">
        <f>F19/IF(F$6=0,1,F$6)</f>
        <v/>
      </c>
      <c r="G20" s="15">
        <f>G19/IF(G$6=0,1,G$6)</f>
        <v/>
      </c>
      <c r="H20" s="14">
        <f>H19/IF(H$6=0,1,H$6)</f>
        <v/>
      </c>
      <c r="I20" s="14">
        <f>I19/IF(I$6=0,1,I$6)</f>
        <v/>
      </c>
      <c r="J20" s="14">
        <f>J19/IF(J$6=0,1,J$6)</f>
        <v/>
      </c>
      <c r="K20" s="14">
        <f>K19/IF(K$6=0,1,K$6)</f>
        <v/>
      </c>
      <c r="L20" s="15">
        <f>L19/IF(L$6=0,1,L$6)</f>
        <v/>
      </c>
      <c r="M20" s="14">
        <f>M19/IF(M$6=0,1,M$6)</f>
        <v/>
      </c>
      <c r="N20" s="14">
        <f>N19/IF(N$6=0,1,N$6)</f>
        <v/>
      </c>
      <c r="O20" s="14">
        <f>O19/IF(O$6=0,1,O$6)</f>
        <v/>
      </c>
      <c r="P20" s="14">
        <f>P19/IF(P$6=0,1,P$6)</f>
        <v/>
      </c>
      <c r="Q20" s="15">
        <f>Q19/IF(Q$6=0,1,Q$6)</f>
        <v/>
      </c>
      <c r="R20" s="14">
        <f>R19/IF(R$6=0,1,R$6)</f>
        <v/>
      </c>
      <c r="S20" s="14">
        <f>S19/IF(S$6=0,1,S$6)</f>
        <v/>
      </c>
      <c r="T20" s="14">
        <f>T19/IF(T$6=0,1,T$6)</f>
        <v/>
      </c>
      <c r="U20" s="14">
        <f>U19/IF(U$6=0,1,U$6)</f>
        <v/>
      </c>
      <c r="V20" s="15">
        <f>V19/IF(V$6=0,1,V$6)</f>
        <v/>
      </c>
      <c r="W20" s="14">
        <f>W19/IF(W$6=0,1,W$6)</f>
        <v/>
      </c>
      <c r="X20" s="14">
        <f>X19/IF(X$6=0,1,X$6)</f>
        <v/>
      </c>
      <c r="Y20" s="14">
        <f>Y19/IF(Y$6=0,1,Y$6)</f>
        <v/>
      </c>
      <c r="Z20" s="14">
        <f>Z19/IF(Z$6=0,1,Z$6)</f>
        <v/>
      </c>
      <c r="AA20" s="15">
        <f>AA19/IF(AA$6=0,1,AA$6)</f>
        <v/>
      </c>
      <c r="AB20" s="14">
        <f>AB19/IF(AB$6=0,1,AB$6)</f>
        <v/>
      </c>
      <c r="AC20" s="14">
        <f>AC19/IF(AC$6=0,1,AC$6)</f>
        <v/>
      </c>
      <c r="AD20" s="14">
        <f>AD19/IF(AD$6=0,1,AD$6)</f>
        <v/>
      </c>
      <c r="AE20" s="14">
        <f>AE19/IF(AE$6=0,1,AE$6)</f>
        <v/>
      </c>
      <c r="AF20" s="15">
        <f>AF19/IF(AF$6=0,1,AF$6)</f>
        <v/>
      </c>
      <c r="AG20" s="14">
        <f>AG19/IF(AG$6=0,1,AG$6)</f>
        <v/>
      </c>
      <c r="AH20" s="14">
        <f>AH19/IF(AH$6=0,1,AH$6)</f>
        <v/>
      </c>
      <c r="AI20" s="14">
        <f>AI19/IF(AI$6=0,1,AI$6)</f>
        <v/>
      </c>
      <c r="AJ20" s="14">
        <f>AJ19/IF(AJ$6=0,1,AJ$6)</f>
        <v/>
      </c>
      <c r="AK20" s="15">
        <f>AK19/IF(AK$6=0,1,AK$6)</f>
        <v/>
      </c>
      <c r="AL20" s="14">
        <f>AL19/IF(AL$6=0,1,AL$6)</f>
        <v/>
      </c>
      <c r="AM20" s="14">
        <f>AM19/IF(AM$6=0,1,AM$6)</f>
        <v/>
      </c>
      <c r="AN20" s="14">
        <f>AN19/IF(AN$6=0,1,AN$6)</f>
        <v/>
      </c>
      <c r="AO20" s="14">
        <f>AO19/IF(AO$6=0,1,AO$6)</f>
        <v/>
      </c>
      <c r="AP20" s="15">
        <f>AP19/IF(AP$6=0,1,AP$6)</f>
        <v/>
      </c>
      <c r="AQ20" s="14">
        <f>AQ19/IF(AQ$6=0,1,AQ$6)</f>
        <v/>
      </c>
      <c r="AR20" s="14">
        <f>AR19/IF(AR$6=0,1,AR$6)</f>
        <v/>
      </c>
      <c r="AS20" s="14">
        <f>AS19/IF(AS$6=0,1,AS$6)</f>
        <v/>
      </c>
      <c r="AT20" s="14">
        <f>AT19/IF(AT$6=0,1,AT$6)</f>
        <v/>
      </c>
      <c r="AU20" s="15">
        <f>AU19/IF(AU$6=0,1,AU$6)</f>
        <v/>
      </c>
      <c r="AV20" s="14">
        <f>AV19/IF(AV$6=0,1,AV$6)</f>
        <v/>
      </c>
      <c r="AW20" s="14">
        <f>AW19/IF(AW$6=0,1,AW$6)</f>
        <v/>
      </c>
      <c r="AX20" s="14">
        <f>AX19/IF(AX$6=0,1,AX$6)</f>
        <v/>
      </c>
      <c r="AY20" s="14">
        <f>AY19/IF(AY$6=0,1,AY$6)</f>
        <v/>
      </c>
      <c r="AZ20" s="15">
        <f>AZ19/IF(AZ$6=0,1,AZ$6)</f>
        <v/>
      </c>
      <c r="BA20" s="14">
        <f>BA19/IF(BA$6=0,1,BA$6)</f>
        <v/>
      </c>
      <c r="BB20" s="14">
        <f>BB19/IF(BB$6=0,1,BB$6)</f>
        <v/>
      </c>
      <c r="BC20" s="14">
        <f>BC19/IF(BC$6=0,1,BC$6)</f>
        <v/>
      </c>
      <c r="BD20" s="14">
        <f>BD19/IF(BD$6=0,1,BD$6)</f>
        <v/>
      </c>
      <c r="BE20" s="15">
        <f>BE19/IF(BE$6=0,1,BE$6)</f>
        <v/>
      </c>
    </row>
    <row r="21" ht="16" customHeight="1">
      <c r="A21" s="6" t="inlineStr">
        <is>
          <t>PL</t>
        </is>
      </c>
      <c r="B21" s="7" t="inlineStr">
        <is>
          <t>Other Expenses</t>
        </is>
      </c>
      <c r="C21" s="8" t="n">
        <v>147.1999999999998</v>
      </c>
      <c r="D21" s="8" t="n">
        <v>143.9</v>
      </c>
      <c r="E21" s="8" t="n">
        <v>155.6999999999999</v>
      </c>
      <c r="F21" s="8" t="n">
        <v>154.8</v>
      </c>
      <c r="G21" s="9">
        <f>SUM(C21:F21)</f>
        <v/>
      </c>
      <c r="H21" s="8" t="n">
        <v>159.7</v>
      </c>
      <c r="I21" s="8" t="n">
        <v>135.9999999999999</v>
      </c>
      <c r="J21" s="8" t="n">
        <v>153.8</v>
      </c>
      <c r="K21" s="8" t="n">
        <v>147.6000000000001</v>
      </c>
      <c r="L21" s="9">
        <f>SUM(H21:K21)</f>
        <v/>
      </c>
      <c r="M21" s="8" t="n">
        <v>155.2999999999998</v>
      </c>
      <c r="N21" s="8" t="n">
        <v>155.6000000000001</v>
      </c>
      <c r="O21" s="8" t="n">
        <v>171.9000000000001</v>
      </c>
      <c r="P21" s="8" t="n">
        <v>166.1</v>
      </c>
      <c r="Q21" s="9">
        <f>SUM(M21:P21)</f>
        <v/>
      </c>
      <c r="R21" s="8" t="n">
        <v>177.7</v>
      </c>
      <c r="S21" s="8" t="n">
        <v>137.9999999999999</v>
      </c>
      <c r="T21" s="8" t="n">
        <v>198.5</v>
      </c>
      <c r="U21" s="8" t="n">
        <v>60.59999999999991</v>
      </c>
      <c r="V21" s="9">
        <f>SUM(R21:U21)</f>
        <v/>
      </c>
      <c r="W21" s="8" t="n">
        <v>201.3</v>
      </c>
      <c r="X21" s="8" t="n">
        <v>141.5</v>
      </c>
      <c r="Y21" s="8" t="n">
        <v>194.8000000000002</v>
      </c>
      <c r="Z21" s="8" t="n">
        <v>81.90000000000009</v>
      </c>
      <c r="AA21" s="9">
        <f>SUM(W21:Z21)</f>
        <v/>
      </c>
      <c r="AB21" s="8" t="n">
        <v>119.1</v>
      </c>
      <c r="AC21" s="8" t="n">
        <v>146.6999999999999</v>
      </c>
      <c r="AD21" s="8" t="n">
        <v>200</v>
      </c>
      <c r="AE21" s="8" t="n">
        <v>43.20000000000027</v>
      </c>
      <c r="AF21" s="9">
        <f>SUM(AB21:AE21)</f>
        <v/>
      </c>
      <c r="AG21" s="8" t="n">
        <v>173.6000000000001</v>
      </c>
      <c r="AH21" s="8" t="n">
        <v>154.2</v>
      </c>
      <c r="AI21" s="8" t="n">
        <v>216.8000000000002</v>
      </c>
      <c r="AJ21" s="8" t="n">
        <v>60.70000000000005</v>
      </c>
      <c r="AK21" s="9">
        <f>SUM(AG21:AJ21)</f>
        <v/>
      </c>
      <c r="AL21" s="8" t="n">
        <v>223.7</v>
      </c>
      <c r="AM21" s="8" t="n">
        <v>187.3999999999999</v>
      </c>
      <c r="AN21" s="8" t="n">
        <v>265.0999999999999</v>
      </c>
      <c r="AO21" s="8" t="n">
        <v>98.59999999999968</v>
      </c>
      <c r="AP21" s="9">
        <f>SUM(AL21:AO21)</f>
        <v/>
      </c>
      <c r="AQ21" s="8" t="n">
        <v>287.7</v>
      </c>
      <c r="AR21" s="8" t="n">
        <v>238.9000000000001</v>
      </c>
      <c r="AS21" s="8" t="n">
        <v>320</v>
      </c>
      <c r="AT21" s="8" t="n">
        <v>146.5</v>
      </c>
      <c r="AU21" s="9">
        <f>SUM(AQ21:AT21)</f>
        <v/>
      </c>
      <c r="AV21" s="8" t="n">
        <v>332</v>
      </c>
      <c r="AW21" s="8" t="n">
        <v>259.3</v>
      </c>
      <c r="AX21" s="8" t="n">
        <v>356.8999999999999</v>
      </c>
      <c r="AY21" s="8" t="n">
        <v>79.39999999999964</v>
      </c>
      <c r="AZ21" s="9">
        <f>SUM(AV21:AY21)</f>
        <v/>
      </c>
      <c r="BA21" s="8" t="n">
        <v>366</v>
      </c>
      <c r="BB21" s="8" t="n">
        <v>281.8000000000004</v>
      </c>
      <c r="BC21" s="8" t="n">
        <v>390.4000000000001</v>
      </c>
      <c r="BD21" s="8" t="n">
        <v>85.99999999999955</v>
      </c>
      <c r="BE21" s="9">
        <f>SUM(BA21:BD21)</f>
        <v/>
      </c>
    </row>
    <row r="22" ht="16" customHeight="1">
      <c r="A22" s="10" t="inlineStr">
        <is>
          <t>DERIVED</t>
        </is>
      </c>
      <c r="B22" s="11" t="inlineStr">
        <is>
          <t>% sales</t>
        </is>
      </c>
      <c r="C22" s="14">
        <f>C21/IF(C$6=0,1,C$6)</f>
        <v/>
      </c>
      <c r="D22" s="14">
        <f>D21/IF(D$6=0,1,D$6)</f>
        <v/>
      </c>
      <c r="E22" s="14">
        <f>E21/IF(E$6=0,1,E$6)</f>
        <v/>
      </c>
      <c r="F22" s="14">
        <f>F21/IF(F$6=0,1,F$6)</f>
        <v/>
      </c>
      <c r="G22" s="15">
        <f>G21/IF(G$6=0,1,G$6)</f>
        <v/>
      </c>
      <c r="H22" s="14">
        <f>H21/IF(H$6=0,1,H$6)</f>
        <v/>
      </c>
      <c r="I22" s="14">
        <f>I21/IF(I$6=0,1,I$6)</f>
        <v/>
      </c>
      <c r="J22" s="14">
        <f>J21/IF(J$6=0,1,J$6)</f>
        <v/>
      </c>
      <c r="K22" s="14">
        <f>K21/IF(K$6=0,1,K$6)</f>
        <v/>
      </c>
      <c r="L22" s="15">
        <f>L21/IF(L$6=0,1,L$6)</f>
        <v/>
      </c>
      <c r="M22" s="14">
        <f>M21/IF(M$6=0,1,M$6)</f>
        <v/>
      </c>
      <c r="N22" s="14">
        <f>N21/IF(N$6=0,1,N$6)</f>
        <v/>
      </c>
      <c r="O22" s="14">
        <f>O21/IF(O$6=0,1,O$6)</f>
        <v/>
      </c>
      <c r="P22" s="14">
        <f>P21/IF(P$6=0,1,P$6)</f>
        <v/>
      </c>
      <c r="Q22" s="15">
        <f>Q21/IF(Q$6=0,1,Q$6)</f>
        <v/>
      </c>
      <c r="R22" s="14">
        <f>R21/IF(R$6=0,1,R$6)</f>
        <v/>
      </c>
      <c r="S22" s="14">
        <f>S21/IF(S$6=0,1,S$6)</f>
        <v/>
      </c>
      <c r="T22" s="14">
        <f>T21/IF(T$6=0,1,T$6)</f>
        <v/>
      </c>
      <c r="U22" s="14">
        <f>U21/IF(U$6=0,1,U$6)</f>
        <v/>
      </c>
      <c r="V22" s="15">
        <f>V21/IF(V$6=0,1,V$6)</f>
        <v/>
      </c>
      <c r="W22" s="14">
        <f>W21/IF(W$6=0,1,W$6)</f>
        <v/>
      </c>
      <c r="X22" s="14">
        <f>X21/IF(X$6=0,1,X$6)</f>
        <v/>
      </c>
      <c r="Y22" s="14">
        <f>Y21/IF(Y$6=0,1,Y$6)</f>
        <v/>
      </c>
      <c r="Z22" s="14">
        <f>Z21/IF(Z$6=0,1,Z$6)</f>
        <v/>
      </c>
      <c r="AA22" s="15">
        <f>AA21/IF(AA$6=0,1,AA$6)</f>
        <v/>
      </c>
      <c r="AB22" s="14">
        <f>AB21/IF(AB$6=0,1,AB$6)</f>
        <v/>
      </c>
      <c r="AC22" s="14">
        <f>AC21/IF(AC$6=0,1,AC$6)</f>
        <v/>
      </c>
      <c r="AD22" s="14">
        <f>AD21/IF(AD$6=0,1,AD$6)</f>
        <v/>
      </c>
      <c r="AE22" s="14">
        <f>AE21/IF(AE$6=0,1,AE$6)</f>
        <v/>
      </c>
      <c r="AF22" s="15">
        <f>AF21/IF(AF$6=0,1,AF$6)</f>
        <v/>
      </c>
      <c r="AG22" s="14">
        <f>AG21/IF(AG$6=0,1,AG$6)</f>
        <v/>
      </c>
      <c r="AH22" s="14">
        <f>AH21/IF(AH$6=0,1,AH$6)</f>
        <v/>
      </c>
      <c r="AI22" s="14">
        <f>AI21/IF(AI$6=0,1,AI$6)</f>
        <v/>
      </c>
      <c r="AJ22" s="14">
        <f>AJ21/IF(AJ$6=0,1,AJ$6)</f>
        <v/>
      </c>
      <c r="AK22" s="15">
        <f>AK21/IF(AK$6=0,1,AK$6)</f>
        <v/>
      </c>
      <c r="AL22" s="14">
        <f>AL21/IF(AL$6=0,1,AL$6)</f>
        <v/>
      </c>
      <c r="AM22" s="14">
        <f>AM21/IF(AM$6=0,1,AM$6)</f>
        <v/>
      </c>
      <c r="AN22" s="14">
        <f>AN21/IF(AN$6=0,1,AN$6)</f>
        <v/>
      </c>
      <c r="AO22" s="14">
        <f>AO21/IF(AO$6=0,1,AO$6)</f>
        <v/>
      </c>
      <c r="AP22" s="15">
        <f>AP21/IF(AP$6=0,1,AP$6)</f>
        <v/>
      </c>
      <c r="AQ22" s="14">
        <f>AQ21/IF(AQ$6=0,1,AQ$6)</f>
        <v/>
      </c>
      <c r="AR22" s="14">
        <f>AR21/IF(AR$6=0,1,AR$6)</f>
        <v/>
      </c>
      <c r="AS22" s="14">
        <f>AS21/IF(AS$6=0,1,AS$6)</f>
        <v/>
      </c>
      <c r="AT22" s="14">
        <f>AT21/IF(AT$6=0,1,AT$6)</f>
        <v/>
      </c>
      <c r="AU22" s="15">
        <f>AU21/IF(AU$6=0,1,AU$6)</f>
        <v/>
      </c>
      <c r="AV22" s="14">
        <f>AV21/IF(AV$6=0,1,AV$6)</f>
        <v/>
      </c>
      <c r="AW22" s="14">
        <f>AW21/IF(AW$6=0,1,AW$6)</f>
        <v/>
      </c>
      <c r="AX22" s="14">
        <f>AX21/IF(AX$6=0,1,AX$6)</f>
        <v/>
      </c>
      <c r="AY22" s="14">
        <f>AY21/IF(AY$6=0,1,AY$6)</f>
        <v/>
      </c>
      <c r="AZ22" s="15">
        <f>AZ21/IF(AZ$6=0,1,AZ$6)</f>
        <v/>
      </c>
      <c r="BA22" s="14">
        <f>BA21/IF(BA$6=0,1,BA$6)</f>
        <v/>
      </c>
      <c r="BB22" s="14">
        <f>BB21/IF(BB$6=0,1,BB$6)</f>
        <v/>
      </c>
      <c r="BC22" s="14">
        <f>BC21/IF(BC$6=0,1,BC$6)</f>
        <v/>
      </c>
      <c r="BD22" s="14">
        <f>BD21/IF(BD$6=0,1,BD$6)</f>
        <v/>
      </c>
      <c r="BE22" s="15">
        <f>BE21/IF(BE$6=0,1,BE$6)</f>
        <v/>
      </c>
    </row>
    <row r="23" ht="16" customHeight="1">
      <c r="A23" s="10" t="inlineStr">
        <is>
          <t>DERIVED</t>
        </is>
      </c>
      <c r="B23" s="11" t="inlineStr">
        <is>
          <t>COGS</t>
        </is>
      </c>
      <c r="C23" s="19">
        <f>C13+C15+C17</f>
        <v/>
      </c>
      <c r="D23" s="19">
        <f>D13+D15+D17</f>
        <v/>
      </c>
      <c r="E23" s="19">
        <f>E13+E15+E17</f>
        <v/>
      </c>
      <c r="F23" s="19">
        <f>F13+F15+F17</f>
        <v/>
      </c>
      <c r="G23" s="9">
        <f>G13+G15+G17</f>
        <v/>
      </c>
      <c r="H23" s="19">
        <f>H13+H15+H17</f>
        <v/>
      </c>
      <c r="I23" s="19">
        <f>I13+I15+I17</f>
        <v/>
      </c>
      <c r="J23" s="19">
        <f>J13+J15+J17</f>
        <v/>
      </c>
      <c r="K23" s="19">
        <f>K13+K15+K17</f>
        <v/>
      </c>
      <c r="L23" s="9">
        <f>L13+L15+L17</f>
        <v/>
      </c>
      <c r="M23" s="19">
        <f>M13+M15+M17</f>
        <v/>
      </c>
      <c r="N23" s="19">
        <f>N13+N15+N17</f>
        <v/>
      </c>
      <c r="O23" s="19">
        <f>O13+O15+O17</f>
        <v/>
      </c>
      <c r="P23" s="19">
        <f>P13+P15+P17</f>
        <v/>
      </c>
      <c r="Q23" s="9">
        <f>Q13+Q15+Q17</f>
        <v/>
      </c>
      <c r="R23" s="19">
        <f>R13+R15+R17</f>
        <v/>
      </c>
      <c r="S23" s="19">
        <f>S13+S15+S17</f>
        <v/>
      </c>
      <c r="T23" s="19">
        <f>T13+T15+T17</f>
        <v/>
      </c>
      <c r="U23" s="19">
        <f>U13+U15+U17</f>
        <v/>
      </c>
      <c r="V23" s="9">
        <f>V13+V15+V17</f>
        <v/>
      </c>
      <c r="W23" s="19">
        <f>W13+W15+W17</f>
        <v/>
      </c>
      <c r="X23" s="19">
        <f>X13+X15+X17</f>
        <v/>
      </c>
      <c r="Y23" s="19">
        <f>Y13+Y15+Y17</f>
        <v/>
      </c>
      <c r="Z23" s="19">
        <f>Z13+Z15+Z17</f>
        <v/>
      </c>
      <c r="AA23" s="9">
        <f>AA13+AA15+AA17</f>
        <v/>
      </c>
      <c r="AB23" s="19">
        <f>AB13+AB15+AB17</f>
        <v/>
      </c>
      <c r="AC23" s="19">
        <f>AC13+AC15+AC17</f>
        <v/>
      </c>
      <c r="AD23" s="19">
        <f>AD13+AD15+AD17</f>
        <v/>
      </c>
      <c r="AE23" s="19">
        <f>AE13+AE15+AE17</f>
        <v/>
      </c>
      <c r="AF23" s="9">
        <f>AF13+AF15+AF17</f>
        <v/>
      </c>
      <c r="AG23" s="19">
        <f>AG13+AG15+AG17</f>
        <v/>
      </c>
      <c r="AH23" s="19">
        <f>AH13+AH15+AH17</f>
        <v/>
      </c>
      <c r="AI23" s="19">
        <f>AI13+AI15+AI17</f>
        <v/>
      </c>
      <c r="AJ23" s="19">
        <f>AJ13+AJ15+AJ17</f>
        <v/>
      </c>
      <c r="AK23" s="9">
        <f>AK13+AK15+AK17</f>
        <v/>
      </c>
      <c r="AL23" s="19">
        <f>AL13+AL15+AL17</f>
        <v/>
      </c>
      <c r="AM23" s="19">
        <f>AM13+AM15+AM17</f>
        <v/>
      </c>
      <c r="AN23" s="19">
        <f>AN13+AN15+AN17</f>
        <v/>
      </c>
      <c r="AO23" s="19">
        <f>AO13+AO15+AO17</f>
        <v/>
      </c>
      <c r="AP23" s="9">
        <f>AP13+AP15+AP17</f>
        <v/>
      </c>
      <c r="AQ23" s="19">
        <f>AQ13+AQ15+AQ17</f>
        <v/>
      </c>
      <c r="AR23" s="19">
        <f>AR13+AR15+AR17</f>
        <v/>
      </c>
      <c r="AS23" s="19">
        <f>AS13+AS15+AS17</f>
        <v/>
      </c>
      <c r="AT23" s="19">
        <f>AT13+AT15+AT17</f>
        <v/>
      </c>
      <c r="AU23" s="9">
        <f>AU13+AU15+AU17</f>
        <v/>
      </c>
      <c r="AV23" s="19">
        <f>AV13+AV15+AV17</f>
        <v/>
      </c>
      <c r="AW23" s="19">
        <f>AW13+AW15+AW17</f>
        <v/>
      </c>
      <c r="AX23" s="19">
        <f>AX13+AX15+AX17</f>
        <v/>
      </c>
      <c r="AY23" s="19">
        <f>AY13+AY15+AY17</f>
        <v/>
      </c>
      <c r="AZ23" s="9">
        <f>AZ13+AZ15+AZ17</f>
        <v/>
      </c>
      <c r="BA23" s="19">
        <f>BA13+BA15+BA17</f>
        <v/>
      </c>
      <c r="BB23" s="19">
        <f>BB13+BB15+BB17</f>
        <v/>
      </c>
      <c r="BC23" s="19">
        <f>BC13+BC15+BC17</f>
        <v/>
      </c>
      <c r="BD23" s="19">
        <f>BD13+BD15+BD17</f>
        <v/>
      </c>
      <c r="BE23" s="9">
        <f>BE13+BE15+BE17</f>
        <v/>
      </c>
    </row>
    <row r="24" ht="16" customHeight="1">
      <c r="A24" s="10" t="inlineStr">
        <is>
          <t>DERIVED</t>
        </is>
      </c>
      <c r="B24" s="11" t="inlineStr">
        <is>
          <t>Gross Profit (GP)</t>
        </is>
      </c>
      <c r="C24" s="19">
        <f>C6-(C13+C15)</f>
        <v/>
      </c>
      <c r="D24" s="19">
        <f>D6-(D13+D15)</f>
        <v/>
      </c>
      <c r="E24" s="19">
        <f>E6-(E13+E15)</f>
        <v/>
      </c>
      <c r="F24" s="19">
        <f>F6-(F13+F15)</f>
        <v/>
      </c>
      <c r="G24" s="9">
        <f>G6-(G13+G15)</f>
        <v/>
      </c>
      <c r="H24" s="19">
        <f>H6-(H13+H15)</f>
        <v/>
      </c>
      <c r="I24" s="19">
        <f>I6-(I13+I15)</f>
        <v/>
      </c>
      <c r="J24" s="19">
        <f>J6-(J13+J15)</f>
        <v/>
      </c>
      <c r="K24" s="19">
        <f>K6-(K13+K15)</f>
        <v/>
      </c>
      <c r="L24" s="9">
        <f>L6-(L13+L15)</f>
        <v/>
      </c>
      <c r="M24" s="19">
        <f>M6-(M13+M15)</f>
        <v/>
      </c>
      <c r="N24" s="19">
        <f>N6-(N13+N15)</f>
        <v/>
      </c>
      <c r="O24" s="19">
        <f>O6-(O13+O15)</f>
        <v/>
      </c>
      <c r="P24" s="19">
        <f>P6-(P13+P15)</f>
        <v/>
      </c>
      <c r="Q24" s="9">
        <f>Q6-(Q13+Q15)</f>
        <v/>
      </c>
      <c r="R24" s="19">
        <f>R6-(R13+R15)</f>
        <v/>
      </c>
      <c r="S24" s="19">
        <f>S6-(S13+S15)</f>
        <v/>
      </c>
      <c r="T24" s="19">
        <f>T6-(T13+T15)</f>
        <v/>
      </c>
      <c r="U24" s="19">
        <f>U6-(U13+U15)</f>
        <v/>
      </c>
      <c r="V24" s="9">
        <f>V6-(V13+V15)</f>
        <v/>
      </c>
      <c r="W24" s="19">
        <f>W6-(W13+W15)</f>
        <v/>
      </c>
      <c r="X24" s="19">
        <f>X6-(X13+X15)</f>
        <v/>
      </c>
      <c r="Y24" s="19">
        <f>Y6-(Y13+Y15)</f>
        <v/>
      </c>
      <c r="Z24" s="19">
        <f>Z6-(Z13+Z15)</f>
        <v/>
      </c>
      <c r="AA24" s="9">
        <f>AA6-(AA13+AA15)</f>
        <v/>
      </c>
      <c r="AB24" s="19">
        <f>AB6-(AB13+AB15)</f>
        <v/>
      </c>
      <c r="AC24" s="19">
        <f>AC6-(AC13+AC15)</f>
        <v/>
      </c>
      <c r="AD24" s="19">
        <f>AD6-(AD13+AD15)</f>
        <v/>
      </c>
      <c r="AE24" s="19">
        <f>AE6-(AE13+AE15)</f>
        <v/>
      </c>
      <c r="AF24" s="9">
        <f>AF6-(AF13+AF15)</f>
        <v/>
      </c>
      <c r="AG24" s="19">
        <f>AG6-(AG13+AG15)</f>
        <v/>
      </c>
      <c r="AH24" s="19">
        <f>AH6-(AH13+AH15)</f>
        <v/>
      </c>
      <c r="AI24" s="19">
        <f>AI6-(AI13+AI15)</f>
        <v/>
      </c>
      <c r="AJ24" s="19">
        <f>AJ6-(AJ13+AJ15)</f>
        <v/>
      </c>
      <c r="AK24" s="9">
        <f>AK6-(AK13+AK15)</f>
        <v/>
      </c>
      <c r="AL24" s="19">
        <f>AL6-(AL13+AL15)</f>
        <v/>
      </c>
      <c r="AM24" s="19">
        <f>AM6-(AM13+AM15)</f>
        <v/>
      </c>
      <c r="AN24" s="19">
        <f>AN6-(AN13+AN15)</f>
        <v/>
      </c>
      <c r="AO24" s="19">
        <f>AO6-(AO13+AO15)</f>
        <v/>
      </c>
      <c r="AP24" s="9">
        <f>AP6-(AP13+AP15)</f>
        <v/>
      </c>
      <c r="AQ24" s="19">
        <f>AQ6-(AQ13+AQ15)</f>
        <v/>
      </c>
      <c r="AR24" s="19">
        <f>AR6-(AR13+AR15)</f>
        <v/>
      </c>
      <c r="AS24" s="19">
        <f>AS6-(AS13+AS15)</f>
        <v/>
      </c>
      <c r="AT24" s="19">
        <f>AT6-(AT13+AT15)</f>
        <v/>
      </c>
      <c r="AU24" s="9">
        <f>AU6-(AU13+AU15)</f>
        <v/>
      </c>
      <c r="AV24" s="19">
        <f>AV6-(AV13+AV15)</f>
        <v/>
      </c>
      <c r="AW24" s="19">
        <f>AW6-(AW13+AW15)</f>
        <v/>
      </c>
      <c r="AX24" s="19">
        <f>AX6-(AX13+AX15)</f>
        <v/>
      </c>
      <c r="AY24" s="19">
        <f>AY6-(AY13+AY15)</f>
        <v/>
      </c>
      <c r="AZ24" s="9">
        <f>AZ6-(AZ13+AZ15)</f>
        <v/>
      </c>
      <c r="BA24" s="19">
        <f>BA6-(BA13+BA15)</f>
        <v/>
      </c>
      <c r="BB24" s="19">
        <f>BB6-(BB13+BB15)</f>
        <v/>
      </c>
      <c r="BC24" s="19">
        <f>BC6-(BC13+BC15)</f>
        <v/>
      </c>
      <c r="BD24" s="19">
        <f>BD6-(BD13+BD15)</f>
        <v/>
      </c>
      <c r="BE24" s="9">
        <f>BE6-(BE13+BE15)</f>
        <v/>
      </c>
    </row>
    <row r="25" ht="16" customHeight="1">
      <c r="A25" s="10" t="inlineStr">
        <is>
          <t>DERIVED</t>
        </is>
      </c>
      <c r="B25" s="11" t="inlineStr">
        <is>
          <t>GP Margin (%)</t>
        </is>
      </c>
      <c r="C25" s="14">
        <f>C24/IF(C$6=0,1,C$6)</f>
        <v/>
      </c>
      <c r="D25" s="14">
        <f>D24/IF(D$6=0,1,D$6)</f>
        <v/>
      </c>
      <c r="E25" s="14">
        <f>E24/IF(E$6=0,1,E$6)</f>
        <v/>
      </c>
      <c r="F25" s="14">
        <f>F24/IF(F$6=0,1,F$6)</f>
        <v/>
      </c>
      <c r="G25" s="15">
        <f>G24/IF(G$6=0,1,G$6)</f>
        <v/>
      </c>
      <c r="H25" s="14">
        <f>H24/IF(H$6=0,1,H$6)</f>
        <v/>
      </c>
      <c r="I25" s="14">
        <f>I24/IF(I$6=0,1,I$6)</f>
        <v/>
      </c>
      <c r="J25" s="14">
        <f>J24/IF(J$6=0,1,J$6)</f>
        <v/>
      </c>
      <c r="K25" s="14">
        <f>K24/IF(K$6=0,1,K$6)</f>
        <v/>
      </c>
      <c r="L25" s="15">
        <f>L24/IF(L$6=0,1,L$6)</f>
        <v/>
      </c>
      <c r="M25" s="14">
        <f>M24/IF(M$6=0,1,M$6)</f>
        <v/>
      </c>
      <c r="N25" s="14">
        <f>N24/IF(N$6=0,1,N$6)</f>
        <v/>
      </c>
      <c r="O25" s="14">
        <f>O24/IF(O$6=0,1,O$6)</f>
        <v/>
      </c>
      <c r="P25" s="14">
        <f>P24/IF(P$6=0,1,P$6)</f>
        <v/>
      </c>
      <c r="Q25" s="15">
        <f>Q24/IF(Q$6=0,1,Q$6)</f>
        <v/>
      </c>
      <c r="R25" s="14">
        <f>R24/IF(R$6=0,1,R$6)</f>
        <v/>
      </c>
      <c r="S25" s="14">
        <f>S24/IF(S$6=0,1,S$6)</f>
        <v/>
      </c>
      <c r="T25" s="14">
        <f>T24/IF(T$6=0,1,T$6)</f>
        <v/>
      </c>
      <c r="U25" s="14">
        <f>U24/IF(U$6=0,1,U$6)</f>
        <v/>
      </c>
      <c r="V25" s="15">
        <f>V24/IF(V$6=0,1,V$6)</f>
        <v/>
      </c>
      <c r="W25" s="14">
        <f>W24/IF(W$6=0,1,W$6)</f>
        <v/>
      </c>
      <c r="X25" s="14">
        <f>X24/IF(X$6=0,1,X$6)</f>
        <v/>
      </c>
      <c r="Y25" s="14">
        <f>Y24/IF(Y$6=0,1,Y$6)</f>
        <v/>
      </c>
      <c r="Z25" s="14">
        <f>Z24/IF(Z$6=0,1,Z$6)</f>
        <v/>
      </c>
      <c r="AA25" s="15">
        <f>AA24/IF(AA$6=0,1,AA$6)</f>
        <v/>
      </c>
      <c r="AB25" s="14">
        <f>AB24/IF(AB$6=0,1,AB$6)</f>
        <v/>
      </c>
      <c r="AC25" s="14">
        <f>AC24/IF(AC$6=0,1,AC$6)</f>
        <v/>
      </c>
      <c r="AD25" s="14">
        <f>AD24/IF(AD$6=0,1,AD$6)</f>
        <v/>
      </c>
      <c r="AE25" s="14">
        <f>AE24/IF(AE$6=0,1,AE$6)</f>
        <v/>
      </c>
      <c r="AF25" s="15">
        <f>AF24/IF(AF$6=0,1,AF$6)</f>
        <v/>
      </c>
      <c r="AG25" s="14">
        <f>AG24/IF(AG$6=0,1,AG$6)</f>
        <v/>
      </c>
      <c r="AH25" s="14">
        <f>AH24/IF(AH$6=0,1,AH$6)</f>
        <v/>
      </c>
      <c r="AI25" s="14">
        <f>AI24/IF(AI$6=0,1,AI$6)</f>
        <v/>
      </c>
      <c r="AJ25" s="14">
        <f>AJ24/IF(AJ$6=0,1,AJ$6)</f>
        <v/>
      </c>
      <c r="AK25" s="15">
        <f>AK24/IF(AK$6=0,1,AK$6)</f>
        <v/>
      </c>
      <c r="AL25" s="14">
        <f>AL24/IF(AL$6=0,1,AL$6)</f>
        <v/>
      </c>
      <c r="AM25" s="14">
        <f>AM24/IF(AM$6=0,1,AM$6)</f>
        <v/>
      </c>
      <c r="AN25" s="14">
        <f>AN24/IF(AN$6=0,1,AN$6)</f>
        <v/>
      </c>
      <c r="AO25" s="14">
        <f>AO24/IF(AO$6=0,1,AO$6)</f>
        <v/>
      </c>
      <c r="AP25" s="15">
        <f>AP24/IF(AP$6=0,1,AP$6)</f>
        <v/>
      </c>
      <c r="AQ25" s="14">
        <f>AQ24/IF(AQ$6=0,1,AQ$6)</f>
        <v/>
      </c>
      <c r="AR25" s="14">
        <f>AR24/IF(AR$6=0,1,AR$6)</f>
        <v/>
      </c>
      <c r="AS25" s="14">
        <f>AS24/IF(AS$6=0,1,AS$6)</f>
        <v/>
      </c>
      <c r="AT25" s="14">
        <f>AT24/IF(AT$6=0,1,AT$6)</f>
        <v/>
      </c>
      <c r="AU25" s="15">
        <f>AU24/IF(AU$6=0,1,AU$6)</f>
        <v/>
      </c>
      <c r="AV25" s="14">
        <f>AV24/IF(AV$6=0,1,AV$6)</f>
        <v/>
      </c>
      <c r="AW25" s="14">
        <f>AW24/IF(AW$6=0,1,AW$6)</f>
        <v/>
      </c>
      <c r="AX25" s="14">
        <f>AX24/IF(AX$6=0,1,AX$6)</f>
        <v/>
      </c>
      <c r="AY25" s="14">
        <f>AY24/IF(AY$6=0,1,AY$6)</f>
        <v/>
      </c>
      <c r="AZ25" s="15">
        <f>AZ24/IF(AZ$6=0,1,AZ$6)</f>
        <v/>
      </c>
      <c r="BA25" s="14">
        <f>BA24/IF(BA$6=0,1,BA$6)</f>
        <v/>
      </c>
      <c r="BB25" s="14">
        <f>BB24/IF(BB$6=0,1,BB$6)</f>
        <v/>
      </c>
      <c r="BC25" s="14">
        <f>BC24/IF(BC$6=0,1,BC$6)</f>
        <v/>
      </c>
      <c r="BD25" s="14">
        <f>BD24/IF(BD$6=0,1,BD$6)</f>
        <v/>
      </c>
      <c r="BE25" s="15">
        <f>BE24/IF(BE$6=0,1,BE$6)</f>
        <v/>
      </c>
    </row>
    <row r="26" ht="16" customHeight="1">
      <c r="A26" s="6" t="inlineStr">
        <is>
          <t>PL</t>
        </is>
      </c>
      <c r="B26" s="7" t="inlineStr">
        <is>
          <t>Total Expenditure</t>
        </is>
      </c>
      <c r="C26" s="8">
        <f>C13+C15+C17+C19+C21</f>
        <v/>
      </c>
      <c r="D26" s="8">
        <f>D13+D15+D17+D19+D21</f>
        <v/>
      </c>
      <c r="E26" s="8">
        <f>E13+E15+E17+E19+E21</f>
        <v/>
      </c>
      <c r="F26" s="8">
        <f>F13+F15+F17+F19+F21</f>
        <v/>
      </c>
      <c r="G26" s="9">
        <f>G13+G15+G17+G19+G21</f>
        <v/>
      </c>
      <c r="H26" s="8">
        <f>H13+H15+H17+H19+H21</f>
        <v/>
      </c>
      <c r="I26" s="8">
        <f>I13+I15+I17+I19+I21</f>
        <v/>
      </c>
      <c r="J26" s="8">
        <f>J13+J15+J17+J19+J21</f>
        <v/>
      </c>
      <c r="K26" s="8">
        <f>K13+K15+K17+K19+K21</f>
        <v/>
      </c>
      <c r="L26" s="9">
        <f>L13+L15+L17+L19+L21</f>
        <v/>
      </c>
      <c r="M26" s="8">
        <f>M13+M15+M17+M19+M21</f>
        <v/>
      </c>
      <c r="N26" s="8">
        <f>N13+N15+N17+N19+N21</f>
        <v/>
      </c>
      <c r="O26" s="8">
        <f>O13+O15+O17+O19+O21</f>
        <v/>
      </c>
      <c r="P26" s="8">
        <f>P13+P15+P17+P19+P21</f>
        <v/>
      </c>
      <c r="Q26" s="9">
        <f>Q13+Q15+Q17+Q19+Q21</f>
        <v/>
      </c>
      <c r="R26" s="8">
        <f>R13+R15+R17+R19+R21</f>
        <v/>
      </c>
      <c r="S26" s="8">
        <f>S13+S15+S17+S19+S21</f>
        <v/>
      </c>
      <c r="T26" s="8">
        <f>T13+T15+T17+T19+T21</f>
        <v/>
      </c>
      <c r="U26" s="8">
        <f>U13+U15+U17+U19+U21</f>
        <v/>
      </c>
      <c r="V26" s="9">
        <f>V13+V15+V17+V19+V21</f>
        <v/>
      </c>
      <c r="W26" s="8">
        <f>W13+W15+W17+W19+W21</f>
        <v/>
      </c>
      <c r="X26" s="8">
        <f>X13+X15+X17+X19+X21</f>
        <v/>
      </c>
      <c r="Y26" s="8">
        <f>Y13+Y15+Y17+Y19+Y21</f>
        <v/>
      </c>
      <c r="Z26" s="8">
        <f>Z13+Z15+Z17+Z19+Z21</f>
        <v/>
      </c>
      <c r="AA26" s="9">
        <f>AA13+AA15+AA17+AA19+AA21</f>
        <v/>
      </c>
      <c r="AB26" s="8">
        <f>AB13+AB15+AB17+AB19+AB21</f>
        <v/>
      </c>
      <c r="AC26" s="8">
        <f>AC13+AC15+AC17+AC19+AC21</f>
        <v/>
      </c>
      <c r="AD26" s="8">
        <f>AD13+AD15+AD17+AD19+AD21</f>
        <v/>
      </c>
      <c r="AE26" s="8">
        <f>AE13+AE15+AE17+AE19+AE21</f>
        <v/>
      </c>
      <c r="AF26" s="9">
        <f>AF13+AF15+AF17+AF19+AF21</f>
        <v/>
      </c>
      <c r="AG26" s="8">
        <f>AG13+AG15+AG17+AG19+AG21</f>
        <v/>
      </c>
      <c r="AH26" s="8">
        <f>AH13+AH15+AH17+AH19+AH21</f>
        <v/>
      </c>
      <c r="AI26" s="8">
        <f>AI13+AI15+AI17+AI19+AI21</f>
        <v/>
      </c>
      <c r="AJ26" s="8">
        <f>AJ13+AJ15+AJ17+AJ19+AJ21</f>
        <v/>
      </c>
      <c r="AK26" s="9">
        <f>AK13+AK15+AK17+AK19+AK21</f>
        <v/>
      </c>
      <c r="AL26" s="8">
        <f>AL13+AL15+AL17+AL19+AL21</f>
        <v/>
      </c>
      <c r="AM26" s="8">
        <f>AM13+AM15+AM17+AM19+AM21</f>
        <v/>
      </c>
      <c r="AN26" s="8">
        <f>AN13+AN15+AN17+AN19+AN21</f>
        <v/>
      </c>
      <c r="AO26" s="8">
        <f>AO13+AO15+AO17+AO19+AO21</f>
        <v/>
      </c>
      <c r="AP26" s="9">
        <f>AP13+AP15+AP17+AP19+AP21</f>
        <v/>
      </c>
      <c r="AQ26" s="8">
        <f>AQ13+AQ15+AQ17+AQ19+AQ21</f>
        <v/>
      </c>
      <c r="AR26" s="8">
        <f>AR13+AR15+AR17+AR19+AR21</f>
        <v/>
      </c>
      <c r="AS26" s="8">
        <f>AS13+AS15+AS17+AS19+AS21</f>
        <v/>
      </c>
      <c r="AT26" s="8">
        <f>AT13+AT15+AT17+AT19+AT21</f>
        <v/>
      </c>
      <c r="AU26" s="9">
        <f>AU13+AU15+AU17+AU19+AU21</f>
        <v/>
      </c>
      <c r="AV26" s="8">
        <f>AV13+AV15+AV17+AV19+AV21</f>
        <v/>
      </c>
      <c r="AW26" s="8">
        <f>AW13+AW15+AW17+AW19+AW21</f>
        <v/>
      </c>
      <c r="AX26" s="8">
        <f>AX13+AX15+AX17+AX19+AX21</f>
        <v/>
      </c>
      <c r="AY26" s="8">
        <f>AY13+AY15+AY17+AY19+AY21</f>
        <v/>
      </c>
      <c r="AZ26" s="9">
        <f>AZ13+AZ15+AZ17+AZ19+AZ21</f>
        <v/>
      </c>
      <c r="BA26" s="8">
        <f>BA13+BA15+BA17+BA19+BA21</f>
        <v/>
      </c>
      <c r="BB26" s="8">
        <f>BB13+BB15+BB17+BB19+BB21</f>
        <v/>
      </c>
      <c r="BC26" s="8">
        <f>BC13+BC15+BC17+BC19+BC21</f>
        <v/>
      </c>
      <c r="BD26" s="8">
        <f>BD13+BD15+BD17+BD19+BD21</f>
        <v/>
      </c>
      <c r="BE26" s="9">
        <f>BE13+BE15+BE17+BE19+BE21</f>
        <v/>
      </c>
    </row>
    <row r="27" ht="16" customHeight="1">
      <c r="A27" s="10" t="inlineStr">
        <is>
          <t>DERIVED</t>
        </is>
      </c>
      <c r="B27" s="11" t="inlineStr">
        <is>
          <t>% sales</t>
        </is>
      </c>
      <c r="C27" s="14">
        <f>C26/IF(C$6=0,1,C$6)</f>
        <v/>
      </c>
      <c r="D27" s="14">
        <f>D26/IF(D$6=0,1,D$6)</f>
        <v/>
      </c>
      <c r="E27" s="14">
        <f>E26/IF(E$6=0,1,E$6)</f>
        <v/>
      </c>
      <c r="F27" s="14">
        <f>F26/IF(F$6=0,1,F$6)</f>
        <v/>
      </c>
      <c r="G27" s="15">
        <f>G26/IF(G$6=0,1,G$6)</f>
        <v/>
      </c>
      <c r="H27" s="14">
        <f>H26/IF(H$6=0,1,H$6)</f>
        <v/>
      </c>
      <c r="I27" s="14">
        <f>I26/IF(I$6=0,1,I$6)</f>
        <v/>
      </c>
      <c r="J27" s="14">
        <f>J26/IF(J$6=0,1,J$6)</f>
        <v/>
      </c>
      <c r="K27" s="14">
        <f>K26/IF(K$6=0,1,K$6)</f>
        <v/>
      </c>
      <c r="L27" s="15">
        <f>L26/IF(L$6=0,1,L$6)</f>
        <v/>
      </c>
      <c r="M27" s="14">
        <f>M26/IF(M$6=0,1,M$6)</f>
        <v/>
      </c>
      <c r="N27" s="14">
        <f>N26/IF(N$6=0,1,N$6)</f>
        <v/>
      </c>
      <c r="O27" s="14">
        <f>O26/IF(O$6=0,1,O$6)</f>
        <v/>
      </c>
      <c r="P27" s="14">
        <f>P26/IF(P$6=0,1,P$6)</f>
        <v/>
      </c>
      <c r="Q27" s="15">
        <f>Q26/IF(Q$6=0,1,Q$6)</f>
        <v/>
      </c>
      <c r="R27" s="14">
        <f>R26/IF(R$6=0,1,R$6)</f>
        <v/>
      </c>
      <c r="S27" s="14">
        <f>S26/IF(S$6=0,1,S$6)</f>
        <v/>
      </c>
      <c r="T27" s="14">
        <f>T26/IF(T$6=0,1,T$6)</f>
        <v/>
      </c>
      <c r="U27" s="14">
        <f>U26/IF(U$6=0,1,U$6)</f>
        <v/>
      </c>
      <c r="V27" s="15">
        <f>V26/IF(V$6=0,1,V$6)</f>
        <v/>
      </c>
      <c r="W27" s="14">
        <f>W26/IF(W$6=0,1,W$6)</f>
        <v/>
      </c>
      <c r="X27" s="14">
        <f>X26/IF(X$6=0,1,X$6)</f>
        <v/>
      </c>
      <c r="Y27" s="14">
        <f>Y26/IF(Y$6=0,1,Y$6)</f>
        <v/>
      </c>
      <c r="Z27" s="14">
        <f>Z26/IF(Z$6=0,1,Z$6)</f>
        <v/>
      </c>
      <c r="AA27" s="15">
        <f>AA26/IF(AA$6=0,1,AA$6)</f>
        <v/>
      </c>
      <c r="AB27" s="14">
        <f>AB26/IF(AB$6=0,1,AB$6)</f>
        <v/>
      </c>
      <c r="AC27" s="14">
        <f>AC26/IF(AC$6=0,1,AC$6)</f>
        <v/>
      </c>
      <c r="AD27" s="14">
        <f>AD26/IF(AD$6=0,1,AD$6)</f>
        <v/>
      </c>
      <c r="AE27" s="14">
        <f>AE26/IF(AE$6=0,1,AE$6)</f>
        <v/>
      </c>
      <c r="AF27" s="15">
        <f>AF26/IF(AF$6=0,1,AF$6)</f>
        <v/>
      </c>
      <c r="AG27" s="14">
        <f>AG26/IF(AG$6=0,1,AG$6)</f>
        <v/>
      </c>
      <c r="AH27" s="14">
        <f>AH26/IF(AH$6=0,1,AH$6)</f>
        <v/>
      </c>
      <c r="AI27" s="14">
        <f>AI26/IF(AI$6=0,1,AI$6)</f>
        <v/>
      </c>
      <c r="AJ27" s="14">
        <f>AJ26/IF(AJ$6=0,1,AJ$6)</f>
        <v/>
      </c>
      <c r="AK27" s="15">
        <f>AK26/IF(AK$6=0,1,AK$6)</f>
        <v/>
      </c>
      <c r="AL27" s="14">
        <f>AL26/IF(AL$6=0,1,AL$6)</f>
        <v/>
      </c>
      <c r="AM27" s="14">
        <f>AM26/IF(AM$6=0,1,AM$6)</f>
        <v/>
      </c>
      <c r="AN27" s="14">
        <f>AN26/IF(AN$6=0,1,AN$6)</f>
        <v/>
      </c>
      <c r="AO27" s="14">
        <f>AO26/IF(AO$6=0,1,AO$6)</f>
        <v/>
      </c>
      <c r="AP27" s="15">
        <f>AP26/IF(AP$6=0,1,AP$6)</f>
        <v/>
      </c>
      <c r="AQ27" s="14">
        <f>AQ26/IF(AQ$6=0,1,AQ$6)</f>
        <v/>
      </c>
      <c r="AR27" s="14">
        <f>AR26/IF(AR$6=0,1,AR$6)</f>
        <v/>
      </c>
      <c r="AS27" s="14">
        <f>AS26/IF(AS$6=0,1,AS$6)</f>
        <v/>
      </c>
      <c r="AT27" s="14">
        <f>AT26/IF(AT$6=0,1,AT$6)</f>
        <v/>
      </c>
      <c r="AU27" s="15">
        <f>AU26/IF(AU$6=0,1,AU$6)</f>
        <v/>
      </c>
      <c r="AV27" s="14">
        <f>AV26/IF(AV$6=0,1,AV$6)</f>
        <v/>
      </c>
      <c r="AW27" s="14">
        <f>AW26/IF(AW$6=0,1,AW$6)</f>
        <v/>
      </c>
      <c r="AX27" s="14">
        <f>AX26/IF(AX$6=0,1,AX$6)</f>
        <v/>
      </c>
      <c r="AY27" s="14">
        <f>AY26/IF(AY$6=0,1,AY$6)</f>
        <v/>
      </c>
      <c r="AZ27" s="15">
        <f>AZ26/IF(AZ$6=0,1,AZ$6)</f>
        <v/>
      </c>
      <c r="BA27" s="14">
        <f>BA26/IF(BA$6=0,1,BA$6)</f>
        <v/>
      </c>
      <c r="BB27" s="14">
        <f>BB26/IF(BB$6=0,1,BB$6)</f>
        <v/>
      </c>
      <c r="BC27" s="14">
        <f>BC26/IF(BC$6=0,1,BC$6)</f>
        <v/>
      </c>
      <c r="BD27" s="14">
        <f>BD26/IF(BD$6=0,1,BD$6)</f>
        <v/>
      </c>
      <c r="BE27" s="15">
        <f>BE26/IF(BE$6=0,1,BE$6)</f>
        <v/>
      </c>
    </row>
    <row r="28" ht="16" customHeight="1">
      <c r="A28" s="10" t="inlineStr">
        <is>
          <t>DERIVED</t>
        </is>
      </c>
      <c r="B28" s="11" t="inlineStr">
        <is>
          <t>PBIDT (EBITDA)</t>
        </is>
      </c>
      <c r="C28" s="19">
        <f>C9-C26</f>
        <v/>
      </c>
      <c r="D28" s="19">
        <f>D9-D26</f>
        <v/>
      </c>
      <c r="E28" s="19">
        <f>E9-E26</f>
        <v/>
      </c>
      <c r="F28" s="19">
        <f>F9-F26</f>
        <v/>
      </c>
      <c r="G28" s="9">
        <f>G9-G26</f>
        <v/>
      </c>
      <c r="H28" s="19">
        <f>H9-H26</f>
        <v/>
      </c>
      <c r="I28" s="19">
        <f>I9-I26</f>
        <v/>
      </c>
      <c r="J28" s="19">
        <f>J9-J26</f>
        <v/>
      </c>
      <c r="K28" s="19">
        <f>K9-K26</f>
        <v/>
      </c>
      <c r="L28" s="9">
        <f>L9-L26</f>
        <v/>
      </c>
      <c r="M28" s="19">
        <f>M9-M26</f>
        <v/>
      </c>
      <c r="N28" s="19">
        <f>N9-N26</f>
        <v/>
      </c>
      <c r="O28" s="19">
        <f>O9-O26</f>
        <v/>
      </c>
      <c r="P28" s="19">
        <f>P9-P26</f>
        <v/>
      </c>
      <c r="Q28" s="9">
        <f>Q9-Q26</f>
        <v/>
      </c>
      <c r="R28" s="19">
        <f>R9-R26</f>
        <v/>
      </c>
      <c r="S28" s="19">
        <f>S9-S26</f>
        <v/>
      </c>
      <c r="T28" s="19">
        <f>T9-T26</f>
        <v/>
      </c>
      <c r="U28" s="19">
        <f>U9-U26</f>
        <v/>
      </c>
      <c r="V28" s="9">
        <f>V9-V26</f>
        <v/>
      </c>
      <c r="W28" s="19">
        <f>W9-W26</f>
        <v/>
      </c>
      <c r="X28" s="19">
        <f>X9-X26</f>
        <v/>
      </c>
      <c r="Y28" s="19">
        <f>Y9-Y26</f>
        <v/>
      </c>
      <c r="Z28" s="19">
        <f>Z9-Z26</f>
        <v/>
      </c>
      <c r="AA28" s="9">
        <f>AA9-AA26</f>
        <v/>
      </c>
      <c r="AB28" s="19">
        <f>AB9-AB26</f>
        <v/>
      </c>
      <c r="AC28" s="19">
        <f>AC9-AC26</f>
        <v/>
      </c>
      <c r="AD28" s="19">
        <f>AD9-AD26</f>
        <v/>
      </c>
      <c r="AE28" s="19">
        <f>AE9-AE26</f>
        <v/>
      </c>
      <c r="AF28" s="9">
        <f>AF9-AF26</f>
        <v/>
      </c>
      <c r="AG28" s="19">
        <f>AG9-AG26</f>
        <v/>
      </c>
      <c r="AH28" s="19">
        <f>AH9-AH26</f>
        <v/>
      </c>
      <c r="AI28" s="19">
        <f>AI9-AI26</f>
        <v/>
      </c>
      <c r="AJ28" s="19">
        <f>AJ9-AJ26</f>
        <v/>
      </c>
      <c r="AK28" s="9">
        <f>AK9-AK26</f>
        <v/>
      </c>
      <c r="AL28" s="19">
        <f>AL9-AL26</f>
        <v/>
      </c>
      <c r="AM28" s="19">
        <f>AM9-AM26</f>
        <v/>
      </c>
      <c r="AN28" s="19">
        <f>AN9-AN26</f>
        <v/>
      </c>
      <c r="AO28" s="19">
        <f>AO9-AO26</f>
        <v/>
      </c>
      <c r="AP28" s="9">
        <f>AP9-AP26</f>
        <v/>
      </c>
      <c r="AQ28" s="19">
        <f>AQ9-AQ26</f>
        <v/>
      </c>
      <c r="AR28" s="19">
        <f>AR9-AR26</f>
        <v/>
      </c>
      <c r="AS28" s="19">
        <f>AS9-AS26</f>
        <v/>
      </c>
      <c r="AT28" s="19">
        <f>AT9-AT26</f>
        <v/>
      </c>
      <c r="AU28" s="9">
        <f>AU9-AU26</f>
        <v/>
      </c>
      <c r="AV28" s="19">
        <f>AV9-AV26</f>
        <v/>
      </c>
      <c r="AW28" s="19">
        <f>AW9-AW26</f>
        <v/>
      </c>
      <c r="AX28" s="19">
        <f>AX9-AX26</f>
        <v/>
      </c>
      <c r="AY28" s="19">
        <f>AY9-AY26</f>
        <v/>
      </c>
      <c r="AZ28" s="9">
        <f>AZ9-AZ26</f>
        <v/>
      </c>
      <c r="BA28" s="19">
        <f>BA9-BA26</f>
        <v/>
      </c>
      <c r="BB28" s="19">
        <f>BB9-BB26</f>
        <v/>
      </c>
      <c r="BC28" s="19">
        <f>BC9-BC26</f>
        <v/>
      </c>
      <c r="BD28" s="19">
        <f>BD9-BD26</f>
        <v/>
      </c>
      <c r="BE28" s="9">
        <f>BE9-BE26</f>
        <v/>
      </c>
    </row>
    <row r="29" ht="16" customHeight="1">
      <c r="A29" s="10" t="inlineStr">
        <is>
          <t>DERIVED</t>
        </is>
      </c>
      <c r="B29" s="11" t="inlineStr">
        <is>
          <t>EBITDA Growth (% YOY)</t>
        </is>
      </c>
      <c r="C29" s="12" t="n"/>
      <c r="D29" s="12" t="n"/>
      <c r="E29" s="12" t="n"/>
      <c r="F29" s="12" t="n"/>
      <c r="G29" s="13" t="n"/>
      <c r="H29" s="14" t="n">
        <v>-0.2319515603167218</v>
      </c>
      <c r="I29" s="14" t="n">
        <v>0.7428057553956859</v>
      </c>
      <c r="J29" s="14" t="n">
        <v>0.2108731466227348</v>
      </c>
      <c r="K29" s="14" t="n">
        <v>0.1181767023072588</v>
      </c>
      <c r="L29" s="15" t="n">
        <v>0.1181767023072588</v>
      </c>
      <c r="M29" s="14" t="n">
        <v>-0.2838083687083067</v>
      </c>
      <c r="N29" s="14" t="n">
        <v>0.04850361197110354</v>
      </c>
      <c r="O29" s="14" t="n">
        <v>0.05442176870748218</v>
      </c>
      <c r="P29" s="14" t="n">
        <v>0.235027679919477</v>
      </c>
      <c r="Q29" s="15" t="n">
        <v>0.235027679919477</v>
      </c>
      <c r="R29" s="14" t="n">
        <v>0.210838272650295</v>
      </c>
      <c r="S29" s="14" t="n">
        <v>0.6712598425196861</v>
      </c>
      <c r="T29" s="14" t="n">
        <v>-0.1606451612903217</v>
      </c>
      <c r="U29" s="14" t="n">
        <v>-0.3732681336593306</v>
      </c>
      <c r="V29" s="15" t="n">
        <v>-0.3732681336593306</v>
      </c>
      <c r="W29" s="14" t="n">
        <v>-0.1762237762237766</v>
      </c>
      <c r="X29" s="14" t="n">
        <v>-0.2868080094228494</v>
      </c>
      <c r="Y29" s="14" t="n">
        <v>0.3020753266717885</v>
      </c>
      <c r="Z29" s="14" t="n">
        <v>0.4343302990897246</v>
      </c>
      <c r="AA29" s="15" t="n">
        <v>0.4343302990897246</v>
      </c>
      <c r="AB29" s="14" t="n">
        <v>-0.4371816638370111</v>
      </c>
      <c r="AC29" s="14" t="n">
        <v>0.6812551610239445</v>
      </c>
      <c r="AD29" s="14" t="n">
        <v>1.046044864226684</v>
      </c>
      <c r="AE29" s="14" t="n">
        <v>1.061650045330915</v>
      </c>
      <c r="AF29" s="15" t="n">
        <v>1.061650045330915</v>
      </c>
      <c r="AG29" s="14" t="n">
        <v>1.502262443438909</v>
      </c>
      <c r="AH29" s="14" t="n">
        <v>0.2455795677799608</v>
      </c>
      <c r="AI29" s="14" t="n">
        <v>-0.2487016733987307</v>
      </c>
      <c r="AJ29" s="14" t="n">
        <v>-0.2686895338610376</v>
      </c>
      <c r="AK29" s="15" t="n">
        <v>-0.2686895338610376</v>
      </c>
      <c r="AL29" s="14" t="n">
        <v>0.2489451476793262</v>
      </c>
      <c r="AM29" s="14" t="n">
        <v>-0.6754731861198738</v>
      </c>
      <c r="AN29" s="14" t="n">
        <v>-0.08371735791090616</v>
      </c>
      <c r="AO29" s="14" t="n">
        <v>0.2273000601322922</v>
      </c>
      <c r="AP29" s="15" t="n">
        <v>0.2273000601322922</v>
      </c>
      <c r="AQ29" s="14" t="n">
        <v>0.2046332046332039</v>
      </c>
      <c r="AR29" s="14" t="n">
        <v>2.454434993924664</v>
      </c>
      <c r="AS29" s="14" t="n">
        <v>0.2640402347024309</v>
      </c>
      <c r="AT29" s="14" t="n">
        <v>0.01298383145516836</v>
      </c>
      <c r="AU29" s="15" t="n">
        <v>0.01298383145516836</v>
      </c>
      <c r="AV29" s="14" t="n">
        <v>0.2071314102564114</v>
      </c>
      <c r="AW29" s="14" t="n">
        <v>-0.1934576151952157</v>
      </c>
      <c r="AX29" s="14" t="n">
        <v>-0.2788461538461536</v>
      </c>
      <c r="AY29" s="14" t="n">
        <v>-0.2142684401451026</v>
      </c>
      <c r="AZ29" s="15" t="n">
        <v>-0.2142684401451026</v>
      </c>
      <c r="BA29" s="14" t="n">
        <v>-0.2505808164619994</v>
      </c>
      <c r="BB29" s="14" t="n">
        <v>-0.15787178368949</v>
      </c>
      <c r="BC29" s="14" t="n">
        <v>-0.06114942528735507</v>
      </c>
      <c r="BD29" s="14" t="n">
        <v>0.5444752231455819</v>
      </c>
      <c r="BE29" s="15" t="n">
        <v>0.5444752231455819</v>
      </c>
    </row>
    <row r="30" ht="16" customHeight="1">
      <c r="A30" s="10" t="inlineStr">
        <is>
          <t>DERIVED</t>
        </is>
      </c>
      <c r="B30" s="11" t="inlineStr">
        <is>
          <t>EBITDA Margin (%)</t>
        </is>
      </c>
      <c r="C30" s="14">
        <f>C28/IF(C9=0,1,C9)</f>
        <v/>
      </c>
      <c r="D30" s="14">
        <f>D28/IF(D9=0,1,D9)</f>
        <v/>
      </c>
      <c r="E30" s="14">
        <f>E28/IF(E9=0,1,E9)</f>
        <v/>
      </c>
      <c r="F30" s="14">
        <f>F28/IF(F9=0,1,F9)</f>
        <v/>
      </c>
      <c r="G30" s="15">
        <f>G28/IF(G9=0,1,G9)</f>
        <v/>
      </c>
      <c r="H30" s="14">
        <f>H28/IF(H9=0,1,H9)</f>
        <v/>
      </c>
      <c r="I30" s="14">
        <f>I28/IF(I9=0,1,I9)</f>
        <v/>
      </c>
      <c r="J30" s="14">
        <f>J28/IF(J9=0,1,J9)</f>
        <v/>
      </c>
      <c r="K30" s="14">
        <f>K28/IF(K9=0,1,K9)</f>
        <v/>
      </c>
      <c r="L30" s="15">
        <f>L28/IF(L9=0,1,L9)</f>
        <v/>
      </c>
      <c r="M30" s="14">
        <f>M28/IF(M9=0,1,M9)</f>
        <v/>
      </c>
      <c r="N30" s="14">
        <f>N28/IF(N9=0,1,N9)</f>
        <v/>
      </c>
      <c r="O30" s="14">
        <f>O28/IF(O9=0,1,O9)</f>
        <v/>
      </c>
      <c r="P30" s="14">
        <f>P28/IF(P9=0,1,P9)</f>
        <v/>
      </c>
      <c r="Q30" s="15">
        <f>Q28/IF(Q9=0,1,Q9)</f>
        <v/>
      </c>
      <c r="R30" s="14">
        <f>R28/IF(R9=0,1,R9)</f>
        <v/>
      </c>
      <c r="S30" s="14">
        <f>S28/IF(S9=0,1,S9)</f>
        <v/>
      </c>
      <c r="T30" s="14">
        <f>T28/IF(T9=0,1,T9)</f>
        <v/>
      </c>
      <c r="U30" s="14">
        <f>U28/IF(U9=0,1,U9)</f>
        <v/>
      </c>
      <c r="V30" s="15">
        <f>V28/IF(V9=0,1,V9)</f>
        <v/>
      </c>
      <c r="W30" s="14">
        <f>W28/IF(W9=0,1,W9)</f>
        <v/>
      </c>
      <c r="X30" s="14">
        <f>X28/IF(X9=0,1,X9)</f>
        <v/>
      </c>
      <c r="Y30" s="14">
        <f>Y28/IF(Y9=0,1,Y9)</f>
        <v/>
      </c>
      <c r="Z30" s="14">
        <f>Z28/IF(Z9=0,1,Z9)</f>
        <v/>
      </c>
      <c r="AA30" s="15">
        <f>AA28/IF(AA9=0,1,AA9)</f>
        <v/>
      </c>
      <c r="AB30" s="14">
        <f>AB28/IF(AB9=0,1,AB9)</f>
        <v/>
      </c>
      <c r="AC30" s="14">
        <f>AC28/IF(AC9=0,1,AC9)</f>
        <v/>
      </c>
      <c r="AD30" s="14">
        <f>AD28/IF(AD9=0,1,AD9)</f>
        <v/>
      </c>
      <c r="AE30" s="14">
        <f>AE28/IF(AE9=0,1,AE9)</f>
        <v/>
      </c>
      <c r="AF30" s="15">
        <f>AF28/IF(AF9=0,1,AF9)</f>
        <v/>
      </c>
      <c r="AG30" s="14">
        <f>AG28/IF(AG9=0,1,AG9)</f>
        <v/>
      </c>
      <c r="AH30" s="14">
        <f>AH28/IF(AH9=0,1,AH9)</f>
        <v/>
      </c>
      <c r="AI30" s="14">
        <f>AI28/IF(AI9=0,1,AI9)</f>
        <v/>
      </c>
      <c r="AJ30" s="14">
        <f>AJ28/IF(AJ9=0,1,AJ9)</f>
        <v/>
      </c>
      <c r="AK30" s="15">
        <f>AK28/IF(AK9=0,1,AK9)</f>
        <v/>
      </c>
      <c r="AL30" s="14">
        <f>AL28/IF(AL9=0,1,AL9)</f>
        <v/>
      </c>
      <c r="AM30" s="14">
        <f>AM28/IF(AM9=0,1,AM9)</f>
        <v/>
      </c>
      <c r="AN30" s="14">
        <f>AN28/IF(AN9=0,1,AN9)</f>
        <v/>
      </c>
      <c r="AO30" s="14">
        <f>AO28/IF(AO9=0,1,AO9)</f>
        <v/>
      </c>
      <c r="AP30" s="15">
        <f>AP28/IF(AP9=0,1,AP9)</f>
        <v/>
      </c>
      <c r="AQ30" s="14">
        <f>AQ28/IF(AQ9=0,1,AQ9)</f>
        <v/>
      </c>
      <c r="AR30" s="14">
        <f>AR28/IF(AR9=0,1,AR9)</f>
        <v/>
      </c>
      <c r="AS30" s="14">
        <f>AS28/IF(AS9=0,1,AS9)</f>
        <v/>
      </c>
      <c r="AT30" s="14">
        <f>AT28/IF(AT9=0,1,AT9)</f>
        <v/>
      </c>
      <c r="AU30" s="15">
        <f>AU28/IF(AU9=0,1,AU9)</f>
        <v/>
      </c>
      <c r="AV30" s="14">
        <f>AV28/IF(AV9=0,1,AV9)</f>
        <v/>
      </c>
      <c r="AW30" s="14">
        <f>AW28/IF(AW9=0,1,AW9)</f>
        <v/>
      </c>
      <c r="AX30" s="14">
        <f>AX28/IF(AX9=0,1,AX9)</f>
        <v/>
      </c>
      <c r="AY30" s="14">
        <f>AY28/IF(AY9=0,1,AY9)</f>
        <v/>
      </c>
      <c r="AZ30" s="15">
        <f>AZ28/IF(AZ9=0,1,AZ9)</f>
        <v/>
      </c>
      <c r="BA30" s="14">
        <f>BA28/IF(BA9=0,1,BA9)</f>
        <v/>
      </c>
      <c r="BB30" s="14">
        <f>BB28/IF(BB9=0,1,BB9)</f>
        <v/>
      </c>
      <c r="BC30" s="14">
        <f>BC28/IF(BC9=0,1,BC9)</f>
        <v/>
      </c>
      <c r="BD30" s="14">
        <f>BD28/IF(BD9=0,1,BD9)</f>
        <v/>
      </c>
      <c r="BE30" s="15">
        <f>BE28/IF(BE9=0,1,BE9)</f>
        <v/>
      </c>
    </row>
    <row r="31" ht="16" customHeight="1">
      <c r="A31" s="10" t="inlineStr">
        <is>
          <t>DERIVED</t>
        </is>
      </c>
      <c r="B31" s="11" t="inlineStr">
        <is>
          <t>PBIT</t>
        </is>
      </c>
      <c r="C31" s="19">
        <f>C28-C38</f>
        <v/>
      </c>
      <c r="D31" s="19">
        <f>D28-D38</f>
        <v/>
      </c>
      <c r="E31" s="19">
        <f>E28-E38</f>
        <v/>
      </c>
      <c r="F31" s="19">
        <f>F28-F38</f>
        <v/>
      </c>
      <c r="G31" s="9">
        <f>G28-G38</f>
        <v/>
      </c>
      <c r="H31" s="19">
        <f>H28-H38</f>
        <v/>
      </c>
      <c r="I31" s="19">
        <f>I28-I38</f>
        <v/>
      </c>
      <c r="J31" s="19">
        <f>J28-J38</f>
        <v/>
      </c>
      <c r="K31" s="19">
        <f>K28-K38</f>
        <v/>
      </c>
      <c r="L31" s="9">
        <f>L28-L38</f>
        <v/>
      </c>
      <c r="M31" s="19">
        <f>M28-M38</f>
        <v/>
      </c>
      <c r="N31" s="19">
        <f>N28-N38</f>
        <v/>
      </c>
      <c r="O31" s="19">
        <f>O28-O38</f>
        <v/>
      </c>
      <c r="P31" s="19">
        <f>P28-P38</f>
        <v/>
      </c>
      <c r="Q31" s="9">
        <f>Q28-Q38</f>
        <v/>
      </c>
      <c r="R31" s="19">
        <f>R28-R38</f>
        <v/>
      </c>
      <c r="S31" s="19">
        <f>S28-S38</f>
        <v/>
      </c>
      <c r="T31" s="19">
        <f>T28-T38</f>
        <v/>
      </c>
      <c r="U31" s="19">
        <f>U28-U38</f>
        <v/>
      </c>
      <c r="V31" s="9">
        <f>V28-V38</f>
        <v/>
      </c>
      <c r="W31" s="19">
        <f>W28-W38</f>
        <v/>
      </c>
      <c r="X31" s="19">
        <f>X28-X38</f>
        <v/>
      </c>
      <c r="Y31" s="19">
        <f>Y28-Y38</f>
        <v/>
      </c>
      <c r="Z31" s="19">
        <f>Z28-Z38</f>
        <v/>
      </c>
      <c r="AA31" s="9">
        <f>AA28-AA38</f>
        <v/>
      </c>
      <c r="AB31" s="19">
        <f>AB28-AB38</f>
        <v/>
      </c>
      <c r="AC31" s="19">
        <f>AC28-AC38</f>
        <v/>
      </c>
      <c r="AD31" s="19">
        <f>AD28-AD38</f>
        <v/>
      </c>
      <c r="AE31" s="19">
        <f>AE28-AE38</f>
        <v/>
      </c>
      <c r="AF31" s="9">
        <f>AF28-AF38</f>
        <v/>
      </c>
      <c r="AG31" s="19">
        <f>AG28-AG38</f>
        <v/>
      </c>
      <c r="AH31" s="19">
        <f>AH28-AH38</f>
        <v/>
      </c>
      <c r="AI31" s="19">
        <f>AI28-AI38</f>
        <v/>
      </c>
      <c r="AJ31" s="19">
        <f>AJ28-AJ38</f>
        <v/>
      </c>
      <c r="AK31" s="9">
        <f>AK28-AK38</f>
        <v/>
      </c>
      <c r="AL31" s="19">
        <f>AL28-AL38</f>
        <v/>
      </c>
      <c r="AM31" s="19">
        <f>AM28-AM38</f>
        <v/>
      </c>
      <c r="AN31" s="19">
        <f>AN28-AN38</f>
        <v/>
      </c>
      <c r="AO31" s="19">
        <f>AO28-AO38</f>
        <v/>
      </c>
      <c r="AP31" s="9">
        <f>AP28-AP38</f>
        <v/>
      </c>
      <c r="AQ31" s="19">
        <f>AQ28-AQ38</f>
        <v/>
      </c>
      <c r="AR31" s="19">
        <f>AR28-AR38</f>
        <v/>
      </c>
      <c r="AS31" s="19">
        <f>AS28-AS38</f>
        <v/>
      </c>
      <c r="AT31" s="19">
        <f>AT28-AT38</f>
        <v/>
      </c>
      <c r="AU31" s="9">
        <f>AU28-AU38</f>
        <v/>
      </c>
      <c r="AV31" s="19">
        <f>AV28-AV38</f>
        <v/>
      </c>
      <c r="AW31" s="19">
        <f>AW28-AW38</f>
        <v/>
      </c>
      <c r="AX31" s="19">
        <f>AX28-AX38</f>
        <v/>
      </c>
      <c r="AY31" s="19">
        <f>AY28-AY38</f>
        <v/>
      </c>
      <c r="AZ31" s="9">
        <f>AZ28-AZ38</f>
        <v/>
      </c>
      <c r="BA31" s="19">
        <f>BA28-BA38</f>
        <v/>
      </c>
      <c r="BB31" s="19">
        <f>BB28-BB38</f>
        <v/>
      </c>
      <c r="BC31" s="19">
        <f>BC28-BC38</f>
        <v/>
      </c>
      <c r="BD31" s="19">
        <f>BD28-BD38</f>
        <v/>
      </c>
      <c r="BE31" s="9">
        <f>BE28-BE38</f>
        <v/>
      </c>
    </row>
    <row r="32" ht="16" customHeight="1">
      <c r="A32" s="10" t="inlineStr">
        <is>
          <t>DERIVED</t>
        </is>
      </c>
      <c r="B32" s="11" t="inlineStr">
        <is>
          <t>PBIT Growth (% YOY)</t>
        </is>
      </c>
      <c r="C32" s="12" t="n"/>
      <c r="D32" s="12" t="n"/>
      <c r="E32" s="12" t="n"/>
      <c r="F32" s="12" t="n"/>
      <c r="G32" s="13" t="n"/>
      <c r="H32" s="14" t="n">
        <v>-0.2862723214285724</v>
      </c>
      <c r="I32" s="14" t="n">
        <v>1.692307692307703</v>
      </c>
      <c r="J32" s="14" t="n">
        <v>0.2334851936218678</v>
      </c>
      <c r="K32" s="14" t="n">
        <v>0.1233951497860193</v>
      </c>
      <c r="L32" s="15" t="n">
        <v>0.1233951497860193</v>
      </c>
      <c r="M32" s="14" t="n">
        <v>-0.3940578577013274</v>
      </c>
      <c r="N32" s="14" t="n">
        <v>-0.005042016806723837</v>
      </c>
      <c r="O32" s="14" t="n">
        <v>0.03601108033240894</v>
      </c>
      <c r="P32" s="14" t="n">
        <v>0.2952380952380957</v>
      </c>
      <c r="Q32" s="15" t="n">
        <v>0.2952380952380957</v>
      </c>
      <c r="R32" s="14" t="n">
        <v>0.2941935483870944</v>
      </c>
      <c r="S32" s="14" t="n">
        <v>0.3496621621621633</v>
      </c>
      <c r="T32" s="14" t="n">
        <v>-0.245989304812833</v>
      </c>
      <c r="U32" s="14" t="n">
        <v>-1.145588235294117</v>
      </c>
      <c r="V32" s="15" t="n">
        <v>-1.145588235294117</v>
      </c>
      <c r="W32" s="14" t="n">
        <v>-0.3190428713858429</v>
      </c>
      <c r="X32" s="14" t="n">
        <v>-0.7521902377972447</v>
      </c>
      <c r="Y32" s="14" t="n">
        <v>0.3936170212765919</v>
      </c>
      <c r="Z32" s="14" t="n">
        <v>1.494949494949495</v>
      </c>
      <c r="AA32" s="15" t="n">
        <v>1.494949494949495</v>
      </c>
      <c r="AB32" s="14" t="n">
        <v>-0.7730600292825757</v>
      </c>
      <c r="AC32" s="14" t="n">
        <v>4.07070707070703</v>
      </c>
      <c r="AD32" s="14" t="n">
        <v>1.474130619168789</v>
      </c>
      <c r="AE32" s="14" t="n">
        <v>15.44897959183682</v>
      </c>
      <c r="AF32" s="15" t="n">
        <v>15.44897959183682</v>
      </c>
      <c r="AG32" s="14" t="n">
        <v>6.083870967741895</v>
      </c>
      <c r="AH32" s="14" t="n">
        <v>0.3964143426294824</v>
      </c>
      <c r="AI32" s="14" t="n">
        <v>-0.304422351731231</v>
      </c>
      <c r="AJ32" s="14" t="n">
        <v>-0.5736145574855251</v>
      </c>
      <c r="AK32" s="15" t="n">
        <v>-0.5736145574855251</v>
      </c>
      <c r="AL32" s="14" t="n">
        <v>0.32513661202186</v>
      </c>
      <c r="AM32" s="14" t="n">
        <v>-1.315263908701855</v>
      </c>
      <c r="AN32" s="14" t="n">
        <v>-0.1434204041399704</v>
      </c>
      <c r="AO32" s="14" t="n">
        <v>0.4044616876818664</v>
      </c>
      <c r="AP32" s="15" t="n">
        <v>0.4044616876818664</v>
      </c>
      <c r="AQ32" s="14" t="n">
        <v>0.2199312714776622</v>
      </c>
      <c r="AR32" s="14" t="n">
        <v>4.174208144796371</v>
      </c>
      <c r="AS32" s="14" t="n">
        <v>0.2911392405063294</v>
      </c>
      <c r="AT32" s="14" t="n">
        <v>-0.2051104972375705</v>
      </c>
      <c r="AU32" s="15" t="n">
        <v>-0.2051104972375705</v>
      </c>
      <c r="AV32" s="14" t="n">
        <v>0.2129577464788749</v>
      </c>
      <c r="AW32" s="14" t="n">
        <v>-0.6200997861724871</v>
      </c>
      <c r="AX32" s="14" t="n">
        <v>-0.4376114081996433</v>
      </c>
      <c r="AY32" s="14" t="n">
        <v>-1.292788879235447</v>
      </c>
      <c r="AZ32" s="15" t="n">
        <v>-1.292788879235447</v>
      </c>
      <c r="BA32" s="14" t="n">
        <v>-0.3831862517417575</v>
      </c>
      <c r="BB32" s="14" t="n">
        <v>-1.080675422138839</v>
      </c>
      <c r="BC32" s="14" t="n">
        <v>-0.2496038034865272</v>
      </c>
      <c r="BD32" s="14" t="n">
        <v>3.181008902077147</v>
      </c>
      <c r="BE32" s="15" t="n">
        <v>3.181008902077147</v>
      </c>
    </row>
    <row r="33" ht="16" customHeight="1">
      <c r="A33" s="10" t="inlineStr">
        <is>
          <t>DERIVED</t>
        </is>
      </c>
      <c r="B33" s="11" t="inlineStr">
        <is>
          <t>PBIT Margin (%)</t>
        </is>
      </c>
      <c r="C33" s="14">
        <f>C31/IF(C9=0,1,C9)</f>
        <v/>
      </c>
      <c r="D33" s="14">
        <f>D31/IF(D9=0,1,D9)</f>
        <v/>
      </c>
      <c r="E33" s="14">
        <f>E31/IF(E9=0,1,E9)</f>
        <v/>
      </c>
      <c r="F33" s="14">
        <f>F31/IF(F9=0,1,F9)</f>
        <v/>
      </c>
      <c r="G33" s="15">
        <f>G31/IF(G9=0,1,G9)</f>
        <v/>
      </c>
      <c r="H33" s="14">
        <f>H31/IF(H9=0,1,H9)</f>
        <v/>
      </c>
      <c r="I33" s="14">
        <f>I31/IF(I9=0,1,I9)</f>
        <v/>
      </c>
      <c r="J33" s="14">
        <f>J31/IF(J9=0,1,J9)</f>
        <v/>
      </c>
      <c r="K33" s="14">
        <f>K31/IF(K9=0,1,K9)</f>
        <v/>
      </c>
      <c r="L33" s="15">
        <f>L31/IF(L9=0,1,L9)</f>
        <v/>
      </c>
      <c r="M33" s="14">
        <f>M31/IF(M9=0,1,M9)</f>
        <v/>
      </c>
      <c r="N33" s="14">
        <f>N31/IF(N9=0,1,N9)</f>
        <v/>
      </c>
      <c r="O33" s="14">
        <f>O31/IF(O9=0,1,O9)</f>
        <v/>
      </c>
      <c r="P33" s="14">
        <f>P31/IF(P9=0,1,P9)</f>
        <v/>
      </c>
      <c r="Q33" s="15">
        <f>Q31/IF(Q9=0,1,Q9)</f>
        <v/>
      </c>
      <c r="R33" s="14">
        <f>R31/IF(R9=0,1,R9)</f>
        <v/>
      </c>
      <c r="S33" s="14">
        <f>S31/IF(S9=0,1,S9)</f>
        <v/>
      </c>
      <c r="T33" s="14">
        <f>T31/IF(T9=0,1,T9)</f>
        <v/>
      </c>
      <c r="U33" s="14">
        <f>U31/IF(U9=0,1,U9)</f>
        <v/>
      </c>
      <c r="V33" s="15">
        <f>V31/IF(V9=0,1,V9)</f>
        <v/>
      </c>
      <c r="W33" s="14">
        <f>W31/IF(W9=0,1,W9)</f>
        <v/>
      </c>
      <c r="X33" s="14">
        <f>X31/IF(X9=0,1,X9)</f>
        <v/>
      </c>
      <c r="Y33" s="14">
        <f>Y31/IF(Y9=0,1,Y9)</f>
        <v/>
      </c>
      <c r="Z33" s="14">
        <f>Z31/IF(Z9=0,1,Z9)</f>
        <v/>
      </c>
      <c r="AA33" s="15">
        <f>AA31/IF(AA9=0,1,AA9)</f>
        <v/>
      </c>
      <c r="AB33" s="14">
        <f>AB31/IF(AB9=0,1,AB9)</f>
        <v/>
      </c>
      <c r="AC33" s="14">
        <f>AC31/IF(AC9=0,1,AC9)</f>
        <v/>
      </c>
      <c r="AD33" s="14">
        <f>AD31/IF(AD9=0,1,AD9)</f>
        <v/>
      </c>
      <c r="AE33" s="14">
        <f>AE31/IF(AE9=0,1,AE9)</f>
        <v/>
      </c>
      <c r="AF33" s="15">
        <f>AF31/IF(AF9=0,1,AF9)</f>
        <v/>
      </c>
      <c r="AG33" s="14">
        <f>AG31/IF(AG9=0,1,AG9)</f>
        <v/>
      </c>
      <c r="AH33" s="14">
        <f>AH31/IF(AH9=0,1,AH9)</f>
        <v/>
      </c>
      <c r="AI33" s="14">
        <f>AI31/IF(AI9=0,1,AI9)</f>
        <v/>
      </c>
      <c r="AJ33" s="14">
        <f>AJ31/IF(AJ9=0,1,AJ9)</f>
        <v/>
      </c>
      <c r="AK33" s="15">
        <f>AK31/IF(AK9=0,1,AK9)</f>
        <v/>
      </c>
      <c r="AL33" s="14">
        <f>AL31/IF(AL9=0,1,AL9)</f>
        <v/>
      </c>
      <c r="AM33" s="14">
        <f>AM31/IF(AM9=0,1,AM9)</f>
        <v/>
      </c>
      <c r="AN33" s="14">
        <f>AN31/IF(AN9=0,1,AN9)</f>
        <v/>
      </c>
      <c r="AO33" s="14">
        <f>AO31/IF(AO9=0,1,AO9)</f>
        <v/>
      </c>
      <c r="AP33" s="15">
        <f>AP31/IF(AP9=0,1,AP9)</f>
        <v/>
      </c>
      <c r="AQ33" s="14">
        <f>AQ31/IF(AQ9=0,1,AQ9)</f>
        <v/>
      </c>
      <c r="AR33" s="14">
        <f>AR31/IF(AR9=0,1,AR9)</f>
        <v/>
      </c>
      <c r="AS33" s="14">
        <f>AS31/IF(AS9=0,1,AS9)</f>
        <v/>
      </c>
      <c r="AT33" s="14">
        <f>AT31/IF(AT9=0,1,AT9)</f>
        <v/>
      </c>
      <c r="AU33" s="15">
        <f>AU31/IF(AU9=0,1,AU9)</f>
        <v/>
      </c>
      <c r="AV33" s="14">
        <f>AV31/IF(AV9=0,1,AV9)</f>
        <v/>
      </c>
      <c r="AW33" s="14">
        <f>AW31/IF(AW9=0,1,AW9)</f>
        <v/>
      </c>
      <c r="AX33" s="14">
        <f>AX31/IF(AX9=0,1,AX9)</f>
        <v/>
      </c>
      <c r="AY33" s="14">
        <f>AY31/IF(AY9=0,1,AY9)</f>
        <v/>
      </c>
      <c r="AZ33" s="15">
        <f>AZ31/IF(AZ9=0,1,AZ9)</f>
        <v/>
      </c>
      <c r="BA33" s="14">
        <f>BA31/IF(BA9=0,1,BA9)</f>
        <v/>
      </c>
      <c r="BB33" s="14">
        <f>BB31/IF(BB9=0,1,BB9)</f>
        <v/>
      </c>
      <c r="BC33" s="14">
        <f>BC31/IF(BC9=0,1,BC9)</f>
        <v/>
      </c>
      <c r="BD33" s="14">
        <f>BD31/IF(BD9=0,1,BD9)</f>
        <v/>
      </c>
      <c r="BE33" s="15">
        <f>BE31/IF(BE9=0,1,BE9)</f>
        <v/>
      </c>
    </row>
    <row r="34" ht="16" customHeight="1">
      <c r="A34" s="16" t="inlineStr"/>
      <c r="B34" s="17" t="inlineStr"/>
      <c r="C34" s="18" t="n"/>
      <c r="D34" s="18" t="n"/>
      <c r="E34" s="18" t="n"/>
      <c r="F34" s="18" t="n"/>
      <c r="G34" s="13" t="n"/>
      <c r="H34" s="18" t="n"/>
      <c r="I34" s="18" t="n"/>
      <c r="J34" s="18" t="n"/>
      <c r="K34" s="18" t="n"/>
      <c r="L34" s="13" t="n"/>
      <c r="M34" s="18" t="n"/>
      <c r="N34" s="18" t="n"/>
      <c r="O34" s="18" t="n"/>
      <c r="P34" s="18" t="n"/>
      <c r="Q34" s="13" t="n"/>
      <c r="R34" s="18" t="n"/>
      <c r="S34" s="18" t="n"/>
      <c r="T34" s="18" t="n"/>
      <c r="U34" s="18" t="n"/>
      <c r="V34" s="13" t="n"/>
      <c r="W34" s="18" t="n"/>
      <c r="X34" s="18" t="n"/>
      <c r="Y34" s="18" t="n"/>
      <c r="Z34" s="18" t="n"/>
      <c r="AA34" s="13" t="n"/>
      <c r="AB34" s="18" t="n"/>
      <c r="AC34" s="18" t="n"/>
      <c r="AD34" s="18" t="n"/>
      <c r="AE34" s="18" t="n"/>
      <c r="AF34" s="13" t="n"/>
      <c r="AG34" s="18" t="n"/>
      <c r="AH34" s="18" t="n"/>
      <c r="AI34" s="18" t="n"/>
      <c r="AJ34" s="18" t="n"/>
      <c r="AK34" s="13" t="n"/>
      <c r="AL34" s="18" t="n"/>
      <c r="AM34" s="18" t="n"/>
      <c r="AN34" s="18" t="n"/>
      <c r="AO34" s="18" t="n"/>
      <c r="AP34" s="13" t="n"/>
      <c r="AQ34" s="18" t="n"/>
      <c r="AR34" s="18" t="n"/>
      <c r="AS34" s="18" t="n"/>
      <c r="AT34" s="18" t="n"/>
      <c r="AU34" s="13" t="n"/>
      <c r="AV34" s="18" t="n"/>
      <c r="AW34" s="18" t="n"/>
      <c r="AX34" s="18" t="n"/>
      <c r="AY34" s="18" t="n"/>
      <c r="AZ34" s="13" t="n"/>
      <c r="BA34" s="18" t="n"/>
      <c r="BB34" s="18" t="n"/>
      <c r="BC34" s="18" t="n"/>
      <c r="BD34" s="18" t="n"/>
      <c r="BE34" s="13" t="n"/>
    </row>
    <row r="35" ht="16" customHeight="1">
      <c r="A35" s="6" t="inlineStr">
        <is>
          <t>PL</t>
        </is>
      </c>
      <c r="B35" s="7" t="inlineStr">
        <is>
          <t>Other Income</t>
        </is>
      </c>
      <c r="C35" s="8" t="n">
        <v>0.9</v>
      </c>
      <c r="D35" s="8" t="n">
        <v>1.5</v>
      </c>
      <c r="E35" s="8" t="n">
        <v>0.4</v>
      </c>
      <c r="F35" s="8" t="n">
        <v>-1</v>
      </c>
      <c r="G35" s="9">
        <f>SUM(C35:F35)</f>
        <v/>
      </c>
      <c r="H35" s="8" t="n">
        <v>0.6</v>
      </c>
      <c r="I35" s="8" t="n">
        <v>1.6</v>
      </c>
      <c r="J35" s="8" t="n">
        <v>0.4</v>
      </c>
      <c r="K35" s="8" t="n">
        <v>2.6</v>
      </c>
      <c r="L35" s="9">
        <f>SUM(H35:K35)</f>
        <v/>
      </c>
      <c r="M35" s="8" t="n">
        <v>0.4</v>
      </c>
      <c r="N35" s="8" t="n">
        <v>0.1</v>
      </c>
      <c r="O35" s="8" t="n">
        <v>0.5</v>
      </c>
      <c r="P35" s="8" t="n">
        <v>3.7</v>
      </c>
      <c r="Q35" s="9">
        <f>SUM(M35:P35)</f>
        <v/>
      </c>
      <c r="R35" s="8" t="n">
        <v>0.2</v>
      </c>
      <c r="S35" s="8" t="n">
        <v>0.4</v>
      </c>
      <c r="T35" s="8" t="n">
        <v>6.9</v>
      </c>
      <c r="U35" s="8" t="n">
        <v>3.1</v>
      </c>
      <c r="V35" s="9">
        <f>SUM(R35:U35)</f>
        <v/>
      </c>
      <c r="W35" s="8" t="n">
        <v>0</v>
      </c>
      <c r="X35" s="8" t="n">
        <v>0.5</v>
      </c>
      <c r="Y35" s="8" t="n">
        <v>0.8</v>
      </c>
      <c r="Z35" s="8" t="n">
        <v>0.1</v>
      </c>
      <c r="AA35" s="9">
        <f>SUM(W35:Z35)</f>
        <v/>
      </c>
      <c r="AB35" s="8" t="n">
        <v>2</v>
      </c>
      <c r="AC35" s="8" t="n">
        <v>3</v>
      </c>
      <c r="AD35" s="8" t="n">
        <v>3.7</v>
      </c>
      <c r="AE35" s="8" t="n">
        <v>8.199999999999999</v>
      </c>
      <c r="AF35" s="9">
        <f>SUM(AB35:AE35)</f>
        <v/>
      </c>
      <c r="AG35" s="8" t="n">
        <v>4.3</v>
      </c>
      <c r="AH35" s="8" t="n">
        <v>4.1</v>
      </c>
      <c r="AI35" s="8" t="n">
        <v>2.9</v>
      </c>
      <c r="AJ35" s="8" t="n">
        <v>8.6</v>
      </c>
      <c r="AK35" s="9">
        <f>SUM(AG35:AJ35)</f>
        <v/>
      </c>
      <c r="AL35" s="8" t="n">
        <v>4.6</v>
      </c>
      <c r="AM35" s="8" t="n">
        <v>5.5</v>
      </c>
      <c r="AN35" s="8" t="n">
        <v>8.300000000000001</v>
      </c>
      <c r="AO35" s="8" t="n">
        <v>11.4</v>
      </c>
      <c r="AP35" s="9">
        <f>SUM(AL35:AO35)</f>
        <v/>
      </c>
      <c r="AQ35" s="8" t="n">
        <v>14.2</v>
      </c>
      <c r="AR35" s="8" t="n">
        <v>12.7</v>
      </c>
      <c r="AS35" s="8" t="n">
        <v>20.7</v>
      </c>
      <c r="AT35" s="8" t="n">
        <v>18.1</v>
      </c>
      <c r="AU35" s="9">
        <f>SUM(AQ35:AT35)</f>
        <v/>
      </c>
      <c r="AV35" s="8" t="n">
        <v>21.4</v>
      </c>
      <c r="AW35" s="8" t="n">
        <v>15.1</v>
      </c>
      <c r="AX35" s="8" t="n">
        <v>8.9</v>
      </c>
      <c r="AY35" s="8" t="n">
        <v>12.5</v>
      </c>
      <c r="AZ35" s="9">
        <f>SUM(AV35:AY35)</f>
        <v/>
      </c>
      <c r="BA35" s="8" t="n">
        <v>16.9</v>
      </c>
      <c r="BB35" s="8" t="n">
        <v>15.5</v>
      </c>
      <c r="BC35" s="8" t="n">
        <v>3.8</v>
      </c>
      <c r="BD35" s="8" t="n">
        <v>8.6</v>
      </c>
      <c r="BE35" s="9">
        <f>SUM(BA35:BD35)</f>
        <v/>
      </c>
    </row>
    <row r="36" ht="16" customHeight="1">
      <c r="A36" s="6" t="inlineStr">
        <is>
          <t>PL</t>
        </is>
      </c>
      <c r="B36" s="7" t="inlineStr">
        <is>
          <t>Interest</t>
        </is>
      </c>
      <c r="C36" s="8" t="n">
        <v>10.9</v>
      </c>
      <c r="D36" s="8" t="n">
        <v>12.1</v>
      </c>
      <c r="E36" s="8" t="n">
        <v>7.3</v>
      </c>
      <c r="F36" s="8" t="n">
        <v>7.9</v>
      </c>
      <c r="G36" s="9">
        <f>SUM(C36:F36)</f>
        <v/>
      </c>
      <c r="H36" s="8" t="n">
        <v>9.699999999999999</v>
      </c>
      <c r="I36" s="8" t="n">
        <v>8.6</v>
      </c>
      <c r="J36" s="8" t="n">
        <v>8.5</v>
      </c>
      <c r="K36" s="8" t="n">
        <v>3.4</v>
      </c>
      <c r="L36" s="9">
        <f>SUM(H36:K36)</f>
        <v/>
      </c>
      <c r="M36" s="8" t="n">
        <v>3.3</v>
      </c>
      <c r="N36" s="8" t="n">
        <v>5.2</v>
      </c>
      <c r="O36" s="8" t="n">
        <v>7.9</v>
      </c>
      <c r="P36" s="8" t="n">
        <v>5.6</v>
      </c>
      <c r="Q36" s="9">
        <f>SUM(M36:P36)</f>
        <v/>
      </c>
      <c r="R36" s="8" t="n">
        <v>3.5</v>
      </c>
      <c r="S36" s="8" t="n">
        <v>10</v>
      </c>
      <c r="T36" s="8" t="n">
        <v>4.7</v>
      </c>
      <c r="U36" s="8" t="n">
        <v>6.4</v>
      </c>
      <c r="V36" s="9">
        <f>SUM(R36:U36)</f>
        <v/>
      </c>
      <c r="W36" s="8" t="n">
        <v>3.3</v>
      </c>
      <c r="X36" s="8" t="n">
        <v>7.1</v>
      </c>
      <c r="Y36" s="8" t="n">
        <v>5.7</v>
      </c>
      <c r="Z36" s="8" t="n">
        <v>4.2</v>
      </c>
      <c r="AA36" s="9">
        <f>SUM(W36:Z36)</f>
        <v/>
      </c>
      <c r="AB36" s="8" t="n">
        <v>9.5</v>
      </c>
      <c r="AC36" s="8" t="n">
        <v>5.4</v>
      </c>
      <c r="AD36" s="8" t="n">
        <v>2.2</v>
      </c>
      <c r="AE36" s="8" t="n">
        <v>5</v>
      </c>
      <c r="AF36" s="9">
        <f>SUM(AB36:AE36)</f>
        <v/>
      </c>
      <c r="AG36" s="8" t="n">
        <v>2.1</v>
      </c>
      <c r="AH36" s="8" t="n">
        <v>0.7</v>
      </c>
      <c r="AI36" s="8" t="n">
        <v>0.5</v>
      </c>
      <c r="AJ36" s="8" t="n">
        <v>1.9</v>
      </c>
      <c r="AK36" s="9">
        <f>SUM(AG36:AJ36)</f>
        <v/>
      </c>
      <c r="AL36" s="8" t="n">
        <v>1.6</v>
      </c>
      <c r="AM36" s="8" t="n">
        <v>1.2</v>
      </c>
      <c r="AN36" s="8" t="n">
        <v>1.2</v>
      </c>
      <c r="AO36" s="8" t="n">
        <v>4</v>
      </c>
      <c r="AP36" s="9">
        <f>SUM(AL36:AO36)</f>
        <v/>
      </c>
      <c r="AQ36" s="8" t="n">
        <v>1.7</v>
      </c>
      <c r="AR36" s="8" t="n">
        <v>1.6</v>
      </c>
      <c r="AS36" s="8" t="n">
        <v>5.2</v>
      </c>
      <c r="AT36" s="8" t="n">
        <v>7.7</v>
      </c>
      <c r="AU36" s="9">
        <f>SUM(AQ36:AT36)</f>
        <v/>
      </c>
      <c r="AV36" s="8" t="n">
        <v>3.3</v>
      </c>
      <c r="AW36" s="8" t="n">
        <v>2.6</v>
      </c>
      <c r="AX36" s="8" t="n">
        <v>3</v>
      </c>
      <c r="AY36" s="8" t="n">
        <v>3</v>
      </c>
      <c r="AZ36" s="9">
        <f>SUM(AV36:AY36)</f>
        <v/>
      </c>
      <c r="BA36" s="8" t="n">
        <v>2.8</v>
      </c>
      <c r="BB36" s="8" t="n">
        <v>5.8</v>
      </c>
      <c r="BC36" s="8" t="n">
        <v>11.4</v>
      </c>
      <c r="BD36" s="8" t="n">
        <v>9</v>
      </c>
      <c r="BE36" s="9">
        <f>SUM(BA36:BD36)</f>
        <v/>
      </c>
    </row>
    <row r="37" ht="16" customHeight="1">
      <c r="A37" s="10" t="inlineStr">
        <is>
          <t>DERIVED</t>
        </is>
      </c>
      <c r="B37" s="11" t="inlineStr">
        <is>
          <t>PBDT</t>
        </is>
      </c>
      <c r="C37" s="19">
        <f>C28-C36+C35</f>
        <v/>
      </c>
      <c r="D37" s="19">
        <f>D28-D36+D35</f>
        <v/>
      </c>
      <c r="E37" s="19">
        <f>E28-E36+E35</f>
        <v/>
      </c>
      <c r="F37" s="19">
        <f>F28-F36+F35</f>
        <v/>
      </c>
      <c r="G37" s="9">
        <f>G28-G36+G35</f>
        <v/>
      </c>
      <c r="H37" s="19">
        <f>H28-H36+H35</f>
        <v/>
      </c>
      <c r="I37" s="19">
        <f>I28-I36+I35</f>
        <v/>
      </c>
      <c r="J37" s="19">
        <f>J28-J36+J35</f>
        <v/>
      </c>
      <c r="K37" s="19">
        <f>K28-K36+K35</f>
        <v/>
      </c>
      <c r="L37" s="9">
        <f>L28-L36+L35</f>
        <v/>
      </c>
      <c r="M37" s="19">
        <f>M28-M36+M35</f>
        <v/>
      </c>
      <c r="N37" s="19">
        <f>N28-N36+N35</f>
        <v/>
      </c>
      <c r="O37" s="19">
        <f>O28-O36+O35</f>
        <v/>
      </c>
      <c r="P37" s="19">
        <f>P28-P36+P35</f>
        <v/>
      </c>
      <c r="Q37" s="9">
        <f>Q28-Q36+Q35</f>
        <v/>
      </c>
      <c r="R37" s="19">
        <f>R28-R36+R35</f>
        <v/>
      </c>
      <c r="S37" s="19">
        <f>S28-S36+S35</f>
        <v/>
      </c>
      <c r="T37" s="19">
        <f>T28-T36+T35</f>
        <v/>
      </c>
      <c r="U37" s="19">
        <f>U28-U36+U35</f>
        <v/>
      </c>
      <c r="V37" s="9">
        <f>V28-V36+V35</f>
        <v/>
      </c>
      <c r="W37" s="19">
        <f>W28-W36+W35</f>
        <v/>
      </c>
      <c r="X37" s="19">
        <f>X28-X36+X35</f>
        <v/>
      </c>
      <c r="Y37" s="19">
        <f>Y28-Y36+Y35</f>
        <v/>
      </c>
      <c r="Z37" s="19">
        <f>Z28-Z36+Z35</f>
        <v/>
      </c>
      <c r="AA37" s="9">
        <f>AA28-AA36+AA35</f>
        <v/>
      </c>
      <c r="AB37" s="19">
        <f>AB28-AB36+AB35</f>
        <v/>
      </c>
      <c r="AC37" s="19">
        <f>AC28-AC36+AC35</f>
        <v/>
      </c>
      <c r="AD37" s="19">
        <f>AD28-AD36+AD35</f>
        <v/>
      </c>
      <c r="AE37" s="19">
        <f>AE28-AE36+AE35</f>
        <v/>
      </c>
      <c r="AF37" s="9">
        <f>AF28-AF36+AF35</f>
        <v/>
      </c>
      <c r="AG37" s="19">
        <f>AG28-AG36+AG35</f>
        <v/>
      </c>
      <c r="AH37" s="19">
        <f>AH28-AH36+AH35</f>
        <v/>
      </c>
      <c r="AI37" s="19">
        <f>AI28-AI36+AI35</f>
        <v/>
      </c>
      <c r="AJ37" s="19">
        <f>AJ28-AJ36+AJ35</f>
        <v/>
      </c>
      <c r="AK37" s="9">
        <f>AK28-AK36+AK35</f>
        <v/>
      </c>
      <c r="AL37" s="19">
        <f>AL28-AL36+AL35</f>
        <v/>
      </c>
      <c r="AM37" s="19">
        <f>AM28-AM36+AM35</f>
        <v/>
      </c>
      <c r="AN37" s="19">
        <f>AN28-AN36+AN35</f>
        <v/>
      </c>
      <c r="AO37" s="19">
        <f>AO28-AO36+AO35</f>
        <v/>
      </c>
      <c r="AP37" s="9">
        <f>AP28-AP36+AP35</f>
        <v/>
      </c>
      <c r="AQ37" s="19">
        <f>AQ28-AQ36+AQ35</f>
        <v/>
      </c>
      <c r="AR37" s="19">
        <f>AR28-AR36+AR35</f>
        <v/>
      </c>
      <c r="AS37" s="19">
        <f>AS28-AS36+AS35</f>
        <v/>
      </c>
      <c r="AT37" s="19">
        <f>AT28-AT36+AT35</f>
        <v/>
      </c>
      <c r="AU37" s="9">
        <f>AU28-AU36+AU35</f>
        <v/>
      </c>
      <c r="AV37" s="19">
        <f>AV28-AV36+AV35</f>
        <v/>
      </c>
      <c r="AW37" s="19">
        <f>AW28-AW36+AW35</f>
        <v/>
      </c>
      <c r="AX37" s="19">
        <f>AX28-AX36+AX35</f>
        <v/>
      </c>
      <c r="AY37" s="19">
        <f>AY28-AY36+AY35</f>
        <v/>
      </c>
      <c r="AZ37" s="9">
        <f>AZ28-AZ36+AZ35</f>
        <v/>
      </c>
      <c r="BA37" s="19">
        <f>BA28-BA36+BA35</f>
        <v/>
      </c>
      <c r="BB37" s="19">
        <f>BB28-BB36+BB35</f>
        <v/>
      </c>
      <c r="BC37" s="19">
        <f>BC28-BC36+BC35</f>
        <v/>
      </c>
      <c r="BD37" s="19">
        <f>BD28-BD36+BD35</f>
        <v/>
      </c>
      <c r="BE37" s="9">
        <f>BE28-BE36+BE35</f>
        <v/>
      </c>
    </row>
    <row r="38" ht="16" customHeight="1">
      <c r="A38" s="6" t="inlineStr">
        <is>
          <t>PL</t>
        </is>
      </c>
      <c r="B38" s="7" t="inlineStr">
        <is>
          <t>Depreciation</t>
        </is>
      </c>
      <c r="C38" s="8" t="n">
        <v>35.5</v>
      </c>
      <c r="D38" s="8" t="n">
        <v>33.5</v>
      </c>
      <c r="E38" s="8" t="n">
        <v>33.6</v>
      </c>
      <c r="F38" s="8" t="n">
        <v>37.5</v>
      </c>
      <c r="G38" s="9">
        <f>SUM(C38:F38)</f>
        <v/>
      </c>
      <c r="H38" s="8" t="n">
        <v>37</v>
      </c>
      <c r="I38" s="8" t="n">
        <v>37.4</v>
      </c>
      <c r="J38" s="8" t="n">
        <v>38.7</v>
      </c>
      <c r="K38" s="8" t="n">
        <v>41.2</v>
      </c>
      <c r="L38" s="9">
        <f>SUM(H38:K38)</f>
        <v/>
      </c>
      <c r="M38" s="8" t="n">
        <v>40.6</v>
      </c>
      <c r="N38" s="8" t="n">
        <v>42.4</v>
      </c>
      <c r="O38" s="8" t="n">
        <v>42.8</v>
      </c>
      <c r="P38" s="8" t="n">
        <v>41.4</v>
      </c>
      <c r="Q38" s="9">
        <f>SUM(M38:P38)</f>
        <v/>
      </c>
      <c r="R38" s="8" t="n">
        <v>42.7</v>
      </c>
      <c r="S38" s="8" t="n">
        <v>89.90000000000001</v>
      </c>
      <c r="T38" s="8" t="n">
        <v>45.5</v>
      </c>
      <c r="U38" s="8" t="n">
        <v>183.5</v>
      </c>
      <c r="V38" s="9">
        <f>SUM(R38:U38)</f>
        <v/>
      </c>
      <c r="W38" s="8" t="n">
        <v>49.5</v>
      </c>
      <c r="X38" s="8" t="n">
        <v>101.3</v>
      </c>
      <c r="Y38" s="8" t="n">
        <v>51.5</v>
      </c>
      <c r="Z38" s="8" t="n">
        <v>205.9</v>
      </c>
      <c r="AA38" s="9">
        <f>SUM(W38:Z38)</f>
        <v/>
      </c>
      <c r="AB38" s="8" t="n">
        <v>50.8</v>
      </c>
      <c r="AC38" s="8" t="n">
        <v>103.2</v>
      </c>
      <c r="AD38" s="8" t="n">
        <v>54.9</v>
      </c>
      <c r="AE38" s="8" t="n">
        <v>213</v>
      </c>
      <c r="AF38" s="9">
        <f>SUM(AB38:AE38)</f>
        <v/>
      </c>
      <c r="AG38" s="8" t="n">
        <v>56.1</v>
      </c>
      <c r="AH38" s="8" t="n">
        <v>113.4</v>
      </c>
      <c r="AI38" s="8" t="n">
        <v>57.5</v>
      </c>
      <c r="AJ38" s="8" t="n">
        <v>229.5</v>
      </c>
      <c r="AK38" s="9">
        <f>SUM(AG38:AJ38)</f>
        <v/>
      </c>
      <c r="AL38" s="8" t="n">
        <v>61.7</v>
      </c>
      <c r="AM38" s="8" t="n">
        <v>126.5</v>
      </c>
      <c r="AN38" s="8" t="n">
        <v>64.8</v>
      </c>
      <c r="AO38" s="8" t="n">
        <v>263.4</v>
      </c>
      <c r="AP38" s="9">
        <f>SUM(AL38:AO38)</f>
        <v/>
      </c>
      <c r="AQ38" s="8" t="n">
        <v>72.09999999999999</v>
      </c>
      <c r="AR38" s="8" t="n">
        <v>144</v>
      </c>
      <c r="AS38" s="8" t="n">
        <v>77.2</v>
      </c>
      <c r="AT38" s="8" t="n">
        <v>298.4</v>
      </c>
      <c r="AU38" s="9">
        <f>SUM(AQ38:AT38)</f>
        <v/>
      </c>
      <c r="AV38" s="8" t="n">
        <v>86</v>
      </c>
      <c r="AW38" s="8" t="n">
        <v>176</v>
      </c>
      <c r="AX38" s="8" t="n">
        <v>91.3</v>
      </c>
      <c r="AY38" s="8" t="n">
        <v>358.6</v>
      </c>
      <c r="AZ38" s="9">
        <f>SUM(AV38:AY38)</f>
        <v/>
      </c>
      <c r="BA38" s="8" t="n">
        <v>93</v>
      </c>
      <c r="BB38" s="8" t="n">
        <v>197.4</v>
      </c>
      <c r="BC38" s="8" t="n">
        <v>109.5</v>
      </c>
      <c r="BD38" s="8" t="n">
        <v>428.3</v>
      </c>
      <c r="BE38" s="9">
        <f>SUM(BA38:BD38)</f>
        <v/>
      </c>
    </row>
    <row r="39" ht="16" customHeight="1">
      <c r="A39" s="10" t="inlineStr">
        <is>
          <t>DERIVED</t>
        </is>
      </c>
      <c r="B39" s="11" t="inlineStr">
        <is>
          <t>PBT</t>
        </is>
      </c>
      <c r="C39" s="19">
        <f>C37-C38</f>
        <v/>
      </c>
      <c r="D39" s="19">
        <f>D37-D38</f>
        <v/>
      </c>
      <c r="E39" s="19">
        <f>E37-E38</f>
        <v/>
      </c>
      <c r="F39" s="19">
        <f>F37-F38</f>
        <v/>
      </c>
      <c r="G39" s="9">
        <f>G37-G38</f>
        <v/>
      </c>
      <c r="H39" s="19">
        <f>H37-H38</f>
        <v/>
      </c>
      <c r="I39" s="19">
        <f>I37-I38</f>
        <v/>
      </c>
      <c r="J39" s="19">
        <f>J37-J38</f>
        <v/>
      </c>
      <c r="K39" s="19">
        <f>K37-K38</f>
        <v/>
      </c>
      <c r="L39" s="9">
        <f>L37-L38</f>
        <v/>
      </c>
      <c r="M39" s="19">
        <f>M37-M38</f>
        <v/>
      </c>
      <c r="N39" s="19">
        <f>N37-N38</f>
        <v/>
      </c>
      <c r="O39" s="19">
        <f>O37-O38</f>
        <v/>
      </c>
      <c r="P39" s="19">
        <f>P37-P38</f>
        <v/>
      </c>
      <c r="Q39" s="9">
        <f>Q37-Q38</f>
        <v/>
      </c>
      <c r="R39" s="19">
        <f>R37-R38</f>
        <v/>
      </c>
      <c r="S39" s="19">
        <f>S37-S38</f>
        <v/>
      </c>
      <c r="T39" s="19">
        <f>T37-T38</f>
        <v/>
      </c>
      <c r="U39" s="19">
        <f>U37-U38</f>
        <v/>
      </c>
      <c r="V39" s="9">
        <f>V37-V38</f>
        <v/>
      </c>
      <c r="W39" s="19">
        <f>W37-W38</f>
        <v/>
      </c>
      <c r="X39" s="19">
        <f>X37-X38</f>
        <v/>
      </c>
      <c r="Y39" s="19">
        <f>Y37-Y38</f>
        <v/>
      </c>
      <c r="Z39" s="19">
        <f>Z37-Z38</f>
        <v/>
      </c>
      <c r="AA39" s="9">
        <f>AA37-AA38</f>
        <v/>
      </c>
      <c r="AB39" s="19">
        <f>AB37-AB38</f>
        <v/>
      </c>
      <c r="AC39" s="19">
        <f>AC37-AC38</f>
        <v/>
      </c>
      <c r="AD39" s="19">
        <f>AD37-AD38</f>
        <v/>
      </c>
      <c r="AE39" s="19">
        <f>AE37-AE38</f>
        <v/>
      </c>
      <c r="AF39" s="9">
        <f>AF37-AF38</f>
        <v/>
      </c>
      <c r="AG39" s="19">
        <f>AG37-AG38</f>
        <v/>
      </c>
      <c r="AH39" s="19">
        <f>AH37-AH38</f>
        <v/>
      </c>
      <c r="AI39" s="19">
        <f>AI37-AI38</f>
        <v/>
      </c>
      <c r="AJ39" s="19">
        <f>AJ37-AJ38</f>
        <v/>
      </c>
      <c r="AK39" s="9">
        <f>AK37-AK38</f>
        <v/>
      </c>
      <c r="AL39" s="19">
        <f>AL37-AL38</f>
        <v/>
      </c>
      <c r="AM39" s="19">
        <f>AM37-AM38</f>
        <v/>
      </c>
      <c r="AN39" s="19">
        <f>AN37-AN38</f>
        <v/>
      </c>
      <c r="AO39" s="19">
        <f>AO37-AO38</f>
        <v/>
      </c>
      <c r="AP39" s="9">
        <f>AP37-AP38</f>
        <v/>
      </c>
      <c r="AQ39" s="19">
        <f>AQ37-AQ38</f>
        <v/>
      </c>
      <c r="AR39" s="19">
        <f>AR37-AR38</f>
        <v/>
      </c>
      <c r="AS39" s="19">
        <f>AS37-AS38</f>
        <v/>
      </c>
      <c r="AT39" s="19">
        <f>AT37-AT38</f>
        <v/>
      </c>
      <c r="AU39" s="9">
        <f>AU37-AU38</f>
        <v/>
      </c>
      <c r="AV39" s="19">
        <f>AV37-AV38</f>
        <v/>
      </c>
      <c r="AW39" s="19">
        <f>AW37-AW38</f>
        <v/>
      </c>
      <c r="AX39" s="19">
        <f>AX37-AX38</f>
        <v/>
      </c>
      <c r="AY39" s="19">
        <f>AY37-AY38</f>
        <v/>
      </c>
      <c r="AZ39" s="9">
        <f>AZ37-AZ38</f>
        <v/>
      </c>
      <c r="BA39" s="19">
        <f>BA37-BA38</f>
        <v/>
      </c>
      <c r="BB39" s="19">
        <f>BB37-BB38</f>
        <v/>
      </c>
      <c r="BC39" s="19">
        <f>BC37-BC38</f>
        <v/>
      </c>
      <c r="BD39" s="19">
        <f>BD37-BD38</f>
        <v/>
      </c>
      <c r="BE39" s="9">
        <f>BE37-BE38</f>
        <v/>
      </c>
    </row>
    <row r="40" ht="16" customHeight="1">
      <c r="A40" s="10" t="inlineStr">
        <is>
          <t>DERIVED</t>
        </is>
      </c>
      <c r="B40" s="11" t="inlineStr">
        <is>
          <t>PBT Growth (% YOY)</t>
        </is>
      </c>
      <c r="C40" s="12" t="n"/>
      <c r="D40" s="12" t="n"/>
      <c r="E40" s="12" t="n"/>
      <c r="F40" s="12" t="n"/>
      <c r="G40" s="13" t="n"/>
      <c r="H40" s="14" t="n">
        <v>-0.2383976551050317</v>
      </c>
      <c r="I40" s="14" t="n">
        <v>0.9911308203991129</v>
      </c>
      <c r="J40" s="14" t="n">
        <v>0.212041884816754</v>
      </c>
      <c r="K40" s="14" t="n">
        <v>0.2284295468653011</v>
      </c>
      <c r="L40" s="15" t="n">
        <v>0.2284295468653011</v>
      </c>
      <c r="M40" s="14" t="n">
        <v>-0.2610647851186658</v>
      </c>
      <c r="N40" s="14" t="n">
        <v>0.07461024498886418</v>
      </c>
      <c r="O40" s="14" t="n">
        <v>0.1231101511879049</v>
      </c>
      <c r="P40" s="14" t="n">
        <v>0.2920667003537139</v>
      </c>
      <c r="Q40" s="15" t="n">
        <v>0.2920667003537139</v>
      </c>
      <c r="R40" s="14" t="n">
        <v>0.7491319444444444</v>
      </c>
      <c r="S40" s="14" t="n">
        <v>0.6870466321243525</v>
      </c>
      <c r="T40" s="14" t="n">
        <v>-0.1852564102564103</v>
      </c>
      <c r="U40" s="14" t="n">
        <v>-0.3238169730152522</v>
      </c>
      <c r="V40" s="15" t="n">
        <v>-0.3238169730152522</v>
      </c>
      <c r="W40" s="14" t="n">
        <v>-0.3692307692307693</v>
      </c>
      <c r="X40" s="14" t="n">
        <v>-0.2291154791154792</v>
      </c>
      <c r="Y40" s="14" t="n">
        <v>0.3005507474429585</v>
      </c>
      <c r="Z40" s="14" t="n">
        <v>0.2920763447079237</v>
      </c>
      <c r="AA40" s="15" t="n">
        <v>0.2920763447079237</v>
      </c>
      <c r="AB40" s="14" t="n">
        <v>-0.5656963021243115</v>
      </c>
      <c r="AC40" s="14" t="n">
        <v>0.8143426294820716</v>
      </c>
      <c r="AD40" s="14" t="n">
        <v>1.425287356321839</v>
      </c>
      <c r="AE40" s="14" t="n">
        <v>1.365711727842435</v>
      </c>
      <c r="AF40" s="15" t="n">
        <v>1.365711727842435</v>
      </c>
      <c r="AG40" s="14" t="n">
        <v>2.860507246376811</v>
      </c>
      <c r="AH40" s="14" t="n">
        <v>0.3008344312692139</v>
      </c>
      <c r="AI40" s="14" t="n">
        <v>-0.2180094786729857</v>
      </c>
      <c r="AJ40" s="14" t="n">
        <v>-0.2263008514664144</v>
      </c>
      <c r="AK40" s="15" t="n">
        <v>-0.2263008514664144</v>
      </c>
      <c r="AL40" s="14" t="n">
        <v>0.2585640544345378</v>
      </c>
      <c r="AM40" s="14" t="n">
        <v>-0.6448345712356516</v>
      </c>
      <c r="AN40" s="14" t="n">
        <v>-0.1282296650717703</v>
      </c>
      <c r="AO40" s="14" t="n">
        <v>0.136463683052091</v>
      </c>
      <c r="AP40" s="15" t="n">
        <v>0.136463683052091</v>
      </c>
      <c r="AQ40" s="14" t="n">
        <v>0.05667412378821771</v>
      </c>
      <c r="AR40" s="14" t="n">
        <v>2.037072243346008</v>
      </c>
      <c r="AS40" s="14" t="n">
        <v>0.2367361873399194</v>
      </c>
      <c r="AT40" s="14" t="n">
        <v>-0.0002151925973745769</v>
      </c>
      <c r="AU40" s="15" t="n">
        <v>-0.0002151925973745769</v>
      </c>
      <c r="AV40" s="14" t="n">
        <v>0.2593507410021172</v>
      </c>
      <c r="AW40" s="14" t="n">
        <v>-0.1564945226917058</v>
      </c>
      <c r="AX40" s="14" t="n">
        <v>-0.2739644970414201</v>
      </c>
      <c r="AY40" s="14" t="n">
        <v>-0.2096427034007749</v>
      </c>
      <c r="AZ40" s="15" t="n">
        <v>-0.2096427034007749</v>
      </c>
      <c r="BA40" s="14" t="n">
        <v>-0.2569347156066125</v>
      </c>
      <c r="BB40" s="14" t="n">
        <v>-0.1925788497217069</v>
      </c>
      <c r="BC40" s="14" t="n">
        <v>-0.1601466992665037</v>
      </c>
      <c r="BD40" s="14" t="n">
        <v>0.5059912854030502</v>
      </c>
      <c r="BE40" s="15" t="n">
        <v>0.5059912854030502</v>
      </c>
    </row>
    <row r="41" ht="16" customHeight="1">
      <c r="A41" s="6" t="inlineStr">
        <is>
          <t>PL</t>
        </is>
      </c>
      <c r="B41" s="7" t="inlineStr">
        <is>
          <t>Tax</t>
        </is>
      </c>
      <c r="C41" s="8" t="n">
        <v>71.5</v>
      </c>
      <c r="D41" s="8" t="n">
        <v>16.9</v>
      </c>
      <c r="E41" s="8" t="n">
        <v>38.3</v>
      </c>
      <c r="F41" s="8" t="n">
        <v>62.6</v>
      </c>
      <c r="G41" s="9">
        <f>SUM(C41:F41)</f>
        <v/>
      </c>
      <c r="H41" s="8" t="n">
        <v>53.7</v>
      </c>
      <c r="I41" s="8" t="n">
        <v>31.6</v>
      </c>
      <c r="J41" s="8" t="n">
        <v>48.2</v>
      </c>
      <c r="K41" s="8" t="n">
        <v>72.3</v>
      </c>
      <c r="L41" s="9">
        <f>SUM(H41:K41)</f>
        <v/>
      </c>
      <c r="M41" s="8" t="n">
        <v>39.9</v>
      </c>
      <c r="N41" s="8" t="n">
        <v>36.7</v>
      </c>
      <c r="O41" s="8" t="n">
        <v>51.8</v>
      </c>
      <c r="P41" s="8" t="n">
        <v>77.40000000000001</v>
      </c>
      <c r="Q41" s="9">
        <f>SUM(M41:P41)</f>
        <v/>
      </c>
      <c r="R41" s="8" t="n">
        <v>65.2</v>
      </c>
      <c r="S41" s="8" t="n">
        <v>55.5</v>
      </c>
      <c r="T41" s="8" t="n">
        <v>46.2</v>
      </c>
      <c r="U41" s="8" t="n">
        <v>48.9</v>
      </c>
      <c r="V41" s="9">
        <f>SUM(R41:U41)</f>
        <v/>
      </c>
      <c r="W41" s="8" t="n">
        <v>40</v>
      </c>
      <c r="X41" s="8" t="n">
        <v>-14</v>
      </c>
      <c r="Y41" s="8" t="n">
        <v>41.9</v>
      </c>
      <c r="Z41" s="8" t="n">
        <v>106.1</v>
      </c>
      <c r="AA41" s="9">
        <f>SUM(W41:Z41)</f>
        <v/>
      </c>
      <c r="AB41" s="8" t="n">
        <v>14.6</v>
      </c>
      <c r="AC41" s="8" t="n">
        <v>52.7</v>
      </c>
      <c r="AD41" s="8" t="n">
        <v>88.59999999999999</v>
      </c>
      <c r="AE41" s="8" t="n">
        <v>78.09999999999999</v>
      </c>
      <c r="AF41" s="9">
        <f>SUM(AB41:AE41)</f>
        <v/>
      </c>
      <c r="AG41" s="8" t="n">
        <v>43</v>
      </c>
      <c r="AH41" s="8" t="n">
        <v>67.5</v>
      </c>
      <c r="AI41" s="8" t="n">
        <v>67.8</v>
      </c>
      <c r="AJ41" s="8" t="n">
        <v>85.09999999999999</v>
      </c>
      <c r="AK41" s="9">
        <f>SUM(AG41:AJ41)</f>
        <v/>
      </c>
      <c r="AL41" s="8" t="n">
        <v>54.3</v>
      </c>
      <c r="AM41" s="8" t="n">
        <v>23.1</v>
      </c>
      <c r="AN41" s="8" t="n">
        <v>63.3</v>
      </c>
      <c r="AO41" s="8" t="n">
        <v>105.2</v>
      </c>
      <c r="AP41" s="9">
        <f>SUM(AL41:AO41)</f>
        <v/>
      </c>
      <c r="AQ41" s="8" t="n">
        <v>67.8</v>
      </c>
      <c r="AR41" s="8" t="n">
        <v>76.3</v>
      </c>
      <c r="AS41" s="8" t="n">
        <v>81.8</v>
      </c>
      <c r="AT41" s="8" t="n">
        <v>109.7</v>
      </c>
      <c r="AU41" s="9">
        <f>SUM(AQ41:AT41)</f>
        <v/>
      </c>
      <c r="AV41" s="8" t="n">
        <v>83.59999999999999</v>
      </c>
      <c r="AW41" s="8" t="n">
        <v>62.9</v>
      </c>
      <c r="AX41" s="8" t="n">
        <v>58.4</v>
      </c>
      <c r="AY41" s="8" t="n">
        <v>73.2</v>
      </c>
      <c r="AZ41" s="9">
        <f>SUM(AV41:AY41)</f>
        <v/>
      </c>
      <c r="BA41" s="8" t="n">
        <v>62.9</v>
      </c>
      <c r="BB41" s="8" t="n">
        <v>52.9</v>
      </c>
      <c r="BC41" s="8" t="n">
        <v>52.7</v>
      </c>
      <c r="BD41" s="8" t="n">
        <v>119.5</v>
      </c>
      <c r="BE41" s="9">
        <f>SUM(BA41:BD41)</f>
        <v/>
      </c>
    </row>
    <row r="42" ht="16" customHeight="1">
      <c r="A42" s="16" t="inlineStr"/>
      <c r="B42" s="17" t="inlineStr">
        <is>
          <t>Fringe Benefit Tax</t>
        </is>
      </c>
      <c r="C42" s="18" t="n"/>
      <c r="D42" s="18" t="n"/>
      <c r="E42" s="18" t="n"/>
      <c r="F42" s="18" t="n"/>
      <c r="G42" s="13" t="n"/>
      <c r="H42" s="18" t="n"/>
      <c r="I42" s="18" t="n"/>
      <c r="J42" s="18" t="n"/>
      <c r="K42" s="18" t="n"/>
      <c r="L42" s="13" t="n"/>
      <c r="M42" s="18" t="n"/>
      <c r="N42" s="18" t="n"/>
      <c r="O42" s="18" t="n"/>
      <c r="P42" s="18" t="n"/>
      <c r="Q42" s="13" t="n"/>
      <c r="R42" s="18" t="n"/>
      <c r="S42" s="18" t="n"/>
      <c r="T42" s="18" t="n"/>
      <c r="U42" s="18" t="n"/>
      <c r="V42" s="13" t="n"/>
      <c r="W42" s="18" t="n"/>
      <c r="X42" s="18" t="n"/>
      <c r="Y42" s="18" t="n"/>
      <c r="Z42" s="18" t="n"/>
      <c r="AA42" s="13" t="n"/>
      <c r="AB42" s="18" t="n"/>
      <c r="AC42" s="18" t="n"/>
      <c r="AD42" s="18" t="n"/>
      <c r="AE42" s="18" t="n"/>
      <c r="AF42" s="13" t="n"/>
      <c r="AG42" s="18" t="n"/>
      <c r="AH42" s="18" t="n"/>
      <c r="AI42" s="18" t="n"/>
      <c r="AJ42" s="18" t="n"/>
      <c r="AK42" s="13" t="n"/>
      <c r="AL42" s="18" t="n"/>
      <c r="AM42" s="18" t="n"/>
      <c r="AN42" s="18" t="n"/>
      <c r="AO42" s="18" t="n"/>
      <c r="AP42" s="13" t="n"/>
      <c r="AQ42" s="18" t="n"/>
      <c r="AR42" s="18" t="n"/>
      <c r="AS42" s="18" t="n"/>
      <c r="AT42" s="18" t="n"/>
      <c r="AU42" s="13" t="n"/>
      <c r="AV42" s="18" t="n"/>
      <c r="AW42" s="18" t="n"/>
      <c r="AX42" s="18" t="n"/>
      <c r="AY42" s="18" t="n"/>
      <c r="AZ42" s="13" t="n"/>
      <c r="BA42" s="18" t="n"/>
      <c r="BB42" s="18" t="n"/>
      <c r="BC42" s="18" t="n"/>
      <c r="BD42" s="18" t="n"/>
      <c r="BE42" s="13" t="n"/>
    </row>
    <row r="43" ht="16" customHeight="1">
      <c r="A43" s="6" t="inlineStr">
        <is>
          <t>PL</t>
        </is>
      </c>
      <c r="B43" s="7" t="inlineStr">
        <is>
          <t>Deferred Tax</t>
        </is>
      </c>
      <c r="C43" s="8" t="n">
        <v>-17.6</v>
      </c>
      <c r="D43" s="8" t="n">
        <v>0</v>
      </c>
      <c r="E43" s="8" t="n">
        <v>0</v>
      </c>
      <c r="F43" s="8" t="n">
        <v>0</v>
      </c>
      <c r="G43" s="9">
        <f>SUM(C43:F43)</f>
        <v/>
      </c>
      <c r="H43" s="8" t="n">
        <v>2.9</v>
      </c>
      <c r="I43" s="8" t="n">
        <v>1.6</v>
      </c>
      <c r="J43" s="8" t="n">
        <v>2.6</v>
      </c>
      <c r="K43" s="8" t="n">
        <v>3.7</v>
      </c>
      <c r="L43" s="9">
        <f>SUM(H43:K43)</f>
        <v/>
      </c>
      <c r="M43" s="8" t="n">
        <v>-0.4</v>
      </c>
      <c r="N43" s="8" t="n">
        <v>6.2</v>
      </c>
      <c r="O43" s="8" t="n">
        <v>-0.7</v>
      </c>
      <c r="P43" s="8" t="n">
        <v>-7.9</v>
      </c>
      <c r="Q43" s="9">
        <f>SUM(M43:P43)</f>
        <v/>
      </c>
      <c r="R43" s="8" t="n">
        <v>0</v>
      </c>
      <c r="S43" s="8" t="n">
        <v>-2.2</v>
      </c>
      <c r="T43" s="8" t="n">
        <v>0</v>
      </c>
      <c r="U43" s="8" t="n">
        <v>0</v>
      </c>
      <c r="V43" s="9">
        <f>SUM(R43:U43)</f>
        <v/>
      </c>
      <c r="W43" s="8" t="n">
        <v>0</v>
      </c>
      <c r="X43" s="8" t="n">
        <v>0</v>
      </c>
      <c r="Y43" s="8" t="n">
        <v>0</v>
      </c>
      <c r="Z43" s="8" t="n">
        <v>0</v>
      </c>
      <c r="AA43" s="9">
        <f>SUM(W43:Z43)</f>
        <v/>
      </c>
      <c r="AB43" s="8" t="n">
        <v>0</v>
      </c>
      <c r="AC43" s="8" t="n">
        <v>0</v>
      </c>
      <c r="AD43" s="8" t="n">
        <v>0</v>
      </c>
      <c r="AE43" s="8" t="n">
        <v>0</v>
      </c>
      <c r="AF43" s="9">
        <f>SUM(AB43:AE43)</f>
        <v/>
      </c>
      <c r="AG43" s="8" t="n">
        <v>0</v>
      </c>
      <c r="AH43" s="8" t="n">
        <v>0</v>
      </c>
      <c r="AI43" s="8" t="n">
        <v>0</v>
      </c>
      <c r="AJ43" s="8" t="n">
        <v>0</v>
      </c>
      <c r="AK43" s="9">
        <f>SUM(AG43:AJ43)</f>
        <v/>
      </c>
      <c r="AL43" s="8" t="n">
        <v>0</v>
      </c>
      <c r="AM43" s="8" t="n">
        <v>0</v>
      </c>
      <c r="AN43" s="8" t="n">
        <v>0</v>
      </c>
      <c r="AO43" s="8" t="n">
        <v>0</v>
      </c>
      <c r="AP43" s="9">
        <f>SUM(AL43:AO43)</f>
        <v/>
      </c>
      <c r="AQ43" s="8" t="n">
        <v>0</v>
      </c>
      <c r="AR43" s="8" t="n">
        <v>0</v>
      </c>
      <c r="AS43" s="8" t="n">
        <v>0</v>
      </c>
      <c r="AT43" s="8" t="n">
        <v>0</v>
      </c>
      <c r="AU43" s="9">
        <f>SUM(AQ43:AT43)</f>
        <v/>
      </c>
      <c r="AV43" s="8" t="n">
        <v>0</v>
      </c>
      <c r="AW43" s="8" t="n">
        <v>0</v>
      </c>
      <c r="AX43" s="8" t="n">
        <v>0</v>
      </c>
      <c r="AY43" s="8" t="n">
        <v>0</v>
      </c>
      <c r="AZ43" s="9">
        <f>SUM(AV43:AY43)</f>
        <v/>
      </c>
      <c r="BA43" s="8" t="n">
        <v>0</v>
      </c>
      <c r="BB43" s="8" t="n">
        <v>0</v>
      </c>
      <c r="BC43" s="8" t="n">
        <v>0</v>
      </c>
      <c r="BD43" s="8" t="n">
        <v>0</v>
      </c>
      <c r="BE43" s="9">
        <f>SUM(BA43:BD43)</f>
        <v/>
      </c>
    </row>
    <row r="44" ht="16" customHeight="1">
      <c r="A44" s="10" t="inlineStr">
        <is>
          <t>DERIVED</t>
        </is>
      </c>
      <c r="B44" s="11" t="inlineStr">
        <is>
          <t>Reported PAT</t>
        </is>
      </c>
      <c r="C44" s="19">
        <f>C39-C41-C43</f>
        <v/>
      </c>
      <c r="D44" s="19">
        <f>D39-D41-D43</f>
        <v/>
      </c>
      <c r="E44" s="19">
        <f>E39-E41-E43</f>
        <v/>
      </c>
      <c r="F44" s="19">
        <f>F39-F41-F43</f>
        <v/>
      </c>
      <c r="G44" s="9">
        <f>G39-G41-G43</f>
        <v/>
      </c>
      <c r="H44" s="19">
        <f>H39-H41-H43</f>
        <v/>
      </c>
      <c r="I44" s="19">
        <f>I39-I41-I43</f>
        <v/>
      </c>
      <c r="J44" s="19">
        <f>J39-J41-J43</f>
        <v/>
      </c>
      <c r="K44" s="19">
        <f>K39-K41-K43</f>
        <v/>
      </c>
      <c r="L44" s="9">
        <f>L39-L41-L43</f>
        <v/>
      </c>
      <c r="M44" s="19">
        <f>M39-M41-M43</f>
        <v/>
      </c>
      <c r="N44" s="19">
        <f>N39-N41-N43</f>
        <v/>
      </c>
      <c r="O44" s="19">
        <f>O39-O41-O43</f>
        <v/>
      </c>
      <c r="P44" s="19">
        <f>P39-P41-P43</f>
        <v/>
      </c>
      <c r="Q44" s="9">
        <f>Q39-Q41-Q43</f>
        <v/>
      </c>
      <c r="R44" s="19">
        <f>R39-R41-R43</f>
        <v/>
      </c>
      <c r="S44" s="19">
        <f>S39-S41-S43</f>
        <v/>
      </c>
      <c r="T44" s="19">
        <f>T39-T41-T43</f>
        <v/>
      </c>
      <c r="U44" s="19">
        <f>U39-U41-U43</f>
        <v/>
      </c>
      <c r="V44" s="9">
        <f>V39-V41-V43</f>
        <v/>
      </c>
      <c r="W44" s="19">
        <f>W39-W41-W43</f>
        <v/>
      </c>
      <c r="X44" s="19">
        <f>X39-X41-X43</f>
        <v/>
      </c>
      <c r="Y44" s="19">
        <f>Y39-Y41-Y43</f>
        <v/>
      </c>
      <c r="Z44" s="19">
        <f>Z39-Z41-Z43</f>
        <v/>
      </c>
      <c r="AA44" s="9">
        <f>AA39-AA41-AA43</f>
        <v/>
      </c>
      <c r="AB44" s="19">
        <f>AB39-AB41-AB43</f>
        <v/>
      </c>
      <c r="AC44" s="19">
        <f>AC39-AC41-AC43</f>
        <v/>
      </c>
      <c r="AD44" s="19">
        <f>AD39-AD41-AD43</f>
        <v/>
      </c>
      <c r="AE44" s="19">
        <f>AE39-AE41-AE43</f>
        <v/>
      </c>
      <c r="AF44" s="9">
        <f>AF39-AF41-AF43</f>
        <v/>
      </c>
      <c r="AG44" s="19">
        <f>AG39-AG41-AG43</f>
        <v/>
      </c>
      <c r="AH44" s="19">
        <f>AH39-AH41-AH43</f>
        <v/>
      </c>
      <c r="AI44" s="19">
        <f>AI39-AI41-AI43</f>
        <v/>
      </c>
      <c r="AJ44" s="19">
        <f>AJ39-AJ41-AJ43</f>
        <v/>
      </c>
      <c r="AK44" s="9">
        <f>AK39-AK41-AK43</f>
        <v/>
      </c>
      <c r="AL44" s="19">
        <f>AL39-AL41-AL43</f>
        <v/>
      </c>
      <c r="AM44" s="19">
        <f>AM39-AM41-AM43</f>
        <v/>
      </c>
      <c r="AN44" s="19">
        <f>AN39-AN41-AN43</f>
        <v/>
      </c>
      <c r="AO44" s="19">
        <f>AO39-AO41-AO43</f>
        <v/>
      </c>
      <c r="AP44" s="9">
        <f>AP39-AP41-AP43</f>
        <v/>
      </c>
      <c r="AQ44" s="19">
        <f>AQ39-AQ41-AQ43</f>
        <v/>
      </c>
      <c r="AR44" s="19">
        <f>AR39-AR41-AR43</f>
        <v/>
      </c>
      <c r="AS44" s="19">
        <f>AS39-AS41-AS43</f>
        <v/>
      </c>
      <c r="AT44" s="19">
        <f>AT39-AT41-AT43</f>
        <v/>
      </c>
      <c r="AU44" s="9">
        <f>AU39-AU41-AU43</f>
        <v/>
      </c>
      <c r="AV44" s="19">
        <f>AV39-AV41-AV43</f>
        <v/>
      </c>
      <c r="AW44" s="19">
        <f>AW39-AW41-AW43</f>
        <v/>
      </c>
      <c r="AX44" s="19">
        <f>AX39-AX41-AX43</f>
        <v/>
      </c>
      <c r="AY44" s="19">
        <f>AY39-AY41-AY43</f>
        <v/>
      </c>
      <c r="AZ44" s="9">
        <f>AZ39-AZ41-AZ43</f>
        <v/>
      </c>
      <c r="BA44" s="19">
        <f>BA39-BA41-BA43</f>
        <v/>
      </c>
      <c r="BB44" s="19">
        <f>BB39-BB41-BB43</f>
        <v/>
      </c>
      <c r="BC44" s="19">
        <f>BC39-BC41-BC43</f>
        <v/>
      </c>
      <c r="BD44" s="19">
        <f>BD39-BD41-BD43</f>
        <v/>
      </c>
      <c r="BE44" s="9">
        <f>BE39-BE41-BE43</f>
        <v/>
      </c>
    </row>
    <row r="45" ht="16" customHeight="1">
      <c r="A45" s="6" t="inlineStr">
        <is>
          <t>PL</t>
        </is>
      </c>
      <c r="B45" s="7" t="inlineStr">
        <is>
          <t>Minority Interest</t>
        </is>
      </c>
      <c r="C45" s="20" t="n"/>
      <c r="D45" s="20" t="n"/>
      <c r="E45" s="20" t="n"/>
      <c r="F45" s="20" t="n"/>
      <c r="G45" s="9">
        <f>SUM(C45:F45)</f>
        <v/>
      </c>
      <c r="H45" s="20" t="n"/>
      <c r="I45" s="20" t="n"/>
      <c r="J45" s="20" t="n"/>
      <c r="K45" s="20" t="n"/>
      <c r="L45" s="9">
        <f>SUM(H45:K45)</f>
        <v/>
      </c>
      <c r="M45" s="20" t="n"/>
      <c r="N45" s="8" t="n">
        <v>0</v>
      </c>
      <c r="O45" s="8" t="n">
        <v>0</v>
      </c>
      <c r="P45" s="8" t="n">
        <v>0</v>
      </c>
      <c r="Q45" s="9">
        <f>SUM(M45:P45)</f>
        <v/>
      </c>
      <c r="R45" s="8" t="n">
        <v>0</v>
      </c>
      <c r="S45" s="8" t="n">
        <v>0</v>
      </c>
      <c r="T45" s="8" t="n">
        <v>0</v>
      </c>
      <c r="U45" s="8" t="n">
        <v>0</v>
      </c>
      <c r="V45" s="9">
        <f>SUM(R45:U45)</f>
        <v/>
      </c>
      <c r="W45" s="8" t="n">
        <v>0</v>
      </c>
      <c r="X45" s="8" t="n">
        <v>0</v>
      </c>
      <c r="Y45" s="8" t="n">
        <v>0</v>
      </c>
      <c r="Z45" s="8" t="n">
        <v>0</v>
      </c>
      <c r="AA45" s="9">
        <f>SUM(W45:Z45)</f>
        <v/>
      </c>
      <c r="AB45" s="8" t="n">
        <v>39.9</v>
      </c>
      <c r="AC45" s="8" t="n">
        <v>174.3</v>
      </c>
      <c r="AD45" s="8" t="n">
        <v>311.7</v>
      </c>
      <c r="AE45" s="8" t="n">
        <v>450.7</v>
      </c>
      <c r="AF45" s="9">
        <f>SUM(AB45:AE45)</f>
        <v/>
      </c>
      <c r="AG45" s="8" t="n">
        <v>0</v>
      </c>
      <c r="AH45" s="8" t="n">
        <v>0</v>
      </c>
      <c r="AI45" s="8" t="n">
        <v>0</v>
      </c>
      <c r="AJ45" s="8" t="n">
        <v>0</v>
      </c>
      <c r="AK45" s="9">
        <f>SUM(AG45:AJ45)</f>
        <v/>
      </c>
      <c r="AL45" s="8" t="n">
        <v>0</v>
      </c>
      <c r="AM45" s="8" t="n">
        <v>0</v>
      </c>
      <c r="AN45" s="8" t="n">
        <v>0</v>
      </c>
      <c r="AO45" s="8" t="n">
        <v>0</v>
      </c>
      <c r="AP45" s="9">
        <f>SUM(AL45:AO45)</f>
        <v/>
      </c>
      <c r="AQ45" s="8" t="n">
        <v>0</v>
      </c>
      <c r="AR45" s="8" t="n">
        <v>0</v>
      </c>
      <c r="AS45" s="8" t="n">
        <v>0</v>
      </c>
      <c r="AT45" s="8" t="n">
        <v>0</v>
      </c>
      <c r="AU45" s="9">
        <f>SUM(AQ45:AT45)</f>
        <v/>
      </c>
      <c r="AV45" s="8" t="n">
        <v>0</v>
      </c>
      <c r="AW45" s="8" t="n">
        <v>0</v>
      </c>
      <c r="AX45" s="8" t="n">
        <v>0</v>
      </c>
      <c r="AY45" s="8" t="n">
        <v>0</v>
      </c>
      <c r="AZ45" s="9">
        <f>SUM(AV45:AY45)</f>
        <v/>
      </c>
      <c r="BA45" s="8" t="n">
        <v>0</v>
      </c>
      <c r="BB45" s="8" t="n">
        <v>0</v>
      </c>
      <c r="BC45" s="8" t="n">
        <v>0</v>
      </c>
      <c r="BD45" s="8" t="n">
        <v>0</v>
      </c>
      <c r="BE45" s="9">
        <f>SUM(BA45:BD45)</f>
        <v/>
      </c>
    </row>
    <row r="46" ht="16" customHeight="1">
      <c r="A46" s="16" t="inlineStr"/>
      <c r="B46" s="17" t="inlineStr">
        <is>
          <t>P/L of Associate Company</t>
        </is>
      </c>
      <c r="C46" s="18" t="n"/>
      <c r="D46" s="18" t="n"/>
      <c r="E46" s="18" t="n"/>
      <c r="F46" s="18" t="n"/>
      <c r="G46" s="13" t="n"/>
      <c r="H46" s="18" t="n"/>
      <c r="I46" s="18" t="n"/>
      <c r="J46" s="18" t="n"/>
      <c r="K46" s="18" t="n"/>
      <c r="L46" s="13" t="n"/>
      <c r="M46" s="18" t="n"/>
      <c r="N46" s="18" t="n"/>
      <c r="O46" s="18" t="n"/>
      <c r="P46" s="18" t="n"/>
      <c r="Q46" s="13" t="n"/>
      <c r="R46" s="18" t="n"/>
      <c r="S46" s="18" t="n"/>
      <c r="T46" s="18" t="n"/>
      <c r="U46" s="18" t="n"/>
      <c r="V46" s="13" t="n"/>
      <c r="W46" s="18" t="n"/>
      <c r="X46" s="18" t="n"/>
      <c r="Y46" s="18" t="n"/>
      <c r="Z46" s="18" t="n"/>
      <c r="AA46" s="13" t="n"/>
      <c r="AB46" s="18" t="n"/>
      <c r="AC46" s="18" t="n"/>
      <c r="AD46" s="18" t="n"/>
      <c r="AE46" s="18" t="n"/>
      <c r="AF46" s="13" t="n"/>
      <c r="AG46" s="18" t="n"/>
      <c r="AH46" s="18" t="n"/>
      <c r="AI46" s="18" t="n"/>
      <c r="AJ46" s="18" t="n"/>
      <c r="AK46" s="13" t="n"/>
      <c r="AL46" s="18" t="n"/>
      <c r="AM46" s="18" t="n"/>
      <c r="AN46" s="18" t="n"/>
      <c r="AO46" s="18" t="n"/>
      <c r="AP46" s="13" t="n"/>
      <c r="AQ46" s="18" t="n"/>
      <c r="AR46" s="18" t="n"/>
      <c r="AS46" s="18" t="n"/>
      <c r="AT46" s="18" t="n"/>
      <c r="AU46" s="13" t="n"/>
      <c r="AV46" s="18" t="n"/>
      <c r="AW46" s="18" t="n"/>
      <c r="AX46" s="18" t="n"/>
      <c r="AY46" s="18" t="n"/>
      <c r="AZ46" s="13" t="n"/>
      <c r="BA46" s="18" t="n"/>
      <c r="BB46" s="18" t="n"/>
      <c r="BC46" s="18" t="n"/>
      <c r="BD46" s="18" t="n"/>
      <c r="BE46" s="13" t="n"/>
    </row>
    <row r="47" ht="16" customHeight="1">
      <c r="A47" s="6" t="inlineStr">
        <is>
          <t>PL</t>
        </is>
      </c>
      <c r="B47" s="7" t="inlineStr">
        <is>
          <t>Net Profit after MI</t>
        </is>
      </c>
      <c r="C47" s="8">
        <f>C44-C45</f>
        <v/>
      </c>
      <c r="D47" s="8">
        <f>D44-D45</f>
        <v/>
      </c>
      <c r="E47" s="8">
        <f>E44-E45</f>
        <v/>
      </c>
      <c r="F47" s="8">
        <f>F44-F45</f>
        <v/>
      </c>
      <c r="G47" s="9">
        <f>G44-G45</f>
        <v/>
      </c>
      <c r="H47" s="8">
        <f>H44-H45</f>
        <v/>
      </c>
      <c r="I47" s="8">
        <f>I44-I45</f>
        <v/>
      </c>
      <c r="J47" s="8">
        <f>J44-J45</f>
        <v/>
      </c>
      <c r="K47" s="8">
        <f>K44-K45</f>
        <v/>
      </c>
      <c r="L47" s="9">
        <f>L44-L45</f>
        <v/>
      </c>
      <c r="M47" s="8">
        <f>M44-M45</f>
        <v/>
      </c>
      <c r="N47" s="8">
        <f>N44-N45</f>
        <v/>
      </c>
      <c r="O47" s="8">
        <f>O44-O45</f>
        <v/>
      </c>
      <c r="P47" s="8">
        <f>P44-P45</f>
        <v/>
      </c>
      <c r="Q47" s="9">
        <f>Q44-Q45</f>
        <v/>
      </c>
      <c r="R47" s="8">
        <f>R44-R45</f>
        <v/>
      </c>
      <c r="S47" s="8">
        <f>S44-S45</f>
        <v/>
      </c>
      <c r="T47" s="8">
        <f>T44-T45</f>
        <v/>
      </c>
      <c r="U47" s="8">
        <f>U44-U45</f>
        <v/>
      </c>
      <c r="V47" s="9">
        <f>V44-V45</f>
        <v/>
      </c>
      <c r="W47" s="8">
        <f>W44-W45</f>
        <v/>
      </c>
      <c r="X47" s="8">
        <f>X44-X45</f>
        <v/>
      </c>
      <c r="Y47" s="8">
        <f>Y44-Y45</f>
        <v/>
      </c>
      <c r="Z47" s="8">
        <f>Z44-Z45</f>
        <v/>
      </c>
      <c r="AA47" s="9">
        <f>AA44-AA45</f>
        <v/>
      </c>
      <c r="AB47" s="8">
        <f>AB44-AB45</f>
        <v/>
      </c>
      <c r="AC47" s="8">
        <f>AC44-AC45</f>
        <v/>
      </c>
      <c r="AD47" s="8">
        <f>AD44-AD45</f>
        <v/>
      </c>
      <c r="AE47" s="8">
        <f>AE44-AE45</f>
        <v/>
      </c>
      <c r="AF47" s="9">
        <f>AF44-AF45</f>
        <v/>
      </c>
      <c r="AG47" s="8">
        <f>AG44-AG45</f>
        <v/>
      </c>
      <c r="AH47" s="8">
        <f>AH44-AH45</f>
        <v/>
      </c>
      <c r="AI47" s="8">
        <f>AI44-AI45</f>
        <v/>
      </c>
      <c r="AJ47" s="8">
        <f>AJ44-AJ45</f>
        <v/>
      </c>
      <c r="AK47" s="9">
        <f>AK44-AK45</f>
        <v/>
      </c>
      <c r="AL47" s="8">
        <f>AL44-AL45</f>
        <v/>
      </c>
      <c r="AM47" s="8">
        <f>AM44-AM45</f>
        <v/>
      </c>
      <c r="AN47" s="8">
        <f>AN44-AN45</f>
        <v/>
      </c>
      <c r="AO47" s="8">
        <f>AO44-AO45</f>
        <v/>
      </c>
      <c r="AP47" s="9">
        <f>AP44-AP45</f>
        <v/>
      </c>
      <c r="AQ47" s="8">
        <f>AQ44-AQ45</f>
        <v/>
      </c>
      <c r="AR47" s="8">
        <f>AR44-AR45</f>
        <v/>
      </c>
      <c r="AS47" s="8">
        <f>AS44-AS45</f>
        <v/>
      </c>
      <c r="AT47" s="8">
        <f>AT44-AT45</f>
        <v/>
      </c>
      <c r="AU47" s="9">
        <f>AU44-AU45</f>
        <v/>
      </c>
      <c r="AV47" s="8">
        <f>AV44-AV45</f>
        <v/>
      </c>
      <c r="AW47" s="8">
        <f>AW44-AW45</f>
        <v/>
      </c>
      <c r="AX47" s="8">
        <f>AX44-AX45</f>
        <v/>
      </c>
      <c r="AY47" s="8">
        <f>AY44-AY45</f>
        <v/>
      </c>
      <c r="AZ47" s="9">
        <f>AZ44-AZ45</f>
        <v/>
      </c>
      <c r="BA47" s="8">
        <f>BA44-BA45</f>
        <v/>
      </c>
      <c r="BB47" s="8">
        <f>BB44-BB45</f>
        <v/>
      </c>
      <c r="BC47" s="8">
        <f>BC44-BC45</f>
        <v/>
      </c>
      <c r="BD47" s="8">
        <f>BD44-BD45</f>
        <v/>
      </c>
      <c r="BE47" s="9">
        <f>BE44-BE45</f>
        <v/>
      </c>
    </row>
    <row r="48" ht="16" customHeight="1">
      <c r="A48" s="6" t="inlineStr">
        <is>
          <t>PL</t>
        </is>
      </c>
      <c r="B48" s="7" t="inlineStr">
        <is>
          <t>Extra-ordinary Items</t>
        </is>
      </c>
      <c r="C48" s="8" t="n">
        <v>0</v>
      </c>
      <c r="D48" s="8" t="n">
        <v>0</v>
      </c>
      <c r="E48" s="8" t="n">
        <v>0</v>
      </c>
      <c r="F48" s="8" t="n">
        <v>-7.7</v>
      </c>
      <c r="G48" s="9">
        <f>SUM(C48:F48)</f>
        <v/>
      </c>
      <c r="H48" s="8" t="n">
        <v>0</v>
      </c>
      <c r="I48" s="8" t="n">
        <v>0</v>
      </c>
      <c r="J48" s="8" t="n">
        <v>0</v>
      </c>
      <c r="K48" s="8" t="n">
        <v>0</v>
      </c>
      <c r="L48" s="9">
        <f>SUM(H48:K48)</f>
        <v/>
      </c>
      <c r="M48" s="8" t="n">
        <v>0</v>
      </c>
      <c r="N48" s="8" t="n">
        <v>0</v>
      </c>
      <c r="O48" s="8" t="n">
        <v>0</v>
      </c>
      <c r="P48" s="8" t="n">
        <v>0</v>
      </c>
      <c r="Q48" s="9">
        <f>SUM(M48:P48)</f>
        <v/>
      </c>
      <c r="R48" s="8" t="n">
        <v>55.9</v>
      </c>
      <c r="S48" s="8" t="n">
        <v>0</v>
      </c>
      <c r="T48" s="8" t="n">
        <v>0</v>
      </c>
      <c r="U48" s="8" t="n">
        <v>11.3</v>
      </c>
      <c r="V48" s="9">
        <f>SUM(R48:U48)</f>
        <v/>
      </c>
      <c r="W48" s="8" t="n">
        <v>0</v>
      </c>
      <c r="X48" s="8" t="n">
        <v>0</v>
      </c>
      <c r="Y48" s="8" t="n">
        <v>0</v>
      </c>
      <c r="Z48" s="8" t="n">
        <v>0</v>
      </c>
      <c r="AA48" s="9">
        <f>SUM(W48:Z48)</f>
        <v/>
      </c>
      <c r="AB48" s="8" t="n">
        <v>0</v>
      </c>
      <c r="AC48" s="8" t="n">
        <v>0</v>
      </c>
      <c r="AD48" s="8" t="n">
        <v>0</v>
      </c>
      <c r="AE48" s="8" t="n">
        <v>0</v>
      </c>
      <c r="AF48" s="9">
        <f>SUM(AB48:AE48)</f>
        <v/>
      </c>
      <c r="AG48" s="8" t="n">
        <v>0</v>
      </c>
      <c r="AH48" s="8" t="n">
        <v>0</v>
      </c>
      <c r="AI48" s="8" t="n">
        <v>0</v>
      </c>
      <c r="AJ48" s="8" t="n">
        <v>0</v>
      </c>
      <c r="AK48" s="9">
        <f>SUM(AG48:AJ48)</f>
        <v/>
      </c>
      <c r="AL48" s="8" t="n">
        <v>0</v>
      </c>
      <c r="AM48" s="8" t="n">
        <v>0</v>
      </c>
      <c r="AN48" s="8" t="n">
        <v>0</v>
      </c>
      <c r="AO48" s="8" t="n">
        <v>0</v>
      </c>
      <c r="AP48" s="9">
        <f>SUM(AL48:AO48)</f>
        <v/>
      </c>
      <c r="AQ48" s="8" t="n">
        <v>0</v>
      </c>
      <c r="AR48" s="8" t="n">
        <v>0</v>
      </c>
      <c r="AS48" s="8" t="n">
        <v>0</v>
      </c>
      <c r="AT48" s="8" t="n">
        <v>0</v>
      </c>
      <c r="AU48" s="9">
        <f>SUM(AQ48:AT48)</f>
        <v/>
      </c>
      <c r="AV48" s="8" t="n">
        <v>0</v>
      </c>
      <c r="AW48" s="8" t="n">
        <v>0</v>
      </c>
      <c r="AX48" s="8" t="n">
        <v>0</v>
      </c>
      <c r="AY48" s="8" t="n">
        <v>0</v>
      </c>
      <c r="AZ48" s="9">
        <f>SUM(AV48:AY48)</f>
        <v/>
      </c>
      <c r="BA48" s="8" t="n">
        <v>0</v>
      </c>
      <c r="BB48" s="8" t="n">
        <v>0</v>
      </c>
      <c r="BC48" s="8" t="n">
        <v>0</v>
      </c>
      <c r="BD48" s="8" t="n">
        <v>0</v>
      </c>
      <c r="BE48" s="9">
        <f>SUM(BA48:BD48)</f>
        <v/>
      </c>
    </row>
    <row r="49" ht="16" customHeight="1">
      <c r="A49" s="6" t="inlineStr">
        <is>
          <t>PL</t>
        </is>
      </c>
      <c r="B49" s="7" t="inlineStr">
        <is>
          <t>Adjusted PAT</t>
        </is>
      </c>
      <c r="C49" s="8">
        <f>C47+C48</f>
        <v/>
      </c>
      <c r="D49" s="8">
        <f>D47+D48</f>
        <v/>
      </c>
      <c r="E49" s="8">
        <f>E47+E48</f>
        <v/>
      </c>
      <c r="F49" s="8">
        <f>F47+F48</f>
        <v/>
      </c>
      <c r="G49" s="9">
        <f>G47+G48</f>
        <v/>
      </c>
      <c r="H49" s="8">
        <f>H47+H48</f>
        <v/>
      </c>
      <c r="I49" s="8">
        <f>I47+I48</f>
        <v/>
      </c>
      <c r="J49" s="8">
        <f>J47+J48</f>
        <v/>
      </c>
      <c r="K49" s="8">
        <f>K47+K48</f>
        <v/>
      </c>
      <c r="L49" s="9">
        <f>L47+L48</f>
        <v/>
      </c>
      <c r="M49" s="8">
        <f>M47+M48</f>
        <v/>
      </c>
      <c r="N49" s="8">
        <f>N47+N48</f>
        <v/>
      </c>
      <c r="O49" s="8">
        <f>O47+O48</f>
        <v/>
      </c>
      <c r="P49" s="8">
        <f>P47+P48</f>
        <v/>
      </c>
      <c r="Q49" s="9">
        <f>Q47+Q48</f>
        <v/>
      </c>
      <c r="R49" s="8">
        <f>R47+R48</f>
        <v/>
      </c>
      <c r="S49" s="8">
        <f>S47+S48</f>
        <v/>
      </c>
      <c r="T49" s="8">
        <f>T47+T48</f>
        <v/>
      </c>
      <c r="U49" s="8">
        <f>U47+U48</f>
        <v/>
      </c>
      <c r="V49" s="9">
        <f>V47+V48</f>
        <v/>
      </c>
      <c r="W49" s="8">
        <f>W47+W48</f>
        <v/>
      </c>
      <c r="X49" s="8">
        <f>X47+X48</f>
        <v/>
      </c>
      <c r="Y49" s="8">
        <f>Y47+Y48</f>
        <v/>
      </c>
      <c r="Z49" s="8">
        <f>Z47+Z48</f>
        <v/>
      </c>
      <c r="AA49" s="9">
        <f>AA47+AA48</f>
        <v/>
      </c>
      <c r="AB49" s="8">
        <f>AB47+AB48</f>
        <v/>
      </c>
      <c r="AC49" s="8">
        <f>AC47+AC48</f>
        <v/>
      </c>
      <c r="AD49" s="8">
        <f>AD47+AD48</f>
        <v/>
      </c>
      <c r="AE49" s="8">
        <f>AE47+AE48</f>
        <v/>
      </c>
      <c r="AF49" s="9">
        <f>AF47+AF48</f>
        <v/>
      </c>
      <c r="AG49" s="8">
        <f>AG47+AG48</f>
        <v/>
      </c>
      <c r="AH49" s="8">
        <f>AH47+AH48</f>
        <v/>
      </c>
      <c r="AI49" s="8">
        <f>AI47+AI48</f>
        <v/>
      </c>
      <c r="AJ49" s="8">
        <f>AJ47+AJ48</f>
        <v/>
      </c>
      <c r="AK49" s="9">
        <f>AK47+AK48</f>
        <v/>
      </c>
      <c r="AL49" s="8">
        <f>AL47+AL48</f>
        <v/>
      </c>
      <c r="AM49" s="8">
        <f>AM47+AM48</f>
        <v/>
      </c>
      <c r="AN49" s="8">
        <f>AN47+AN48</f>
        <v/>
      </c>
      <c r="AO49" s="8">
        <f>AO47+AO48</f>
        <v/>
      </c>
      <c r="AP49" s="9">
        <f>AP47+AP48</f>
        <v/>
      </c>
      <c r="AQ49" s="8">
        <f>AQ47+AQ48</f>
        <v/>
      </c>
      <c r="AR49" s="8">
        <f>AR47+AR48</f>
        <v/>
      </c>
      <c r="AS49" s="8">
        <f>AS47+AS48</f>
        <v/>
      </c>
      <c r="AT49" s="8">
        <f>AT47+AT48</f>
        <v/>
      </c>
      <c r="AU49" s="9">
        <f>AU47+AU48</f>
        <v/>
      </c>
      <c r="AV49" s="8">
        <f>AV47+AV48</f>
        <v/>
      </c>
      <c r="AW49" s="8">
        <f>AW47+AW48</f>
        <v/>
      </c>
      <c r="AX49" s="8">
        <f>AX47+AX48</f>
        <v/>
      </c>
      <c r="AY49" s="8">
        <f>AY47+AY48</f>
        <v/>
      </c>
      <c r="AZ49" s="9">
        <f>AZ47+AZ48</f>
        <v/>
      </c>
      <c r="BA49" s="8">
        <f>BA47+BA48</f>
        <v/>
      </c>
      <c r="BB49" s="8">
        <f>BB47+BB48</f>
        <v/>
      </c>
      <c r="BC49" s="8">
        <f>BC47+BC48</f>
        <v/>
      </c>
      <c r="BD49" s="8">
        <f>BD47+BD48</f>
        <v/>
      </c>
      <c r="BE49" s="9">
        <f>BE47+BE48</f>
        <v/>
      </c>
    </row>
    <row r="50" ht="16" customHeight="1">
      <c r="A50" s="10" t="inlineStr">
        <is>
          <t>DERIVED</t>
        </is>
      </c>
      <c r="B50" s="11" t="inlineStr">
        <is>
          <t>PAT Growth (% YOY)</t>
        </is>
      </c>
      <c r="C50" s="12" t="n"/>
      <c r="D50" s="12" t="n"/>
      <c r="E50" s="12" t="n"/>
      <c r="F50" s="12" t="n"/>
      <c r="G50" s="13" t="n"/>
      <c r="H50" s="14" t="n">
        <v>-0.2321562734785875</v>
      </c>
      <c r="I50" s="14" t="n">
        <v>1.063829787234043</v>
      </c>
      <c r="J50" s="14" t="n">
        <v>0.1900393184796855</v>
      </c>
      <c r="K50" s="14" t="n">
        <v>0.2751269035532994</v>
      </c>
      <c r="L50" s="15" t="n">
        <v>0.2751269035532994</v>
      </c>
      <c r="M50" s="14" t="n">
        <v>-0.2632093933463797</v>
      </c>
      <c r="N50" s="14" t="n">
        <v>0.02749140893470781</v>
      </c>
      <c r="O50" s="14" t="n">
        <v>0.1475770925110133</v>
      </c>
      <c r="P50" s="14" t="n">
        <v>0.4195859872611467</v>
      </c>
      <c r="Q50" s="15" t="n">
        <v>0.4195859872611467</v>
      </c>
      <c r="R50" s="14" t="n">
        <v>0.8114209827357239</v>
      </c>
      <c r="S50" s="14" t="n">
        <v>0.794314381270903</v>
      </c>
      <c r="T50" s="14" t="n">
        <v>-0.2226487523992323</v>
      </c>
      <c r="U50" s="14" t="n">
        <v>-0.3039820527201347</v>
      </c>
      <c r="V50" s="15" t="n">
        <v>-0.3039820527201347</v>
      </c>
      <c r="W50" s="14" t="n">
        <v>-0.3614369501466276</v>
      </c>
      <c r="X50" s="14" t="n">
        <v>0.3010251630941286</v>
      </c>
      <c r="Y50" s="14" t="n">
        <v>0.5234567901234568</v>
      </c>
      <c r="Z50" s="14" t="n">
        <v>-0.05479452054794518</v>
      </c>
      <c r="AA50" s="15" t="n">
        <v>-0.05479452054794518</v>
      </c>
      <c r="AB50" s="14" t="n">
        <v>-0.5350172215843857</v>
      </c>
      <c r="AC50" s="14" t="n">
        <v>0.2535816618911175</v>
      </c>
      <c r="AD50" s="14" t="n">
        <v>1.530794165316045</v>
      </c>
      <c r="AE50" s="14" t="n">
        <v>2.839727195225916</v>
      </c>
      <c r="AF50" s="15" t="n">
        <v>2.839727195225916</v>
      </c>
      <c r="AG50" s="14" t="n">
        <v>3.202469135802469</v>
      </c>
      <c r="AH50" s="14" t="n">
        <v>0.3068571428571428</v>
      </c>
      <c r="AI50" s="14" t="n">
        <v>-0.213256484149856</v>
      </c>
      <c r="AJ50" s="14" t="n">
        <v>-0.2808614564831261</v>
      </c>
      <c r="AK50" s="15" t="n">
        <v>-0.2808614564831261</v>
      </c>
      <c r="AL50" s="14" t="n">
        <v>0.2567567567567569</v>
      </c>
      <c r="AM50" s="14" t="n">
        <v>-0.6414516834280717</v>
      </c>
      <c r="AN50" s="14" t="n">
        <v>-0.1452991452991453</v>
      </c>
      <c r="AO50" s="14" t="n">
        <v>0.1096017289286817</v>
      </c>
      <c r="AP50" s="15" t="n">
        <v>0.1096017289286817</v>
      </c>
      <c r="AQ50" s="14" t="n">
        <v>0.007480130902290764</v>
      </c>
      <c r="AR50" s="14" t="n">
        <v>1.965853658536585</v>
      </c>
      <c r="AS50" s="14" t="n">
        <v>0.2199999999999999</v>
      </c>
      <c r="AT50" s="14" t="n">
        <v>-0.01279910962715628</v>
      </c>
      <c r="AU50" s="15" t="n">
        <v>-0.01279910962715628</v>
      </c>
      <c r="AV50" s="14" t="n">
        <v>0.2686774941995358</v>
      </c>
      <c r="AW50" s="14" t="n">
        <v>-0.1504934210526316</v>
      </c>
      <c r="AX50" s="14" t="n">
        <v>-0.2701014832162373</v>
      </c>
      <c r="AY50" s="14" t="n">
        <v>-0.1716459977452087</v>
      </c>
      <c r="AZ50" s="15" t="n">
        <v>-0.1716459977452087</v>
      </c>
      <c r="BA50" s="14" t="n">
        <v>-0.2600585223116312</v>
      </c>
      <c r="BB50" s="14" t="n">
        <v>-0.2028073572120039</v>
      </c>
      <c r="BC50" s="14" t="n">
        <v>-0.1796791443850267</v>
      </c>
      <c r="BD50" s="14" t="n">
        <v>0.475331745491664</v>
      </c>
      <c r="BE50" s="15" t="n">
        <v>0.475331745491664</v>
      </c>
    </row>
    <row r="51" ht="16" customHeight="1">
      <c r="A51" s="21" t="inlineStr">
        <is>
          <t>BS</t>
        </is>
      </c>
      <c r="B51" s="22" t="inlineStr">
        <is>
          <t>Equity (Share Capital)</t>
        </is>
      </c>
      <c r="C51" s="23" t="n">
        <v>25.4</v>
      </c>
      <c r="D51" s="23" t="n">
        <v>25.4</v>
      </c>
      <c r="E51" s="23" t="n">
        <v>25.4</v>
      </c>
      <c r="F51" s="23" t="n">
        <v>25.4</v>
      </c>
      <c r="G51" s="9" t="n">
        <v>25.4</v>
      </c>
      <c r="H51" s="23" t="n">
        <v>25.4</v>
      </c>
      <c r="I51" s="23" t="n">
        <v>25.4</v>
      </c>
      <c r="J51" s="23" t="n">
        <v>25.4</v>
      </c>
      <c r="K51" s="23" t="n">
        <v>25.4</v>
      </c>
      <c r="L51" s="9" t="n">
        <v>25.4</v>
      </c>
      <c r="M51" s="23" t="n">
        <v>25.4</v>
      </c>
      <c r="N51" s="23" t="n">
        <v>25.4</v>
      </c>
      <c r="O51" s="23" t="n">
        <v>25.4</v>
      </c>
      <c r="P51" s="23" t="n">
        <v>25.4</v>
      </c>
      <c r="Q51" s="9" t="n">
        <v>25.4</v>
      </c>
      <c r="R51" s="23" t="n">
        <v>25.4</v>
      </c>
      <c r="S51" s="23" t="n">
        <v>25.4</v>
      </c>
      <c r="T51" s="23" t="n">
        <v>25.4</v>
      </c>
      <c r="U51" s="23" t="n">
        <v>25.4</v>
      </c>
      <c r="V51" s="9" t="n">
        <v>25.4</v>
      </c>
      <c r="W51" s="23" t="n">
        <v>25.4</v>
      </c>
      <c r="X51" s="23" t="n">
        <v>25.4</v>
      </c>
      <c r="Y51" s="23" t="n">
        <v>25.4</v>
      </c>
      <c r="Z51" s="23" t="n">
        <v>25.4</v>
      </c>
      <c r="AA51" s="9" t="n">
        <v>25.4</v>
      </c>
      <c r="AB51" s="23" t="n">
        <v>25.4</v>
      </c>
      <c r="AC51" s="23" t="n">
        <v>25.4</v>
      </c>
      <c r="AD51" s="23" t="n">
        <v>25.4</v>
      </c>
      <c r="AE51" s="23" t="n">
        <v>25.4</v>
      </c>
      <c r="AF51" s="9" t="n">
        <v>25.4</v>
      </c>
      <c r="AG51" s="23" t="n">
        <v>25.4</v>
      </c>
      <c r="AH51" s="23" t="n">
        <v>25.4</v>
      </c>
      <c r="AI51" s="23" t="n">
        <v>25.4</v>
      </c>
      <c r="AJ51" s="23" t="n">
        <v>25.4</v>
      </c>
      <c r="AK51" s="9" t="n">
        <v>25.4</v>
      </c>
      <c r="AL51" s="23" t="n">
        <v>25.4</v>
      </c>
      <c r="AM51" s="23" t="n">
        <v>25.4</v>
      </c>
      <c r="AN51" s="23" t="n">
        <v>25.4</v>
      </c>
      <c r="AO51" s="23" t="n">
        <v>25.4</v>
      </c>
      <c r="AP51" s="9" t="n">
        <v>25.4</v>
      </c>
      <c r="AQ51" s="23" t="n">
        <v>25.4</v>
      </c>
      <c r="AR51" s="23" t="n">
        <v>25.4</v>
      </c>
      <c r="AS51" s="23" t="n">
        <v>25.4</v>
      </c>
      <c r="AT51" s="23" t="n">
        <v>25.4</v>
      </c>
      <c r="AU51" s="9" t="n">
        <v>25.4</v>
      </c>
      <c r="AV51" s="23" t="n">
        <v>25.4</v>
      </c>
      <c r="AW51" s="23" t="n">
        <v>25.4</v>
      </c>
      <c r="AX51" s="23" t="n">
        <v>25.4</v>
      </c>
      <c r="AY51" s="23" t="n">
        <v>25.4</v>
      </c>
      <c r="AZ51" s="9" t="n">
        <v>25.4</v>
      </c>
      <c r="BA51" s="23" t="n">
        <v>25.4</v>
      </c>
      <c r="BB51" s="23" t="n">
        <v>25.4</v>
      </c>
      <c r="BC51" s="23" t="n">
        <v>25.4</v>
      </c>
      <c r="BD51" s="23" t="n">
        <v>25.4</v>
      </c>
      <c r="BE51" s="9" t="n">
        <v>25.4</v>
      </c>
    </row>
    <row r="52" ht="16" customHeight="1">
      <c r="A52" s="21" t="inlineStr">
        <is>
          <t>BS</t>
        </is>
      </c>
      <c r="B52" s="22" t="inlineStr">
        <is>
          <t>Reserve &amp; Surplus</t>
        </is>
      </c>
      <c r="C52" s="23" t="n">
        <v>1186.1</v>
      </c>
      <c r="D52" s="24" t="n"/>
      <c r="E52" s="24" t="n"/>
      <c r="F52" s="23" t="n">
        <v>1290.3</v>
      </c>
      <c r="G52" s="9" t="n">
        <v>1290.3</v>
      </c>
      <c r="H52" s="24" t="n"/>
      <c r="I52" s="24" t="n"/>
      <c r="J52" s="24" t="n"/>
      <c r="K52" s="23" t="n">
        <v>1670.3</v>
      </c>
      <c r="L52" s="9" t="n">
        <v>1670.3</v>
      </c>
      <c r="M52" s="24" t="n"/>
      <c r="N52" s="24" t="n"/>
      <c r="O52" s="24" t="n"/>
      <c r="P52" s="23" t="n">
        <v>1869.5</v>
      </c>
      <c r="Q52" s="9" t="n">
        <v>1869.5</v>
      </c>
      <c r="R52" s="24" t="n"/>
      <c r="S52" s="24" t="n"/>
      <c r="T52" s="24" t="n"/>
      <c r="U52" s="23" t="n">
        <v>2128.6</v>
      </c>
      <c r="V52" s="9" t="n">
        <v>2128.6</v>
      </c>
      <c r="W52" s="24" t="n"/>
      <c r="X52" s="24" t="n"/>
      <c r="Y52" s="24" t="n"/>
      <c r="Z52" s="23" t="n">
        <v>2235.8</v>
      </c>
      <c r="AA52" s="9" t="n">
        <v>2235.8</v>
      </c>
      <c r="AB52" s="24" t="n"/>
      <c r="AC52" s="24" t="n"/>
      <c r="AD52" s="24" t="n"/>
      <c r="AE52" s="23" t="n">
        <v>3143.8</v>
      </c>
      <c r="AF52" s="9" t="n">
        <v>3143.8</v>
      </c>
      <c r="AG52" s="24" t="n"/>
      <c r="AH52" s="24" t="n"/>
      <c r="AI52" s="24" t="n"/>
      <c r="AJ52" s="23" t="n">
        <v>3819</v>
      </c>
      <c r="AK52" s="9" t="n">
        <v>3819</v>
      </c>
      <c r="AL52" s="24" t="n"/>
      <c r="AM52" s="24" t="n"/>
      <c r="AN52" s="24" t="n"/>
      <c r="AO52" s="23" t="n">
        <v>4376.7</v>
      </c>
      <c r="AP52" s="9" t="n">
        <v>4376.7</v>
      </c>
      <c r="AQ52" s="24" t="n"/>
      <c r="AR52" s="24" t="n"/>
      <c r="AS52" s="24" t="n"/>
      <c r="AT52" s="23" t="n">
        <v>5083.4</v>
      </c>
      <c r="AU52" s="9" t="n">
        <v>5083.4</v>
      </c>
      <c r="AV52" s="24" t="n"/>
      <c r="AW52" s="24" t="n"/>
      <c r="AX52" s="24" t="n"/>
      <c r="AY52" s="23" t="n">
        <v>5635</v>
      </c>
      <c r="AZ52" s="9" t="n">
        <v>5635</v>
      </c>
      <c r="BA52" s="24" t="n"/>
      <c r="BB52" s="24" t="n"/>
      <c r="BC52" s="24" t="n"/>
      <c r="BD52" s="23" t="n">
        <v>6143.7</v>
      </c>
      <c r="BE52" s="9" t="n">
        <v>6143.7</v>
      </c>
    </row>
    <row r="53" ht="16" customHeight="1">
      <c r="A53" s="21" t="inlineStr">
        <is>
          <t>BS</t>
        </is>
      </c>
      <c r="B53" s="22" t="inlineStr">
        <is>
          <t>Debt</t>
        </is>
      </c>
      <c r="C53" s="23" t="n">
        <v>328.8</v>
      </c>
      <c r="D53" s="23" t="n">
        <v>0</v>
      </c>
      <c r="E53" s="23" t="n">
        <v>268.6</v>
      </c>
      <c r="F53" s="23" t="n">
        <v>227.9</v>
      </c>
      <c r="G53" s="9" t="n">
        <v>227.9</v>
      </c>
      <c r="H53" s="23" t="n">
        <v>0</v>
      </c>
      <c r="I53" s="23" t="n">
        <v>413.7</v>
      </c>
      <c r="J53" s="23" t="n">
        <v>0</v>
      </c>
      <c r="K53" s="23" t="n">
        <v>231.5</v>
      </c>
      <c r="L53" s="9" t="n">
        <v>231.5</v>
      </c>
      <c r="M53" s="23" t="n">
        <v>0</v>
      </c>
      <c r="N53" s="23" t="n">
        <v>398.8</v>
      </c>
      <c r="O53" s="23" t="n">
        <v>0</v>
      </c>
      <c r="P53" s="23" t="n">
        <v>232.4</v>
      </c>
      <c r="Q53" s="9" t="n">
        <v>232.4</v>
      </c>
      <c r="R53" s="23" t="n">
        <v>0</v>
      </c>
      <c r="S53" s="23" t="n">
        <v>235.3</v>
      </c>
      <c r="T53" s="23" t="n">
        <v>0</v>
      </c>
      <c r="U53" s="23" t="n">
        <v>162</v>
      </c>
      <c r="V53" s="9" t="n">
        <v>162</v>
      </c>
      <c r="W53" s="23" t="n">
        <v>0</v>
      </c>
      <c r="X53" s="23" t="n">
        <v>302.2</v>
      </c>
      <c r="Y53" s="23" t="n">
        <v>0</v>
      </c>
      <c r="Z53" s="23" t="n">
        <v>440.5</v>
      </c>
      <c r="AA53" s="9" t="n">
        <v>440.5</v>
      </c>
      <c r="AB53" s="23" t="n">
        <v>0</v>
      </c>
      <c r="AC53" s="23" t="n">
        <v>62.8</v>
      </c>
      <c r="AD53" s="23" t="n">
        <v>0</v>
      </c>
      <c r="AE53" s="23" t="n">
        <v>37.7</v>
      </c>
      <c r="AF53" s="9" t="n">
        <v>37.7</v>
      </c>
      <c r="AG53" s="23" t="n">
        <v>0</v>
      </c>
      <c r="AH53" s="23" t="n">
        <v>31.1</v>
      </c>
      <c r="AI53" s="23" t="n">
        <v>0</v>
      </c>
      <c r="AJ53" s="23" t="n">
        <v>45.7</v>
      </c>
      <c r="AK53" s="9" t="n">
        <v>45.7</v>
      </c>
      <c r="AL53" s="23" t="n">
        <v>0</v>
      </c>
      <c r="AM53" s="23" t="n">
        <v>42.1</v>
      </c>
      <c r="AN53" s="23" t="n">
        <v>0</v>
      </c>
      <c r="AO53" s="23" t="n">
        <v>51.2</v>
      </c>
      <c r="AP53" s="9" t="n">
        <v>51.2</v>
      </c>
      <c r="AQ53" s="23" t="n">
        <v>0</v>
      </c>
      <c r="AR53" s="23" t="n">
        <v>43.8</v>
      </c>
      <c r="AS53" s="23" t="n">
        <v>0</v>
      </c>
      <c r="AT53" s="23" t="n">
        <v>55</v>
      </c>
      <c r="AU53" s="9" t="n">
        <v>55</v>
      </c>
      <c r="AV53" s="23" t="n">
        <v>0</v>
      </c>
      <c r="AW53" s="23" t="n">
        <v>74.40000000000001</v>
      </c>
      <c r="AX53" s="23" t="n">
        <v>0</v>
      </c>
      <c r="AY53" s="23" t="n">
        <v>75.8</v>
      </c>
      <c r="AZ53" s="9" t="n">
        <v>75.8</v>
      </c>
      <c r="BA53" s="23" t="n">
        <v>0</v>
      </c>
      <c r="BB53" s="23" t="n">
        <v>322.1</v>
      </c>
      <c r="BC53" s="23" t="n">
        <v>0</v>
      </c>
      <c r="BD53" s="23" t="n">
        <v>90.80000000000001</v>
      </c>
      <c r="BE53" s="9" t="n">
        <v>90.80000000000001</v>
      </c>
    </row>
    <row r="54" ht="16" customHeight="1">
      <c r="A54" s="21" t="inlineStr">
        <is>
          <t>BS</t>
        </is>
      </c>
      <c r="B54" s="22" t="inlineStr">
        <is>
          <t>Cash Equivalents</t>
        </is>
      </c>
      <c r="C54" s="23" t="n">
        <v>181.8</v>
      </c>
      <c r="D54" s="24" t="n"/>
      <c r="E54" s="23" t="n">
        <v>26.2</v>
      </c>
      <c r="F54" s="23" t="n">
        <v>28.9</v>
      </c>
      <c r="G54" s="9" t="n">
        <v>28.9</v>
      </c>
      <c r="H54" s="24" t="n"/>
      <c r="I54" s="23" t="n">
        <v>17.6</v>
      </c>
      <c r="J54" s="24" t="n"/>
      <c r="K54" s="23" t="n">
        <v>79.8</v>
      </c>
      <c r="L54" s="9" t="n">
        <v>79.8</v>
      </c>
      <c r="M54" s="24" t="n"/>
      <c r="N54" s="23" t="n">
        <v>38.3</v>
      </c>
      <c r="O54" s="24" t="n"/>
      <c r="P54" s="23" t="n">
        <v>36.3</v>
      </c>
      <c r="Q54" s="9" t="n">
        <v>36.3</v>
      </c>
      <c r="R54" s="24" t="n"/>
      <c r="S54" s="23" t="n">
        <v>43.6</v>
      </c>
      <c r="T54" s="24" t="n"/>
      <c r="U54" s="23" t="n">
        <v>37.3</v>
      </c>
      <c r="V54" s="9" t="n">
        <v>37.3</v>
      </c>
      <c r="W54" s="24" t="n"/>
      <c r="X54" s="23" t="n">
        <v>124.1</v>
      </c>
      <c r="Y54" s="24" t="n"/>
      <c r="Z54" s="23" t="n">
        <v>231.4</v>
      </c>
      <c r="AA54" s="9" t="n">
        <v>231.4</v>
      </c>
      <c r="AB54" s="24" t="n"/>
      <c r="AC54" s="23" t="n">
        <v>282.7</v>
      </c>
      <c r="AD54" s="24" t="n"/>
      <c r="AE54" s="23" t="n">
        <v>768.4</v>
      </c>
      <c r="AF54" s="9" t="n">
        <v>768.4</v>
      </c>
      <c r="AG54" s="24" t="n"/>
      <c r="AH54" s="23" t="n">
        <v>338.5</v>
      </c>
      <c r="AI54" s="24" t="n"/>
      <c r="AJ54" s="23" t="n">
        <v>526.2</v>
      </c>
      <c r="AK54" s="9" t="n">
        <v>526.2</v>
      </c>
      <c r="AL54" s="24" t="n"/>
      <c r="AM54" s="23" t="n">
        <v>500.8</v>
      </c>
      <c r="AN54" s="24" t="n"/>
      <c r="AO54" s="23" t="n">
        <v>746.1</v>
      </c>
      <c r="AP54" s="9" t="n">
        <v>746.1</v>
      </c>
      <c r="AQ54" s="24" t="n"/>
      <c r="AR54" s="23" t="n">
        <v>590.9</v>
      </c>
      <c r="AS54" s="24" t="n"/>
      <c r="AT54" s="23" t="n">
        <v>1187.3</v>
      </c>
      <c r="AU54" s="9" t="n">
        <v>1187.3</v>
      </c>
      <c r="AV54" s="24" t="n"/>
      <c r="AW54" s="23" t="n">
        <v>683.4</v>
      </c>
      <c r="AX54" s="24" t="n"/>
      <c r="AY54" s="23" t="n">
        <v>952.5</v>
      </c>
      <c r="AZ54" s="9" t="n">
        <v>952.5</v>
      </c>
      <c r="BA54" s="24" t="n"/>
      <c r="BB54" s="23" t="n">
        <v>298.6</v>
      </c>
      <c r="BC54" s="24" t="n"/>
      <c r="BD54" s="23" t="n">
        <v>658.5</v>
      </c>
      <c r="BE54" s="9" t="n">
        <v>658.5</v>
      </c>
    </row>
    <row r="55" ht="16" customHeight="1">
      <c r="A55" s="21" t="inlineStr">
        <is>
          <t>BS</t>
        </is>
      </c>
      <c r="B55" s="22" t="inlineStr">
        <is>
          <t>Net Block</t>
        </is>
      </c>
      <c r="C55" s="23" t="n">
        <v>1132.3</v>
      </c>
      <c r="D55" s="24" t="n"/>
      <c r="E55" s="23" t="n">
        <v>1208.1</v>
      </c>
      <c r="F55" s="23" t="n">
        <v>1252.9</v>
      </c>
      <c r="G55" s="9" t="n">
        <v>1252.9</v>
      </c>
      <c r="H55" s="24" t="n"/>
      <c r="I55" s="23" t="n">
        <v>1264.8</v>
      </c>
      <c r="J55" s="24" t="n"/>
      <c r="K55" s="23" t="n">
        <v>1310</v>
      </c>
      <c r="L55" s="9" t="n">
        <v>1310</v>
      </c>
      <c r="M55" s="24" t="n"/>
      <c r="N55" s="23" t="n">
        <v>1354.7</v>
      </c>
      <c r="O55" s="24" t="n"/>
      <c r="P55" s="23" t="n">
        <v>1428.4</v>
      </c>
      <c r="Q55" s="9" t="n">
        <v>1428.4</v>
      </c>
      <c r="R55" s="24" t="n"/>
      <c r="S55" s="23" t="n">
        <v>1495.4</v>
      </c>
      <c r="T55" s="24" t="n"/>
      <c r="U55" s="23" t="n">
        <v>1611</v>
      </c>
      <c r="V55" s="9" t="n">
        <v>1611</v>
      </c>
      <c r="W55" s="24" t="n"/>
      <c r="X55" s="23" t="n">
        <v>1674.9</v>
      </c>
      <c r="Y55" s="24" t="n"/>
      <c r="Z55" s="23" t="n">
        <v>1700.7</v>
      </c>
      <c r="AA55" s="9" t="n">
        <v>1700.7</v>
      </c>
      <c r="AB55" s="24" t="n"/>
      <c r="AC55" s="23" t="n">
        <v>1699.3</v>
      </c>
      <c r="AD55" s="24" t="n"/>
      <c r="AE55" s="23" t="n">
        <v>1765.3</v>
      </c>
      <c r="AF55" s="9" t="n">
        <v>1765.3</v>
      </c>
      <c r="AG55" s="24" t="n"/>
      <c r="AH55" s="23" t="n">
        <v>1807.7</v>
      </c>
      <c r="AI55" s="24" t="n"/>
      <c r="AJ55" s="23" t="n">
        <v>1923.1</v>
      </c>
      <c r="AK55" s="9" t="n">
        <v>1923.1</v>
      </c>
      <c r="AL55" s="24" t="n"/>
      <c r="AM55" s="23" t="n">
        <v>2015</v>
      </c>
      <c r="AN55" s="24" t="n"/>
      <c r="AO55" s="23" t="n">
        <v>2148</v>
      </c>
      <c r="AP55" s="9" t="n">
        <v>2148</v>
      </c>
      <c r="AQ55" s="24" t="n"/>
      <c r="AR55" s="23" t="n">
        <v>2178.3</v>
      </c>
      <c r="AS55" s="24" t="n"/>
      <c r="AT55" s="23" t="n">
        <v>2466.8</v>
      </c>
      <c r="AU55" s="9" t="n">
        <v>2466.8</v>
      </c>
      <c r="AV55" s="24" t="n"/>
      <c r="AW55" s="23" t="n">
        <v>2603.9</v>
      </c>
      <c r="AX55" s="24" t="n"/>
      <c r="AY55" s="23" t="n">
        <v>3071.8</v>
      </c>
      <c r="AZ55" s="9" t="n">
        <v>3071.8</v>
      </c>
      <c r="BA55" s="24" t="n"/>
      <c r="BB55" s="23" t="n">
        <v>3524.3</v>
      </c>
      <c r="BC55" s="24" t="n"/>
      <c r="BD55" s="23" t="n">
        <v>3805.9</v>
      </c>
      <c r="BE55" s="9" t="n">
        <v>3805.9</v>
      </c>
    </row>
    <row r="56" ht="16" customHeight="1">
      <c r="A56" s="10" t="inlineStr">
        <is>
          <t>DERIVED</t>
        </is>
      </c>
      <c r="B56" s="11" t="inlineStr">
        <is>
          <t>Book Value (Rs.)</t>
        </is>
      </c>
      <c r="C56" s="19">
        <f>IF(C63=0,0,(C51+C52)/(C51/C63))</f>
        <v/>
      </c>
      <c r="D56" s="19">
        <f>IF(D63=0,0,(D51+D52)/(D51/D63))</f>
        <v/>
      </c>
      <c r="E56" s="19">
        <f>IF(E63=0,0,(E51+E52)/(E51/E63))</f>
        <v/>
      </c>
      <c r="F56" s="19">
        <f>IF(F63=0,0,(F51+F52)/(F51/F63))</f>
        <v/>
      </c>
      <c r="G56" s="9">
        <f>IF(G63=0,0,(G51+G52)/(G51/G63))</f>
        <v/>
      </c>
      <c r="H56" s="19">
        <f>IF(H63=0,0,(H51+H52)/(H51/H63))</f>
        <v/>
      </c>
      <c r="I56" s="19">
        <f>IF(I63=0,0,(I51+I52)/(I51/I63))</f>
        <v/>
      </c>
      <c r="J56" s="19">
        <f>IF(J63=0,0,(J51+J52)/(J51/J63))</f>
        <v/>
      </c>
      <c r="K56" s="19">
        <f>IF(K63=0,0,(K51+K52)/(K51/K63))</f>
        <v/>
      </c>
      <c r="L56" s="9">
        <f>IF(L63=0,0,(L51+L52)/(L51/L63))</f>
        <v/>
      </c>
      <c r="M56" s="19">
        <f>IF(M63=0,0,(M51+M52)/(M51/M63))</f>
        <v/>
      </c>
      <c r="N56" s="19">
        <f>IF(N63=0,0,(N51+N52)/(N51/N63))</f>
        <v/>
      </c>
      <c r="O56" s="19">
        <f>IF(O63=0,0,(O51+O52)/(O51/O63))</f>
        <v/>
      </c>
      <c r="P56" s="19">
        <f>IF(P63=0,0,(P51+P52)/(P51/P63))</f>
        <v/>
      </c>
      <c r="Q56" s="9">
        <f>IF(Q63=0,0,(Q51+Q52)/(Q51/Q63))</f>
        <v/>
      </c>
      <c r="R56" s="19">
        <f>IF(R63=0,0,(R51+R52)/(R51/R63))</f>
        <v/>
      </c>
      <c r="S56" s="19">
        <f>IF(S63=0,0,(S51+S52)/(S51/S63))</f>
        <v/>
      </c>
      <c r="T56" s="19">
        <f>IF(T63=0,0,(T51+T52)/(T51/T63))</f>
        <v/>
      </c>
      <c r="U56" s="19">
        <f>IF(U63=0,0,(U51+U52)/(U51/U63))</f>
        <v/>
      </c>
      <c r="V56" s="9">
        <f>IF(V63=0,0,(V51+V52)/(V51/V63))</f>
        <v/>
      </c>
      <c r="W56" s="19">
        <f>IF(W63=0,0,(W51+W52)/(W51/W63))</f>
        <v/>
      </c>
      <c r="X56" s="19">
        <f>IF(X63=0,0,(X51+X52)/(X51/X63))</f>
        <v/>
      </c>
      <c r="Y56" s="19">
        <f>IF(Y63=0,0,(Y51+Y52)/(Y51/Y63))</f>
        <v/>
      </c>
      <c r="Z56" s="19">
        <f>IF(Z63=0,0,(Z51+Z52)/(Z51/Z63))</f>
        <v/>
      </c>
      <c r="AA56" s="9">
        <f>IF(AA63=0,0,(AA51+AA52)/(AA51/AA63))</f>
        <v/>
      </c>
      <c r="AB56" s="19">
        <f>IF(AB63=0,0,(AB51+AB52)/(AB51/AB63))</f>
        <v/>
      </c>
      <c r="AC56" s="19">
        <f>IF(AC63=0,0,(AC51+AC52)/(AC51/AC63))</f>
        <v/>
      </c>
      <c r="AD56" s="19">
        <f>IF(AD63=0,0,(AD51+AD52)/(AD51/AD63))</f>
        <v/>
      </c>
      <c r="AE56" s="19">
        <f>IF(AE63=0,0,(AE51+AE52)/(AE51/AE63))</f>
        <v/>
      </c>
      <c r="AF56" s="9">
        <f>IF(AF63=0,0,(AF51+AF52)/(AF51/AF63))</f>
        <v/>
      </c>
      <c r="AG56" s="19">
        <f>IF(AG63=0,0,(AG51+AG52)/(AG51/AG63))</f>
        <v/>
      </c>
      <c r="AH56" s="19">
        <f>IF(AH63=0,0,(AH51+AH52)/(AH51/AH63))</f>
        <v/>
      </c>
      <c r="AI56" s="19">
        <f>IF(AI63=0,0,(AI51+AI52)/(AI51/AI63))</f>
        <v/>
      </c>
      <c r="AJ56" s="19">
        <f>IF(AJ63=0,0,(AJ51+AJ52)/(AJ51/AJ63))</f>
        <v/>
      </c>
      <c r="AK56" s="9">
        <f>IF(AK63=0,0,(AK51+AK52)/(AK51/AK63))</f>
        <v/>
      </c>
      <c r="AL56" s="19">
        <f>IF(AL63=0,0,(AL51+AL52)/(AL51/AL63))</f>
        <v/>
      </c>
      <c r="AM56" s="19">
        <f>IF(AM63=0,0,(AM51+AM52)/(AM51/AM63))</f>
        <v/>
      </c>
      <c r="AN56" s="19">
        <f>IF(AN63=0,0,(AN51+AN52)/(AN51/AN63))</f>
        <v/>
      </c>
      <c r="AO56" s="19">
        <f>IF(AO63=0,0,(AO51+AO52)/(AO51/AO63))</f>
        <v/>
      </c>
      <c r="AP56" s="9">
        <f>IF(AP63=0,0,(AP51+AP52)/(AP51/AP63))</f>
        <v/>
      </c>
      <c r="AQ56" s="19">
        <f>IF(AQ63=0,0,(AQ51+AQ52)/(AQ51/AQ63))</f>
        <v/>
      </c>
      <c r="AR56" s="19">
        <f>IF(AR63=0,0,(AR51+AR52)/(AR51/AR63))</f>
        <v/>
      </c>
      <c r="AS56" s="19">
        <f>IF(AS63=0,0,(AS51+AS52)/(AS51/AS63))</f>
        <v/>
      </c>
      <c r="AT56" s="19">
        <f>IF(AT63=0,0,(AT51+AT52)/(AT51/AT63))</f>
        <v/>
      </c>
      <c r="AU56" s="9">
        <f>IF(AU63=0,0,(AU51+AU52)/(AU51/AU63))</f>
        <v/>
      </c>
      <c r="AV56" s="19">
        <f>IF(AV63=0,0,(AV51+AV52)/(AV51/AV63))</f>
        <v/>
      </c>
      <c r="AW56" s="19">
        <f>IF(AW63=0,0,(AW51+AW52)/(AW51/AW63))</f>
        <v/>
      </c>
      <c r="AX56" s="19">
        <f>IF(AX63=0,0,(AX51+AX52)/(AX51/AX63))</f>
        <v/>
      </c>
      <c r="AY56" s="19">
        <f>IF(AY63=0,0,(AY51+AY52)/(AY51/AY63))</f>
        <v/>
      </c>
      <c r="AZ56" s="9">
        <f>IF(AZ63=0,0,(AZ51+AZ52)/(AZ51/AZ63))</f>
        <v/>
      </c>
      <c r="BA56" s="19">
        <f>IF(BA63=0,0,(BA51+BA52)/(BA51/BA63))</f>
        <v/>
      </c>
      <c r="BB56" s="19">
        <f>IF(BB63=0,0,(BB51+BB52)/(BB51/BB63))</f>
        <v/>
      </c>
      <c r="BC56" s="19">
        <f>IF(BC63=0,0,(BC51+BC52)/(BC51/BC63))</f>
        <v/>
      </c>
      <c r="BD56" s="19">
        <f>IF(BD63=0,0,(BD51+BD52)/(BD51/BD63))</f>
        <v/>
      </c>
      <c r="BE56" s="9">
        <f>IF(BE63=0,0,(BE51+BE52)/(BE51/BE63))</f>
        <v/>
      </c>
    </row>
    <row r="57" ht="16" customHeight="1">
      <c r="A57" s="25" t="inlineStr">
        <is>
          <t>RATIO</t>
        </is>
      </c>
      <c r="B57" s="26" t="inlineStr">
        <is>
          <t>EBITDA Margin (%)</t>
        </is>
      </c>
      <c r="C57" s="27">
        <f>C28/IF(C9=0,1,C9)</f>
        <v/>
      </c>
      <c r="D57" s="27">
        <f>D28/IF(D9=0,1,D9)</f>
        <v/>
      </c>
      <c r="E57" s="27">
        <f>E28/IF(E9=0,1,E9)</f>
        <v/>
      </c>
      <c r="F57" s="27">
        <f>F28/IF(F9=0,1,F9)</f>
        <v/>
      </c>
      <c r="G57" s="15">
        <f>G28/IF(G9=0,1,G9)</f>
        <v/>
      </c>
      <c r="H57" s="27">
        <f>H28/IF(H9=0,1,H9)</f>
        <v/>
      </c>
      <c r="I57" s="27">
        <f>I28/IF(I9=0,1,I9)</f>
        <v/>
      </c>
      <c r="J57" s="27">
        <f>J28/IF(J9=0,1,J9)</f>
        <v/>
      </c>
      <c r="K57" s="27">
        <f>K28/IF(K9=0,1,K9)</f>
        <v/>
      </c>
      <c r="L57" s="15">
        <f>L28/IF(L9=0,1,L9)</f>
        <v/>
      </c>
      <c r="M57" s="27">
        <f>M28/IF(M9=0,1,M9)</f>
        <v/>
      </c>
      <c r="N57" s="27">
        <f>N28/IF(N9=0,1,N9)</f>
        <v/>
      </c>
      <c r="O57" s="27">
        <f>O28/IF(O9=0,1,O9)</f>
        <v/>
      </c>
      <c r="P57" s="27">
        <f>P28/IF(P9=0,1,P9)</f>
        <v/>
      </c>
      <c r="Q57" s="15">
        <f>Q28/IF(Q9=0,1,Q9)</f>
        <v/>
      </c>
      <c r="R57" s="27">
        <f>R28/IF(R9=0,1,R9)</f>
        <v/>
      </c>
      <c r="S57" s="27">
        <f>S28/IF(S9=0,1,S9)</f>
        <v/>
      </c>
      <c r="T57" s="27">
        <f>T28/IF(T9=0,1,T9)</f>
        <v/>
      </c>
      <c r="U57" s="27">
        <f>U28/IF(U9=0,1,U9)</f>
        <v/>
      </c>
      <c r="V57" s="15">
        <f>V28/IF(V9=0,1,V9)</f>
        <v/>
      </c>
      <c r="W57" s="27">
        <f>W28/IF(W9=0,1,W9)</f>
        <v/>
      </c>
      <c r="X57" s="27">
        <f>X28/IF(X9=0,1,X9)</f>
        <v/>
      </c>
      <c r="Y57" s="27">
        <f>Y28/IF(Y9=0,1,Y9)</f>
        <v/>
      </c>
      <c r="Z57" s="27">
        <f>Z28/IF(Z9=0,1,Z9)</f>
        <v/>
      </c>
      <c r="AA57" s="15">
        <f>AA28/IF(AA9=0,1,AA9)</f>
        <v/>
      </c>
      <c r="AB57" s="27">
        <f>AB28/IF(AB9=0,1,AB9)</f>
        <v/>
      </c>
      <c r="AC57" s="27">
        <f>AC28/IF(AC9=0,1,AC9)</f>
        <v/>
      </c>
      <c r="AD57" s="27">
        <f>AD28/IF(AD9=0,1,AD9)</f>
        <v/>
      </c>
      <c r="AE57" s="27">
        <f>AE28/IF(AE9=0,1,AE9)</f>
        <v/>
      </c>
      <c r="AF57" s="15">
        <f>AF28/IF(AF9=0,1,AF9)</f>
        <v/>
      </c>
      <c r="AG57" s="27">
        <f>AG28/IF(AG9=0,1,AG9)</f>
        <v/>
      </c>
      <c r="AH57" s="27">
        <f>AH28/IF(AH9=0,1,AH9)</f>
        <v/>
      </c>
      <c r="AI57" s="27">
        <f>AI28/IF(AI9=0,1,AI9)</f>
        <v/>
      </c>
      <c r="AJ57" s="27">
        <f>AJ28/IF(AJ9=0,1,AJ9)</f>
        <v/>
      </c>
      <c r="AK57" s="15">
        <f>AK28/IF(AK9=0,1,AK9)</f>
        <v/>
      </c>
      <c r="AL57" s="27">
        <f>AL28/IF(AL9=0,1,AL9)</f>
        <v/>
      </c>
      <c r="AM57" s="27">
        <f>AM28/IF(AM9=0,1,AM9)</f>
        <v/>
      </c>
      <c r="AN57" s="27">
        <f>AN28/IF(AN9=0,1,AN9)</f>
        <v/>
      </c>
      <c r="AO57" s="27">
        <f>AO28/IF(AO9=0,1,AO9)</f>
        <v/>
      </c>
      <c r="AP57" s="15">
        <f>AP28/IF(AP9=0,1,AP9)</f>
        <v/>
      </c>
      <c r="AQ57" s="27">
        <f>AQ28/IF(AQ9=0,1,AQ9)</f>
        <v/>
      </c>
      <c r="AR57" s="27">
        <f>AR28/IF(AR9=0,1,AR9)</f>
        <v/>
      </c>
      <c r="AS57" s="27">
        <f>AS28/IF(AS9=0,1,AS9)</f>
        <v/>
      </c>
      <c r="AT57" s="27">
        <f>AT28/IF(AT9=0,1,AT9)</f>
        <v/>
      </c>
      <c r="AU57" s="15">
        <f>AU28/IF(AU9=0,1,AU9)</f>
        <v/>
      </c>
      <c r="AV57" s="27">
        <f>AV28/IF(AV9=0,1,AV9)</f>
        <v/>
      </c>
      <c r="AW57" s="27">
        <f>AW28/IF(AW9=0,1,AW9)</f>
        <v/>
      </c>
      <c r="AX57" s="27">
        <f>AX28/IF(AX9=0,1,AX9)</f>
        <v/>
      </c>
      <c r="AY57" s="27">
        <f>AY28/IF(AY9=0,1,AY9)</f>
        <v/>
      </c>
      <c r="AZ57" s="15">
        <f>AZ28/IF(AZ9=0,1,AZ9)</f>
        <v/>
      </c>
      <c r="BA57" s="27">
        <f>BA28/IF(BA9=0,1,BA9)</f>
        <v/>
      </c>
      <c r="BB57" s="27">
        <f>BB28/IF(BB9=0,1,BB9)</f>
        <v/>
      </c>
      <c r="BC57" s="27">
        <f>BC28/IF(BC9=0,1,BC9)</f>
        <v/>
      </c>
      <c r="BD57" s="27">
        <f>BD28/IF(BD9=0,1,BD9)</f>
        <v/>
      </c>
      <c r="BE57" s="15">
        <f>BE28/IF(BE9=0,1,BE9)</f>
        <v/>
      </c>
    </row>
    <row r="58" ht="16" customHeight="1">
      <c r="A58" s="25" t="inlineStr">
        <is>
          <t>RATIO</t>
        </is>
      </c>
      <c r="B58" s="26" t="inlineStr">
        <is>
          <t>Tax/PBT (%)</t>
        </is>
      </c>
      <c r="C58" s="27">
        <f>(C41+C43)/IF(C39=0,1,C39)</f>
        <v/>
      </c>
      <c r="D58" s="27">
        <f>(D41+D43)/IF(D39=0,1,D39)</f>
        <v/>
      </c>
      <c r="E58" s="27">
        <f>(E41+E43)/IF(E39=0,1,E39)</f>
        <v/>
      </c>
      <c r="F58" s="27">
        <f>(F41+F43)/IF(F39=0,1,F39)</f>
        <v/>
      </c>
      <c r="G58" s="15">
        <f>(G41+G43)/IF(G39=0,1,G39)</f>
        <v/>
      </c>
      <c r="H58" s="27">
        <f>(H41+H43)/IF(H39=0,1,H39)</f>
        <v/>
      </c>
      <c r="I58" s="27">
        <f>(I41+I43)/IF(I39=0,1,I39)</f>
        <v/>
      </c>
      <c r="J58" s="27">
        <f>(J41+J43)/IF(J39=0,1,J39)</f>
        <v/>
      </c>
      <c r="K58" s="27">
        <f>(K41+K43)/IF(K39=0,1,K39)</f>
        <v/>
      </c>
      <c r="L58" s="15">
        <f>(L41+L43)/IF(L39=0,1,L39)</f>
        <v/>
      </c>
      <c r="M58" s="27">
        <f>(M41+M43)/IF(M39=0,1,M39)</f>
        <v/>
      </c>
      <c r="N58" s="27">
        <f>(N41+N43)/IF(N39=0,1,N39)</f>
        <v/>
      </c>
      <c r="O58" s="27">
        <f>(O41+O43)/IF(O39=0,1,O39)</f>
        <v/>
      </c>
      <c r="P58" s="27">
        <f>(P41+P43)/IF(P39=0,1,P39)</f>
        <v/>
      </c>
      <c r="Q58" s="15">
        <f>(Q41+Q43)/IF(Q39=0,1,Q39)</f>
        <v/>
      </c>
      <c r="R58" s="27">
        <f>(R41+R43)/IF(R39=0,1,R39)</f>
        <v/>
      </c>
      <c r="S58" s="27">
        <f>(S41+S43)/IF(S39=0,1,S39)</f>
        <v/>
      </c>
      <c r="T58" s="27">
        <f>(T41+T43)/IF(T39=0,1,T39)</f>
        <v/>
      </c>
      <c r="U58" s="27">
        <f>(U41+U43)/IF(U39=0,1,U39)</f>
        <v/>
      </c>
      <c r="V58" s="15">
        <f>(V41+V43)/IF(V39=0,1,V39)</f>
        <v/>
      </c>
      <c r="W58" s="27">
        <f>(W41+W43)/IF(W39=0,1,W39)</f>
        <v/>
      </c>
      <c r="X58" s="27">
        <f>(X41+X43)/IF(X39=0,1,X39)</f>
        <v/>
      </c>
      <c r="Y58" s="27">
        <f>(Y41+Y43)/IF(Y39=0,1,Y39)</f>
        <v/>
      </c>
      <c r="Z58" s="27">
        <f>(Z41+Z43)/IF(Z39=0,1,Z39)</f>
        <v/>
      </c>
      <c r="AA58" s="15">
        <f>(AA41+AA43)/IF(AA39=0,1,AA39)</f>
        <v/>
      </c>
      <c r="AB58" s="27">
        <f>(AB41+AB43)/IF(AB39=0,1,AB39)</f>
        <v/>
      </c>
      <c r="AC58" s="27">
        <f>(AC41+AC43)/IF(AC39=0,1,AC39)</f>
        <v/>
      </c>
      <c r="AD58" s="27">
        <f>(AD41+AD43)/IF(AD39=0,1,AD39)</f>
        <v/>
      </c>
      <c r="AE58" s="27">
        <f>(AE41+AE43)/IF(AE39=0,1,AE39)</f>
        <v/>
      </c>
      <c r="AF58" s="15">
        <f>(AF41+AF43)/IF(AF39=0,1,AF39)</f>
        <v/>
      </c>
      <c r="AG58" s="27">
        <f>(AG41+AG43)/IF(AG39=0,1,AG39)</f>
        <v/>
      </c>
      <c r="AH58" s="27">
        <f>(AH41+AH43)/IF(AH39=0,1,AH39)</f>
        <v/>
      </c>
      <c r="AI58" s="27">
        <f>(AI41+AI43)/IF(AI39=0,1,AI39)</f>
        <v/>
      </c>
      <c r="AJ58" s="27">
        <f>(AJ41+AJ43)/IF(AJ39=0,1,AJ39)</f>
        <v/>
      </c>
      <c r="AK58" s="15">
        <f>(AK41+AK43)/IF(AK39=0,1,AK39)</f>
        <v/>
      </c>
      <c r="AL58" s="27">
        <f>(AL41+AL43)/IF(AL39=0,1,AL39)</f>
        <v/>
      </c>
      <c r="AM58" s="27">
        <f>(AM41+AM43)/IF(AM39=0,1,AM39)</f>
        <v/>
      </c>
      <c r="AN58" s="27">
        <f>(AN41+AN43)/IF(AN39=0,1,AN39)</f>
        <v/>
      </c>
      <c r="AO58" s="27">
        <f>(AO41+AO43)/IF(AO39=0,1,AO39)</f>
        <v/>
      </c>
      <c r="AP58" s="15">
        <f>(AP41+AP43)/IF(AP39=0,1,AP39)</f>
        <v/>
      </c>
      <c r="AQ58" s="27">
        <f>(AQ41+AQ43)/IF(AQ39=0,1,AQ39)</f>
        <v/>
      </c>
      <c r="AR58" s="27">
        <f>(AR41+AR43)/IF(AR39=0,1,AR39)</f>
        <v/>
      </c>
      <c r="AS58" s="27">
        <f>(AS41+AS43)/IF(AS39=0,1,AS39)</f>
        <v/>
      </c>
      <c r="AT58" s="27">
        <f>(AT41+AT43)/IF(AT39=0,1,AT39)</f>
        <v/>
      </c>
      <c r="AU58" s="15">
        <f>(AU41+AU43)/IF(AU39=0,1,AU39)</f>
        <v/>
      </c>
      <c r="AV58" s="27">
        <f>(AV41+AV43)/IF(AV39=0,1,AV39)</f>
        <v/>
      </c>
      <c r="AW58" s="27">
        <f>(AW41+AW43)/IF(AW39=0,1,AW39)</f>
        <v/>
      </c>
      <c r="AX58" s="27">
        <f>(AX41+AX43)/IF(AX39=0,1,AX39)</f>
        <v/>
      </c>
      <c r="AY58" s="27">
        <f>(AY41+AY43)/IF(AY39=0,1,AY39)</f>
        <v/>
      </c>
      <c r="AZ58" s="15">
        <f>(AZ41+AZ43)/IF(AZ39=0,1,AZ39)</f>
        <v/>
      </c>
      <c r="BA58" s="27">
        <f>(BA41+BA43)/IF(BA39=0,1,BA39)</f>
        <v/>
      </c>
      <c r="BB58" s="27">
        <f>(BB41+BB43)/IF(BB39=0,1,BB39)</f>
        <v/>
      </c>
      <c r="BC58" s="27">
        <f>(BC41+BC43)/IF(BC39=0,1,BC39)</f>
        <v/>
      </c>
      <c r="BD58" s="27">
        <f>(BD41+BD43)/IF(BD39=0,1,BD39)</f>
        <v/>
      </c>
      <c r="BE58" s="15">
        <f>(BE41+BE43)/IF(BE39=0,1,BE39)</f>
        <v/>
      </c>
    </row>
    <row r="59" ht="16" customHeight="1">
      <c r="A59" s="25" t="inlineStr">
        <is>
          <t>RATIO</t>
        </is>
      </c>
      <c r="B59" s="26" t="inlineStr">
        <is>
          <t>EPS (Rs.)</t>
        </is>
      </c>
      <c r="C59" s="28">
        <f>IF(C63=0,0,C49/(C51/C63))</f>
        <v/>
      </c>
      <c r="D59" s="28">
        <f>IF(D63=0,0,D49/(D51/D63))</f>
        <v/>
      </c>
      <c r="E59" s="28">
        <f>IF(E63=0,0,E49/(E51/E63))</f>
        <v/>
      </c>
      <c r="F59" s="28">
        <f>IF(F63=0,0,F49/(F51/F63))</f>
        <v/>
      </c>
      <c r="G59" s="9">
        <f>IF(G63=0,0,G49/(G51/G63))</f>
        <v/>
      </c>
      <c r="H59" s="28">
        <f>IF(H63=0,0,H49/(H51/H63))</f>
        <v/>
      </c>
      <c r="I59" s="28">
        <f>IF(I63=0,0,I49/(I51/I63))</f>
        <v/>
      </c>
      <c r="J59" s="28">
        <f>IF(J63=0,0,J49/(J51/J63))</f>
        <v/>
      </c>
      <c r="K59" s="28">
        <f>IF(K63=0,0,K49/(K51/K63))</f>
        <v/>
      </c>
      <c r="L59" s="9">
        <f>IF(L63=0,0,L49/(L51/L63))</f>
        <v/>
      </c>
      <c r="M59" s="28">
        <f>IF(M63=0,0,M49/(M51/M63))</f>
        <v/>
      </c>
      <c r="N59" s="28">
        <f>IF(N63=0,0,N49/(N51/N63))</f>
        <v/>
      </c>
      <c r="O59" s="28">
        <f>IF(O63=0,0,O49/(O51/O63))</f>
        <v/>
      </c>
      <c r="P59" s="28">
        <f>IF(P63=0,0,P49/(P51/P63))</f>
        <v/>
      </c>
      <c r="Q59" s="9">
        <f>IF(Q63=0,0,Q49/(Q51/Q63))</f>
        <v/>
      </c>
      <c r="R59" s="28">
        <f>IF(R63=0,0,R49/(R51/R63))</f>
        <v/>
      </c>
      <c r="S59" s="28">
        <f>IF(S63=0,0,S49/(S51/S63))</f>
        <v/>
      </c>
      <c r="T59" s="28">
        <f>IF(T63=0,0,T49/(T51/T63))</f>
        <v/>
      </c>
      <c r="U59" s="28">
        <f>IF(U63=0,0,U49/(U51/U63))</f>
        <v/>
      </c>
      <c r="V59" s="9">
        <f>IF(V63=0,0,V49/(V51/V63))</f>
        <v/>
      </c>
      <c r="W59" s="28">
        <f>IF(W63=0,0,W49/(W51/W63))</f>
        <v/>
      </c>
      <c r="X59" s="28">
        <f>IF(X63=0,0,X49/(X51/X63))</f>
        <v/>
      </c>
      <c r="Y59" s="28">
        <f>IF(Y63=0,0,Y49/(Y51/Y63))</f>
        <v/>
      </c>
      <c r="Z59" s="28">
        <f>IF(Z63=0,0,Z49/(Z51/Z63))</f>
        <v/>
      </c>
      <c r="AA59" s="9">
        <f>IF(AA63=0,0,AA49/(AA51/AA63))</f>
        <v/>
      </c>
      <c r="AB59" s="28">
        <f>IF(AB63=0,0,AB49/(AB51/AB63))</f>
        <v/>
      </c>
      <c r="AC59" s="28">
        <f>IF(AC63=0,0,AC49/(AC51/AC63))</f>
        <v/>
      </c>
      <c r="AD59" s="28">
        <f>IF(AD63=0,0,AD49/(AD51/AD63))</f>
        <v/>
      </c>
      <c r="AE59" s="28">
        <f>IF(AE63=0,0,AE49/(AE51/AE63))</f>
        <v/>
      </c>
      <c r="AF59" s="9">
        <f>IF(AF63=0,0,AF49/(AF51/AF63))</f>
        <v/>
      </c>
      <c r="AG59" s="28">
        <f>IF(AG63=0,0,AG49/(AG51/AG63))</f>
        <v/>
      </c>
      <c r="AH59" s="28">
        <f>IF(AH63=0,0,AH49/(AH51/AH63))</f>
        <v/>
      </c>
      <c r="AI59" s="28">
        <f>IF(AI63=0,0,AI49/(AI51/AI63))</f>
        <v/>
      </c>
      <c r="AJ59" s="28">
        <f>IF(AJ63=0,0,AJ49/(AJ51/AJ63))</f>
        <v/>
      </c>
      <c r="AK59" s="9">
        <f>IF(AK63=0,0,AK49/(AK51/AK63))</f>
        <v/>
      </c>
      <c r="AL59" s="28">
        <f>IF(AL63=0,0,AL49/(AL51/AL63))</f>
        <v/>
      </c>
      <c r="AM59" s="28">
        <f>IF(AM63=0,0,AM49/(AM51/AM63))</f>
        <v/>
      </c>
      <c r="AN59" s="28">
        <f>IF(AN63=0,0,AN49/(AN51/AN63))</f>
        <v/>
      </c>
      <c r="AO59" s="28">
        <f>IF(AO63=0,0,AO49/(AO51/AO63))</f>
        <v/>
      </c>
      <c r="AP59" s="9">
        <f>IF(AP63=0,0,AP49/(AP51/AP63))</f>
        <v/>
      </c>
      <c r="AQ59" s="28">
        <f>IF(AQ63=0,0,AQ49/(AQ51/AQ63))</f>
        <v/>
      </c>
      <c r="AR59" s="28">
        <f>IF(AR63=0,0,AR49/(AR51/AR63))</f>
        <v/>
      </c>
      <c r="AS59" s="28">
        <f>IF(AS63=0,0,AS49/(AS51/AS63))</f>
        <v/>
      </c>
      <c r="AT59" s="28">
        <f>IF(AT63=0,0,AT49/(AT51/AT63))</f>
        <v/>
      </c>
      <c r="AU59" s="9">
        <f>IF(AU63=0,0,AU49/(AU51/AU63))</f>
        <v/>
      </c>
      <c r="AV59" s="28">
        <f>IF(AV63=0,0,AV49/(AV51/AV63))</f>
        <v/>
      </c>
      <c r="AW59" s="28">
        <f>IF(AW63=0,0,AW49/(AW51/AW63))</f>
        <v/>
      </c>
      <c r="AX59" s="28">
        <f>IF(AX63=0,0,AX49/(AX51/AX63))</f>
        <v/>
      </c>
      <c r="AY59" s="28">
        <f>IF(AY63=0,0,AY49/(AY51/AY63))</f>
        <v/>
      </c>
      <c r="AZ59" s="9">
        <f>IF(AZ63=0,0,AZ49/(AZ51/AZ63))</f>
        <v/>
      </c>
      <c r="BA59" s="28">
        <f>IF(BA63=0,0,BA49/(BA51/BA63))</f>
        <v/>
      </c>
      <c r="BB59" s="28">
        <f>IF(BB63=0,0,BB49/(BB51/BB63))</f>
        <v/>
      </c>
      <c r="BC59" s="28">
        <f>IF(BC63=0,0,BC49/(BC51/BC63))</f>
        <v/>
      </c>
      <c r="BD59" s="28">
        <f>IF(BD63=0,0,BD49/(BD51/BD63))</f>
        <v/>
      </c>
      <c r="BE59" s="9">
        <f>IF(BE63=0,0,BE49/(BE51/BE63))</f>
        <v/>
      </c>
    </row>
    <row r="60" ht="16" customHeight="1">
      <c r="A60" s="25" t="inlineStr">
        <is>
          <t>RATIO</t>
        </is>
      </c>
      <c r="B60" s="26" t="inlineStr">
        <is>
          <t>D:E Ratio</t>
        </is>
      </c>
      <c r="C60" s="27">
        <f>C53/IF((C51+C52)=0,1,(C51+C52))</f>
        <v/>
      </c>
      <c r="D60" s="27">
        <f>D53/IF((D51+D52)=0,1,(D51+D52))</f>
        <v/>
      </c>
      <c r="E60" s="27">
        <f>E53/IF((E51+E52)=0,1,(E51+E52))</f>
        <v/>
      </c>
      <c r="F60" s="27">
        <f>F53/IF((F51+F52)=0,1,(F51+F52))</f>
        <v/>
      </c>
      <c r="G60" s="15">
        <f>G53/IF((G51+G52)=0,1,(G51+G52))</f>
        <v/>
      </c>
      <c r="H60" s="27">
        <f>H53/IF((H51+H52)=0,1,(H51+H52))</f>
        <v/>
      </c>
      <c r="I60" s="27">
        <f>I53/IF((I51+I52)=0,1,(I51+I52))</f>
        <v/>
      </c>
      <c r="J60" s="27">
        <f>J53/IF((J51+J52)=0,1,(J51+J52))</f>
        <v/>
      </c>
      <c r="K60" s="27">
        <f>K53/IF((K51+K52)=0,1,(K51+K52))</f>
        <v/>
      </c>
      <c r="L60" s="15">
        <f>L53/IF((L51+L52)=0,1,(L51+L52))</f>
        <v/>
      </c>
      <c r="M60" s="27">
        <f>M53/IF((M51+M52)=0,1,(M51+M52))</f>
        <v/>
      </c>
      <c r="N60" s="27">
        <f>N53/IF((N51+N52)=0,1,(N51+N52))</f>
        <v/>
      </c>
      <c r="O60" s="27">
        <f>O53/IF((O51+O52)=0,1,(O51+O52))</f>
        <v/>
      </c>
      <c r="P60" s="27">
        <f>P53/IF((P51+P52)=0,1,(P51+P52))</f>
        <v/>
      </c>
      <c r="Q60" s="15">
        <f>Q53/IF((Q51+Q52)=0,1,(Q51+Q52))</f>
        <v/>
      </c>
      <c r="R60" s="27">
        <f>R53/IF((R51+R52)=0,1,(R51+R52))</f>
        <v/>
      </c>
      <c r="S60" s="27">
        <f>S53/IF((S51+S52)=0,1,(S51+S52))</f>
        <v/>
      </c>
      <c r="T60" s="27">
        <f>T53/IF((T51+T52)=0,1,(T51+T52))</f>
        <v/>
      </c>
      <c r="U60" s="27">
        <f>U53/IF((U51+U52)=0,1,(U51+U52))</f>
        <v/>
      </c>
      <c r="V60" s="15">
        <f>V53/IF((V51+V52)=0,1,(V51+V52))</f>
        <v/>
      </c>
      <c r="W60" s="27">
        <f>W53/IF((W51+W52)=0,1,(W51+W52))</f>
        <v/>
      </c>
      <c r="X60" s="27">
        <f>X53/IF((X51+X52)=0,1,(X51+X52))</f>
        <v/>
      </c>
      <c r="Y60" s="27">
        <f>Y53/IF((Y51+Y52)=0,1,(Y51+Y52))</f>
        <v/>
      </c>
      <c r="Z60" s="27">
        <f>Z53/IF((Z51+Z52)=0,1,(Z51+Z52))</f>
        <v/>
      </c>
      <c r="AA60" s="15">
        <f>AA53/IF((AA51+AA52)=0,1,(AA51+AA52))</f>
        <v/>
      </c>
      <c r="AB60" s="27">
        <f>AB53/IF((AB51+AB52)=0,1,(AB51+AB52))</f>
        <v/>
      </c>
      <c r="AC60" s="27">
        <f>AC53/IF((AC51+AC52)=0,1,(AC51+AC52))</f>
        <v/>
      </c>
      <c r="AD60" s="27">
        <f>AD53/IF((AD51+AD52)=0,1,(AD51+AD52))</f>
        <v/>
      </c>
      <c r="AE60" s="27">
        <f>AE53/IF((AE51+AE52)=0,1,(AE51+AE52))</f>
        <v/>
      </c>
      <c r="AF60" s="15">
        <f>AF53/IF((AF51+AF52)=0,1,(AF51+AF52))</f>
        <v/>
      </c>
      <c r="AG60" s="27">
        <f>AG53/IF((AG51+AG52)=0,1,(AG51+AG52))</f>
        <v/>
      </c>
      <c r="AH60" s="27">
        <f>AH53/IF((AH51+AH52)=0,1,(AH51+AH52))</f>
        <v/>
      </c>
      <c r="AI60" s="27">
        <f>AI53/IF((AI51+AI52)=0,1,(AI51+AI52))</f>
        <v/>
      </c>
      <c r="AJ60" s="27">
        <f>AJ53/IF((AJ51+AJ52)=0,1,(AJ51+AJ52))</f>
        <v/>
      </c>
      <c r="AK60" s="15">
        <f>AK53/IF((AK51+AK52)=0,1,(AK51+AK52))</f>
        <v/>
      </c>
      <c r="AL60" s="27">
        <f>AL53/IF((AL51+AL52)=0,1,(AL51+AL52))</f>
        <v/>
      </c>
      <c r="AM60" s="27">
        <f>AM53/IF((AM51+AM52)=0,1,(AM51+AM52))</f>
        <v/>
      </c>
      <c r="AN60" s="27">
        <f>AN53/IF((AN51+AN52)=0,1,(AN51+AN52))</f>
        <v/>
      </c>
      <c r="AO60" s="27">
        <f>AO53/IF((AO51+AO52)=0,1,(AO51+AO52))</f>
        <v/>
      </c>
      <c r="AP60" s="15">
        <f>AP53/IF((AP51+AP52)=0,1,(AP51+AP52))</f>
        <v/>
      </c>
      <c r="AQ60" s="27">
        <f>AQ53/IF((AQ51+AQ52)=0,1,(AQ51+AQ52))</f>
        <v/>
      </c>
      <c r="AR60" s="27">
        <f>AR53/IF((AR51+AR52)=0,1,(AR51+AR52))</f>
        <v/>
      </c>
      <c r="AS60" s="27">
        <f>AS53/IF((AS51+AS52)=0,1,(AS51+AS52))</f>
        <v/>
      </c>
      <c r="AT60" s="27">
        <f>AT53/IF((AT51+AT52)=0,1,(AT51+AT52))</f>
        <v/>
      </c>
      <c r="AU60" s="15">
        <f>AU53/IF((AU51+AU52)=0,1,(AU51+AU52))</f>
        <v/>
      </c>
      <c r="AV60" s="27">
        <f>AV53/IF((AV51+AV52)=0,1,(AV51+AV52))</f>
        <v/>
      </c>
      <c r="AW60" s="27">
        <f>AW53/IF((AW51+AW52)=0,1,(AW51+AW52))</f>
        <v/>
      </c>
      <c r="AX60" s="27">
        <f>AX53/IF((AX51+AX52)=0,1,(AX51+AX52))</f>
        <v/>
      </c>
      <c r="AY60" s="27">
        <f>AY53/IF((AY51+AY52)=0,1,(AY51+AY52))</f>
        <v/>
      </c>
      <c r="AZ60" s="15">
        <f>AZ53/IF((AZ51+AZ52)=0,1,(AZ51+AZ52))</f>
        <v/>
      </c>
      <c r="BA60" s="27">
        <f>BA53/IF((BA51+BA52)=0,1,(BA51+BA52))</f>
        <v/>
      </c>
      <c r="BB60" s="27">
        <f>BB53/IF((BB51+BB52)=0,1,(BB51+BB52))</f>
        <v/>
      </c>
      <c r="BC60" s="27">
        <f>BC53/IF((BC51+BC52)=0,1,(BC51+BC52))</f>
        <v/>
      </c>
      <c r="BD60" s="27">
        <f>BD53/IF((BD51+BD52)=0,1,(BD51+BD52))</f>
        <v/>
      </c>
      <c r="BE60" s="15">
        <f>BE53/IF((BE51+BE52)=0,1,(BE51+BE52))</f>
        <v/>
      </c>
    </row>
    <row r="61" ht="16" customHeight="1">
      <c r="A61" s="25" t="inlineStr">
        <is>
          <t>RATIO</t>
        </is>
      </c>
      <c r="B61" s="26" t="inlineStr">
        <is>
          <t>ROE (%)</t>
        </is>
      </c>
      <c r="C61" s="27">
        <f>C49/IF((C51+C52)=0,1,(C51+C52))</f>
        <v/>
      </c>
      <c r="D61" s="27">
        <f>D49/IF((D51+D52)=0,1,(D51+D52))</f>
        <v/>
      </c>
      <c r="E61" s="27">
        <f>E49/IF((E51+E52)=0,1,(E51+E52))</f>
        <v/>
      </c>
      <c r="F61" s="27">
        <f>F49/IF((F51+F52)=0,1,(F51+F52))</f>
        <v/>
      </c>
      <c r="G61" s="15">
        <f>G49/IF((G51+G52)=0,1,(G51+G52))</f>
        <v/>
      </c>
      <c r="H61" s="27">
        <f>H49/IF((H51+H52)=0,1,(H51+H52))</f>
        <v/>
      </c>
      <c r="I61" s="27">
        <f>I49/IF((I51+I52)=0,1,(I51+I52))</f>
        <v/>
      </c>
      <c r="J61" s="27">
        <f>J49/IF((J51+J52)=0,1,(J51+J52))</f>
        <v/>
      </c>
      <c r="K61" s="27">
        <f>K49/IF((K51+K52)=0,1,(K51+K52))</f>
        <v/>
      </c>
      <c r="L61" s="15">
        <f>L49/IF((L51+L52)=0,1,(L51+L52))</f>
        <v/>
      </c>
      <c r="M61" s="27">
        <f>M49/IF((M51+M52)=0,1,(M51+M52))</f>
        <v/>
      </c>
      <c r="N61" s="27">
        <f>N49/IF((N51+N52)=0,1,(N51+N52))</f>
        <v/>
      </c>
      <c r="O61" s="27">
        <f>O49/IF((O51+O52)=0,1,(O51+O52))</f>
        <v/>
      </c>
      <c r="P61" s="27">
        <f>P49/IF((P51+P52)=0,1,(P51+P52))</f>
        <v/>
      </c>
      <c r="Q61" s="15">
        <f>Q49/IF((Q51+Q52)=0,1,(Q51+Q52))</f>
        <v/>
      </c>
      <c r="R61" s="27">
        <f>R49/IF((R51+R52)=0,1,(R51+R52))</f>
        <v/>
      </c>
      <c r="S61" s="27">
        <f>S49/IF((S51+S52)=0,1,(S51+S52))</f>
        <v/>
      </c>
      <c r="T61" s="27">
        <f>T49/IF((T51+T52)=0,1,(T51+T52))</f>
        <v/>
      </c>
      <c r="U61" s="27">
        <f>U49/IF((U51+U52)=0,1,(U51+U52))</f>
        <v/>
      </c>
      <c r="V61" s="15">
        <f>V49/IF((V51+V52)=0,1,(V51+V52))</f>
        <v/>
      </c>
      <c r="W61" s="27">
        <f>W49/IF((W51+W52)=0,1,(W51+W52))</f>
        <v/>
      </c>
      <c r="X61" s="27">
        <f>X49/IF((X51+X52)=0,1,(X51+X52))</f>
        <v/>
      </c>
      <c r="Y61" s="27">
        <f>Y49/IF((Y51+Y52)=0,1,(Y51+Y52))</f>
        <v/>
      </c>
      <c r="Z61" s="27">
        <f>Z49/IF((Z51+Z52)=0,1,(Z51+Z52))</f>
        <v/>
      </c>
      <c r="AA61" s="15">
        <f>AA49/IF((AA51+AA52)=0,1,(AA51+AA52))</f>
        <v/>
      </c>
      <c r="AB61" s="27">
        <f>AB49/IF((AB51+AB52)=0,1,(AB51+AB52))</f>
        <v/>
      </c>
      <c r="AC61" s="27">
        <f>AC49/IF((AC51+AC52)=0,1,(AC51+AC52))</f>
        <v/>
      </c>
      <c r="AD61" s="27">
        <f>AD49/IF((AD51+AD52)=0,1,(AD51+AD52))</f>
        <v/>
      </c>
      <c r="AE61" s="27">
        <f>AE49/IF((AE51+AE52)=0,1,(AE51+AE52))</f>
        <v/>
      </c>
      <c r="AF61" s="15">
        <f>AF49/IF((AF51+AF52)=0,1,(AF51+AF52))</f>
        <v/>
      </c>
      <c r="AG61" s="27">
        <f>AG49/IF((AG51+AG52)=0,1,(AG51+AG52))</f>
        <v/>
      </c>
      <c r="AH61" s="27">
        <f>AH49/IF((AH51+AH52)=0,1,(AH51+AH52))</f>
        <v/>
      </c>
      <c r="AI61" s="27">
        <f>AI49/IF((AI51+AI52)=0,1,(AI51+AI52))</f>
        <v/>
      </c>
      <c r="AJ61" s="27">
        <f>AJ49/IF((AJ51+AJ52)=0,1,(AJ51+AJ52))</f>
        <v/>
      </c>
      <c r="AK61" s="15">
        <f>AK49/IF((AK51+AK52)=0,1,(AK51+AK52))</f>
        <v/>
      </c>
      <c r="AL61" s="27">
        <f>AL49/IF((AL51+AL52)=0,1,(AL51+AL52))</f>
        <v/>
      </c>
      <c r="AM61" s="27">
        <f>AM49/IF((AM51+AM52)=0,1,(AM51+AM52))</f>
        <v/>
      </c>
      <c r="AN61" s="27">
        <f>AN49/IF((AN51+AN52)=0,1,(AN51+AN52))</f>
        <v/>
      </c>
      <c r="AO61" s="27">
        <f>AO49/IF((AO51+AO52)=0,1,(AO51+AO52))</f>
        <v/>
      </c>
      <c r="AP61" s="15">
        <f>AP49/IF((AP51+AP52)=0,1,(AP51+AP52))</f>
        <v/>
      </c>
      <c r="AQ61" s="27">
        <f>AQ49/IF((AQ51+AQ52)=0,1,(AQ51+AQ52))</f>
        <v/>
      </c>
      <c r="AR61" s="27">
        <f>AR49/IF((AR51+AR52)=0,1,(AR51+AR52))</f>
        <v/>
      </c>
      <c r="AS61" s="27">
        <f>AS49/IF((AS51+AS52)=0,1,(AS51+AS52))</f>
        <v/>
      </c>
      <c r="AT61" s="27">
        <f>AT49/IF((AT51+AT52)=0,1,(AT51+AT52))</f>
        <v/>
      </c>
      <c r="AU61" s="15">
        <f>AU49/IF((AU51+AU52)=0,1,(AU51+AU52))</f>
        <v/>
      </c>
      <c r="AV61" s="27">
        <f>AV49/IF((AV51+AV52)=0,1,(AV51+AV52))</f>
        <v/>
      </c>
      <c r="AW61" s="27">
        <f>AW49/IF((AW51+AW52)=0,1,(AW51+AW52))</f>
        <v/>
      </c>
      <c r="AX61" s="27">
        <f>AX49/IF((AX51+AX52)=0,1,(AX51+AX52))</f>
        <v/>
      </c>
      <c r="AY61" s="27">
        <f>AY49/IF((AY51+AY52)=0,1,(AY51+AY52))</f>
        <v/>
      </c>
      <c r="AZ61" s="15">
        <f>AZ49/IF((AZ51+AZ52)=0,1,(AZ51+AZ52))</f>
        <v/>
      </c>
      <c r="BA61" s="27">
        <f>BA49/IF((BA51+BA52)=0,1,(BA51+BA52))</f>
        <v/>
      </c>
      <c r="BB61" s="27">
        <f>BB49/IF((BB51+BB52)=0,1,(BB51+BB52))</f>
        <v/>
      </c>
      <c r="BC61" s="27">
        <f>BC49/IF((BC51+BC52)=0,1,(BC51+BC52))</f>
        <v/>
      </c>
      <c r="BD61" s="27">
        <f>BD49/IF((BD51+BD52)=0,1,(BD51+BD52))</f>
        <v/>
      </c>
      <c r="BE61" s="15">
        <f>BE49/IF((BE51+BE52)=0,1,(BE51+BE52))</f>
        <v/>
      </c>
    </row>
    <row r="62" ht="16" customHeight="1">
      <c r="A62" s="25" t="inlineStr">
        <is>
          <t>RATIO</t>
        </is>
      </c>
      <c r="B62" s="26" t="inlineStr">
        <is>
          <t>ROCE (%)</t>
        </is>
      </c>
      <c r="C62" s="27" t="n">
        <v>0.1163409725378173</v>
      </c>
      <c r="D62" s="27" t="n">
        <v>0.8700787401574768</v>
      </c>
      <c r="E62" s="27" t="n">
        <v>0.2986394557823133</v>
      </c>
      <c r="F62" s="27" t="n">
        <v>0.09082663902565426</v>
      </c>
      <c r="G62" s="15" t="n">
        <v>0.09082663902565426</v>
      </c>
      <c r="H62" s="27" t="n">
        <v>5.035433070866136</v>
      </c>
      <c r="I62" s="27" t="n">
        <v>0.1355044409018446</v>
      </c>
      <c r="J62" s="27" t="n">
        <v>4.26377952755906</v>
      </c>
      <c r="K62" s="27" t="n">
        <v>0.08172478206724773</v>
      </c>
      <c r="L62" s="15" t="n">
        <v>0.08172478206724773</v>
      </c>
      <c r="M62" s="27" t="n">
        <v>3.05118110236221</v>
      </c>
      <c r="N62" s="27" t="n">
        <v>0.1395568128241393</v>
      </c>
      <c r="O62" s="27" t="n">
        <v>4.417322834645669</v>
      </c>
      <c r="P62" s="27" t="n">
        <v>0.09589620645889148</v>
      </c>
      <c r="Q62" s="15" t="n">
        <v>0.09589620645889148</v>
      </c>
      <c r="R62" s="27" t="n">
        <v>3.948818897637795</v>
      </c>
      <c r="S62" s="27" t="n">
        <v>0.3064825469888759</v>
      </c>
      <c r="T62" s="27" t="n">
        <v>3.330708661417328</v>
      </c>
      <c r="U62" s="27" t="n">
        <v>-0.01282383419689111</v>
      </c>
      <c r="V62" s="15" t="n">
        <v>-0.01282383419689111</v>
      </c>
      <c r="W62" s="27" t="n">
        <v>2.688976377952754</v>
      </c>
      <c r="X62" s="27" t="n">
        <v>0.06043956043956087</v>
      </c>
      <c r="Y62" s="27" t="n">
        <v>4.641732283464562</v>
      </c>
      <c r="Z62" s="27" t="n">
        <v>0.005441018617907207</v>
      </c>
      <c r="AA62" s="15" t="n">
        <v>0.005441018617907207</v>
      </c>
      <c r="AB62" s="27" t="n">
        <v>0.6102362204724437</v>
      </c>
      <c r="AC62" s="27" t="n">
        <v>1.138321995464852</v>
      </c>
      <c r="AD62" s="27" t="n">
        <v>11.48425196850394</v>
      </c>
      <c r="AE62" s="27" t="n">
        <v>0.07539991892481827</v>
      </c>
      <c r="AF62" s="15" t="n">
        <v>0.07539991892481827</v>
      </c>
      <c r="AG62" s="27" t="n">
        <v>4.322834645669286</v>
      </c>
      <c r="AH62" s="27" t="n">
        <v>2.481415929203538</v>
      </c>
      <c r="AI62" s="27" t="n">
        <v>7.988188976377947</v>
      </c>
      <c r="AJ62" s="27" t="n">
        <v>0.02650317472558544</v>
      </c>
      <c r="AK62" s="15" t="n">
        <v>0.02650317472558544</v>
      </c>
      <c r="AL62" s="27" t="n">
        <v>5.728346456692916</v>
      </c>
      <c r="AM62" s="27" t="n">
        <v>-0.6548148148148155</v>
      </c>
      <c r="AN62" s="27" t="n">
        <v>6.842519685039367</v>
      </c>
      <c r="AO62" s="27" t="n">
        <v>0.0325152134372264</v>
      </c>
      <c r="AP62" s="15" t="n">
        <v>0.0325152134372264</v>
      </c>
      <c r="AQ62" s="27" t="n">
        <v>6.98818897637795</v>
      </c>
      <c r="AR62" s="27" t="n">
        <v>2.02745664739884</v>
      </c>
      <c r="AS62" s="27" t="n">
        <v>8.834645669291335</v>
      </c>
      <c r="AT62" s="27" t="n">
        <v>0.02228978659127</v>
      </c>
      <c r="AU62" s="15" t="n">
        <v>0.02228978659127</v>
      </c>
      <c r="AV62" s="27" t="n">
        <v>8.476377952755913</v>
      </c>
      <c r="AW62" s="27" t="n">
        <v>0.5340681362725446</v>
      </c>
      <c r="AX62" s="27" t="n">
        <v>4.968503937007874</v>
      </c>
      <c r="AY62" s="27" t="n">
        <v>-0.005874969491998176</v>
      </c>
      <c r="AZ62" s="15" t="n">
        <v>-0.005874969491998176</v>
      </c>
      <c r="BA62" s="27" t="n">
        <v>5.228346456692903</v>
      </c>
      <c r="BB62" s="27" t="n">
        <v>-0.01237410071942474</v>
      </c>
      <c r="BC62" s="27" t="n">
        <v>3.728346456692925</v>
      </c>
      <c r="BD62" s="27" t="n">
        <v>0.01174140161983414</v>
      </c>
      <c r="BE62" s="15" t="n">
        <v>0.01174140161983414</v>
      </c>
    </row>
    <row r="63" ht="16" customHeight="1">
      <c r="A63" s="21" t="inlineStr">
        <is>
          <t>BS</t>
        </is>
      </c>
      <c r="B63" s="22" t="inlineStr">
        <is>
          <t>Face Value (Rs.)</t>
        </is>
      </c>
      <c r="C63" s="23" t="n">
        <v>10</v>
      </c>
      <c r="D63" s="23" t="n">
        <v>2</v>
      </c>
      <c r="E63" s="23" t="n">
        <v>2</v>
      </c>
      <c r="F63" s="23" t="n">
        <v>2</v>
      </c>
      <c r="G63" s="9" t="n">
        <v>2</v>
      </c>
      <c r="H63" s="23" t="n">
        <v>2</v>
      </c>
      <c r="I63" s="23" t="n">
        <v>2</v>
      </c>
      <c r="J63" s="23" t="n">
        <v>2</v>
      </c>
      <c r="K63" s="23" t="n">
        <v>2</v>
      </c>
      <c r="L63" s="9" t="n">
        <v>2</v>
      </c>
      <c r="M63" s="23" t="n">
        <v>2</v>
      </c>
      <c r="N63" s="23" t="n">
        <v>2</v>
      </c>
      <c r="O63" s="23" t="n">
        <v>2</v>
      </c>
      <c r="P63" s="23" t="n">
        <v>2</v>
      </c>
      <c r="Q63" s="9" t="n">
        <v>2</v>
      </c>
      <c r="R63" s="23" t="n">
        <v>2</v>
      </c>
      <c r="S63" s="23" t="n">
        <v>2</v>
      </c>
      <c r="T63" s="23" t="n">
        <v>2</v>
      </c>
      <c r="U63" s="23" t="n">
        <v>2</v>
      </c>
      <c r="V63" s="9" t="n">
        <v>2</v>
      </c>
      <c r="W63" s="23" t="n">
        <v>2</v>
      </c>
      <c r="X63" s="23" t="n">
        <v>2</v>
      </c>
      <c r="Y63" s="23" t="n">
        <v>2</v>
      </c>
      <c r="Z63" s="23" t="n">
        <v>2</v>
      </c>
      <c r="AA63" s="9" t="n">
        <v>2</v>
      </c>
      <c r="AB63" s="23" t="n">
        <v>2</v>
      </c>
      <c r="AC63" s="23" t="n">
        <v>2</v>
      </c>
      <c r="AD63" s="23" t="n">
        <v>2</v>
      </c>
      <c r="AE63" s="23" t="n">
        <v>2</v>
      </c>
      <c r="AF63" s="9" t="n">
        <v>2</v>
      </c>
      <c r="AG63" s="23" t="n">
        <v>2</v>
      </c>
      <c r="AH63" s="23" t="n">
        <v>2</v>
      </c>
      <c r="AI63" s="23" t="n">
        <v>2</v>
      </c>
      <c r="AJ63" s="23" t="n">
        <v>2</v>
      </c>
      <c r="AK63" s="9" t="n">
        <v>2</v>
      </c>
      <c r="AL63" s="23" t="n">
        <v>2</v>
      </c>
      <c r="AM63" s="23" t="n">
        <v>2</v>
      </c>
      <c r="AN63" s="23" t="n">
        <v>2</v>
      </c>
      <c r="AO63" s="23" t="n">
        <v>2</v>
      </c>
      <c r="AP63" s="9" t="n">
        <v>2</v>
      </c>
      <c r="AQ63" s="23" t="n">
        <v>2</v>
      </c>
      <c r="AR63" s="23" t="n">
        <v>2</v>
      </c>
      <c r="AS63" s="23" t="n">
        <v>2</v>
      </c>
      <c r="AT63" s="23" t="n">
        <v>2</v>
      </c>
      <c r="AU63" s="9" t="n">
        <v>2</v>
      </c>
      <c r="AV63" s="23" t="n">
        <v>2</v>
      </c>
      <c r="AW63" s="23" t="n">
        <v>2</v>
      </c>
      <c r="AX63" s="23" t="n">
        <v>2</v>
      </c>
      <c r="AY63" s="23" t="n">
        <v>2</v>
      </c>
      <c r="AZ63" s="9" t="n">
        <v>2</v>
      </c>
      <c r="BA63" s="23" t="n">
        <v>2</v>
      </c>
      <c r="BB63" s="23" t="n">
        <v>2</v>
      </c>
      <c r="BC63" s="23" t="n">
        <v>2</v>
      </c>
      <c r="BD63" s="23" t="n">
        <v>2</v>
      </c>
      <c r="BE63" s="9" t="n">
        <v>2</v>
      </c>
    </row>
    <row r="64" ht="16" customHeight="1">
      <c r="A64" s="21" t="inlineStr">
        <is>
          <t>BS</t>
        </is>
      </c>
      <c r="B64" s="22" t="inlineStr">
        <is>
          <t>No. of Shares (Cr.)</t>
        </is>
      </c>
      <c r="C64" s="23" t="n">
        <v>2.54</v>
      </c>
      <c r="D64" s="23" t="n">
        <v>12.7</v>
      </c>
      <c r="E64" s="23" t="n">
        <v>12.7</v>
      </c>
      <c r="F64" s="23" t="n">
        <v>12.7</v>
      </c>
      <c r="G64" s="9" t="n">
        <v>12.7</v>
      </c>
      <c r="H64" s="23" t="n">
        <v>12.7</v>
      </c>
      <c r="I64" s="23" t="n">
        <v>12.7</v>
      </c>
      <c r="J64" s="23" t="n">
        <v>12.7</v>
      </c>
      <c r="K64" s="23" t="n">
        <v>12.7</v>
      </c>
      <c r="L64" s="9" t="n">
        <v>12.7</v>
      </c>
      <c r="M64" s="23" t="n">
        <v>12.7</v>
      </c>
      <c r="N64" s="23" t="n">
        <v>12.7</v>
      </c>
      <c r="O64" s="23" t="n">
        <v>12.7</v>
      </c>
      <c r="P64" s="23" t="n">
        <v>12.7</v>
      </c>
      <c r="Q64" s="9" t="n">
        <v>12.7</v>
      </c>
      <c r="R64" s="23" t="n">
        <v>12.7</v>
      </c>
      <c r="S64" s="23" t="n">
        <v>12.7</v>
      </c>
      <c r="T64" s="23" t="n">
        <v>12.7</v>
      </c>
      <c r="U64" s="23" t="n">
        <v>12.7</v>
      </c>
      <c r="V64" s="9" t="n">
        <v>12.7</v>
      </c>
      <c r="W64" s="23" t="n">
        <v>12.7</v>
      </c>
      <c r="X64" s="23" t="n">
        <v>12.7</v>
      </c>
      <c r="Y64" s="23" t="n">
        <v>12.7</v>
      </c>
      <c r="Z64" s="23" t="n">
        <v>12.7</v>
      </c>
      <c r="AA64" s="9" t="n">
        <v>12.7</v>
      </c>
      <c r="AB64" s="23" t="n">
        <v>12.7</v>
      </c>
      <c r="AC64" s="23" t="n">
        <v>12.7</v>
      </c>
      <c r="AD64" s="23" t="n">
        <v>12.7</v>
      </c>
      <c r="AE64" s="23" t="n">
        <v>12.7</v>
      </c>
      <c r="AF64" s="9" t="n">
        <v>12.7</v>
      </c>
      <c r="AG64" s="23" t="n">
        <v>12.7</v>
      </c>
      <c r="AH64" s="23" t="n">
        <v>12.7</v>
      </c>
      <c r="AI64" s="23" t="n">
        <v>12.7</v>
      </c>
      <c r="AJ64" s="23" t="n">
        <v>12.7</v>
      </c>
      <c r="AK64" s="9" t="n">
        <v>12.7</v>
      </c>
      <c r="AL64" s="23" t="n">
        <v>12.7</v>
      </c>
      <c r="AM64" s="23" t="n">
        <v>12.7</v>
      </c>
      <c r="AN64" s="23" t="n">
        <v>12.7</v>
      </c>
      <c r="AO64" s="23" t="n">
        <v>12.7</v>
      </c>
      <c r="AP64" s="9" t="n">
        <v>12.7</v>
      </c>
      <c r="AQ64" s="23" t="n">
        <v>12.7</v>
      </c>
      <c r="AR64" s="23" t="n">
        <v>12.7</v>
      </c>
      <c r="AS64" s="23" t="n">
        <v>12.7</v>
      </c>
      <c r="AT64" s="23" t="n">
        <v>12.7</v>
      </c>
      <c r="AU64" s="9" t="n">
        <v>12.7</v>
      </c>
      <c r="AV64" s="23" t="n">
        <v>12.7</v>
      </c>
      <c r="AW64" s="23" t="n">
        <v>12.7</v>
      </c>
      <c r="AX64" s="23" t="n">
        <v>12.7</v>
      </c>
      <c r="AY64" s="23" t="n">
        <v>12.7</v>
      </c>
      <c r="AZ64" s="9" t="n">
        <v>12.7</v>
      </c>
      <c r="BA64" s="23" t="n">
        <v>12.7</v>
      </c>
      <c r="BB64" s="23" t="n">
        <v>12.7</v>
      </c>
      <c r="BC64" s="23" t="n">
        <v>12.7</v>
      </c>
      <c r="BD64" s="23" t="n">
        <v>12.7</v>
      </c>
      <c r="BE64" s="9" t="n">
        <v>12.7</v>
      </c>
    </row>
    <row r="65" ht="16" customHeight="1">
      <c r="A65" s="16" t="inlineStr"/>
      <c r="B65" s="17" t="inlineStr">
        <is>
          <t>CMP (Rs.)</t>
        </is>
      </c>
      <c r="C65" s="18" t="n"/>
      <c r="D65" s="18" t="n"/>
      <c r="E65" s="18" t="n"/>
      <c r="F65" s="18" t="n"/>
      <c r="G65" s="13" t="n"/>
      <c r="H65" s="18" t="n"/>
      <c r="I65" s="18" t="n"/>
      <c r="J65" s="18" t="n"/>
      <c r="K65" s="18" t="n"/>
      <c r="L65" s="13" t="n"/>
      <c r="M65" s="18" t="n"/>
      <c r="N65" s="18" t="n"/>
      <c r="O65" s="18" t="n"/>
      <c r="P65" s="18" t="n"/>
      <c r="Q65" s="13" t="n"/>
      <c r="R65" s="18" t="n"/>
      <c r="S65" s="18" t="n"/>
      <c r="T65" s="18" t="n"/>
      <c r="U65" s="18" t="n"/>
      <c r="V65" s="13" t="n"/>
      <c r="W65" s="18" t="n"/>
      <c r="X65" s="18" t="n"/>
      <c r="Y65" s="18" t="n"/>
      <c r="Z65" s="18" t="n"/>
      <c r="AA65" s="13" t="n"/>
      <c r="AB65" s="18" t="n"/>
      <c r="AC65" s="18" t="n"/>
      <c r="AD65" s="18" t="n"/>
      <c r="AE65" s="18" t="n"/>
      <c r="AF65" s="13" t="n"/>
      <c r="AG65" s="18" t="n"/>
      <c r="AH65" s="18" t="n"/>
      <c r="AI65" s="18" t="n"/>
      <c r="AJ65" s="18" t="n"/>
      <c r="AK65" s="13" t="n"/>
      <c r="AL65" s="18" t="n"/>
      <c r="AM65" s="18" t="n"/>
      <c r="AN65" s="18" t="n"/>
      <c r="AO65" s="18" t="n"/>
      <c r="AP65" s="13" t="n"/>
      <c r="AQ65" s="18" t="n"/>
      <c r="AR65" s="18" t="n"/>
      <c r="AS65" s="18" t="n"/>
      <c r="AT65" s="18" t="n"/>
      <c r="AU65" s="13" t="n"/>
      <c r="AV65" s="18" t="n"/>
      <c r="AW65" s="18" t="n"/>
      <c r="AX65" s="18" t="n"/>
      <c r="AY65" s="18" t="n"/>
      <c r="AZ65" s="13" t="n"/>
      <c r="BA65" s="18" t="n"/>
      <c r="BB65" s="18" t="n"/>
      <c r="BC65" s="18" t="n"/>
      <c r="BD65" s="18" t="n"/>
      <c r="BE65" s="13" t="n"/>
    </row>
    <row r="66" ht="16" customHeight="1">
      <c r="A66" s="16" t="inlineStr"/>
      <c r="B66" s="17" t="inlineStr">
        <is>
          <t>Market Cap (Rs. Cr.)</t>
        </is>
      </c>
      <c r="C66" s="18" t="n"/>
      <c r="D66" s="18" t="n"/>
      <c r="E66" s="18" t="n"/>
      <c r="F66" s="18" t="n"/>
      <c r="G66" s="13" t="n"/>
      <c r="H66" s="18" t="n"/>
      <c r="I66" s="18" t="n"/>
      <c r="J66" s="18" t="n"/>
      <c r="K66" s="18" t="n"/>
      <c r="L66" s="13" t="n"/>
      <c r="M66" s="18" t="n"/>
      <c r="N66" s="18" t="n"/>
      <c r="O66" s="18" t="n"/>
      <c r="P66" s="18" t="n"/>
      <c r="Q66" s="13" t="n"/>
      <c r="R66" s="18" t="n"/>
      <c r="S66" s="18" t="n"/>
      <c r="T66" s="18" t="n"/>
      <c r="U66" s="18" t="n"/>
      <c r="V66" s="13" t="n"/>
      <c r="W66" s="18" t="n"/>
      <c r="X66" s="18" t="n"/>
      <c r="Y66" s="18" t="n"/>
      <c r="Z66" s="18" t="n"/>
      <c r="AA66" s="13" t="n"/>
      <c r="AB66" s="18" t="n"/>
      <c r="AC66" s="18" t="n"/>
      <c r="AD66" s="18" t="n"/>
      <c r="AE66" s="18" t="n"/>
      <c r="AF66" s="13" t="n"/>
      <c r="AG66" s="18" t="n"/>
      <c r="AH66" s="18" t="n"/>
      <c r="AI66" s="18" t="n"/>
      <c r="AJ66" s="18" t="n"/>
      <c r="AK66" s="13" t="n"/>
      <c r="AL66" s="18" t="n"/>
      <c r="AM66" s="18" t="n"/>
      <c r="AN66" s="18" t="n"/>
      <c r="AO66" s="18" t="n"/>
      <c r="AP66" s="13" t="n"/>
      <c r="AQ66" s="18" t="n"/>
      <c r="AR66" s="18" t="n"/>
      <c r="AS66" s="18" t="n"/>
      <c r="AT66" s="18" t="n"/>
      <c r="AU66" s="13" t="n"/>
      <c r="AV66" s="18" t="n"/>
      <c r="AW66" s="18" t="n"/>
      <c r="AX66" s="18" t="n"/>
      <c r="AY66" s="18" t="n"/>
      <c r="AZ66" s="13" t="n"/>
      <c r="BA66" s="18" t="n"/>
      <c r="BB66" s="18" t="n"/>
      <c r="BC66" s="18" t="n"/>
      <c r="BD66" s="18" t="n"/>
      <c r="BE66" s="13" t="n"/>
    </row>
    <row r="67" ht="16" customHeight="1">
      <c r="A67" s="16" t="inlineStr"/>
      <c r="B67" s="17" t="inlineStr">
        <is>
          <t>PE (x)</t>
        </is>
      </c>
      <c r="C67" s="18" t="n"/>
      <c r="D67" s="18" t="n"/>
      <c r="E67" s="18" t="n"/>
      <c r="F67" s="18" t="n"/>
      <c r="G67" s="13" t="n"/>
      <c r="H67" s="18" t="n"/>
      <c r="I67" s="18" t="n"/>
      <c r="J67" s="18" t="n"/>
      <c r="K67" s="18" t="n"/>
      <c r="L67" s="13" t="n"/>
      <c r="M67" s="18" t="n"/>
      <c r="N67" s="18" t="n"/>
      <c r="O67" s="18" t="n"/>
      <c r="P67" s="18" t="n"/>
      <c r="Q67" s="13" t="n"/>
      <c r="R67" s="18" t="n"/>
      <c r="S67" s="18" t="n"/>
      <c r="T67" s="18" t="n"/>
      <c r="U67" s="18" t="n"/>
      <c r="V67" s="13" t="n"/>
      <c r="W67" s="18" t="n"/>
      <c r="X67" s="18" t="n"/>
      <c r="Y67" s="18" t="n"/>
      <c r="Z67" s="18" t="n"/>
      <c r="AA67" s="13" t="n"/>
      <c r="AB67" s="18" t="n"/>
      <c r="AC67" s="18" t="n"/>
      <c r="AD67" s="18" t="n"/>
      <c r="AE67" s="18" t="n"/>
      <c r="AF67" s="13" t="n"/>
      <c r="AG67" s="18" t="n"/>
      <c r="AH67" s="18" t="n"/>
      <c r="AI67" s="18" t="n"/>
      <c r="AJ67" s="18" t="n"/>
      <c r="AK67" s="13" t="n"/>
      <c r="AL67" s="18" t="n"/>
      <c r="AM67" s="18" t="n"/>
      <c r="AN67" s="18" t="n"/>
      <c r="AO67" s="18" t="n"/>
      <c r="AP67" s="13" t="n"/>
      <c r="AQ67" s="18" t="n"/>
      <c r="AR67" s="18" t="n"/>
      <c r="AS67" s="18" t="n"/>
      <c r="AT67" s="18" t="n"/>
      <c r="AU67" s="13" t="n"/>
      <c r="AV67" s="18" t="n"/>
      <c r="AW67" s="18" t="n"/>
      <c r="AX67" s="18" t="n"/>
      <c r="AY67" s="18" t="n"/>
      <c r="AZ67" s="13" t="n"/>
      <c r="BA67" s="18" t="n"/>
      <c r="BB67" s="18" t="n"/>
      <c r="BC67" s="18" t="n"/>
      <c r="BD67" s="18" t="n"/>
      <c r="BE67" s="13" t="n"/>
    </row>
    <row r="68" ht="16" customHeight="1">
      <c r="A68" s="16" t="inlineStr"/>
      <c r="B68" s="17" t="inlineStr">
        <is>
          <t>Target Multiple (x)</t>
        </is>
      </c>
      <c r="C68" s="18" t="n"/>
      <c r="D68" s="18" t="n"/>
      <c r="E68" s="18" t="n"/>
      <c r="F68" s="18" t="n"/>
      <c r="G68" s="13" t="n"/>
      <c r="H68" s="18" t="n"/>
      <c r="I68" s="18" t="n"/>
      <c r="J68" s="18" t="n"/>
      <c r="K68" s="18" t="n"/>
      <c r="L68" s="13" t="n"/>
      <c r="M68" s="18" t="n"/>
      <c r="N68" s="18" t="n"/>
      <c r="O68" s="18" t="n"/>
      <c r="P68" s="18" t="n"/>
      <c r="Q68" s="13" t="n"/>
      <c r="R68" s="18" t="n"/>
      <c r="S68" s="18" t="n"/>
      <c r="T68" s="18" t="n"/>
      <c r="U68" s="18" t="n"/>
      <c r="V68" s="13" t="n"/>
      <c r="W68" s="18" t="n"/>
      <c r="X68" s="18" t="n"/>
      <c r="Y68" s="18" t="n"/>
      <c r="Z68" s="18" t="n"/>
      <c r="AA68" s="13" t="n"/>
      <c r="AB68" s="18" t="n"/>
      <c r="AC68" s="18" t="n"/>
      <c r="AD68" s="18" t="n"/>
      <c r="AE68" s="18" t="n"/>
      <c r="AF68" s="13" t="n"/>
      <c r="AG68" s="18" t="n"/>
      <c r="AH68" s="18" t="n"/>
      <c r="AI68" s="18" t="n"/>
      <c r="AJ68" s="18" t="n"/>
      <c r="AK68" s="13" t="n"/>
      <c r="AL68" s="18" t="n"/>
      <c r="AM68" s="18" t="n"/>
      <c r="AN68" s="18" t="n"/>
      <c r="AO68" s="18" t="n"/>
      <c r="AP68" s="13" t="n"/>
      <c r="AQ68" s="18" t="n"/>
      <c r="AR68" s="18" t="n"/>
      <c r="AS68" s="18" t="n"/>
      <c r="AT68" s="18" t="n"/>
      <c r="AU68" s="13" t="n"/>
      <c r="AV68" s="18" t="n"/>
      <c r="AW68" s="18" t="n"/>
      <c r="AX68" s="18" t="n"/>
      <c r="AY68" s="18" t="n"/>
      <c r="AZ68" s="13" t="n"/>
      <c r="BA68" s="18" t="n"/>
      <c r="BB68" s="18" t="n"/>
      <c r="BC68" s="18" t="n"/>
      <c r="BD68" s="18" t="n"/>
      <c r="BE68" s="13" t="n"/>
    </row>
    <row r="69" ht="16" customHeight="1">
      <c r="A69" s="16" t="inlineStr"/>
      <c r="B69" s="17" t="inlineStr">
        <is>
          <t>Target Price (Rs.)</t>
        </is>
      </c>
      <c r="C69" s="18" t="n"/>
      <c r="D69" s="18" t="n"/>
      <c r="E69" s="18" t="n"/>
      <c r="F69" s="18" t="n"/>
      <c r="G69" s="13" t="n"/>
      <c r="H69" s="18" t="n"/>
      <c r="I69" s="18" t="n"/>
      <c r="J69" s="18" t="n"/>
      <c r="K69" s="18" t="n"/>
      <c r="L69" s="13" t="n"/>
      <c r="M69" s="18" t="n"/>
      <c r="N69" s="18" t="n"/>
      <c r="O69" s="18" t="n"/>
      <c r="P69" s="18" t="n"/>
      <c r="Q69" s="13" t="n"/>
      <c r="R69" s="18" t="n"/>
      <c r="S69" s="18" t="n"/>
      <c r="T69" s="18" t="n"/>
      <c r="U69" s="18" t="n"/>
      <c r="V69" s="13" t="n"/>
      <c r="W69" s="18" t="n"/>
      <c r="X69" s="18" t="n"/>
      <c r="Y69" s="18" t="n"/>
      <c r="Z69" s="18" t="n"/>
      <c r="AA69" s="13" t="n"/>
      <c r="AB69" s="18" t="n"/>
      <c r="AC69" s="18" t="n"/>
      <c r="AD69" s="18" t="n"/>
      <c r="AE69" s="18" t="n"/>
      <c r="AF69" s="13" t="n"/>
      <c r="AG69" s="18" t="n"/>
      <c r="AH69" s="18" t="n"/>
      <c r="AI69" s="18" t="n"/>
      <c r="AJ69" s="18" t="n"/>
      <c r="AK69" s="13" t="n"/>
      <c r="AL69" s="18" t="n"/>
      <c r="AM69" s="18" t="n"/>
      <c r="AN69" s="18" t="n"/>
      <c r="AO69" s="18" t="n"/>
      <c r="AP69" s="13" t="n"/>
      <c r="AQ69" s="18" t="n"/>
      <c r="AR69" s="18" t="n"/>
      <c r="AS69" s="18" t="n"/>
      <c r="AT69" s="18" t="n"/>
      <c r="AU69" s="13" t="n"/>
      <c r="AV69" s="18" t="n"/>
      <c r="AW69" s="18" t="n"/>
      <c r="AX69" s="18" t="n"/>
      <c r="AY69" s="18" t="n"/>
      <c r="AZ69" s="13" t="n"/>
      <c r="BA69" s="18" t="n"/>
      <c r="BB69" s="18" t="n"/>
      <c r="BC69" s="18" t="n"/>
      <c r="BD69" s="18" t="n"/>
      <c r="BE69" s="13" t="n"/>
    </row>
    <row r="70" ht="16" customHeight="1">
      <c r="A70" s="16" t="inlineStr"/>
      <c r="B70" s="17" t="inlineStr">
        <is>
          <t>Upside (%)</t>
        </is>
      </c>
      <c r="C70" s="18" t="n"/>
      <c r="D70" s="18" t="n"/>
      <c r="E70" s="18" t="n"/>
      <c r="F70" s="18" t="n"/>
      <c r="G70" s="13" t="n"/>
      <c r="H70" s="18" t="n"/>
      <c r="I70" s="18" t="n"/>
      <c r="J70" s="18" t="n"/>
      <c r="K70" s="18" t="n"/>
      <c r="L70" s="13" t="n"/>
      <c r="M70" s="18" t="n"/>
      <c r="N70" s="18" t="n"/>
      <c r="O70" s="18" t="n"/>
      <c r="P70" s="18" t="n"/>
      <c r="Q70" s="13" t="n"/>
      <c r="R70" s="18" t="n"/>
      <c r="S70" s="18" t="n"/>
      <c r="T70" s="18" t="n"/>
      <c r="U70" s="18" t="n"/>
      <c r="V70" s="13" t="n"/>
      <c r="W70" s="18" t="n"/>
      <c r="X70" s="18" t="n"/>
      <c r="Y70" s="18" t="n"/>
      <c r="Z70" s="18" t="n"/>
      <c r="AA70" s="13" t="n"/>
      <c r="AB70" s="18" t="n"/>
      <c r="AC70" s="18" t="n"/>
      <c r="AD70" s="18" t="n"/>
      <c r="AE70" s="18" t="n"/>
      <c r="AF70" s="13" t="n"/>
      <c r="AG70" s="18" t="n"/>
      <c r="AH70" s="18" t="n"/>
      <c r="AI70" s="18" t="n"/>
      <c r="AJ70" s="18" t="n"/>
      <c r="AK70" s="13" t="n"/>
      <c r="AL70" s="18" t="n"/>
      <c r="AM70" s="18" t="n"/>
      <c r="AN70" s="18" t="n"/>
      <c r="AO70" s="18" t="n"/>
      <c r="AP70" s="13" t="n"/>
      <c r="AQ70" s="18" t="n"/>
      <c r="AR70" s="18" t="n"/>
      <c r="AS70" s="18" t="n"/>
      <c r="AT70" s="18" t="n"/>
      <c r="AU70" s="13" t="n"/>
      <c r="AV70" s="18" t="n"/>
      <c r="AW70" s="18" t="n"/>
      <c r="AX70" s="18" t="n"/>
      <c r="AY70" s="18" t="n"/>
      <c r="AZ70" s="13" t="n"/>
      <c r="BA70" s="18" t="n"/>
      <c r="BB70" s="18" t="n"/>
      <c r="BC70" s="18" t="n"/>
      <c r="BD70" s="18" t="n"/>
      <c r="BE70" s="13" t="n"/>
    </row>
    <row r="71" ht="16" customHeight="1">
      <c r="A71" s="16" t="inlineStr"/>
      <c r="B71" s="17" t="inlineStr"/>
      <c r="C71" s="18" t="n"/>
      <c r="D71" s="18" t="n"/>
      <c r="E71" s="18" t="n"/>
      <c r="F71" s="18" t="n"/>
      <c r="G71" s="13" t="n"/>
      <c r="H71" s="18" t="n"/>
      <c r="I71" s="18" t="n"/>
      <c r="J71" s="18" t="n"/>
      <c r="K71" s="18" t="n"/>
      <c r="L71" s="13" t="n"/>
      <c r="M71" s="18" t="n"/>
      <c r="N71" s="18" t="n"/>
      <c r="O71" s="18" t="n"/>
      <c r="P71" s="18" t="n"/>
      <c r="Q71" s="13" t="n"/>
      <c r="R71" s="18" t="n"/>
      <c r="S71" s="18" t="n"/>
      <c r="T71" s="18" t="n"/>
      <c r="U71" s="18" t="n"/>
      <c r="V71" s="13" t="n"/>
      <c r="W71" s="18" t="n"/>
      <c r="X71" s="18" t="n"/>
      <c r="Y71" s="18" t="n"/>
      <c r="Z71" s="18" t="n"/>
      <c r="AA71" s="13" t="n"/>
      <c r="AB71" s="18" t="n"/>
      <c r="AC71" s="18" t="n"/>
      <c r="AD71" s="18" t="n"/>
      <c r="AE71" s="18" t="n"/>
      <c r="AF71" s="13" t="n"/>
      <c r="AG71" s="18" t="n"/>
      <c r="AH71" s="18" t="n"/>
      <c r="AI71" s="18" t="n"/>
      <c r="AJ71" s="18" t="n"/>
      <c r="AK71" s="13" t="n"/>
      <c r="AL71" s="18" t="n"/>
      <c r="AM71" s="18" t="n"/>
      <c r="AN71" s="18" t="n"/>
      <c r="AO71" s="18" t="n"/>
      <c r="AP71" s="13" t="n"/>
      <c r="AQ71" s="18" t="n"/>
      <c r="AR71" s="18" t="n"/>
      <c r="AS71" s="18" t="n"/>
      <c r="AT71" s="18" t="n"/>
      <c r="AU71" s="13" t="n"/>
      <c r="AV71" s="18" t="n"/>
      <c r="AW71" s="18" t="n"/>
      <c r="AX71" s="18" t="n"/>
      <c r="AY71" s="18" t="n"/>
      <c r="AZ71" s="13" t="n"/>
      <c r="BA71" s="18" t="n"/>
      <c r="BB71" s="18" t="n"/>
      <c r="BC71" s="18" t="n"/>
      <c r="BD71" s="18" t="n"/>
      <c r="BE71" s="13" t="n"/>
    </row>
    <row r="72" ht="16" customHeight="1">
      <c r="A72" s="29" t="inlineStr">
        <is>
          <t>CF</t>
        </is>
      </c>
      <c r="B72" s="30" t="inlineStr">
        <is>
          <t>Working Capital</t>
        </is>
      </c>
      <c r="C72" s="31">
        <f>C26</f>
        <v/>
      </c>
      <c r="D72" s="31">
        <f>D26</f>
        <v/>
      </c>
      <c r="E72" s="31">
        <f>E26</f>
        <v/>
      </c>
      <c r="F72" s="31">
        <f>F26</f>
        <v/>
      </c>
      <c r="G72" s="9">
        <f>G26</f>
        <v/>
      </c>
      <c r="H72" s="31">
        <f>H26</f>
        <v/>
      </c>
      <c r="I72" s="31">
        <f>I26</f>
        <v/>
      </c>
      <c r="J72" s="31">
        <f>J26</f>
        <v/>
      </c>
      <c r="K72" s="31">
        <f>K26</f>
        <v/>
      </c>
      <c r="L72" s="9">
        <f>L26</f>
        <v/>
      </c>
      <c r="M72" s="31">
        <f>M26</f>
        <v/>
      </c>
      <c r="N72" s="31">
        <f>N26</f>
        <v/>
      </c>
      <c r="O72" s="31">
        <f>O26</f>
        <v/>
      </c>
      <c r="P72" s="31">
        <f>P26</f>
        <v/>
      </c>
      <c r="Q72" s="9">
        <f>Q26</f>
        <v/>
      </c>
      <c r="R72" s="31">
        <f>R26</f>
        <v/>
      </c>
      <c r="S72" s="31">
        <f>S26</f>
        <v/>
      </c>
      <c r="T72" s="31">
        <f>T26</f>
        <v/>
      </c>
      <c r="U72" s="31">
        <f>U26</f>
        <v/>
      </c>
      <c r="V72" s="9">
        <f>V26</f>
        <v/>
      </c>
      <c r="W72" s="31">
        <f>W26</f>
        <v/>
      </c>
      <c r="X72" s="31">
        <f>X26</f>
        <v/>
      </c>
      <c r="Y72" s="31">
        <f>Y26</f>
        <v/>
      </c>
      <c r="Z72" s="31">
        <f>Z26</f>
        <v/>
      </c>
      <c r="AA72" s="9">
        <f>AA26</f>
        <v/>
      </c>
      <c r="AB72" s="31">
        <f>AB26</f>
        <v/>
      </c>
      <c r="AC72" s="31">
        <f>AC26</f>
        <v/>
      </c>
      <c r="AD72" s="31">
        <f>AD26</f>
        <v/>
      </c>
      <c r="AE72" s="31">
        <f>AE26</f>
        <v/>
      </c>
      <c r="AF72" s="9">
        <f>AF26</f>
        <v/>
      </c>
      <c r="AG72" s="31">
        <f>AG26</f>
        <v/>
      </c>
      <c r="AH72" s="31">
        <f>AH26</f>
        <v/>
      </c>
      <c r="AI72" s="31">
        <f>AI26</f>
        <v/>
      </c>
      <c r="AJ72" s="31">
        <f>AJ26</f>
        <v/>
      </c>
      <c r="AK72" s="9">
        <f>AK26</f>
        <v/>
      </c>
      <c r="AL72" s="31">
        <f>AL26</f>
        <v/>
      </c>
      <c r="AM72" s="31">
        <f>AM26</f>
        <v/>
      </c>
      <c r="AN72" s="31">
        <f>AN26</f>
        <v/>
      </c>
      <c r="AO72" s="31">
        <f>AO26</f>
        <v/>
      </c>
      <c r="AP72" s="9">
        <f>AP26</f>
        <v/>
      </c>
      <c r="AQ72" s="31">
        <f>AQ26</f>
        <v/>
      </c>
      <c r="AR72" s="31">
        <f>AR26</f>
        <v/>
      </c>
      <c r="AS72" s="31">
        <f>AS26</f>
        <v/>
      </c>
      <c r="AT72" s="31">
        <f>AT26</f>
        <v/>
      </c>
      <c r="AU72" s="9">
        <f>AU26</f>
        <v/>
      </c>
      <c r="AV72" s="31">
        <f>AV26</f>
        <v/>
      </c>
      <c r="AW72" s="31">
        <f>AW26</f>
        <v/>
      </c>
      <c r="AX72" s="31">
        <f>AX26</f>
        <v/>
      </c>
      <c r="AY72" s="31">
        <f>AY26</f>
        <v/>
      </c>
      <c r="AZ72" s="9">
        <f>AZ26</f>
        <v/>
      </c>
      <c r="BA72" s="31">
        <f>BA26</f>
        <v/>
      </c>
      <c r="BB72" s="31">
        <f>BB26</f>
        <v/>
      </c>
      <c r="BC72" s="31">
        <f>BC26</f>
        <v/>
      </c>
      <c r="BD72" s="31">
        <f>BD26</f>
        <v/>
      </c>
      <c r="BE72" s="9">
        <f>BE26</f>
        <v/>
      </c>
    </row>
    <row r="73" ht="16" customHeight="1">
      <c r="A73" s="29" t="inlineStr">
        <is>
          <t>CF</t>
        </is>
      </c>
      <c r="B73" s="30" t="inlineStr">
        <is>
          <t>OCF</t>
        </is>
      </c>
      <c r="C73" s="31" t="n">
        <v>600.8</v>
      </c>
      <c r="D73" s="32" t="n"/>
      <c r="E73" s="32" t="n"/>
      <c r="F73" s="31" t="n">
        <v>296.4</v>
      </c>
      <c r="G73" s="9">
        <f>SUM(C73:F73)</f>
        <v/>
      </c>
      <c r="H73" s="32" t="n"/>
      <c r="I73" s="32" t="n"/>
      <c r="J73" s="32" t="n"/>
      <c r="K73" s="31" t="n">
        <v>465</v>
      </c>
      <c r="L73" s="9">
        <f>SUM(H73:K73)</f>
        <v/>
      </c>
      <c r="M73" s="32" t="n"/>
      <c r="N73" s="32" t="n"/>
      <c r="O73" s="32" t="n"/>
      <c r="P73" s="31" t="n">
        <v>507.6</v>
      </c>
      <c r="Q73" s="9">
        <f>SUM(M73:P73)</f>
        <v/>
      </c>
      <c r="R73" s="32" t="n"/>
      <c r="S73" s="31" t="n">
        <v>252</v>
      </c>
      <c r="T73" s="32" t="n"/>
      <c r="U73" s="31" t="n">
        <v>555.7</v>
      </c>
      <c r="V73" s="9">
        <f>SUM(R73:U73)</f>
        <v/>
      </c>
      <c r="W73" s="32" t="n"/>
      <c r="X73" s="31" t="n">
        <v>262.2</v>
      </c>
      <c r="Y73" s="32" t="n"/>
      <c r="Z73" s="31" t="n">
        <v>537.1</v>
      </c>
      <c r="AA73" s="9">
        <f>SUM(W73:Z73)</f>
        <v/>
      </c>
      <c r="AB73" s="32" t="n"/>
      <c r="AC73" s="31" t="n">
        <v>509.4</v>
      </c>
      <c r="AD73" s="32" t="n"/>
      <c r="AE73" s="31" t="n">
        <v>1246.4</v>
      </c>
      <c r="AF73" s="9">
        <f>SUM(AB73:AE73)</f>
        <v/>
      </c>
      <c r="AG73" s="32" t="n"/>
      <c r="AH73" s="31" t="n">
        <v>-41.2</v>
      </c>
      <c r="AI73" s="32" t="n"/>
      <c r="AJ73" s="31" t="n">
        <v>470.3</v>
      </c>
      <c r="AK73" s="9">
        <f>SUM(AG73:AJ73)</f>
        <v/>
      </c>
      <c r="AL73" s="32" t="n"/>
      <c r="AM73" s="31" t="n">
        <v>369.1</v>
      </c>
      <c r="AN73" s="32" t="n"/>
      <c r="AO73" s="31" t="n">
        <v>890.3</v>
      </c>
      <c r="AP73" s="9">
        <f>SUM(AL73:AO73)</f>
        <v/>
      </c>
      <c r="AQ73" s="32" t="n"/>
      <c r="AR73" s="31" t="n">
        <v>298.7</v>
      </c>
      <c r="AS73" s="32" t="n"/>
      <c r="AT73" s="31" t="n">
        <v>1412.9</v>
      </c>
      <c r="AU73" s="9">
        <f>SUM(AQ73:AT73)</f>
        <v/>
      </c>
      <c r="AV73" s="32" t="n"/>
      <c r="AW73" s="31" t="n">
        <v>158.9</v>
      </c>
      <c r="AX73" s="32" t="n"/>
      <c r="AY73" s="31" t="n">
        <v>1003.7</v>
      </c>
      <c r="AZ73" s="9">
        <f>SUM(AV73:AY73)</f>
        <v/>
      </c>
      <c r="BA73" s="32" t="n"/>
      <c r="BB73" s="31" t="n">
        <v>230</v>
      </c>
      <c r="BC73" s="32" t="n"/>
      <c r="BD73" s="31" t="n">
        <v>1224.8</v>
      </c>
      <c r="BE73" s="9">
        <f>SUM(BA73:BD73)</f>
        <v/>
      </c>
    </row>
    <row r="74" ht="16" customHeight="1">
      <c r="A74" s="29" t="inlineStr">
        <is>
          <t>CF</t>
        </is>
      </c>
      <c r="B74" s="30" t="inlineStr">
        <is>
          <t>Capex</t>
        </is>
      </c>
      <c r="C74" s="31" t="n">
        <v>-197.6</v>
      </c>
      <c r="D74" s="32" t="n"/>
      <c r="E74" s="32" t="n"/>
      <c r="F74" s="31" t="n">
        <v>-233.1</v>
      </c>
      <c r="G74" s="9">
        <f>SUM(C74:F74)</f>
        <v/>
      </c>
      <c r="H74" s="32" t="n"/>
      <c r="I74" s="32" t="n"/>
      <c r="J74" s="32" t="n"/>
      <c r="K74" s="31" t="n">
        <v>-212.7</v>
      </c>
      <c r="L74" s="9">
        <f>SUM(H74:K74)</f>
        <v/>
      </c>
      <c r="M74" s="32" t="n"/>
      <c r="N74" s="32" t="n"/>
      <c r="O74" s="32" t="n"/>
      <c r="P74" s="31" t="n">
        <v>-284.8</v>
      </c>
      <c r="Q74" s="9">
        <f>SUM(M74:P74)</f>
        <v/>
      </c>
      <c r="R74" s="32" t="n"/>
      <c r="S74" s="31" t="n">
        <v>-185.6</v>
      </c>
      <c r="T74" s="32" t="n"/>
      <c r="U74" s="31" t="n">
        <v>-347.2</v>
      </c>
      <c r="V74" s="9">
        <f>SUM(R74:U74)</f>
        <v/>
      </c>
      <c r="W74" s="32" t="n"/>
      <c r="X74" s="31" t="n">
        <v>-173.8</v>
      </c>
      <c r="Y74" s="32" t="n"/>
      <c r="Z74" s="31" t="n">
        <v>-241.6</v>
      </c>
      <c r="AA74" s="9">
        <f>SUM(W74:Z74)</f>
        <v/>
      </c>
      <c r="AB74" s="32" t="n"/>
      <c r="AC74" s="31" t="n">
        <v>-71.09999999999999</v>
      </c>
      <c r="AD74" s="32" t="n"/>
      <c r="AE74" s="31" t="n">
        <v>-226.6</v>
      </c>
      <c r="AF74" s="9">
        <f>SUM(AB74:AE74)</f>
        <v/>
      </c>
      <c r="AG74" s="32" t="n"/>
      <c r="AH74" s="31" t="n">
        <v>-208.1</v>
      </c>
      <c r="AI74" s="32" t="n"/>
      <c r="AJ74" s="31" t="n">
        <v>-469.9</v>
      </c>
      <c r="AK74" s="9">
        <f>SUM(AG74:AJ74)</f>
        <v/>
      </c>
      <c r="AL74" s="32" t="n"/>
      <c r="AM74" s="31" t="n">
        <v>-236.9</v>
      </c>
      <c r="AN74" s="32" t="n"/>
      <c r="AO74" s="31" t="n">
        <v>-424.3</v>
      </c>
      <c r="AP74" s="9">
        <f>SUM(AL74:AO74)</f>
        <v/>
      </c>
      <c r="AQ74" s="32" t="n"/>
      <c r="AR74" s="31" t="n">
        <v>-249.9</v>
      </c>
      <c r="AS74" s="32" t="n"/>
      <c r="AT74" s="31" t="n">
        <v>-549.3</v>
      </c>
      <c r="AU74" s="9">
        <f>SUM(AQ74:AT74)</f>
        <v/>
      </c>
      <c r="AV74" s="32" t="n"/>
      <c r="AW74" s="31" t="n">
        <v>-426.5</v>
      </c>
      <c r="AX74" s="32" t="n"/>
      <c r="AY74" s="31" t="n">
        <v>-890.4</v>
      </c>
      <c r="AZ74" s="9">
        <f>SUM(AV74:AY74)</f>
        <v/>
      </c>
      <c r="BA74" s="32" t="n"/>
      <c r="BB74" s="31" t="n">
        <v>-566.7</v>
      </c>
      <c r="BC74" s="32" t="n"/>
      <c r="BD74" s="31" t="n">
        <v>-815</v>
      </c>
      <c r="BE74" s="9">
        <f>SUM(BA74:BD74)</f>
        <v/>
      </c>
    </row>
    <row r="75" ht="16" customHeight="1">
      <c r="A75" s="29" t="inlineStr">
        <is>
          <t>CF</t>
        </is>
      </c>
      <c r="B75" s="30" t="inlineStr">
        <is>
          <t>Dividend</t>
        </is>
      </c>
      <c r="C75" s="31" t="n">
        <v>-119.7</v>
      </c>
      <c r="D75" s="32" t="n"/>
      <c r="E75" s="32" t="n"/>
      <c r="F75" s="31" t="n">
        <v>-221.7</v>
      </c>
      <c r="G75" s="9">
        <f>SUM(C75:F75)</f>
        <v/>
      </c>
      <c r="H75" s="32" t="n"/>
      <c r="I75" s="32" t="n"/>
      <c r="J75" s="32" t="n"/>
      <c r="K75" s="31" t="n">
        <v>-45.9</v>
      </c>
      <c r="L75" s="9">
        <f>SUM(H75:K75)</f>
        <v/>
      </c>
      <c r="M75" s="32" t="n"/>
      <c r="N75" s="32" t="n"/>
      <c r="O75" s="32" t="n"/>
      <c r="P75" s="31" t="n">
        <v>-229.3</v>
      </c>
      <c r="Q75" s="9">
        <f>SUM(M75:P75)</f>
        <v/>
      </c>
      <c r="R75" s="32" t="n"/>
      <c r="S75" s="31" t="n">
        <v>-137.8</v>
      </c>
      <c r="T75" s="32" t="n"/>
      <c r="U75" s="31" t="n">
        <v>-199.1</v>
      </c>
      <c r="V75" s="9">
        <f>SUM(R75:U75)</f>
        <v/>
      </c>
      <c r="W75" s="32" t="n"/>
      <c r="X75" s="31" t="n">
        <v>-137.8</v>
      </c>
      <c r="Y75" s="32" t="n"/>
      <c r="Z75" s="31" t="n">
        <v>-352.2</v>
      </c>
      <c r="AA75" s="9">
        <f>SUM(W75:Z75)</f>
        <v/>
      </c>
      <c r="AB75" s="32" t="n"/>
      <c r="AC75" s="31" t="n">
        <v>0</v>
      </c>
      <c r="AD75" s="32" t="n"/>
      <c r="AE75" s="31" t="n">
        <v>-63.5</v>
      </c>
      <c r="AF75" s="9">
        <f>SUM(AB75:AE75)</f>
        <v/>
      </c>
      <c r="AG75" s="32" t="n"/>
      <c r="AH75" s="31" t="n">
        <v>-216</v>
      </c>
      <c r="AI75" s="32" t="n"/>
      <c r="AJ75" s="31" t="n">
        <v>-292.2</v>
      </c>
      <c r="AK75" s="9">
        <f>SUM(AG75:AJ75)</f>
        <v/>
      </c>
      <c r="AL75" s="32" t="n"/>
      <c r="AM75" s="31" t="n">
        <v>-228.6</v>
      </c>
      <c r="AN75" s="32" t="n"/>
      <c r="AO75" s="31" t="n">
        <v>-304.9</v>
      </c>
      <c r="AP75" s="9">
        <f>SUM(AL75:AO75)</f>
        <v/>
      </c>
      <c r="AQ75" s="32" t="n"/>
      <c r="AR75" s="31" t="n">
        <v>-254.1</v>
      </c>
      <c r="AS75" s="32" t="n"/>
      <c r="AT75" s="31" t="n">
        <v>-355.7</v>
      </c>
      <c r="AU75" s="9">
        <f>SUM(AQ75:AT75)</f>
        <v/>
      </c>
      <c r="AV75" s="32" t="n"/>
      <c r="AW75" s="31" t="n">
        <v>-279.5</v>
      </c>
      <c r="AX75" s="32" t="n"/>
      <c r="AY75" s="31" t="n">
        <v>-406.5</v>
      </c>
      <c r="AZ75" s="9">
        <f>SUM(AV75:AY75)</f>
        <v/>
      </c>
      <c r="BA75" s="32" t="n"/>
      <c r="BB75" s="31" t="n">
        <v>-304.9</v>
      </c>
      <c r="BC75" s="32" t="n"/>
      <c r="BD75" s="31" t="n">
        <v>-444.6</v>
      </c>
      <c r="BE75" s="9">
        <f>SUM(BA75:BD75)</f>
        <v/>
      </c>
    </row>
    <row r="76" ht="16" customHeight="1">
      <c r="A76" s="10" t="inlineStr">
        <is>
          <t>DERIVED</t>
        </is>
      </c>
      <c r="B76" s="11" t="inlineStr">
        <is>
          <t>NOPAT</t>
        </is>
      </c>
      <c r="C76" s="19">
        <f>C31*(1-IF(C39=0,0,(C41+C43)/C39))</f>
        <v/>
      </c>
      <c r="D76" s="19">
        <f>D31*(1-IF(D39=0,0,(D41+D43)/D39))</f>
        <v/>
      </c>
      <c r="E76" s="19">
        <f>E31*(1-IF(E39=0,0,(E41+E43)/E39))</f>
        <v/>
      </c>
      <c r="F76" s="19">
        <f>F31*(1-IF(F39=0,0,(F41+F43)/F39))</f>
        <v/>
      </c>
      <c r="G76" s="9">
        <f>G31*(1-IF(G39=0,0,(G41+G43)/G39))</f>
        <v/>
      </c>
      <c r="H76" s="19">
        <f>H31*(1-IF(H39=0,0,(H41+H43)/H39))</f>
        <v/>
      </c>
      <c r="I76" s="19">
        <f>I31*(1-IF(I39=0,0,(I41+I43)/I39))</f>
        <v/>
      </c>
      <c r="J76" s="19">
        <f>J31*(1-IF(J39=0,0,(J41+J43)/J39))</f>
        <v/>
      </c>
      <c r="K76" s="19">
        <f>K31*(1-IF(K39=0,0,(K41+K43)/K39))</f>
        <v/>
      </c>
      <c r="L76" s="9">
        <f>L31*(1-IF(L39=0,0,(L41+L43)/L39))</f>
        <v/>
      </c>
      <c r="M76" s="19">
        <f>M31*(1-IF(M39=0,0,(M41+M43)/M39))</f>
        <v/>
      </c>
      <c r="N76" s="19">
        <f>N31*(1-IF(N39=0,0,(N41+N43)/N39))</f>
        <v/>
      </c>
      <c r="O76" s="19">
        <f>O31*(1-IF(O39=0,0,(O41+O43)/O39))</f>
        <v/>
      </c>
      <c r="P76" s="19">
        <f>P31*(1-IF(P39=0,0,(P41+P43)/P39))</f>
        <v/>
      </c>
      <c r="Q76" s="9">
        <f>Q31*(1-IF(Q39=0,0,(Q41+Q43)/Q39))</f>
        <v/>
      </c>
      <c r="R76" s="19">
        <f>R31*(1-IF(R39=0,0,(R41+R43)/R39))</f>
        <v/>
      </c>
      <c r="S76" s="19">
        <f>S31*(1-IF(S39=0,0,(S41+S43)/S39))</f>
        <v/>
      </c>
      <c r="T76" s="19">
        <f>T31*(1-IF(T39=0,0,(T41+T43)/T39))</f>
        <v/>
      </c>
      <c r="U76" s="19">
        <f>U31*(1-IF(U39=0,0,(U41+U43)/U39))</f>
        <v/>
      </c>
      <c r="V76" s="9">
        <f>V31*(1-IF(V39=0,0,(V41+V43)/V39))</f>
        <v/>
      </c>
      <c r="W76" s="19">
        <f>W31*(1-IF(W39=0,0,(W41+W43)/W39))</f>
        <v/>
      </c>
      <c r="X76" s="19">
        <f>X31*(1-IF(X39=0,0,(X41+X43)/X39))</f>
        <v/>
      </c>
      <c r="Y76" s="19">
        <f>Y31*(1-IF(Y39=0,0,(Y41+Y43)/Y39))</f>
        <v/>
      </c>
      <c r="Z76" s="19">
        <f>Z31*(1-IF(Z39=0,0,(Z41+Z43)/Z39))</f>
        <v/>
      </c>
      <c r="AA76" s="9">
        <f>AA31*(1-IF(AA39=0,0,(AA41+AA43)/AA39))</f>
        <v/>
      </c>
      <c r="AB76" s="19">
        <f>AB31*(1-IF(AB39=0,0,(AB41+AB43)/AB39))</f>
        <v/>
      </c>
      <c r="AC76" s="19">
        <f>AC31*(1-IF(AC39=0,0,(AC41+AC43)/AC39))</f>
        <v/>
      </c>
      <c r="AD76" s="19">
        <f>AD31*(1-IF(AD39=0,0,(AD41+AD43)/AD39))</f>
        <v/>
      </c>
      <c r="AE76" s="19">
        <f>AE31*(1-IF(AE39=0,0,(AE41+AE43)/AE39))</f>
        <v/>
      </c>
      <c r="AF76" s="9">
        <f>AF31*(1-IF(AF39=0,0,(AF41+AF43)/AF39))</f>
        <v/>
      </c>
      <c r="AG76" s="19">
        <f>AG31*(1-IF(AG39=0,0,(AG41+AG43)/AG39))</f>
        <v/>
      </c>
      <c r="AH76" s="19">
        <f>AH31*(1-IF(AH39=0,0,(AH41+AH43)/AH39))</f>
        <v/>
      </c>
      <c r="AI76" s="19">
        <f>AI31*(1-IF(AI39=0,0,(AI41+AI43)/AI39))</f>
        <v/>
      </c>
      <c r="AJ76" s="19">
        <f>AJ31*(1-IF(AJ39=0,0,(AJ41+AJ43)/AJ39))</f>
        <v/>
      </c>
      <c r="AK76" s="9">
        <f>AK31*(1-IF(AK39=0,0,(AK41+AK43)/AK39))</f>
        <v/>
      </c>
      <c r="AL76" s="19">
        <f>AL31*(1-IF(AL39=0,0,(AL41+AL43)/AL39))</f>
        <v/>
      </c>
      <c r="AM76" s="19">
        <f>AM31*(1-IF(AM39=0,0,(AM41+AM43)/AM39))</f>
        <v/>
      </c>
      <c r="AN76" s="19">
        <f>AN31*(1-IF(AN39=0,0,(AN41+AN43)/AN39))</f>
        <v/>
      </c>
      <c r="AO76" s="19">
        <f>AO31*(1-IF(AO39=0,0,(AO41+AO43)/AO39))</f>
        <v/>
      </c>
      <c r="AP76" s="9">
        <f>AP31*(1-IF(AP39=0,0,(AP41+AP43)/AP39))</f>
        <v/>
      </c>
      <c r="AQ76" s="19">
        <f>AQ31*(1-IF(AQ39=0,0,(AQ41+AQ43)/AQ39))</f>
        <v/>
      </c>
      <c r="AR76" s="19">
        <f>AR31*(1-IF(AR39=0,0,(AR41+AR43)/AR39))</f>
        <v/>
      </c>
      <c r="AS76" s="19">
        <f>AS31*(1-IF(AS39=0,0,(AS41+AS43)/AS39))</f>
        <v/>
      </c>
      <c r="AT76" s="19">
        <f>AT31*(1-IF(AT39=0,0,(AT41+AT43)/AT39))</f>
        <v/>
      </c>
      <c r="AU76" s="9">
        <f>AU31*(1-IF(AU39=0,0,(AU41+AU43)/AU39))</f>
        <v/>
      </c>
      <c r="AV76" s="19">
        <f>AV31*(1-IF(AV39=0,0,(AV41+AV43)/AV39))</f>
        <v/>
      </c>
      <c r="AW76" s="19">
        <f>AW31*(1-IF(AW39=0,0,(AW41+AW43)/AW39))</f>
        <v/>
      </c>
      <c r="AX76" s="19">
        <f>AX31*(1-IF(AX39=0,0,(AX41+AX43)/AX39))</f>
        <v/>
      </c>
      <c r="AY76" s="19">
        <f>AY31*(1-IF(AY39=0,0,(AY41+AY43)/AY39))</f>
        <v/>
      </c>
      <c r="AZ76" s="9">
        <f>AZ31*(1-IF(AZ39=0,0,(AZ41+AZ43)/AZ39))</f>
        <v/>
      </c>
      <c r="BA76" s="19">
        <f>BA31*(1-IF(BA39=0,0,(BA41+BA43)/BA39))</f>
        <v/>
      </c>
      <c r="BB76" s="19">
        <f>BB31*(1-IF(BB39=0,0,(BB41+BB43)/BB39))</f>
        <v/>
      </c>
      <c r="BC76" s="19">
        <f>BC31*(1-IF(BC39=0,0,(BC41+BC43)/BC39))</f>
        <v/>
      </c>
      <c r="BD76" s="19">
        <f>BD31*(1-IF(BD39=0,0,(BD41+BD43)/BD39))</f>
        <v/>
      </c>
      <c r="BE76" s="9">
        <f>BE31*(1-IF(BE39=0,0,(BE41+BE43)/BE39))</f>
        <v/>
      </c>
    </row>
    <row r="77" ht="16" customHeight="1">
      <c r="A77" s="10" t="inlineStr">
        <is>
          <t>DERIVED</t>
        </is>
      </c>
      <c r="B77" s="11" t="inlineStr">
        <is>
          <t>Capital Employed</t>
        </is>
      </c>
      <c r="C77" s="19">
        <f>C51+C52+C53</f>
        <v/>
      </c>
      <c r="D77" s="19">
        <f>D51+D52+D53</f>
        <v/>
      </c>
      <c r="E77" s="19">
        <f>E51+E52+E53</f>
        <v/>
      </c>
      <c r="F77" s="19">
        <f>F51+F52+F53</f>
        <v/>
      </c>
      <c r="G77" s="9">
        <f>G51+G52+G53</f>
        <v/>
      </c>
      <c r="H77" s="19">
        <f>H51+H52+H53</f>
        <v/>
      </c>
      <c r="I77" s="19">
        <f>I51+I52+I53</f>
        <v/>
      </c>
      <c r="J77" s="19">
        <f>J51+J52+J53</f>
        <v/>
      </c>
      <c r="K77" s="19">
        <f>K51+K52+K53</f>
        <v/>
      </c>
      <c r="L77" s="9">
        <f>L51+L52+L53</f>
        <v/>
      </c>
      <c r="M77" s="19">
        <f>M51+M52+M53</f>
        <v/>
      </c>
      <c r="N77" s="19">
        <f>N51+N52+N53</f>
        <v/>
      </c>
      <c r="O77" s="19">
        <f>O51+O52+O53</f>
        <v/>
      </c>
      <c r="P77" s="19">
        <f>P51+P52+P53</f>
        <v/>
      </c>
      <c r="Q77" s="9">
        <f>Q51+Q52+Q53</f>
        <v/>
      </c>
      <c r="R77" s="19">
        <f>R51+R52+R53</f>
        <v/>
      </c>
      <c r="S77" s="19">
        <f>S51+S52+S53</f>
        <v/>
      </c>
      <c r="T77" s="19">
        <f>T51+T52+T53</f>
        <v/>
      </c>
      <c r="U77" s="19">
        <f>U51+U52+U53</f>
        <v/>
      </c>
      <c r="V77" s="9">
        <f>V51+V52+V53</f>
        <v/>
      </c>
      <c r="W77" s="19">
        <f>W51+W52+W53</f>
        <v/>
      </c>
      <c r="X77" s="19">
        <f>X51+X52+X53</f>
        <v/>
      </c>
      <c r="Y77" s="19">
        <f>Y51+Y52+Y53</f>
        <v/>
      </c>
      <c r="Z77" s="19">
        <f>Z51+Z52+Z53</f>
        <v/>
      </c>
      <c r="AA77" s="9">
        <f>AA51+AA52+AA53</f>
        <v/>
      </c>
      <c r="AB77" s="19">
        <f>AB51+AB52+AB53</f>
        <v/>
      </c>
      <c r="AC77" s="19">
        <f>AC51+AC52+AC53</f>
        <v/>
      </c>
      <c r="AD77" s="19">
        <f>AD51+AD52+AD53</f>
        <v/>
      </c>
      <c r="AE77" s="19">
        <f>AE51+AE52+AE53</f>
        <v/>
      </c>
      <c r="AF77" s="9">
        <f>AF51+AF52+AF53</f>
        <v/>
      </c>
      <c r="AG77" s="19">
        <f>AG51+AG52+AG53</f>
        <v/>
      </c>
      <c r="AH77" s="19">
        <f>AH51+AH52+AH53</f>
        <v/>
      </c>
      <c r="AI77" s="19">
        <f>AI51+AI52+AI53</f>
        <v/>
      </c>
      <c r="AJ77" s="19">
        <f>AJ51+AJ52+AJ53</f>
        <v/>
      </c>
      <c r="AK77" s="9">
        <f>AK51+AK52+AK53</f>
        <v/>
      </c>
      <c r="AL77" s="19">
        <f>AL51+AL52+AL53</f>
        <v/>
      </c>
      <c r="AM77" s="19">
        <f>AM51+AM52+AM53</f>
        <v/>
      </c>
      <c r="AN77" s="19">
        <f>AN51+AN52+AN53</f>
        <v/>
      </c>
      <c r="AO77" s="19">
        <f>AO51+AO52+AO53</f>
        <v/>
      </c>
      <c r="AP77" s="9">
        <f>AP51+AP52+AP53</f>
        <v/>
      </c>
      <c r="AQ77" s="19">
        <f>AQ51+AQ52+AQ53</f>
        <v/>
      </c>
      <c r="AR77" s="19">
        <f>AR51+AR52+AR53</f>
        <v/>
      </c>
      <c r="AS77" s="19">
        <f>AS51+AS52+AS53</f>
        <v/>
      </c>
      <c r="AT77" s="19">
        <f>AT51+AT52+AT53</f>
        <v/>
      </c>
      <c r="AU77" s="9">
        <f>AU51+AU52+AU53</f>
        <v/>
      </c>
      <c r="AV77" s="19">
        <f>AV51+AV52+AV53</f>
        <v/>
      </c>
      <c r="AW77" s="19">
        <f>AW51+AW52+AW53</f>
        <v/>
      </c>
      <c r="AX77" s="19">
        <f>AX51+AX52+AX53</f>
        <v/>
      </c>
      <c r="AY77" s="19">
        <f>AY51+AY52+AY53</f>
        <v/>
      </c>
      <c r="AZ77" s="9">
        <f>AZ51+AZ52+AZ53</f>
        <v/>
      </c>
      <c r="BA77" s="19">
        <f>BA51+BA52+BA53</f>
        <v/>
      </c>
      <c r="BB77" s="19">
        <f>BB51+BB52+BB53</f>
        <v/>
      </c>
      <c r="BC77" s="19">
        <f>BC51+BC52+BC53</f>
        <v/>
      </c>
      <c r="BD77" s="19">
        <f>BD51+BD52+BD53</f>
        <v/>
      </c>
      <c r="BE77" s="9">
        <f>BE51+BE52+BE53</f>
        <v/>
      </c>
    </row>
    <row r="78" ht="16" customHeight="1">
      <c r="A78" s="10" t="inlineStr">
        <is>
          <t>DERIVED</t>
        </is>
      </c>
      <c r="B78" s="11" t="inlineStr">
        <is>
          <t>Invested Capital</t>
        </is>
      </c>
      <c r="C78" s="19">
        <f>C77-C54</f>
        <v/>
      </c>
      <c r="D78" s="19">
        <f>D77-D54</f>
        <v/>
      </c>
      <c r="E78" s="19">
        <f>E77-E54</f>
        <v/>
      </c>
      <c r="F78" s="19">
        <f>F77-F54</f>
        <v/>
      </c>
      <c r="G78" s="9">
        <f>G77-G54</f>
        <v/>
      </c>
      <c r="H78" s="19">
        <f>H77-H54</f>
        <v/>
      </c>
      <c r="I78" s="19">
        <f>I77-I54</f>
        <v/>
      </c>
      <c r="J78" s="19">
        <f>J77-J54</f>
        <v/>
      </c>
      <c r="K78" s="19">
        <f>K77-K54</f>
        <v/>
      </c>
      <c r="L78" s="9">
        <f>L77-L54</f>
        <v/>
      </c>
      <c r="M78" s="19">
        <f>M77-M54</f>
        <v/>
      </c>
      <c r="N78" s="19">
        <f>N77-N54</f>
        <v/>
      </c>
      <c r="O78" s="19">
        <f>O77-O54</f>
        <v/>
      </c>
      <c r="P78" s="19">
        <f>P77-P54</f>
        <v/>
      </c>
      <c r="Q78" s="9">
        <f>Q77-Q54</f>
        <v/>
      </c>
      <c r="R78" s="19">
        <f>R77-R54</f>
        <v/>
      </c>
      <c r="S78" s="19">
        <f>S77-S54</f>
        <v/>
      </c>
      <c r="T78" s="19">
        <f>T77-T54</f>
        <v/>
      </c>
      <c r="U78" s="19">
        <f>U77-U54</f>
        <v/>
      </c>
      <c r="V78" s="9">
        <f>V77-V54</f>
        <v/>
      </c>
      <c r="W78" s="19">
        <f>W77-W54</f>
        <v/>
      </c>
      <c r="X78" s="19">
        <f>X77-X54</f>
        <v/>
      </c>
      <c r="Y78" s="19">
        <f>Y77-Y54</f>
        <v/>
      </c>
      <c r="Z78" s="19">
        <f>Z77-Z54</f>
        <v/>
      </c>
      <c r="AA78" s="9">
        <f>AA77-AA54</f>
        <v/>
      </c>
      <c r="AB78" s="19">
        <f>AB77-AB54</f>
        <v/>
      </c>
      <c r="AC78" s="19">
        <f>AC77-AC54</f>
        <v/>
      </c>
      <c r="AD78" s="19">
        <f>AD77-AD54</f>
        <v/>
      </c>
      <c r="AE78" s="19">
        <f>AE77-AE54</f>
        <v/>
      </c>
      <c r="AF78" s="9">
        <f>AF77-AF54</f>
        <v/>
      </c>
      <c r="AG78" s="19">
        <f>AG77-AG54</f>
        <v/>
      </c>
      <c r="AH78" s="19">
        <f>AH77-AH54</f>
        <v/>
      </c>
      <c r="AI78" s="19">
        <f>AI77-AI54</f>
        <v/>
      </c>
      <c r="AJ78" s="19">
        <f>AJ77-AJ54</f>
        <v/>
      </c>
      <c r="AK78" s="9">
        <f>AK77-AK54</f>
        <v/>
      </c>
      <c r="AL78" s="19">
        <f>AL77-AL54</f>
        <v/>
      </c>
      <c r="AM78" s="19">
        <f>AM77-AM54</f>
        <v/>
      </c>
      <c r="AN78" s="19">
        <f>AN77-AN54</f>
        <v/>
      </c>
      <c r="AO78" s="19">
        <f>AO77-AO54</f>
        <v/>
      </c>
      <c r="AP78" s="9">
        <f>AP77-AP54</f>
        <v/>
      </c>
      <c r="AQ78" s="19">
        <f>AQ77-AQ54</f>
        <v/>
      </c>
      <c r="AR78" s="19">
        <f>AR77-AR54</f>
        <v/>
      </c>
      <c r="AS78" s="19">
        <f>AS77-AS54</f>
        <v/>
      </c>
      <c r="AT78" s="19">
        <f>AT77-AT54</f>
        <v/>
      </c>
      <c r="AU78" s="9">
        <f>AU77-AU54</f>
        <v/>
      </c>
      <c r="AV78" s="19">
        <f>AV77-AV54</f>
        <v/>
      </c>
      <c r="AW78" s="19">
        <f>AW77-AW54</f>
        <v/>
      </c>
      <c r="AX78" s="19">
        <f>AX77-AX54</f>
        <v/>
      </c>
      <c r="AY78" s="19">
        <f>AY77-AY54</f>
        <v/>
      </c>
      <c r="AZ78" s="9">
        <f>AZ77-AZ54</f>
        <v/>
      </c>
      <c r="BA78" s="19">
        <f>BA77-BA54</f>
        <v/>
      </c>
      <c r="BB78" s="19">
        <f>BB77-BB54</f>
        <v/>
      </c>
      <c r="BC78" s="19">
        <f>BC77-BC54</f>
        <v/>
      </c>
      <c r="BD78" s="19">
        <f>BD77-BD54</f>
        <v/>
      </c>
      <c r="BE78" s="9">
        <f>BE77-BE54</f>
        <v/>
      </c>
    </row>
    <row r="79" ht="16" customHeight="1">
      <c r="A79" s="10" t="inlineStr">
        <is>
          <t>DERIVED</t>
        </is>
      </c>
      <c r="B79" s="11" t="inlineStr">
        <is>
          <t>ROIC (%)</t>
        </is>
      </c>
      <c r="C79" s="14">
        <f>C76/IF(C78=0,1,C78)</f>
        <v/>
      </c>
      <c r="D79" s="14">
        <f>D76/IF(D78=0,1,D78)</f>
        <v/>
      </c>
      <c r="E79" s="14">
        <f>E76/IF(E78=0,1,E78)</f>
        <v/>
      </c>
      <c r="F79" s="14">
        <f>F76/IF(F78=0,1,F78)</f>
        <v/>
      </c>
      <c r="G79" s="15">
        <f>G76/IF(G78=0,1,G78)</f>
        <v/>
      </c>
      <c r="H79" s="14">
        <f>H76/IF(H78=0,1,H78)</f>
        <v/>
      </c>
      <c r="I79" s="14">
        <f>I76/IF(I78=0,1,I78)</f>
        <v/>
      </c>
      <c r="J79" s="14">
        <f>J76/IF(J78=0,1,J78)</f>
        <v/>
      </c>
      <c r="K79" s="14">
        <f>K76/IF(K78=0,1,K78)</f>
        <v/>
      </c>
      <c r="L79" s="15">
        <f>L76/IF(L78=0,1,L78)</f>
        <v/>
      </c>
      <c r="M79" s="14">
        <f>M76/IF(M78=0,1,M78)</f>
        <v/>
      </c>
      <c r="N79" s="14">
        <f>N76/IF(N78=0,1,N78)</f>
        <v/>
      </c>
      <c r="O79" s="14">
        <f>O76/IF(O78=0,1,O78)</f>
        <v/>
      </c>
      <c r="P79" s="14">
        <f>P76/IF(P78=0,1,P78)</f>
        <v/>
      </c>
      <c r="Q79" s="15">
        <f>Q76/IF(Q78=0,1,Q78)</f>
        <v/>
      </c>
      <c r="R79" s="14">
        <f>R76/IF(R78=0,1,R78)</f>
        <v/>
      </c>
      <c r="S79" s="14">
        <f>S76/IF(S78=0,1,S78)</f>
        <v/>
      </c>
      <c r="T79" s="14">
        <f>T76/IF(T78=0,1,T78)</f>
        <v/>
      </c>
      <c r="U79" s="14">
        <f>U76/IF(U78=0,1,U78)</f>
        <v/>
      </c>
      <c r="V79" s="15">
        <f>V76/IF(V78=0,1,V78)</f>
        <v/>
      </c>
      <c r="W79" s="14">
        <f>W76/IF(W78=0,1,W78)</f>
        <v/>
      </c>
      <c r="X79" s="14">
        <f>X76/IF(X78=0,1,X78)</f>
        <v/>
      </c>
      <c r="Y79" s="14">
        <f>Y76/IF(Y78=0,1,Y78)</f>
        <v/>
      </c>
      <c r="Z79" s="14">
        <f>Z76/IF(Z78=0,1,Z78)</f>
        <v/>
      </c>
      <c r="AA79" s="15">
        <f>AA76/IF(AA78=0,1,AA78)</f>
        <v/>
      </c>
      <c r="AB79" s="14">
        <f>AB76/IF(AB78=0,1,AB78)</f>
        <v/>
      </c>
      <c r="AC79" s="14">
        <f>AC76/IF(AC78=0,1,AC78)</f>
        <v/>
      </c>
      <c r="AD79" s="14">
        <f>AD76/IF(AD78=0,1,AD78)</f>
        <v/>
      </c>
      <c r="AE79" s="14">
        <f>AE76/IF(AE78=0,1,AE78)</f>
        <v/>
      </c>
      <c r="AF79" s="15">
        <f>AF76/IF(AF78=0,1,AF78)</f>
        <v/>
      </c>
      <c r="AG79" s="14">
        <f>AG76/IF(AG78=0,1,AG78)</f>
        <v/>
      </c>
      <c r="AH79" s="14">
        <f>AH76/IF(AH78=0,1,AH78)</f>
        <v/>
      </c>
      <c r="AI79" s="14">
        <f>AI76/IF(AI78=0,1,AI78)</f>
        <v/>
      </c>
      <c r="AJ79" s="14">
        <f>AJ76/IF(AJ78=0,1,AJ78)</f>
        <v/>
      </c>
      <c r="AK79" s="15">
        <f>AK76/IF(AK78=0,1,AK78)</f>
        <v/>
      </c>
      <c r="AL79" s="14">
        <f>AL76/IF(AL78=0,1,AL78)</f>
        <v/>
      </c>
      <c r="AM79" s="14">
        <f>AM76/IF(AM78=0,1,AM78)</f>
        <v/>
      </c>
      <c r="AN79" s="14">
        <f>AN76/IF(AN78=0,1,AN78)</f>
        <v/>
      </c>
      <c r="AO79" s="14">
        <f>AO76/IF(AO78=0,1,AO78)</f>
        <v/>
      </c>
      <c r="AP79" s="15">
        <f>AP76/IF(AP78=0,1,AP78)</f>
        <v/>
      </c>
      <c r="AQ79" s="14">
        <f>AQ76/IF(AQ78=0,1,AQ78)</f>
        <v/>
      </c>
      <c r="AR79" s="14">
        <f>AR76/IF(AR78=0,1,AR78)</f>
        <v/>
      </c>
      <c r="AS79" s="14">
        <f>AS76/IF(AS78=0,1,AS78)</f>
        <v/>
      </c>
      <c r="AT79" s="14">
        <f>AT76/IF(AT78=0,1,AT78)</f>
        <v/>
      </c>
      <c r="AU79" s="15">
        <f>AU76/IF(AU78=0,1,AU78)</f>
        <v/>
      </c>
      <c r="AV79" s="14">
        <f>AV76/IF(AV78=0,1,AV78)</f>
        <v/>
      </c>
      <c r="AW79" s="14">
        <f>AW76/IF(AW78=0,1,AW78)</f>
        <v/>
      </c>
      <c r="AX79" s="14">
        <f>AX76/IF(AX78=0,1,AX78)</f>
        <v/>
      </c>
      <c r="AY79" s="14">
        <f>AY76/IF(AY78=0,1,AY78)</f>
        <v/>
      </c>
      <c r="AZ79" s="15">
        <f>AZ76/IF(AZ78=0,1,AZ78)</f>
        <v/>
      </c>
      <c r="BA79" s="14">
        <f>BA76/IF(BA78=0,1,BA78)</f>
        <v/>
      </c>
      <c r="BB79" s="14">
        <f>BB76/IF(BB78=0,1,BB78)</f>
        <v/>
      </c>
      <c r="BC79" s="14">
        <f>BC76/IF(BC78=0,1,BC78)</f>
        <v/>
      </c>
      <c r="BD79" s="14">
        <f>BD76/IF(BD78=0,1,BD78)</f>
        <v/>
      </c>
      <c r="BE79" s="15">
        <f>BE76/IF(BE78=0,1,BE78)</f>
        <v/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2026-07-21T11:22:40Z</dcterms:created>
  <dcterms:modified xsi:type="dcterms:W3CDTF">2026-07-21T11:22:41Z</dcterms:modified>
</cp:coreProperties>
</file>