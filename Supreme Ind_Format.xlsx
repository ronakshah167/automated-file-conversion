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Jarvis\Vignesh\"/>
    </mc:Choice>
  </mc:AlternateContent>
  <xr:revisionPtr revIDLastSave="0" documentId="8_{729E21C2-1B33-44CC-A04A-280DC4477DC7}" xr6:coauthVersionLast="47" xr6:coauthVersionMax="47" xr10:uidLastSave="{00000000-0000-0000-0000-000000000000}"/>
  <bookViews>
    <workbookView xWindow="-120" yWindow="-120" windowWidth="29040" windowHeight="15720" xr2:uid="{4001E8A1-6F36-478C-9BB4-F44CACC7F31C}"/>
  </bookViews>
  <sheets>
    <sheet name="Supreme"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l">#REF!</definedName>
    <definedName name="\o">#REF!</definedName>
    <definedName name="\p">#REF!</definedName>
    <definedName name="\q">#REF!</definedName>
    <definedName name="\r">#REF!</definedName>
    <definedName name="\s">#REF!</definedName>
    <definedName name="\t">#REF!</definedName>
    <definedName name="\v">#REF!</definedName>
    <definedName name="\w">#REF!</definedName>
    <definedName name="\x">#REF!</definedName>
    <definedName name="\y">#REF!</definedName>
    <definedName name="\z">#REF!</definedName>
    <definedName name="__123Graph_A" hidden="1">#REF!</definedName>
    <definedName name="__123Graph_ACAD" hidden="1">#REF!</definedName>
    <definedName name="__123Graph_ACAD1" hidden="1">#REF!</definedName>
    <definedName name="__123Graph_ACAD2" hidden="1">#N/A</definedName>
    <definedName name="__123Graph_ACOL" hidden="1">#REF!</definedName>
    <definedName name="__123Graph_ACOL2" hidden="1">#REF!</definedName>
    <definedName name="__123Graph_ACOL3" hidden="1">#REF!</definedName>
    <definedName name="__123Graph_B" hidden="1">#REF!</definedName>
    <definedName name="__123Graph_BCAD" hidden="1">#REF!</definedName>
    <definedName name="__123Graph_BCAD1" hidden="1">#REF!</definedName>
    <definedName name="__123Graph_BCAD2" hidden="1">#N/A</definedName>
    <definedName name="__123Graph_BCOL" hidden="1">#REF!</definedName>
    <definedName name="__123Graph_BCOL2" hidden="1">#REF!</definedName>
    <definedName name="__123Graph_BCOL3" hidden="1">#REF!</definedName>
    <definedName name="__123Graph_C" hidden="1">#REF!</definedName>
    <definedName name="__123Graph_CCAD" hidden="1">#REF!</definedName>
    <definedName name="__123Graph_CCAD1" hidden="1">#REF!</definedName>
    <definedName name="__123Graph_CCAD2" hidden="1">#N/A</definedName>
    <definedName name="__123Graph_CCOL" hidden="1">#REF!</definedName>
    <definedName name="__123Graph_CCOL2" hidden="1">#REF!</definedName>
    <definedName name="__123Graph_CCOL3" hidden="1">#REF!</definedName>
    <definedName name="__123Graph_D" hidden="1">#REF!</definedName>
    <definedName name="__123Graph_DCAD" hidden="1">#REF!</definedName>
    <definedName name="__123Graph_DCAD1" hidden="1">#REF!</definedName>
    <definedName name="__123Graph_DCAD2" hidden="1">#N/A</definedName>
    <definedName name="__123Graph_DCOL" hidden="1">#REF!</definedName>
    <definedName name="__123Graph_DCOL2" hidden="1">#REF!</definedName>
    <definedName name="__123Graph_DCOL3" hidden="1">#REF!</definedName>
    <definedName name="__123Graph_E" hidden="1">#REF!</definedName>
    <definedName name="__123Graph_ECAD" hidden="1">#REF!</definedName>
    <definedName name="__123Graph_ECAD1" hidden="1">#REF!</definedName>
    <definedName name="__123Graph_ECAD2" hidden="1">#N/A</definedName>
    <definedName name="__123Graph_ECOL" hidden="1">#REF!</definedName>
    <definedName name="__123Graph_ECOL2" hidden="1">#REF!</definedName>
    <definedName name="__123Graph_ECOL3" hidden="1">#REF!</definedName>
    <definedName name="__123Graph_F" hidden="1">#REF!</definedName>
    <definedName name="__123Graph_FCAD2" hidden="1">#REF!</definedName>
    <definedName name="__123Graph_FCOL3" hidden="1">#REF!</definedName>
    <definedName name="__123Graph_X" hidden="1">#REF!</definedName>
    <definedName name="__123Graph_XCAD" hidden="1">#REF!</definedName>
    <definedName name="__123Graph_XCAD1" hidden="1">#REF!</definedName>
    <definedName name="__123Graph_XCAD2" hidden="1">#N/A</definedName>
    <definedName name="__123Graph_XCOL" hidden="1">#REF!</definedName>
    <definedName name="__123Graph_XCOL2" hidden="1">#REF!</definedName>
    <definedName name="__123Graph_XCOL3" hidden="1">#REF!</definedName>
    <definedName name="__GROSS_SALES_T">#REF!</definedName>
    <definedName name="__NET_SALES_TO_">#REF!</definedName>
    <definedName name="_aaa2" hidden="1">{#N/A,#N/A,FALSE,"Staffnos &amp; cost"}</definedName>
    <definedName name="_CD201..D205__">#REF!</definedName>
    <definedName name="_DOWN_">#REF!</definedName>
    <definedName name="_EDIT__HOME__DE">#REF!</definedName>
    <definedName name="_Fill" hidden="1">#REF!</definedName>
    <definedName name="_Key1" hidden="1">#REF!</definedName>
    <definedName name="_Key2" hidden="1">#REF!</definedName>
    <definedName name="_New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Order1" hidden="1">255</definedName>
    <definedName name="_Order2" hidden="1">255</definedName>
    <definedName name="_PG1">#REF!</definedName>
    <definedName name="_Regression_Int" hidden="1">1</definedName>
    <definedName name="_Regression_Out" localSheetId="0" hidden="1">[1]Internet!#REF!</definedName>
    <definedName name="_Regression_Out" hidden="1">#REF!</definedName>
    <definedName name="_Regression_X" hidden="1">#REF!</definedName>
    <definedName name="_RT1">#REF!</definedName>
    <definedName name="_RT2">#REF!</definedName>
    <definedName name="_RT3">#REF!</definedName>
    <definedName name="_RV__">#REF!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A" localSheetId="0">[2]Earning_Assum!#REF!</definedName>
    <definedName name="A">#REF!</definedName>
    <definedName name="AA" localSheetId="0">[2]Earning_Assum!#REF!</definedName>
    <definedName name="AA">#REF!</definedName>
    <definedName name="AAA" localSheetId="0">[2]Earning_Assum!#REF!</definedName>
    <definedName name="aaa" hidden="1">{"'PS-SOTM'!$A$1","'PS-SOTM'!$A$2:$M$30","'PS-SOTM'!$A$31:$A$38"}</definedName>
    <definedName name="AccessDatabase" hidden="1">"D:\Compensation\comp data 2001.xls"</definedName>
    <definedName name="AcidTestRatio">#REF!</definedName>
    <definedName name="Acquition">#REF!</definedName>
    <definedName name="act" localSheetId="0">[3]rm!$V$3</definedName>
    <definedName name="act">#REF!</definedName>
    <definedName name="ActualEarningsPerShare">#REF!</definedName>
    <definedName name="ActualEPS">#REF!</definedName>
    <definedName name="AdmExpSer" hidden="1">#REF!</definedName>
    <definedName name="advertising">#REF!</definedName>
    <definedName name="AF">#REF!</definedName>
    <definedName name="aLPESH">#REF!</definedName>
    <definedName name="ANALYST">#REF!</definedName>
    <definedName name="and">#REF!</definedName>
    <definedName name="anscount" hidden="1">3</definedName>
    <definedName name="As___of_Net_Sales">#REF!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ian" localSheetId="0">[4]funda!#REF!</definedName>
    <definedName name="asian">#REF!</definedName>
    <definedName name="Asset_composition">#REF!</definedName>
    <definedName name="avg_vol_3m">#REF!</definedName>
    <definedName name="AvgSellPr" hidden="1">#REF!,#REF!,#REF!,#REF!,#REF!,#REF!,#REF!,#REF!</definedName>
    <definedName name="B" localSheetId="0">[2]Earning_Assum!#REF!</definedName>
    <definedName name="B">#REF!</definedName>
    <definedName name="back_page" localSheetId="0">[5]bp!$A$1:$X$56</definedName>
    <definedName name="back_page">#REF!</definedName>
    <definedName name="bad">#REF!</definedName>
    <definedName name="bae">#REF!</definedName>
    <definedName name="Balance_Sheet">#REF!</definedName>
    <definedName name="Balloon">#REF!</definedName>
    <definedName name="Balloon_Amount">#REF!</definedName>
    <definedName name="balsh">#REF!</definedName>
    <definedName name="bao">#REF!</definedName>
    <definedName name="bap">#REF!</definedName>
    <definedName name="bat">#REF!</definedName>
    <definedName name="bay">#REF!</definedName>
    <definedName name="bb" localSheetId="0">#REF!</definedName>
    <definedName name="bb" hidden="1">{#N/A,#N/A,FALSE,"Staffnos &amp; cost"}</definedName>
    <definedName name="bbnew" hidden="1">{#N/A,#N/A,FALSE,"Staffnos &amp; cost"}</definedName>
    <definedName name="bca" localSheetId="0">[6]Database!$A$120:$IV$120</definedName>
    <definedName name="bca">#REF!</definedName>
    <definedName name="bcb">#REF!</definedName>
    <definedName name="bcd">#REF!</definedName>
    <definedName name="bce">#REF!</definedName>
    <definedName name="bcl" localSheetId="0">[6]Database!$A$141:$IV$141</definedName>
    <definedName name="bcl">#REF!</definedName>
    <definedName name="bcm">#REF!</definedName>
    <definedName name="bcp" localSheetId="0">[6]Database!$A$131:$IV$131</definedName>
    <definedName name="bcp">#REF!</definedName>
    <definedName name="BE1.0">#REF!</definedName>
    <definedName name="BE2.0">#REF!,#REF!,#REF!</definedName>
    <definedName name="BE3.0">#REF!,#REF!,#REF!</definedName>
    <definedName name="BE4.0">#REF!,#REF!,#REF!</definedName>
    <definedName name="BE5.0">#REF!,#REF!,#REF!</definedName>
    <definedName name="bet">#REF!</definedName>
    <definedName name="beta" localSheetId="0">[3]main!$J$5</definedName>
    <definedName name="beta">#REF!</definedName>
    <definedName name="bfc">#REF!</definedName>
    <definedName name="BG_Del" hidden="1">15</definedName>
    <definedName name="BG_Ins" hidden="1">4</definedName>
    <definedName name="BG_Mod" hidden="1">6</definedName>
    <definedName name="bia">#REF!</definedName>
    <definedName name="bii">#REF!</definedName>
    <definedName name="bin" localSheetId="0">[6]Database!$A$135:$IV$135</definedName>
    <definedName name="bin">#REF!</definedName>
    <definedName name="bio">#REF!</definedName>
    <definedName name="bir">#REF!</definedName>
    <definedName name="bit">#REF!</definedName>
    <definedName name="BL1.0">#REF!</definedName>
    <definedName name="BL2.0">#REF!,#REF!,#REF!</definedName>
    <definedName name="BL3.0">#REF!,#REF!,#REF!</definedName>
    <definedName name="BL4.0">#REF!,#REF!,#REF!</definedName>
    <definedName name="BL5.0">#REF!,#REF!,#REF!</definedName>
    <definedName name="bll">#REF!</definedName>
    <definedName name="block.balancesheet.blue">#REF!</definedName>
    <definedName name="block.businessbackground.blue">#REF!</definedName>
    <definedName name="block.capitalhistory.blue">#REF!</definedName>
    <definedName name="block.cashflow.blue">#REF!</definedName>
    <definedName name="block.expansionplans.blue">#REF!</definedName>
    <definedName name="block.forecasts.blue">#REF!</definedName>
    <definedName name="block.identityblock.blue">#REF!</definedName>
    <definedName name="block.incomestatement.blue">#REF!</definedName>
    <definedName name="block.investmentargument.blue">#REF!</definedName>
    <definedName name="block.keyassumptions.blue">#REF!</definedName>
    <definedName name="block.keyassumptions2.blue">#REF!</definedName>
    <definedName name="block.mainpoints.red">#REF!</definedName>
    <definedName name="block.PEBANDS.none">#REF!</definedName>
    <definedName name="block.perrel.none">#REF!</definedName>
    <definedName name="block.pricetrends.none">#REF!</definedName>
    <definedName name="block.ratioanalysis.blue">#REF!</definedName>
    <definedName name="block.salesbreakdown.none">#REF!</definedName>
    <definedName name="block.shareholdingpattern.blue">#REF!</definedName>
    <definedName name="block.title.blue">#REF!</definedName>
    <definedName name="BLPH1" hidden="1">#REF!</definedName>
    <definedName name="BLPH10" hidden="1">#REF!</definedName>
    <definedName name="BLPH10000" hidden="1">#REF!</definedName>
    <definedName name="BLPH2" hidden="1">#REF!</definedName>
    <definedName name="BLPH7" hidden="1">#REF!</definedName>
    <definedName name="BLPH8" hidden="1">#REF!</definedName>
    <definedName name="BLPH9" hidden="1">#REF!</definedName>
    <definedName name="blt" localSheetId="0">[6]Database!$A$151:$IV$151</definedName>
    <definedName name="blt">#REF!</definedName>
    <definedName name="bmi">#REF!</definedName>
    <definedName name="bnd">#REF!</definedName>
    <definedName name="bnf">#REF!</definedName>
    <definedName name="board" localSheetId="0">[7]board!#REF!</definedName>
    <definedName name="board">#REF!</definedName>
    <definedName name="boc">#REF!</definedName>
    <definedName name="bol">#REF!</definedName>
    <definedName name="boo">#REF!</definedName>
    <definedName name="bor">#REF!</definedName>
    <definedName name="bot">#REF!</definedName>
    <definedName name="bpp" localSheetId="0">[6]Database!$A$132:$IV$132</definedName>
    <definedName name="bpp">#REF!</definedName>
    <definedName name="bpu">#REF!</definedName>
    <definedName name="bre">#REF!</definedName>
    <definedName name="BriefCoName">#REF!</definedName>
    <definedName name="BriefDate">#REF!</definedName>
    <definedName name="BriefInvPlay">#REF!</definedName>
    <definedName name="BriefPrevDate">#REF!</definedName>
    <definedName name="BriefPrevRecom">#REF!</definedName>
    <definedName name="BriefRationale">#REF!</definedName>
    <definedName name="BriefRecom">#REF!</definedName>
    <definedName name="BriefSummary">#REF!</definedName>
    <definedName name="BriefTime">#REF!</definedName>
    <definedName name="BS">#REF!</definedName>
    <definedName name="bs_jb" localSheetId="0">[5]acctmod!$A$42:$Y$91</definedName>
    <definedName name="bs_jb">#REF!</definedName>
    <definedName name="bs_ratio_jb" localSheetId="0">[8]acctmod!$A$159:$Y$171</definedName>
    <definedName name="bs_ratio_jb">#REF!</definedName>
    <definedName name="bs_sski">#REF!</definedName>
    <definedName name="bsd">#REF!</definedName>
    <definedName name="BSE" localSheetId="0">[8]prices!$F$1:$F$404</definedName>
    <definedName name="BSE">#REF!</definedName>
    <definedName name="bsf">#REF!</definedName>
    <definedName name="bst" localSheetId="0">[6]Database!$A$142:$IV$142</definedName>
    <definedName name="bst">#REF!</definedName>
    <definedName name="bta">#REF!</definedName>
    <definedName name="btd">#REF!</definedName>
    <definedName name="bte">#REF!</definedName>
    <definedName name="btl">#REF!</definedName>
    <definedName name="btp">#REF!</definedName>
    <definedName name="buyback">#REF!</definedName>
    <definedName name="CA">#REF!</definedName>
    <definedName name="cac">#REF!</definedName>
    <definedName name="calc" localSheetId="0">[3]rm!$V$4</definedName>
    <definedName name="calc">#REF!</definedName>
    <definedName name="cam">#REF!</definedName>
    <definedName name="capacity" localSheetId="0">[7]sales!#REF!</definedName>
    <definedName name="capacity">#REF!</definedName>
    <definedName name="CAPITAL_DEPLOYE">#REF!</definedName>
    <definedName name="CAPITAL_EMPLOYE">#REF!</definedName>
    <definedName name="CardCoName">#REF!</definedName>
    <definedName name="CardDate">#REF!</definedName>
    <definedName name="CardInvPlay">#REF!</definedName>
    <definedName name="CardPrevDate">#REF!</definedName>
    <definedName name="CardPrevRecom">#REF!</definedName>
    <definedName name="CardRationale">#REF!</definedName>
    <definedName name="CardRecom">#REF!</definedName>
    <definedName name="CardSummary">#REF!</definedName>
    <definedName name="CardTime">#REF!</definedName>
    <definedName name="cash">#REF!</definedName>
    <definedName name="Cash_Flow_Statement">#REF!</definedName>
    <definedName name="CashBankBalances">#REF!</definedName>
    <definedName name="CashFlow">#REF!</definedName>
    <definedName name="caz_bs">#REF!</definedName>
    <definedName name="caz_cf">#REF!</definedName>
    <definedName name="caz_pl">#REF!</definedName>
    <definedName name="caz_ratio">#REF!</definedName>
    <definedName name="CC" hidden="1">{#N/A,#N/A,FALSE,"Staffnos &amp; cost"}</definedName>
    <definedName name="CCC" localSheetId="0">[2]Earning_Assum!#REF!</definedName>
    <definedName name="CCC">#REF!</definedName>
    <definedName name="cce">#REF!</definedName>
    <definedName name="ccn">#REF!</definedName>
    <definedName name="cde">#REF!</definedName>
    <definedName name="cdi">#REF!</definedName>
    <definedName name="cdp">#REF!</definedName>
    <definedName name="ce" hidden="1">{#N/A,#N/A,FALSE,"Status of Projects";#N/A,#N/A,FALSE,"CEA-TEC";#N/A,#N/A,FALSE,"U-Constr.";#N/A,#N/A,FALSE,"summary";#N/A,#N/A,FALSE,"PPP-3 yrs"}</definedName>
    <definedName name="cem" hidden="1">{#N/A,#N/A,FALSE,"Status of Projects";#N/A,#N/A,FALSE,"CEA-TEC";#N/A,#N/A,FALSE,"U-Constr.";#N/A,#N/A,FALSE,"summary";#N/A,#N/A,FALSE,"PPP-3 yrs"}</definedName>
    <definedName name="centre.1">#REF!</definedName>
    <definedName name="centre.2">#REF!</definedName>
    <definedName name="CF">#REF!</definedName>
    <definedName name="cf_ganesh" localSheetId="0">[3]main!$A$86:$J$121</definedName>
    <definedName name="cf_ganesh">#REF!</definedName>
    <definedName name="cf_jb" localSheetId="0">[5]acctmod!$A$93:$Y$133</definedName>
    <definedName name="cf_jb">#REF!</definedName>
    <definedName name="cfc">#REF!</definedName>
    <definedName name="CFPS_Curr_Yr">#REF!</definedName>
    <definedName name="CFPS_Lst_Yr">#REF!</definedName>
    <definedName name="CFPS_Next_Yr">#REF!</definedName>
    <definedName name="cfx">#REF!</definedName>
    <definedName name="ChangeInCreditors">#REF!</definedName>
    <definedName name="ChangeInDebtors">#REF!</definedName>
    <definedName name="ChangeInFixedAssets">#REF!</definedName>
    <definedName name="ChangeInInvestments">#REF!</definedName>
    <definedName name="ChangeInStocks">#REF!</definedName>
    <definedName name="ChangeInTotalDebt">#REF!</definedName>
    <definedName name="ChangeInWorkingCapital">#REF!</definedName>
    <definedName name="Chattisgarh" hidden="1">{#N/A,#N/A,FALSE,"Status of Projects";#N/A,#N/A,FALSE,"CEA-TEC";#N/A,#N/A,FALSE,"U-Constr.";#N/A,#N/A,FALSE,"summary";#N/A,#N/A,FALSE,"PPP-3 yrs"}</definedName>
    <definedName name="cii">#REF!</definedName>
    <definedName name="CIQWBGuid" hidden="1">"cf8bf3f9-ae57-4def-bbe2-2300d4a03470"</definedName>
    <definedName name="civ">#REF!</definedName>
    <definedName name="CL" localSheetId="0">[3]bs_related!$A$55</definedName>
    <definedName name="CL">#REF!</definedName>
    <definedName name="CMP">#REF!</definedName>
    <definedName name="cni">#REF!</definedName>
    <definedName name="coc">#REF!</definedName>
    <definedName name="Cochin">#REF!</definedName>
    <definedName name="coi">#REF!</definedName>
    <definedName name="com"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Comm_fee" localSheetId="0">[9]RBS!$B$22</definedName>
    <definedName name="Comm_fee">#REF!</definedName>
    <definedName name="COMPANY">#REF!</definedName>
    <definedName name="company_nameh">#REF!</definedName>
    <definedName name="COMPANYA">#REF!</definedName>
    <definedName name="CoName" hidden="1">#REF!</definedName>
    <definedName name="consumption" localSheetId="0">[10]consumption!$A$1:$E$14</definedName>
    <definedName name="consumption">#REF!</definedName>
    <definedName name="ConversionOfDebentures">#REF!</definedName>
    <definedName name="cop">#REF!</definedName>
    <definedName name="cost_of_cap_growth">#REF!</definedName>
    <definedName name="COST_OF_SALES">#REF!</definedName>
    <definedName name="cot">#REF!</definedName>
    <definedName name="COUNTRY">#REF!</definedName>
    <definedName name="COUNTRY1">#REF!</definedName>
    <definedName name="COUNTRY1a">#REF!</definedName>
    <definedName name="COUNTRYa">#REF!</definedName>
    <definedName name="cover" localSheetId="0">[11]!Macro2</definedName>
    <definedName name="cover">#REF!</definedName>
    <definedName name="Creditors_RawMaterials">#REF!</definedName>
    <definedName name="csi">#REF!</definedName>
    <definedName name="cta">#REF!</definedName>
    <definedName name="cu102.ShareScalingFactor" hidden="1">1000000</definedName>
    <definedName name="cu103.EmployeeScalingFactor" hidden="1">1000</definedName>
    <definedName name="cu107.DPSSymbol" hidden="1">"Rs"</definedName>
    <definedName name="cu107.EPSSymbol" hidden="1">"Rs"</definedName>
    <definedName name="cu71.ScalingFactor" hidden="1">1000000</definedName>
    <definedName name="curr_year_sales">#REF!</definedName>
    <definedName name="CURRENCY">#REF!</definedName>
    <definedName name="CurrentAssets">#REF!</definedName>
    <definedName name="CurrentLiabilities">#REF!</definedName>
    <definedName name="CurrentRatio">#REF!</definedName>
    <definedName name="cwo">#REF!</definedName>
    <definedName name="cwt">#REF!</definedName>
    <definedName name="daf">#REF!</definedName>
    <definedName name="dai">#REF!</definedName>
    <definedName name="das">#REF!</definedName>
    <definedName name="Data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ataPhone" localSheetId="0">[12]MenuData!#REF!</definedName>
    <definedName name="DataPhone">#REF!</definedName>
    <definedName name="Date" localSheetId="0">[8]prices!$A$1:$A$461</definedName>
    <definedName name="Date">#REF!</definedName>
    <definedName name="db">"WIREHKPROD"</definedName>
    <definedName name="dcf_sensit">#REF!</definedName>
    <definedName name="DD" hidden="1">{#N/A,#N/A,FALSE,"Status of Projects";#N/A,#N/A,FALSE,"CEA-TEC";#N/A,#N/A,FALSE,"U-Constr.";#N/A,#N/A,FALSE,"summary";#N/A,#N/A,FALSE,"PPP-3 yrs"}</definedName>
    <definedName name="ddss" hidden="1">{"'PS-SOTM'!$A$1","'PS-SOTM'!$A$2:$M$30","'PS-SOTM'!$A$31:$A$38"}</definedName>
    <definedName name="Debt" localSheetId="0">[3]bs_related!$A$41</definedName>
    <definedName name="Debt">#REF!</definedName>
    <definedName name="Debt_Equity">#REF!</definedName>
    <definedName name="DeferredExpenditure">#REF!</definedName>
    <definedName name="Delivery_Date">#REF!</definedName>
    <definedName name="Depreciation">#REF!</definedName>
    <definedName name="dfd">#REF!</definedName>
    <definedName name="dff" hidden="1">{#N/A,#N/A,FALSE,"Status of Projects";#N/A,#N/A,FALSE,"CEA-TEC";#N/A,#N/A,FALSE,"U-Constr.";#N/A,#N/A,FALSE,"summary";#N/A,#N/A,FALSE,"PPP-3 yrs"}</definedName>
    <definedName name="did">#REF!</definedName>
    <definedName name="DispFmt" hidden="1">#REF!</definedName>
    <definedName name="Divdates">#REF!</definedName>
    <definedName name="DivEBIT">#REF!:INDEX(#REF!,COUNTIF(#REF!,"&lt;&gt;FALSE"),1)</definedName>
    <definedName name="Dividend" localSheetId="0">[3]bs_related!$A$2</definedName>
    <definedName name="Dividend">#REF!</definedName>
    <definedName name="DividendCoverTimes">#REF!</definedName>
    <definedName name="DividendPaid">#REF!</definedName>
    <definedName name="DividendProvision">#REF!</definedName>
    <definedName name="Dividends">#REF!</definedName>
    <definedName name="division">#REF!</definedName>
    <definedName name="DivNames">#REF!:INDEX(#REF!,COUNTIF(#REF!,"&lt;&gt;FALSE"),1)</definedName>
    <definedName name="DivSales">#REF!:INDEX(#REF!,COUNTIF(#REF!,"&lt;&gt;FALSE"),1)</definedName>
    <definedName name="DPS_Curr_Yr">#REF!</definedName>
    <definedName name="DPS_Lst_Yr">#REF!</definedName>
    <definedName name="DPS_Next_Yr">#REF!</definedName>
    <definedName name="Drawdowns">#REF!</definedName>
    <definedName name="dsd">#REF!</definedName>
    <definedName name="dtd">#REF!</definedName>
    <definedName name="E1E">#REF!</definedName>
    <definedName name="E2E">#REF!,#REF!,#REF!</definedName>
    <definedName name="E3E">#REF!,#REF!,#REF!</definedName>
    <definedName name="E4E">#REF!,#REF!,#REF!</definedName>
    <definedName name="E5E">#REF!,#REF!,#REF!</definedName>
    <definedName name="eaa">#REF!</definedName>
    <definedName name="Each_Installment">#REF!</definedName>
    <definedName name="eap">#REF!</definedName>
    <definedName name="Earnings" localSheetId="0">[2]Earning_Assum!#REF!</definedName>
    <definedName name="Earnings">#REF!</definedName>
    <definedName name="eat">#REF!</definedName>
    <definedName name="ED" hidden="1">{#N/A,#N/A,FALSE,"Status of Projects";#N/A,#N/A,FALSE,"CEA-TEC";#N/A,#N/A,FALSE,"U-Constr.";#N/A,#N/A,FALSE,"summary";#N/A,#N/A,FALSE,"PPP-3 yrs"}</definedName>
    <definedName name="EEE" localSheetId="0">[2]Earning_Assum!#REF!</definedName>
    <definedName name="EEE">#REF!</definedName>
    <definedName name="Effective_cost">#REF!</definedName>
    <definedName name="Effective_Cost_with_witholding">#REF!</definedName>
    <definedName name="Effective_Spread">#REF!</definedName>
    <definedName name="Effective_Spread_without_witholding">#REF!</definedName>
    <definedName name="EnEsMode" hidden="1">#REF!</definedName>
    <definedName name="enp">#REF!</definedName>
    <definedName name="EnYrRng" hidden="1">#REF!</definedName>
    <definedName name="epa">#REF!</definedName>
    <definedName name="epc">#REF!</definedName>
    <definedName name="EPS_Curr_Qtr">#REF!</definedName>
    <definedName name="EPS_Curr_Yr">#REF!</definedName>
    <definedName name="EPS_Growth_Rate">#REF!</definedName>
    <definedName name="EPS_Lst_Yr">#REF!</definedName>
    <definedName name="EPS_Next_Yr">#REF!</definedName>
    <definedName name="EPS_Qtr_Date">#REF!</definedName>
    <definedName name="epw">#REF!</definedName>
    <definedName name="epx">#REF!</definedName>
    <definedName name="EqMult" hidden="1">#REF!</definedName>
    <definedName name="Equity" localSheetId="0">[3]bs_related!$A$11</definedName>
    <definedName name="Equity">#REF!</definedName>
    <definedName name="Equity_Del_Item" localSheetId="0">[13]!Equity_Del_Item</definedName>
    <definedName name="Equity_Del_Item">#REF!</definedName>
    <definedName name="Equity_Ins_Item" localSheetId="0">[13]!Equity_Ins_Item</definedName>
    <definedName name="Equity_Ins_Item">#REF!</definedName>
    <definedName name="Equity_Ticker">#REF!</definedName>
    <definedName name="er">#REF!</definedName>
    <definedName name="EstRef" hidden="1">#REF!</definedName>
    <definedName name="EsYrRng" hidden="1">#REF!</definedName>
    <definedName name="eva" localSheetId="0">[14]main!#REF!</definedName>
    <definedName name="eva">#REF!</definedName>
    <definedName name="exc">#REF!</definedName>
    <definedName name="exc_assn" localSheetId="0">'[15]Inc Mod cigs'!$A$1:$P$16</definedName>
    <definedName name="exc_assn">#REF!</definedName>
    <definedName name="exc_rate">#REF!</definedName>
    <definedName name="exc_Rsmn">#REF!</definedName>
    <definedName name="ExceptionalItems">#REF!</definedName>
    <definedName name="excise" localSheetId="0">[10]excise!$A$1:$G$7</definedName>
    <definedName name="excise">#REF!</definedName>
    <definedName name="ExciseDuty">#REF!</definedName>
    <definedName name="exec_board">#REF!</definedName>
    <definedName name="ExpMfgDmy" hidden="1">#REF!</definedName>
    <definedName name="ExpPerDmy" hidden="1">#REF!</definedName>
    <definedName name="ExpSaleDmy" hidden="1">#REF!</definedName>
    <definedName name="ext">#REF!</definedName>
    <definedName name="FaceVal" hidden="1">#REF!</definedName>
    <definedName name="FASer" hidden="1">#REF!</definedName>
    <definedName name="FCD">#REF!</definedName>
    <definedName name="FDEPS">#REF!</definedName>
    <definedName name="FDP_0_1_aSrv" hidden="1">#REF!</definedName>
    <definedName name="FDP_100_1_aSrv" hidden="1">#REF!</definedName>
    <definedName name="FDP_101_1_aSrv" hidden="1">#REF!</definedName>
    <definedName name="FDP_102_1_aSrv" hidden="1">#REF!</definedName>
    <definedName name="FDP_103_1_aSrv" hidden="1">#REF!</definedName>
    <definedName name="FDP_104_1_aSrv" hidden="1">#REF!</definedName>
    <definedName name="FDP_12_1_aDrv" hidden="1">#REF!</definedName>
    <definedName name="FDP_13_1_aDrv" hidden="1">#REF!</definedName>
    <definedName name="FDP_14_1_aDrv" hidden="1">#REF!</definedName>
    <definedName name="FDP_15_1_aUrv" hidden="1">#REF!</definedName>
    <definedName name="FDP_17_1_aSrv" hidden="1">#REF!</definedName>
    <definedName name="FDP_19_1_aDrv" hidden="1">#REF!</definedName>
    <definedName name="FDP_2_1_aSrv" hidden="1">#REF!</definedName>
    <definedName name="FDP_20_1_aDrv" hidden="1">#REF!</definedName>
    <definedName name="FDP_21_1_aDrv" hidden="1">#REF!</definedName>
    <definedName name="FDP_22_1_aDrv" hidden="1">#REF!</definedName>
    <definedName name="FDP_23_1_aDrv" hidden="1">#REF!</definedName>
    <definedName name="FDP_24_1_aDrv" hidden="1">#REF!</definedName>
    <definedName name="FDP_25_1_aUrv" hidden="1">#REF!</definedName>
    <definedName name="FDP_26_1_aSrv" hidden="1">#REF!</definedName>
    <definedName name="FDP_27_1_aUrv" hidden="1">#REF!</definedName>
    <definedName name="FDP_28_1_aUrv" hidden="1">#REF!</definedName>
    <definedName name="FDP_29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Srv" hidden="1">#REF!</definedName>
    <definedName name="FDP_40_1_aUrv" hidden="1">#REF!</definedName>
    <definedName name="FDP_50_1_aDrv" hidden="1">#REF!</definedName>
    <definedName name="FDP_51_1_aDrv" hidden="1">#REF!</definedName>
    <definedName name="FDP_52_1_aDrv" hidden="1">#REF!</definedName>
    <definedName name="FDP_53_1_aUrv" hidden="1">#REF!</definedName>
    <definedName name="FDP_54_1_aUrv" hidden="1">#REF!</definedName>
    <definedName name="FDP_57_1_aSrv" hidden="1">#REF!</definedName>
    <definedName name="FDP_59_1_aUrv" hidden="1">#REF!</definedName>
    <definedName name="FDP_60_1_aUrv" hidden="1">#REF!</definedName>
    <definedName name="FDP_61_1_aSrv" hidden="1">#REF!</definedName>
    <definedName name="FDP_62_1_aDrv" hidden="1">#REF!</definedName>
    <definedName name="FDP_63_1_aUrv" hidden="1">#REF!</definedName>
    <definedName name="FDP_64_1_aUrv" hidden="1">#REF!</definedName>
    <definedName name="FDP_65_1_aUrv" hidden="1">#REF!</definedName>
    <definedName name="FDP_66_1_aUrv" hidden="1">#REF!</definedName>
    <definedName name="FDP_67_1_aDrv" hidden="1">#REF!</definedName>
    <definedName name="FDP_68_1_aUrv" hidden="1">#REF!</definedName>
    <definedName name="FDP_69_1_aUrv" hidden="1">#REF!</definedName>
    <definedName name="FDP_70_1_aUrv" hidden="1">#REF!</definedName>
    <definedName name="FDP_71_1_aDrv" hidden="1">#REF!</definedName>
    <definedName name="FDP_72_1_aDrv" hidden="1">#REF!</definedName>
    <definedName name="FDP_73_1_aDrv" hidden="1">#REF!</definedName>
    <definedName name="FDP_74_1_aDrv" hidden="1">#REF!</definedName>
    <definedName name="FDP_75_1_aUrv" hidden="1">#REF!</definedName>
    <definedName name="FDP_76_1_aUrv" hidden="1">#REF!</definedName>
    <definedName name="FDP_77_1_aDrv" hidden="1">#REF!</definedName>
    <definedName name="FDP_78_1_aUrv" hidden="1">#REF!</definedName>
    <definedName name="FDP_79_1_aUrv" hidden="1">#REF!</definedName>
    <definedName name="FDP_80_1_aDrv" hidden="1">#REF!</definedName>
    <definedName name="FDP_81_1_aSrv" hidden="1">#REF!</definedName>
    <definedName name="FDP_82_1_aUrv" hidden="1">#REF!</definedName>
    <definedName name="FDP_83_1_aDrv" hidden="1">#REF!</definedName>
    <definedName name="FDP_84_1_aDrv" hidden="1">#REF!</definedName>
    <definedName name="FDP_85_1_aDrv" hidden="1">#REF!</definedName>
    <definedName name="FDP_86_1_aDrv" hidden="1">#REF!</definedName>
    <definedName name="FDP_87_1_aDrv" hidden="1">#REF!</definedName>
    <definedName name="FDP_88_1_aDrv" hidden="1">#REF!</definedName>
    <definedName name="FDP_89_1_aDrv" hidden="1">#REF!</definedName>
    <definedName name="FDP_90_1_aDrv" hidden="1">#REF!</definedName>
    <definedName name="FDP_91_1_aDrv" hidden="1">#REF!</definedName>
    <definedName name="FDP_92_1_aDrv" hidden="1">#REF!</definedName>
    <definedName name="FDP_93_1_aSrv" hidden="1">#REF!</definedName>
    <definedName name="FDP_94_1_aSrv" hidden="1">#REF!</definedName>
    <definedName name="FDP_95_1_aSrv" hidden="1">#REF!</definedName>
    <definedName name="FDP_96_1_aSrv" hidden="1">#REF!</definedName>
    <definedName name="FDP_97_1_aUrv" hidden="1">#REF!</definedName>
    <definedName name="FDP_98_1_aSrv" hidden="1">#REF!</definedName>
    <definedName name="FDP_99_1_aSrv" hidden="1">#REF!</definedName>
    <definedName name="fdv" hidden="1">{"quarterly",#N/A,FALSE,"Income Statement";#N/A,#N/A,FALSE,"print segment";#N/A,#N/A,FALSE,"Balance Sheet";#N/A,#N/A,FALSE,"Annl Inc";#N/A,#N/A,FALSE,"Cash Flow"}</definedName>
    <definedName name="ffg">#REF!</definedName>
    <definedName name="fg" localSheetId="0">[3]fg!$A$1:$AL$47</definedName>
    <definedName name="fg">#REF!</definedName>
    <definedName name="FixedAssets">#REF!</definedName>
    <definedName name="Flag1" localSheetId="0">[2]Earning_Assum!#REF!</definedName>
    <definedName name="Flag1">#REF!</definedName>
    <definedName name="flash" hidden="1">#REF!</definedName>
    <definedName name="FOREIGN_EXCHANG">#REF!</definedName>
    <definedName name="forword" localSheetId="0">[16]Database!#REF!</definedName>
    <definedName name="forword">#REF!</definedName>
    <definedName name="front_page" localSheetId="0">[5]fp!$B$11:$R$33</definedName>
    <definedName name="front_page">#REF!</definedName>
    <definedName name="fxa">#REF!</definedName>
    <definedName name="fxe">#REF!</definedName>
    <definedName name="FY" localSheetId="0">[17]PBDIT_Char!$W$4</definedName>
    <definedName name="FY">#REF!</definedName>
    <definedName name="FY1991_">#REF!</definedName>
    <definedName name="FY1992_">#REF!</definedName>
    <definedName name="FY1993_">#REF!</definedName>
    <definedName name="FY1994_">#REF!</definedName>
    <definedName name="FY1995_">#REF!</definedName>
    <definedName name="FY1996_">#REF!</definedName>
    <definedName name="FY1997_">#REF!</definedName>
    <definedName name="FY1998_">#REF!</definedName>
    <definedName name="FY1999_">#REF!</definedName>
    <definedName name="FY2000_">#REF!</definedName>
    <definedName name="FY2001_">#REF!</definedName>
    <definedName name="FY2002_">#REF!</definedName>
    <definedName name="FY2003_">#REF!</definedName>
    <definedName name="FY2004_">#REF!</definedName>
    <definedName name="FY2005_" localSheetId="0">[18]Database!#REF!</definedName>
    <definedName name="FY2005_">#REF!</definedName>
    <definedName name="FY92.">#REF!</definedName>
    <definedName name="FY92_">#REF!</definedName>
    <definedName name="FY93.">#REF!</definedName>
    <definedName name="FY93_">#REF!</definedName>
    <definedName name="FY93c">#REF!</definedName>
    <definedName name="FY94.">#REF!</definedName>
    <definedName name="FY94_">#REF!</definedName>
    <definedName name="FY94c">#REF!</definedName>
    <definedName name="FY95.">#REF!</definedName>
    <definedName name="FY95_">#REF!</definedName>
    <definedName name="FY95c">#REF!</definedName>
    <definedName name="FY96.">#REF!</definedName>
    <definedName name="FY96_">#REF!</definedName>
    <definedName name="FY96c">#REF!</definedName>
    <definedName name="FY97.">#REF!</definedName>
    <definedName name="FY97_">#REF!</definedName>
    <definedName name="FY97c">#REF!</definedName>
    <definedName name="FY98.">#REF!</definedName>
    <definedName name="FY98_">#REF!</definedName>
    <definedName name="FY98c">#REF!</definedName>
    <definedName name="FY99.">#REF!</definedName>
    <definedName name="FY99_">#REF!</definedName>
    <definedName name="FY99c">#REF!</definedName>
    <definedName name="FYEND">#REF!</definedName>
    <definedName name="FYENDA">#REF!</definedName>
    <definedName name="geog">#REF!</definedName>
    <definedName name="GeogEBIT">#REF!:INDEX(#REF!,COUNTIF(#REF!,"&lt;&gt;FALSE"),1)</definedName>
    <definedName name="GeogNames">#REF!:INDEX(#REF!,COUNTIF(#REF!,"&lt;&gt;FALSE"),1)</definedName>
    <definedName name="GeogSales">#REF!:INDEX(#REF!,COUNTIF(#REF!,"&lt;&gt;FALSE"),1)</definedName>
    <definedName name="geogsp">"Chart 2"</definedName>
    <definedName name="gering"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gfgsifgszfgz" hidden="1">{"'PS-SOTM'!$A$1","'PS-SOTM'!$A$2:$M$30","'PS-SOTM'!$A$31:$A$38"}</definedName>
    <definedName name="gls_ALLOW_PARENT_OR_CONSOLIDATED" hidden="1">#REF!</definedName>
    <definedName name="gls_EXC_NOT_EXT" hidden="1">#REF!</definedName>
    <definedName name="gls_GLOSS_MONTHS" hidden="1">#REF!</definedName>
    <definedName name="gls_GW_IN" hidden="1">#REF!</definedName>
    <definedName name="gls_StockTicker" hidden="1">#REF!</definedName>
    <definedName name="GrossBlock">#REF!</definedName>
    <definedName name="GrossSales">#REF!</definedName>
    <definedName name="growth_period">#REF!</definedName>
    <definedName name="Growth_ratios__yoy">#REF!</definedName>
    <definedName name="GrowthOfGrossSales">#REF!</definedName>
    <definedName name="GrowthOfNetProfit">#REF!</definedName>
    <definedName name="GrowthOfOperatingProfit">#REF!</definedName>
    <definedName name="H1.1">#REF!</definedName>
    <definedName name="H1.2">#REF!,#REF!,#REF!</definedName>
    <definedName name="H2.1">#REF!,#REF!,#REF!</definedName>
    <definedName name="H2.2">#REF!,#REF!,#REF!</definedName>
    <definedName name="half">#REF!</definedName>
    <definedName name="half_yearly" localSheetId="0">'[3]res 2002'!$A$4:$M$56</definedName>
    <definedName name="half_yearly">#REF!</definedName>
    <definedName name="HE1.0">#REF!</definedName>
    <definedName name="HE2.0">#REF!,#REF!,#REF!</definedName>
    <definedName name="HE3.0">#REF!,#REF!,#REF!</definedName>
    <definedName name="HE4.0">#REF!,#REF!,#REF!</definedName>
    <definedName name="HE5.0">#REF!,#REF!,#REF!</definedName>
    <definedName name="hfhfh" localSheetId="0">[9]RBS!$B$19</definedName>
    <definedName name="hfhfh">#REF!</definedName>
    <definedName name="hj">#REF!,#REF!,#REF!</definedName>
    <definedName name="hjggj">#REF!,#REF!,#REF!</definedName>
    <definedName name="HL1.0">#REF!</definedName>
    <definedName name="HL1.1">#REF!</definedName>
    <definedName name="HL1.2">#REF!,#REF!</definedName>
    <definedName name="HL2.0">#REF!,#REF!,#REF!</definedName>
    <definedName name="HL2.1">#REF!,#REF!</definedName>
    <definedName name="HL2.2">#REF!,#REF!</definedName>
    <definedName name="HL3.0">#REF!,#REF!,#REF!</definedName>
    <definedName name="HL4.0">#REF!,#REF!,#REF!</definedName>
    <definedName name="HL5.0">#REF!,#REF!,#REF!</definedName>
    <definedName name="HLCL">#REF!</definedName>
    <definedName name="hll_pond">#REF!</definedName>
    <definedName name="house_groups" localSheetId="0">[10]demo!$A$1:$K$11</definedName>
    <definedName name="house_groups">#REF!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"C:\infac\pricewth\Aug99\Page06e.htm"</definedName>
    <definedName name="HTML_Title" hidden="1">"00Q3961-SUM"</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huy" hidden="1">{"'Sheet1'!$L$16"}</definedName>
    <definedName name="HY">#REF!</definedName>
    <definedName name="ian">#REF!</definedName>
    <definedName name="ibc">#REF!</definedName>
    <definedName name="ibf">#REF!</definedName>
    <definedName name="icd">#REF!</definedName>
    <definedName name="ict">#REF!</definedName>
    <definedName name="ictsymbol">"Rs"</definedName>
    <definedName name="icu">#REF!</definedName>
    <definedName name="icusymbol">"Rs"</definedName>
    <definedName name="ida">#REF!</definedName>
    <definedName name="iex">#REF!</definedName>
    <definedName name="ifd">#REF!</definedName>
    <definedName name="iff">#REF!</definedName>
    <definedName name="ifl">#REF!</definedName>
    <definedName name="ifn">#REF!</definedName>
    <definedName name="ifo">#REF!</definedName>
    <definedName name="ihd">#REF!</definedName>
    <definedName name="ime">#REF!</definedName>
    <definedName name="Img_ML_4d2b6f6f" hidden="1">"IMG_10"</definedName>
    <definedName name="Img_ML_5e7g5e5e" hidden="1">"IMG_10"</definedName>
    <definedName name="Img_ML_5e9i9i2b" hidden="1">"IMG_10"</definedName>
    <definedName name="Img_ML_5h6q3g8u" hidden="1">"IMG_4"</definedName>
    <definedName name="Img_ML_5k8y2t3m" hidden="1">"IMG_10"</definedName>
    <definedName name="Img_ML_6d9u6u7z" hidden="1">"IMG_10"</definedName>
    <definedName name="Img_ML_7g5e5e2b" hidden="1">"IMG_2"</definedName>
    <definedName name="Img_ML_7k5v5m3i" hidden="1">"IMG_10"</definedName>
    <definedName name="Img_ML_8b9j5t1p" hidden="1">"IMG_4"</definedName>
    <definedName name="Img_ML_8h5e9i3c" hidden="1">"IMG_10"</definedName>
    <definedName name="Img_ML_8h7g3c9i" hidden="1">"IMG_1"</definedName>
    <definedName name="Img_ML_8h7g4d4d" hidden="1">"IMG_10"</definedName>
    <definedName name="Img_ML_8r1k8t4y" hidden="1">"IMG_4"</definedName>
    <definedName name="inc_model">#REF!</definedName>
    <definedName name="IncreaseInCashAndCashEquivalents">#REF!</definedName>
    <definedName name="IncreaseInStocks">#REF!</definedName>
    <definedName name="inm">#REF!</definedName>
    <definedName name="Installments_peryear">#REF!</definedName>
    <definedName name="InstCap" hidden="1">#REF!,#REF!,#REF!,#REF!,#REF!,#REF!,#REF!,#REF!</definedName>
    <definedName name="InterestAccruedButNotDue">#REF!</definedName>
    <definedName name="InterestCover">#REF!</definedName>
    <definedName name="inv">#REF!</definedName>
    <definedName name="InvChg" hidden="1">#REF!</definedName>
    <definedName name="inventory" localSheetId="0">[15]bs_related!$A$89</definedName>
    <definedName name="inventory">#REF!</definedName>
    <definedName name="InventoryAndWorkInProgress">#REF!</definedName>
    <definedName name="investment" localSheetId="0">[3]bs_related!$A$78</definedName>
    <definedName name="investment">#REF!</definedName>
    <definedName name="Investments">#REF!</definedName>
    <definedName name="ip1_">#REF!</definedName>
    <definedName name="ip2_">#REF!</definedName>
    <definedName name="ip3_">#REF!</definedName>
    <definedName name="ip4_">#REF!</definedName>
    <definedName name="ip5_">#REF!</definedName>
    <definedName name="ipr">#REF!</definedName>
    <definedName name="ipu">#REF!</definedName>
    <definedName name="ipv">#REF!</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EST" hidden="1">"c399"</definedName>
    <definedName name="IQ_EPS_EST_REUT" hidden="1">"c5453"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CURRENCY" hidden="1">"c2140"</definedName>
    <definedName name="IQ_EST_CURRENCY_REUT" hidden="1">"c5437"</definedName>
    <definedName name="IQ_EST_DATE" hidden="1">"c1634"</definedName>
    <definedName name="IQ_EST_DATE_REUT" hidden="1">"c5438"</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"09/28/2014 04:28:11"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39766.9447916666</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"iQShowAnnual"</definedName>
    <definedName name="irc">#REF!</definedName>
    <definedName name="ire">#REF!</definedName>
    <definedName name="irf">#REF!</definedName>
    <definedName name="irg">#REF!</definedName>
    <definedName name="irp">#REF!</definedName>
    <definedName name="is1_">#REF!</definedName>
    <definedName name="is2_">#REF!</definedName>
    <definedName name="is3_">#REF!</definedName>
    <definedName name="is4_">#REF!</definedName>
    <definedName name="is5_">#REF!</definedName>
    <definedName name="isb">#REF!</definedName>
    <definedName name="isc">#REF!</definedName>
    <definedName name="ise">#REF!</definedName>
    <definedName name="isf">#REF!</definedName>
    <definedName name="isi">#REF!</definedName>
    <definedName name="isl">#REF!</definedName>
    <definedName name="IssueOfOrdinaryShareCapital">#REF!</definedName>
    <definedName name="ist">#REF!</definedName>
    <definedName name="ItemA">#REF!</definedName>
    <definedName name="ItemB">#REF!</definedName>
    <definedName name="ItemC">#REF!</definedName>
    <definedName name="ItemD">#REF!</definedName>
    <definedName name="iue">1</definedName>
    <definedName name="iuesymbol">"Rs"</definedName>
    <definedName name="iun">1000000</definedName>
    <definedName name="iunsymbol">"Rsm"</definedName>
    <definedName name="ius">1000000</definedName>
    <definedName name="iva">#REF!</definedName>
    <definedName name="jkk" localSheetId="0">[9]RBS!$F$15</definedName>
    <definedName name="jkk">#REF!</definedName>
    <definedName name="Key_Ratios">#REF!</definedName>
    <definedName name="klll">#REF!,#REF!,#REF!</definedName>
    <definedName name="L_and_A" localSheetId="0">[3]bs_related!$A$99</definedName>
    <definedName name="L_and_A">#REF!</definedName>
    <definedName name="L1L">#REF!,#REF!</definedName>
    <definedName name="L2L">#REF!,#REF!</definedName>
    <definedName name="L3L">#REF!,#REF!</definedName>
    <definedName name="L4L">#REF!,#REF!</definedName>
    <definedName name="L5L">#REF!,#REF!</definedName>
    <definedName name="Last_Installment_Date">#REF!</definedName>
    <definedName name="Lawyer_Fee">#REF!</definedName>
    <definedName name="Layup_02\03" localSheetId="0">[2]Earning_Assum!#REF!</definedName>
    <definedName name="Layup_02\03">#REF!</definedName>
    <definedName name="Layup_03\04" localSheetId="0">[2]Earning_Assum!#REF!</definedName>
    <definedName name="Layup_03\04">#REF!</definedName>
    <definedName name="Layup_04\05" localSheetId="0">[2]Earning_Assum!#REF!</definedName>
    <definedName name="Layup_04\05">#REF!</definedName>
    <definedName name="limcount" hidden="1">1</definedName>
    <definedName name="ll" localSheetId="0">[9]RBS!$B$21</definedName>
    <definedName name="ll">#REF!</definedName>
    <definedName name="LoansAdvances">#REF!</definedName>
    <definedName name="LtDebtChg" hidden="1">#REF!</definedName>
    <definedName name="LtDebtDmy" hidden="1">#REF!,#REF!,#REF!,#REF!,#REF!</definedName>
    <definedName name="LTDebtSer" hidden="1">#REF!</definedName>
    <definedName name="M_PlaceofPath" hidden="1">"\\SNYCEQT0100\HOME\LZURLO\DATA\TELMEX\Models\tmx_vdf.xls"</definedName>
    <definedName name="Macro1" localSheetId="0">[12]!Macro1</definedName>
    <definedName name="Macro1">#REF!</definedName>
    <definedName name="Macro2" localSheetId="0">[12]!Macro2</definedName>
    <definedName name="Macro2">#REF!</definedName>
    <definedName name="Macro3" localSheetId="0">[12]MenuData!Macro3</definedName>
    <definedName name="Macro3">#REF!</definedName>
    <definedName name="manish" localSheetId="0">'[19]p&amp;l'!#REF!</definedName>
    <definedName name="manish">#REF!</definedName>
    <definedName name="Margin" hidden="1">{#N/A,#N/A,FALSE,"Status of Projects";#N/A,#N/A,FALSE,"CEA-TEC";#N/A,#N/A,FALSE,"U-Constr.";#N/A,#N/A,FALSE,"summary";#N/A,#N/A,FALSE,"PPP-3 yrs"}</definedName>
    <definedName name="mastertemplatelookup" localSheetId="0">[20]Master!$A$2:$BA$607</definedName>
    <definedName name="mastertemplatelookup">#REF!</definedName>
    <definedName name="Materials">#REF!</definedName>
    <definedName name="Materials_NetSales">#REF!</definedName>
    <definedName name="Maximum_loan_available">#REF!</definedName>
    <definedName name="mc_ms">#REF!</definedName>
    <definedName name="mergers" localSheetId="0">[21]mna!$A$3:$B$22</definedName>
    <definedName name="mergers">#REF!</definedName>
    <definedName name="MfgExpSer" hidden="1">#REF!</definedName>
    <definedName name="mkt_strength">#REF!</definedName>
    <definedName name="mm" hidden="1">{#N/A,#N/A,FALSE,"Status of Projects";#N/A,#N/A,FALSE,"CEA-TEC";#N/A,#N/A,FALSE,"U-Constr.";#N/A,#N/A,FALSE,"summary";#N/A,#N/A,FALSE,"PPP-3 yrs"}</definedName>
    <definedName name="mmnote">#REF!</definedName>
    <definedName name="n" hidden="1">#REF!</definedName>
    <definedName name="nas">#REF!</definedName>
    <definedName name="nbd">#REF!</definedName>
    <definedName name="nbn">#REF!</definedName>
    <definedName name="NetAssets">#REF!</definedName>
    <definedName name="NetCAChg" hidden="1">#REF!</definedName>
    <definedName name="NetCashflowBeforeFinancing">#REF!</definedName>
    <definedName name="NetCashflowFromFinancing">#REF!</definedName>
    <definedName name="NetCashflowFromInvestingActivities">#REF!</definedName>
    <definedName name="NetCashflowFromOperations">#REF!</definedName>
    <definedName name="NetCashflowFromReturnsOnInvestmentsAndServicingOfDebt">#REF!</definedName>
    <definedName name="NetCurrentAssets">#REF!</definedName>
    <definedName name="NetDebt">#REF!</definedName>
    <definedName name="NetDebtChg" hidden="1">#REF!</definedName>
    <definedName name="NetEqChg" hidden="1">#REF!</definedName>
    <definedName name="NetInterestCharge">#REF!</definedName>
    <definedName name="NetProfit">#REF!</definedName>
    <definedName name="NetProfitMargin">#REF!</definedName>
    <definedName name="NetSales">#REF!</definedName>
    <definedName name="Newname"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Newnamene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Newne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NFAChg" hidden="1">#REF!</definedName>
    <definedName name="nn" hidden="1">{#N/A,#N/A,FALSE,"Status of Projects";#N/A,#N/A,FALSE,"CEA-TEC";#N/A,#N/A,FALSE,"U-Constr.";#N/A,#N/A,FALSE,"summary";#N/A,#N/A,FALSE,"PPP-3 yrs"}</definedName>
    <definedName name="NtnlPr" hidden="1">#REF!</definedName>
    <definedName name="OCA" localSheetId="0">[15]bs_related!$A$109</definedName>
    <definedName name="OCA">#REF!</definedName>
    <definedName name="opd">#REF!</definedName>
    <definedName name="OperatingProfit">#REF!</definedName>
    <definedName name="OperatingProfitMargin">#REF!</definedName>
    <definedName name="OperatingRatio">#REF!</definedName>
    <definedName name="OpIncDmy" hidden="1">#REF!</definedName>
    <definedName name="OpIncSer" hidden="1">#REF!</definedName>
    <definedName name="oprates" hidden="1">{#N/A,#N/A,FALSE,"Status of Projects";#N/A,#N/A,FALSE,"CEA-TEC";#N/A,#N/A,FALSE,"U-Constr.";#N/A,#N/A,FALSE,"summary";#N/A,#N/A,FALSE,"PPP-3 yrs"}</definedName>
    <definedName name="OpRisk">#REF!</definedName>
    <definedName name="OpRiskTtl">#REF!</definedName>
    <definedName name="OrdinaryDividends">#REF!</definedName>
    <definedName name="other_inc">#REF!</definedName>
    <definedName name="other_income" localSheetId="0">[22]pl_related!$A$74</definedName>
    <definedName name="other_income">#REF!</definedName>
    <definedName name="OtherAssets">#REF!</definedName>
    <definedName name="OtherCurrentAssets">#REF!</definedName>
    <definedName name="OtherCurrentLiabilities">#REF!</definedName>
    <definedName name="OtherExpenses">#REF!</definedName>
    <definedName name="OtherIncome">#REF!</definedName>
    <definedName name="OtherLoans">#REF!</definedName>
    <definedName name="OtherRelated">#REF!</definedName>
    <definedName name="Others">#REF!</definedName>
    <definedName name="OthRisk">#REF!</definedName>
    <definedName name="OthRiskTtl">#REF!</definedName>
    <definedName name="p" hidden="1">{#N/A,#N/A,FALSE,"Status of Projects";#N/A,#N/A,FALSE,"CEA-TEC";#N/A,#N/A,FALSE,"U-Constr.";#N/A,#N/A,FALSE,"summary";#N/A,#N/A,FALSE,"PPP-3 yrs"}</definedName>
    <definedName name="page1">#REF!</definedName>
    <definedName name="page2">#REF!</definedName>
    <definedName name="pai">#REF!</definedName>
    <definedName name="pandl">#REF!</definedName>
    <definedName name="Payout_ratios">#REF!</definedName>
    <definedName name="PayoutRatio">#REF!</definedName>
    <definedName name="PBIDT">#REF!</definedName>
    <definedName name="pco">#REF!</definedName>
    <definedName name="pde" localSheetId="0">[6]Database!$A$101:$IV$101</definedName>
    <definedName name="pde">#REF!</definedName>
    <definedName name="pdp">#REF!</definedName>
    <definedName name="pe_to_pop">#REF!</definedName>
    <definedName name="peb" localSheetId="0">[6]Database!$A$100:$IV$100</definedName>
    <definedName name="peb">#REF!</definedName>
    <definedName name="pebanddata">#REF!</definedName>
    <definedName name="pei">#REF!</definedName>
    <definedName name="per_capita" localSheetId="0">[10]global!$A$1:$K$9</definedName>
    <definedName name="per_capita">#REF!</definedName>
    <definedName name="Per_share__Rs">#REF!</definedName>
    <definedName name="pereldata">#REF!</definedName>
    <definedName name="pet">#REF!</definedName>
    <definedName name="pfx">#REF!</definedName>
    <definedName name="pga">#REF!</definedName>
    <definedName name="pgp">#REF!</definedName>
    <definedName name="pie">#REF!</definedName>
    <definedName name="pii">#REF!</definedName>
    <definedName name="pin">#REF!</definedName>
    <definedName name="PL">#REF!</definedName>
    <definedName name="pl_ganesh" localSheetId="0">[3]main!$A$10:$J$42</definedName>
    <definedName name="pl_ganesh">#REF!</definedName>
    <definedName name="pl_jb" localSheetId="0">[5]acctmod!$A$1:$Y$40</definedName>
    <definedName name="pl_jb">#REF!</definedName>
    <definedName name="pl_ratio_jb" localSheetId="0">[8]acctmod!$A$138:$Y$157</definedName>
    <definedName name="pl_ratio_jb">#REF!</definedName>
    <definedName name="pl_sski">#REF!</definedName>
    <definedName name="pmi">#REF!</definedName>
    <definedName name="pnp">#REF!</definedName>
    <definedName name="poi">#REF!</definedName>
    <definedName name="pop">#REF!</definedName>
    <definedName name="pop_growth">#REF!</definedName>
    <definedName name="Porter">#REF!</definedName>
    <definedName name="PorterTotal">#REF!</definedName>
    <definedName name="ppr">#REF!</definedName>
    <definedName name="ppt">#REF!</definedName>
    <definedName name="pre" localSheetId="0">[6]Database!$A$95:$IV$95</definedName>
    <definedName name="pre">#REF!</definedName>
    <definedName name="PreferenceDividends">#REF!</definedName>
    <definedName name="PreTaxProfit">#REF!</definedName>
    <definedName name="PrfDmy" hidden="1">#REF!</definedName>
    <definedName name="PrfShSer" hidden="1">#REF!</definedName>
    <definedName name="prg">#REF!</definedName>
    <definedName name="pri">#REF!</definedName>
    <definedName name="PRICE">#REF!</definedName>
    <definedName name="priceh">#REF!</definedName>
    <definedName name="Print">#REF!</definedName>
    <definedName name="_xlnm.Print_Area" localSheetId="0">Supreme!$B$1:$CD$199</definedName>
    <definedName name="_xlnm.Print_Area">#N/A</definedName>
    <definedName name="PrintIND">#REF!</definedName>
    <definedName name="ProdDmy" hidden="1">#REF!</definedName>
    <definedName name="Product" hidden="1">#REF!</definedName>
    <definedName name="production">#REF!</definedName>
    <definedName name="ProdUnit" hidden="1">#REF!</definedName>
    <definedName name="Profit_Loss">#REF!</definedName>
    <definedName name="profits" localSheetId="0">[5]quant!$W$5:$Z$13</definedName>
    <definedName name="profits">#REF!</definedName>
    <definedName name="PrsExpSer" hidden="1">#REF!</definedName>
    <definedName name="PrYears" hidden="1">#REF!</definedName>
    <definedName name="pse">#REF!</definedName>
    <definedName name="PSFvsCotton"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SV">#REF!</definedName>
    <definedName name="PSYvsCY"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ta">#REF!</definedName>
    <definedName name="pto">#REF!</definedName>
    <definedName name="pxd">#REF!</definedName>
    <definedName name="q" hidden="1">{"'PS-SOTM'!$A$1","'PS-SOTM'!$A$2:$M$30","'PS-SOTM'!$A$31:$A$38"}</definedName>
    <definedName name="Q1.1">#REF!</definedName>
    <definedName name="Q1.2">#REF!,#REF!,#REF!</definedName>
    <definedName name="Q1.3">#REF!,#REF!,#REF!</definedName>
    <definedName name="Q1.4">#REF!,#REF!,#REF!</definedName>
    <definedName name="Q2.1">#REF!,#REF!,#REF!</definedName>
    <definedName name="Q2.2">#REF!,#REF!,#REF!</definedName>
    <definedName name="Q2.3">#REF!,#REF!,#REF!</definedName>
    <definedName name="Q2.4">#REF!,#REF!,#REF!</definedName>
    <definedName name="Q3.1">#REF!,#REF!,#REF!</definedName>
    <definedName name="QL1.1">#REF!,#REF!</definedName>
    <definedName name="QL1.2">#REF!,#REF!</definedName>
    <definedName name="QL1.3">#REF!,#REF!</definedName>
    <definedName name="QL1.4">#REF!,#REF!</definedName>
    <definedName name="QL2.1">#REF!,#REF!</definedName>
    <definedName name="QL2.2">#REF!,#REF!</definedName>
    <definedName name="QL2.3">#REF!,#REF!</definedName>
    <definedName name="QL2.4">#REF!,#REF!</definedName>
    <definedName name="QL3.1">#REF!,#REF!</definedName>
    <definedName name="qq" hidden="1">#REF!</definedName>
    <definedName name="QWRE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rad">#REF!</definedName>
    <definedName name="ratio_jb" localSheetId="0">[5]acctmod!$A$135:$Y$180</definedName>
    <definedName name="ratio_jb">#REF!</definedName>
    <definedName name="ratios" localSheetId="0">[3]main!$A$164:$O$212</definedName>
    <definedName name="ratios">#REF!</definedName>
    <definedName name="RawMat" hidden="1">#REF!</definedName>
    <definedName name="rce">#REF!</definedName>
    <definedName name="rcr">#REF!</definedName>
    <definedName name="rde">#REF!</definedName>
    <definedName name="read_area">#REF!</definedName>
    <definedName name="reco">#REF!</definedName>
    <definedName name="recommendation">#REF!</definedName>
    <definedName name="recommendationH">#REF!</definedName>
    <definedName name="Redtape" hidden="1">#REF!</definedName>
    <definedName name="relperfdata">#REF!</definedName>
    <definedName name="Repayment_period">#REF!</definedName>
    <definedName name="Repayment_Starts_on">#REF!</definedName>
    <definedName name="reserves" localSheetId="0">[3]bs_related!$A$24</definedName>
    <definedName name="reserves">#REF!</definedName>
    <definedName name="ReservesAndSurplus">#REF!</definedName>
    <definedName name="ret_ratios_jb" localSheetId="0">[8]acctmod!$A$175:$Y$185</definedName>
    <definedName name="ret_ratios_jb">#REF!</definedName>
    <definedName name="RetainedProfit">#REF!</definedName>
    <definedName name="ReturnOnAverageAssets">#REF!</definedName>
    <definedName name="ReturnOnAverageEquity">#REF!</definedName>
    <definedName name="REUTERS">#REF!</definedName>
    <definedName name="reuters_codeh">#REF!</definedName>
    <definedName name="rev">#REF!</definedName>
    <definedName name="Revenues">#N/A</definedName>
    <definedName name="rfa">#REF!</definedName>
    <definedName name="rfes"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rfs">#REF!</definedName>
    <definedName name="rm" localSheetId="0">[3]rm!$A$1:$J$54</definedName>
    <definedName name="rm">#REF!</definedName>
    <definedName name="rm_price">#REF!</definedName>
    <definedName name="RMDmy" hidden="1">#REF!</definedName>
    <definedName name="RMUnit" hidden="1">#REF!</definedName>
    <definedName name="rnf">#REF!</definedName>
    <definedName name="rns">#REF!</definedName>
    <definedName name="ROCE" localSheetId="0">[14]main!#REF!</definedName>
    <definedName name="ROCE">#REF!</definedName>
    <definedName name="ROE">#REF!</definedName>
    <definedName name="rot">#REF!</definedName>
    <definedName name="rr" hidden="1">#REF!</definedName>
    <definedName name="rre">#REF!</definedName>
    <definedName name="rrr" hidden="1">{#N/A,#N/A,FALSE,"Status of Projects";#N/A,#N/A,FALSE,"CEA-TEC";#N/A,#N/A,FALSE,"U-Constr.";#N/A,#N/A,FALSE,"summary";#N/A,#N/A,FALSE,"PPP-3 yrs"}</definedName>
    <definedName name="rty" localSheetId="0">[9]RBS!$B$23</definedName>
    <definedName name="rty">#REF!</definedName>
    <definedName name="rural" localSheetId="0">[10]rural!$A$16:$C$26</definedName>
    <definedName name="rural">#REF!</definedName>
    <definedName name="rural_urban" localSheetId="0">[10]rural!$A$1:$C$13</definedName>
    <definedName name="rural_urban">#REF!</definedName>
    <definedName name="rus">#REF!</definedName>
    <definedName name="rwc">#REF!</definedName>
    <definedName name="rwt">#REF!</definedName>
    <definedName name="sad">#REF!</definedName>
    <definedName name="saf">#REF!</definedName>
    <definedName name="sal">#REF!</definedName>
    <definedName name="sales">#REF!</definedName>
    <definedName name="sales_real_growth">#REF!</definedName>
    <definedName name="sales_realisation">#REF!</definedName>
    <definedName name="sales_val_growth">#REF!</definedName>
    <definedName name="sales_value">#REF!</definedName>
    <definedName name="sales_vol">#REF!</definedName>
    <definedName name="sales_vol_growth">#REF!</definedName>
    <definedName name="SaleUnit" hidden="1">#REF!,#REF!,#REF!,#REF!,#REF!,#REF!,#REF!,#REF!</definedName>
    <definedName name="SaleValue" hidden="1">#REF!,#REF!,#REF!,#REF!,#REF!,#REF!,#REF!,#REF!</definedName>
    <definedName name="sas">#REF!</definedName>
    <definedName name="SCI_Afra">#REF!</definedName>
    <definedName name="SCi_Loan">#REF!</definedName>
    <definedName name="SCI_Suez">#REF!</definedName>
    <definedName name="sd" localSheetId="0">[2]Earning_Assum!#REF!</definedName>
    <definedName name="sd">#REF!</definedName>
    <definedName name="secsplit">"Chart 3"</definedName>
    <definedName name="SECTOR">#REF!</definedName>
    <definedName name="SECTORa">#REF!</definedName>
    <definedName name="SecuredLoans">#REF!</definedName>
    <definedName name="seg" localSheetId="0">[22]sales!#REF!</definedName>
    <definedName name="seg">#REF!</definedName>
    <definedName name="SelExpSer" hidden="1">#REF!</definedName>
    <definedName name="sencount" hidden="1">1</definedName>
    <definedName name="sensex">#REF!</definedName>
    <definedName name="sensit_analysis" localSheetId="0">[15]sensity!$B$2:$D$15</definedName>
    <definedName name="sensit_analysis">#REF!</definedName>
    <definedName name="sensiti">#REF!</definedName>
    <definedName name="SGCInvChg" hidden="1">#REF!</definedName>
    <definedName name="sh_pri">#REF!</definedName>
    <definedName name="sh_pti">#REF!</definedName>
    <definedName name="share_premium" localSheetId="0">[15]bs_related!$A$18</definedName>
    <definedName name="share_premium">#REF!</definedName>
    <definedName name="Share_price">#REF!</definedName>
    <definedName name="share_vol" localSheetId="0">[3]sales!$N86:$N1047968</definedName>
    <definedName name="share_vol">#REF!</definedName>
    <definedName name="ShareCapital">#REF!</definedName>
    <definedName name="ShareholderFunds">#REF!</definedName>
    <definedName name="ShareHolders">#REF!:INDEX(#REF!,COUNTIF(#REF!,"&lt;&gt;FALSE"),1)</definedName>
    <definedName name="ShareholdersFunds">#REF!</definedName>
    <definedName name="ShareHoldings">#REF!:INDEX(#REF!,COUNTIF(#REF!,"&lt;&gt;FALSE"),1)</definedName>
    <definedName name="ShPrmChg" hidden="1">#REF!</definedName>
    <definedName name="Simplex">#REF!</definedName>
    <definedName name="small_cap">#REF!</definedName>
    <definedName name="solver_lhs10" hidden="1">#REF!</definedName>
    <definedName name="solver_lhs11" hidden="1">#REF!</definedName>
    <definedName name="solver_lhs12" hidden="1">#REF!</definedName>
    <definedName name="solver_lhs13" hidden="1">#REF!</definedName>
    <definedName name="solver_lhs14" hidden="1">#REF!</definedName>
    <definedName name="solver_lhs15" hidden="1">#REF!</definedName>
    <definedName name="solver_lhs16" hidden="1">#REF!</definedName>
    <definedName name="solver_lhs17" hidden="1">#REF!</definedName>
    <definedName name="solver_lhs18" hidden="1">#REF!</definedName>
    <definedName name="solver_lhs19" hidden="1">#REF!</definedName>
    <definedName name="solver_lhs20" hidden="1">#REF!</definedName>
    <definedName name="solver_lhs21" hidden="1">#REF!</definedName>
    <definedName name="solver_lhs22" hidden="1">#REF!</definedName>
    <definedName name="solver_lhs23" hidden="1">#REF!</definedName>
    <definedName name="solver_lhs24" hidden="1">#REF!</definedName>
    <definedName name="solver_lhs25" hidden="1">#REF!</definedName>
    <definedName name="solver_lhs26" hidden="1">#REF!</definedName>
    <definedName name="solver_lhs27" hidden="1">#REF!</definedName>
    <definedName name="solver_lhs6" hidden="1">#REF!</definedName>
    <definedName name="solver_lhs7" hidden="1">#REF!</definedName>
    <definedName name="solver_lhs8" hidden="1">#REF!</definedName>
    <definedName name="solver_lhs9" hidden="1">#REF!</definedName>
    <definedName name="solver_lin" hidden="1">0</definedName>
    <definedName name="solver_num" hidden="1">0</definedName>
    <definedName name="solver_opt" hidden="1">#REF!</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2</definedName>
    <definedName name="solver_rel16" hidden="1">3</definedName>
    <definedName name="solver_rel17" hidden="1">3</definedName>
    <definedName name="solver_rel18" hidden="1">3</definedName>
    <definedName name="solver_rel19" hidden="1">3</definedName>
    <definedName name="solver_rel20" hidden="1">3</definedName>
    <definedName name="solver_rel21" hidden="1">3</definedName>
    <definedName name="solver_rel22" hidden="1">2</definedName>
    <definedName name="solver_rel23" hidden="1">2</definedName>
    <definedName name="solver_rel24" hidden="1">3</definedName>
    <definedName name="solver_rel25" hidden="1">3</definedName>
    <definedName name="solver_rel26" hidden="1">1</definedName>
    <definedName name="solver_rel27" hidden="1">3</definedName>
    <definedName name="solver_rel6" hidden="1">3</definedName>
    <definedName name="solver_rel7" hidden="1">3</definedName>
    <definedName name="solver_rel8" hidden="1">3</definedName>
    <definedName name="solver_rel9" hidden="1">3</definedName>
    <definedName name="solver_rhs10" hidden="1">270</definedName>
    <definedName name="solver_rhs11" hidden="1">10</definedName>
    <definedName name="solver_rhs12" hidden="1">40</definedName>
    <definedName name="solver_rhs13" hidden="1">30</definedName>
    <definedName name="solver_rhs14" hidden="1">20</definedName>
    <definedName name="solver_rhs15" hidden="1">100</definedName>
    <definedName name="solver_rhs16" hidden="1">15</definedName>
    <definedName name="solver_rhs17" hidden="1">10</definedName>
    <definedName name="solver_rhs18" hidden="1">5</definedName>
    <definedName name="solver_rhs19" hidden="1">1</definedName>
    <definedName name="solver_rhs20" hidden="1">1</definedName>
    <definedName name="solver_rhs21" hidden="1">15</definedName>
    <definedName name="solver_rhs22" hidden="1">0</definedName>
    <definedName name="solver_rhs23" hidden="1">0</definedName>
    <definedName name="solver_rhs24" hidden="1">4</definedName>
    <definedName name="solver_rhs25" hidden="1">5</definedName>
    <definedName name="solver_rhs26" hidden="1">3</definedName>
    <definedName name="solver_rhs27" hidden="1">10</definedName>
    <definedName name="solver_rhs6" hidden="1">8.5</definedName>
    <definedName name="solver_rhs7" hidden="1">25</definedName>
    <definedName name="solver_rhs8" hidden="1">110</definedName>
    <definedName name="solver_rhs9" hidden="1">40</definedName>
    <definedName name="solver_typ" hidden="1">1</definedName>
    <definedName name="solver_val" hidden="1">0</definedName>
    <definedName name="speciality_chem">#REF!</definedName>
    <definedName name="Spread">#REF!</definedName>
    <definedName name="sps">#REF!</definedName>
    <definedName name="srn.Staff._.cost1998new" hidden="1">{#N/A,#N/A,TRUE,"Staffnos &amp; cost"}</definedName>
    <definedName name="ss" hidden="1">{"'PS-SOTM'!$A$1","'PS-SOTM'!$A$2:$M$30","'PS-SOTM'!$A$31:$A$38"}</definedName>
    <definedName name="sss" hidden="1">{"'PS-SOTM'!$A$1","'PS-SOTM'!$A$2:$M$30","'PS-SOTM'!$A$31:$A$38"}</definedName>
    <definedName name="sst" hidden="1">{#N/A,#N/A,FALSE,"Status of Projects";#N/A,#N/A,FALSE,"CEA-TEC";#N/A,#N/A,FALSE,"U-Constr.";#N/A,#N/A,FALSE,"summary";#N/A,#N/A,FALSE,"PPP-3 yrs"}</definedName>
    <definedName name="stable_growth_rate">#REF!</definedName>
    <definedName name="StaffCosts">#REF!</definedName>
    <definedName name="Start_Detail">#REF!</definedName>
    <definedName name="Start_Header">#REF!</definedName>
    <definedName name="state_luxury_tax" localSheetId="0">[23]Sheet1!$A$271</definedName>
    <definedName name="state_luxury_tax">#REF!</definedName>
    <definedName name="StDebtChg" hidden="1">#REF!</definedName>
    <definedName name="StDebtDmy" hidden="1">#REF!,#REF!,#REF!,#REF!,#REF!</definedName>
    <definedName name="STDebtSer" hidden="1">#REF!</definedName>
    <definedName name="summary" localSheetId="0">[3]main!$B$164:$J$215</definedName>
    <definedName name="summary">#REF!</definedName>
    <definedName name="Summary_Date">#REF!</definedName>
    <definedName name="summary_stn"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wa">#REF!</definedName>
    <definedName name="swl">#REF!</definedName>
    <definedName name="sws">#REF!</definedName>
    <definedName name="SystemDefaults_ExpiryDate" hidden="1">#REF!</definedName>
    <definedName name="SystemDefaults_ExpiryStatus" hidden="1">#REF!</definedName>
    <definedName name="t" localSheetId="0">[9]RBS!$F$24</definedName>
    <definedName name="t">#REF!</definedName>
    <definedName name="target_pri">#REF!</definedName>
    <definedName name="TAX" localSheetId="0">'[19]p&amp;l'!#REF!</definedName>
    <definedName name="TAX">#REF!</definedName>
    <definedName name="TaxAndDividendProvisions">#REF!</definedName>
    <definedName name="Taxation">#REF!</definedName>
    <definedName name="TaxPaid">#REF!</definedName>
    <definedName name="TaxProvision">#REF!</definedName>
    <definedName name="TaxRate">#REF!</definedName>
    <definedName name="tci">#REF!</definedName>
    <definedName name="tcs">#REF!</definedName>
    <definedName name="tea_estates" localSheetId="0">[22]shareholding!#REF!</definedName>
    <definedName name="tea_estates">#REF!</definedName>
    <definedName name="Tes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est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est2ne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est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est3ne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est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est4ne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estne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etley">#REF!</definedName>
    <definedName name="tev">#REF!</definedName>
    <definedName name="tfc">#REF!</definedName>
    <definedName name="tfd">#REF!</definedName>
    <definedName name="tfo">#REF!</definedName>
    <definedName name="tfr">#REF!</definedName>
    <definedName name="tin">#REF!</definedName>
    <definedName name="tisco3" hidden="1">{#N/A,#N/A,FALSE,"Status of Projects";#N/A,#N/A,FALSE,"CEA-TEC";#N/A,#N/A,FALSE,"U-Constr.";#N/A,#N/A,FALSE,"summary";#N/A,#N/A,FALSE,"PPP-3 yrs"}</definedName>
    <definedName name="tnd">#REF!</definedName>
    <definedName name="TNPL">#REF!</definedName>
    <definedName name="tobacco_prices_at_auctions" localSheetId="0">[23]Sheet1!$A$88:$E$102</definedName>
    <definedName name="tobacco_prices_at_auctions">#REF!</definedName>
    <definedName name="today">#REF!</definedName>
    <definedName name="Total_Installments">#REF!</definedName>
    <definedName name="TotalDebt">#REF!</definedName>
    <definedName name="TotalExpenses">#REF!</definedName>
    <definedName name="tr" localSheetId="0">[9]RBS!$F$21</definedName>
    <definedName name="tr">#REF!</definedName>
    <definedName name="trade" localSheetId="0">'[3]Inc Mod cigs'!$B$181</definedName>
    <definedName name="trade">#REF!</definedName>
    <definedName name="TradeCreditors">#REF!</definedName>
    <definedName name="TradeCreditors_GrossSales">#REF!</definedName>
    <definedName name="TradeDebtors">#REF!</definedName>
    <definedName name="TradeDebtors_GrossSales">#REF!</definedName>
    <definedName name="tre">#REF!</definedName>
    <definedName name="tt_subsidiaries" localSheetId="0">[22]shareholding!#REF!</definedName>
    <definedName name="tt_subsidiaries">#REF!</definedName>
    <definedName name="unilever">#REF!</definedName>
    <definedName name="UnsecuredLoans">#REF!</definedName>
    <definedName name="Upfront_Fee">#REF!</definedName>
    <definedName name="USD_Libor_Swap_rate">#REF!</definedName>
    <definedName name="UtilCap" hidden="1">#REF!,#REF!,#REF!,#REF!,#REF!,#REF!,#REF!,#REF!</definedName>
    <definedName name="UtilProd" hidden="1">#REF!,#REF!,#REF!,#REF!,#REF!,#REF!,#REF!,#REF!</definedName>
    <definedName name="vae">#REF!</definedName>
    <definedName name="vai">#REF!</definedName>
    <definedName name="validate_Equity_Data" localSheetId="0">[13]!validate_Equity_Data</definedName>
    <definedName name="validate_Equity_Data">#REF!</definedName>
    <definedName name="valn_jb" localSheetId="0">[5]acctmod!$A$182:$Y$198</definedName>
    <definedName name="valn_jb">#REF!</definedName>
    <definedName name="vay">#REF!</definedName>
    <definedName name="vbv">#REF!</definedName>
    <definedName name="vcf">#REF!</definedName>
    <definedName name="vdp">#REF!</definedName>
    <definedName name="veb">#REF!</definedName>
    <definedName name="veg">#REF!</definedName>
    <definedName name="vep">#REF!</definedName>
    <definedName name="Version">#REF!</definedName>
    <definedName name="Vessel_Cost">#REF!</definedName>
    <definedName name="vev">#REF!</definedName>
    <definedName name="vey">#REF!</definedName>
    <definedName name="vfa">#REF!</definedName>
    <definedName name="vgp">#REF!</definedName>
    <definedName name="via">#REF!</definedName>
    <definedName name="vio">#REF!</definedName>
    <definedName name="vishalaa" hidden="1">{"'PS-SOTM'!$A$1","'PS-SOTM'!$A$2:$M$30","'PS-SOTM'!$A$31:$A$38"}</definedName>
    <definedName name="vmv">#REF!</definedName>
    <definedName name="vnd">#REF!</definedName>
    <definedName name="vnl">#REF!</definedName>
    <definedName name="vol" localSheetId="0">[22]sales!#REF!</definedName>
    <definedName name="vol">#REF!</definedName>
    <definedName name="vpp">#REF!</definedName>
    <definedName name="vpr">#REF!</definedName>
    <definedName name="vpx">#REF!</definedName>
    <definedName name="vrn">#REF!</definedName>
    <definedName name="vsp">#REF!</definedName>
    <definedName name="vug">#REF!</definedName>
    <definedName name="vva">#REF!</definedName>
    <definedName name="w" hidden="1">{"quarterly",#N/A,FALSE,"Income Statement";#N/A,#N/A,FALSE,"print segment";#N/A,#N/A,FALSE,"Balance Sheet";#N/A,#N/A,FALSE,"Annl Inc";#N/A,#N/A,FALSE,"Cash Flow"}</definedName>
    <definedName name="WeightedAverageNoShares">#REF!</definedName>
    <definedName name="WorkingCapital_GrossSales">#REF!</definedName>
    <definedName name="wrn.1." hidden="1">{#N/A,#N/A,FALSE,"Scenario Summary"}</definedName>
    <definedName name="wrn.Accounts." hidden="1">{"turnover",#N/A,FALSE;"profits",#N/A,FALSE;"cash",#N/A,FALSE}</definedName>
    <definedName name="wrn.Accountsnew" hidden="1">{"turnover",#N/A,FALSE;"profits",#N/A,FALSE;"cash",#N/A,FALSE}</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ckup." hidden="1">{#N/A,#N/A,FALSE,"time  $ alloc AIS";#N/A,#N/A,FALSE,"detail time AIS";#N/A,#N/A,FALSE,"time $ alloc CONT";#N/A,#N/A,FALSE,"detail time CONT"}</definedName>
    <definedName name="wrn.Cochanges." hidden="1">{"valn",#N/A,FALSE,"COVER SHEET";"Interims",#N/A,FALSE,"News_Notes_Interims";"notesNews",#N/A,FALSE,"News_Notes_Interims"}</definedName>
    <definedName name="wrn.COMBINED." hidden="1">{#N/A,#N/A,FALSE,"INPUTS";#N/A,#N/A,FALSE,"PROFORMA BSHEET";#N/A,#N/A,FALSE,"COMBINED";#N/A,#N/A,FALSE,"HIGH YIELD";#N/A,#N/A,FALSE,"COMB_GRAPHS"}</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ne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OLIDATION." hidden="1">{"PAGE1",#N/A,FALSE,"Consolidation";"PAGE2",#N/A,FALSE,"Consolidation";"PAGE3",#N/A,FALSE,"Consolidation";"PAGE4",#N/A,FALSE,"Consolidation";"PAGE5",#N/A,FALSE,"Consolidation";"PAGE6",#N/A,FALSE,"Consolidation";"PAGE7",#N/A,FALSE,"Consolidation"}</definedName>
    <definedName name="wrn.contribution." hidden="1">{#N/A,#N/A,FALSE,"Contribution Analysis"}</definedName>
    <definedName name="wrn.Cost._.sheet." hidden="1">{#N/A,#N/A,FALSE,"Std cost dilutes";#N/A,#N/A,FALSE,"Std cost dilutes"}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vintl." hidden="1">{"cover",#N/A,FALSE,"COVER SHEET";#N/A,#N/A,FALSE,"TARGET PRICE";#N/A,#N/A,FALSE,"DFCF"}</definedName>
    <definedName name="wrn.datapak" hidden="1">{#N/A,#N/A,FALSE,"Status of Projects";#N/A,#N/A,FALSE,"CEA-TEC";#N/A,#N/A,FALSE,"U-Constr.";#N/A,#N/A,FALSE,"summary";#N/A,#N/A,FALSE,"PPP-3 yrs"}</definedName>
    <definedName name="wrn.datapak." localSheetId="0" hidden="1">{#N/A,#N/A,FALSE,"Status of Projects";#N/A,#N/A,FALSE,"CEA-TEC";#N/A,#N/A,FALSE,"U-Constr.";#N/A,#N/A,FALSE,"summary";#N/A,#N/A,FALSE,"PPP-3 yrs"}</definedName>
    <definedName name="wrn.datapak." hidden="1">{#N/A,#N/A,FALSE,"Status of Projects";#N/A,#N/A,FALSE,"CEA-TEC";#N/A,#N/A,FALSE,"U-Constr.";#N/A,#N/A,FALSE,"summary";#N/A,#N/A,FALSE,"PPP-3 yrs"}</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ur"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Full._.Financials." hidden="1">{#N/A,#N/A,TRUE,"Financials";#N/A,#N/A,TRUE,"Operating Statistics";#N/A,#N/A,TRUE,"Capex &amp; Depreciation";#N/A,#N/A,TRUE,"Debt"}</definedName>
    <definedName name="wrn.GRAPHS." hidden="1">{#N/A,#N/A,FALSE,"ACQ_GRAPHS";#N/A,#N/A,FALSE,"T_1 GRAPHS";#N/A,#N/A,FALSE,"T_2 GRAPHS";#N/A,#N/A,FALSE,"COMB_GRAPHS"}</definedName>
    <definedName name="wrn.handout." hidden="1">{"quarterly",#N/A,FALSE,"Income Statement New CPB";"annual",#N/A,FALSE,"Income Statement New CPB";"cash flow",#N/A,FALSE,"Cash Flow";"balance",#N/A,FALSE,"Balance Sheet";"seg",#N/A,FALSE,"New Segment Breakout"}</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onthly._.Report." hidden="1">{#N/A,#N/A,FALSE,"Monthly";#N/A,#N/A,FALSE,"Hong Kong";#N/A,#N/A,FALSE,"New York";#N/A,#N/A,FALSE,"London";#N/A,#N/A,FALSE,"Singapore";#N/A,#N/A,FALSE,"Australia";#N/A,#N/A,FALSE,"Korea"}</definedName>
    <definedName name="wrn.One._.Pager._.plus._.Technicals." hidden="1">{#N/A,#N/A,FALSE,"One Pager";#N/A,#N/A,FALSE,"Technical"}</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nt." hidden="1">{"rev.anl",#N/A,FALSE,"R";"rev.qt",#N/A,FALSE,"R";"tele.anl",#N/A,FALSE,"R";"tele.qt",#N/A,FALSE,"R";"is.anl",#N/A,FALSE,"IS";"is.qt",#N/A,FALSE,"IS";"b.anl",#N/A,FALSE,"B";"b.qt",#N/A,FALSE,"B";"cf.anl",#N/A,FALSE,"CF";"cf.qt",#N/A,FALSE,"CF";"debt.anl",#N/A,FALSE,"CF"}</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hidden="1">{"vi1",#N/A,FALSE,"Financial Statements";"vi2",#N/A,FALSE,"Financial Statements";#N/A,#N/A,FALSE,"DCF"}</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Staff._.cost1998." hidden="1">{#N/A,#N/A,TRUE,"Staffnos &amp; cost"}</definedName>
    <definedName name="wrn.Staffcost." hidden="1">{#N/A,#N/A,FALSE,"Staffnos &amp; cost"}</definedName>
    <definedName name="wrn.Staffcostnew" hidden="1">{#N/A,#N/A,FALSE,"Staffnos &amp; cost"}</definedName>
    <definedName name="wrn.Strategische._.Kennzahlen." hidden="1">{#N/A,#N/A,TRUE,"TA-MEDIA";#N/A,#N/A,TRUE,"TA-Hauptblatt";#N/A,#N/A,TRUE,"Stellen-Anzeiger";#N/A,#N/A,TRUE,"züri-tip";#N/A,#N/A,TRUE,"PCtip";#N/A,#N/A,TRUE,"Ernst";#N/A,#N/A,TRUE,"TA";#N/A,#N/A,TRUE,"Magazin";#N/A,#N/A,TRUE,"Bonus";#N/A,#N/A,TRUE,"TA-Fern";#N/A,#N/A,TRUE,"SonntagsZeitung";#N/A,#N/A,TRUE,"Tagblatt";#N/A,#N/A,TRUE,"Anzeiger von Uster";#N/A,#N/A,TRUE,"ZEITUNGEN";#N/A,#N/A,TRUE,"Zürcher City";#N/A,#N/A,TRUE,"BBA";#N/A,#N/A,TRUE,"Dreispitz";#N/A,#N/A,TRUE,"BAD";#N/A,#N/A,TRUE,"Facts";#N/A,#N/A,TRUE,"Schweizer Familie";#N/A,#N/A,TRUE,"annabelle";#N/A,#N/A,TRUE,"TVplus";#N/A,#N/A,TRUE,"du";#N/A,#N/A,TRUE,"Spick";#N/A,#N/A,TRUE,"Senex";#N/A,#N/A,TRUE,"ZEITSCHRIFTEN";#N/A,#N/A,TRUE,"Übr_Verlag";#N/A,#N/A,TRUE,"VERLAG";#N/A,#N/A,TRUE,"Waser Druck";#N/A,#N/A,TRUE,"Formular+Mailing";#N/A,#N/A,TRUE,"Regor";#N/A,#N/A,TRUE,"Perfect";#N/A,#N/A,TRUE,"Übr_Druckzentrum";#N/A,#N/A,TRUE,"DRUCKZENTRUM";#N/A,#N/A,TRUE,"EDV_Vertrieb";#N/A,#N/A,TRUE,"Condor";#N/A,#N/A,TRUE,"Radiotele";#N/A,#N/A,TRUE,"Code_Videotex";#N/A,#N/A,TRUE,"Zuvo";#N/A,#N/A,TRUE,"Werd Verlag";#N/A,#N/A,TRUE,"Electronic Publishing";#N/A,#N/A,TRUE,"Übr_AVM";#N/A,#N/A,TRUE,"AVM"}</definedName>
    <definedName name="wrn.Summary." hidden="1">{"Print Summary",#N/A,FALSE,"Bal_Graphs";"Print Summary",#N/A,FALSE,"DCF";"Print Summary",#N/A,FALSE,"Graphs";"Print Summary",#N/A,FALSE,"Summary"}</definedName>
    <definedName name="wrn.test." hidden="1">{"test2",#N/A,TRUE,"Prices"}</definedName>
    <definedName name="wrn.VALUATION." hidden="1">{#N/A,#N/A,FALSE,"Valuation Assumptions";#N/A,#N/A,FALSE,"Summary";#N/A,#N/A,FALSE,"DCF";#N/A,#N/A,FALSE,"Valuation";#N/A,#N/A,FALSE,"WACC";#N/A,#N/A,FALSE,"UBVH";#N/A,#N/A,FALSE,"Free Cash Flow"}</definedName>
    <definedName name="wrn1.all" hidden="1">{#N/A,#N/A,FALSE,"HEADCOUNTS";#N/A,#N/A,FALSE,"month to month";#N/A,#N/A,FALSE,"headcount allocations";#N/A,#N/A,FALSE,"FACILITIES";#N/A,#N/A,FALSE,"HUMAN RESOURCES";#N/A,#N/A,FALSE,"FINANCE";#N/A,#N/A,FALSE,"TRAINING";#N/A,#N/A,FALSE,"NETWORK"}</definedName>
    <definedName name="wrn1.backup" hidden="1">{#N/A,#N/A,FALSE,"time  $ alloc AIS";#N/A,#N/A,FALSE,"detail time AIS";#N/A,#N/A,FALSE,"time $ alloc CONT";#N/A,#N/A,FALSE,"detail time CONT"}</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cashnew" hidden="1">{TRUE,TRUE,-1.25,-15.5,456.75,279.75,FALSE,FALSE,TRUE,TRUE,0,1,18,1,199,6,3,4,TRUE,TRUE,3,TRUE,1,TRUE,100,"Swvu.cash.","ACwvu.cash.",1,FALSE,FALSE,0.511811023622047,0.511811023622047,0.511811023622047,0.511811023622047,1,"","",FALSE,FALSE,FALSE,FALSE,1,#N/A,1,1,#DIV/0!,FALSE,"Rwvu.cash.",#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ofitsnew" hidden="1">{TRUE,TRUE,-1.25,-15.5,456.75,279.75,FALSE,FALSE,TRUE,TRUE,0,1,21,1,127,6,3,4,TRUE,TRUE,3,TRUE,1,TRUE,100,"Swvu.profits.","ACwvu.profits.",1,FALSE,FALSE,0.511811023622047,0.511811023622047,0.511811023622047,0.511811023622047,1,"","",FALSE,FALSE,FALSE,FALSE,1,#N/A,1,1,#DIV/0!,FALSE,"Rwvu.profits.",#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turnovernew" hidden="1">{TRUE,TRUE,-1.25,-15.5,456.75,279.75,FALSE,FALSE,TRUE,TRUE,0,1,8,1,4,6,3,4,TRUE,TRUE,3,TRUE,1,TRUE,100,"Swvu.turnover.","ACwvu.turnover.",1,FALSE,FALSE,0.511811023622047,0.511811023622047,0.511811023622047,0.511811023622047,1,"","",FALSE,FALSE,FALSE,FALSE,1,#N/A,1,1,#DIV/0!,FALSE,"Rwvu.turnover.",#N/A,FALSE,FALSE}</definedName>
    <definedName name="xer">#REF!</definedName>
    <definedName name="xfx">#REF!</definedName>
    <definedName name="xitem">#REF!</definedName>
    <definedName name="xoe">#REF!</definedName>
    <definedName name="xpr">#REF!</definedName>
    <definedName name="xunits">#REF!</definedName>
    <definedName name="xx">#REF!</definedName>
    <definedName name="year" localSheetId="0">[21]dcf!$B$129</definedName>
    <definedName name="year">#REF!</definedName>
    <definedName name="YEAR_TO__RS_M_">#REF!</definedName>
    <definedName name="YearEndSharesInIssue">#REF!</definedName>
    <definedName name="YrRange" hidden="1">#REF!</definedName>
    <definedName name="yyy" localSheetId="0">[9]RBS!$B$15</definedName>
    <definedName name="yyy">#REF!</definedName>
    <definedName name="yyyy" localSheetId="0">[9]RBS!$F$14</definedName>
    <definedName name="yyyy">#REF!</definedName>
    <definedName name="Z" localSheetId="0">[2]Earning_Assum!#REF!</definedName>
    <definedName name="Z">#REF!</definedName>
    <definedName name="Z_47AE1863_C7DD_11D6_BE51_0050BA324F5C_.wvu.PrintTitles"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9" i="1" l="1"/>
  <c r="A78" i="1"/>
  <c r="A77" i="1"/>
  <c r="A76" i="1"/>
  <c r="A70" i="1"/>
  <c r="A67" i="1"/>
  <c r="A66" i="1"/>
  <c r="A62" i="1"/>
  <c r="A61" i="1"/>
  <c r="A60" i="1"/>
  <c r="A59" i="1"/>
  <c r="A49" i="1"/>
  <c r="A58" i="1"/>
  <c r="A57" i="1"/>
  <c r="A56" i="1"/>
  <c r="A47" i="1"/>
  <c r="A44" i="1"/>
  <c r="A39" i="1"/>
  <c r="A37" i="1"/>
  <c r="A31" i="1"/>
  <c r="A28" i="1"/>
  <c r="A23" i="1"/>
  <c r="A26" i="1"/>
  <c r="A24" i="1"/>
  <c r="CJ233" i="1" l="1"/>
  <c r="CJ232" i="1"/>
  <c r="CJ231" i="1"/>
  <c r="DF55" i="1" l="1"/>
  <c r="CL251" i="1"/>
  <c r="CL358" i="1" s="1"/>
  <c r="AK360" i="1"/>
  <c r="AJ360" i="1"/>
  <c r="AI360" i="1"/>
  <c r="AH360" i="1"/>
  <c r="AG360" i="1"/>
  <c r="AF360" i="1"/>
  <c r="AE360" i="1"/>
  <c r="AD360" i="1"/>
  <c r="AC360" i="1"/>
  <c r="AB360" i="1"/>
  <c r="AA360" i="1"/>
  <c r="Z360" i="1"/>
  <c r="Y360" i="1"/>
  <c r="X360" i="1"/>
  <c r="W360" i="1"/>
  <c r="BK359" i="1"/>
  <c r="BJ359" i="1"/>
  <c r="BE359" i="1"/>
  <c r="AZ359" i="1"/>
  <c r="AU359" i="1"/>
  <c r="AP359" i="1"/>
  <c r="CI357" i="1"/>
  <c r="CD357" i="1"/>
  <c r="BY357" i="1"/>
  <c r="BT357" i="1"/>
  <c r="BK357" i="1"/>
  <c r="BK348" i="1" s="1"/>
  <c r="BH357" i="1"/>
  <c r="BH348" i="1" s="1"/>
  <c r="BG357" i="1"/>
  <c r="BG348" i="1" s="1"/>
  <c r="BF357" i="1"/>
  <c r="BC357" i="1"/>
  <c r="BC348" i="1" s="1"/>
  <c r="BB357" i="1"/>
  <c r="BB348" i="1" s="1"/>
  <c r="BA357" i="1"/>
  <c r="AX357" i="1"/>
  <c r="AX348" i="1" s="1"/>
  <c r="AW357" i="1"/>
  <c r="AW348" i="1" s="1"/>
  <c r="AV357" i="1"/>
  <c r="AV348" i="1" s="1"/>
  <c r="AT357" i="1"/>
  <c r="AS357" i="1"/>
  <c r="AR357" i="1"/>
  <c r="AQ357" i="1"/>
  <c r="AQ348" i="1" s="1"/>
  <c r="AO357" i="1"/>
  <c r="AN357" i="1"/>
  <c r="AM357" i="1"/>
  <c r="AM348" i="1" s="1"/>
  <c r="AL357" i="1"/>
  <c r="AL348" i="1" s="1"/>
  <c r="CI356" i="1"/>
  <c r="CD356" i="1"/>
  <c r="BY356" i="1"/>
  <c r="BT356" i="1"/>
  <c r="BK356" i="1"/>
  <c r="BK347" i="1" s="1"/>
  <c r="BH356" i="1"/>
  <c r="BG356" i="1"/>
  <c r="BG347" i="1" s="1"/>
  <c r="BF356" i="1"/>
  <c r="BC356" i="1"/>
  <c r="BC347" i="1" s="1"/>
  <c r="BB356" i="1"/>
  <c r="BB347" i="1" s="1"/>
  <c r="BA356" i="1"/>
  <c r="BA347" i="1" s="1"/>
  <c r="AX356" i="1"/>
  <c r="AX347" i="1" s="1"/>
  <c r="AW356" i="1"/>
  <c r="AW347" i="1" s="1"/>
  <c r="AV356" i="1"/>
  <c r="AT356" i="1"/>
  <c r="AS356" i="1"/>
  <c r="AS347" i="1" s="1"/>
  <c r="AR356" i="1"/>
  <c r="AR347" i="1" s="1"/>
  <c r="AQ356" i="1"/>
  <c r="AO356" i="1"/>
  <c r="AN356" i="1"/>
  <c r="AN347" i="1" s="1"/>
  <c r="AM356" i="1"/>
  <c r="AM347" i="1" s="1"/>
  <c r="AL356" i="1"/>
  <c r="AL347" i="1" s="1"/>
  <c r="CI355" i="1"/>
  <c r="CD355" i="1"/>
  <c r="BY355" i="1"/>
  <c r="BT355" i="1"/>
  <c r="BK355" i="1"/>
  <c r="BK346" i="1" s="1"/>
  <c r="BH355" i="1"/>
  <c r="BH346" i="1" s="1"/>
  <c r="BG355" i="1"/>
  <c r="BG346" i="1" s="1"/>
  <c r="BF355" i="1"/>
  <c r="BF346" i="1" s="1"/>
  <c r="BC355" i="1"/>
  <c r="BC346" i="1" s="1"/>
  <c r="BB355" i="1"/>
  <c r="BA355" i="1"/>
  <c r="BA346" i="1" s="1"/>
  <c r="AX355" i="1"/>
  <c r="AW355" i="1"/>
  <c r="AW346" i="1" s="1"/>
  <c r="AV355" i="1"/>
  <c r="AV346" i="1" s="1"/>
  <c r="AT355" i="1"/>
  <c r="AS355" i="1"/>
  <c r="AR355" i="1"/>
  <c r="AR346" i="1" s="1"/>
  <c r="AQ355" i="1"/>
  <c r="AQ346" i="1" s="1"/>
  <c r="AO355" i="1"/>
  <c r="AN355" i="1"/>
  <c r="AM355" i="1"/>
  <c r="AM346" i="1" s="1"/>
  <c r="AL355" i="1"/>
  <c r="AL346" i="1" s="1"/>
  <c r="CI354" i="1"/>
  <c r="CD354" i="1"/>
  <c r="BY354" i="1"/>
  <c r="BT354" i="1"/>
  <c r="BK354" i="1"/>
  <c r="BK345" i="1" s="1"/>
  <c r="BH354" i="1"/>
  <c r="BH345" i="1" s="1"/>
  <c r="BG354" i="1"/>
  <c r="BG359" i="1" s="1"/>
  <c r="BF354" i="1"/>
  <c r="BF345" i="1" s="1"/>
  <c r="BC354" i="1"/>
  <c r="BC359" i="1" s="1"/>
  <c r="BB354" i="1"/>
  <c r="BB359" i="1" s="1"/>
  <c r="BA354" i="1"/>
  <c r="BA345" i="1" s="1"/>
  <c r="AX354" i="1"/>
  <c r="AX359" i="1" s="1"/>
  <c r="AW354" i="1"/>
  <c r="AW359" i="1" s="1"/>
  <c r="AV354" i="1"/>
  <c r="AV359" i="1" s="1"/>
  <c r="AT354" i="1"/>
  <c r="AT359" i="1" s="1"/>
  <c r="AS354" i="1"/>
  <c r="AS359" i="1" s="1"/>
  <c r="AR354" i="1"/>
  <c r="AR359" i="1" s="1"/>
  <c r="AQ354" i="1"/>
  <c r="AQ359" i="1" s="1"/>
  <c r="AO354" i="1"/>
  <c r="AN354" i="1"/>
  <c r="AN345" i="1" s="1"/>
  <c r="AM354" i="1"/>
  <c r="AM345" i="1" s="1"/>
  <c r="AL354" i="1"/>
  <c r="AL345" i="1" s="1"/>
  <c r="AK350" i="1"/>
  <c r="AJ350" i="1"/>
  <c r="AJ351" i="1" s="1"/>
  <c r="AI350" i="1"/>
  <c r="AI351" i="1" s="1"/>
  <c r="AH350" i="1"/>
  <c r="AH351" i="1" s="1"/>
  <c r="AG350" i="1"/>
  <c r="AF350" i="1"/>
  <c r="AF351" i="1" s="1"/>
  <c r="AE350" i="1"/>
  <c r="AE351" i="1" s="1"/>
  <c r="AD350" i="1"/>
  <c r="AD351" i="1" s="1"/>
  <c r="AC350" i="1"/>
  <c r="AC351" i="1" s="1"/>
  <c r="AB350" i="1"/>
  <c r="AA350" i="1"/>
  <c r="AA351" i="1" s="1"/>
  <c r="Z350" i="1"/>
  <c r="Z351" i="1" s="1"/>
  <c r="Y350" i="1"/>
  <c r="Y351" i="1" s="1"/>
  <c r="X350" i="1"/>
  <c r="X351" i="1" s="1"/>
  <c r="W350" i="1"/>
  <c r="W351" i="1" s="1"/>
  <c r="BJ348" i="1"/>
  <c r="BF348" i="1"/>
  <c r="BE348" i="1"/>
  <c r="BA348" i="1"/>
  <c r="AZ348" i="1"/>
  <c r="AU348" i="1"/>
  <c r="AS348" i="1"/>
  <c r="AR348" i="1"/>
  <c r="AP348" i="1"/>
  <c r="AN348" i="1"/>
  <c r="AK348" i="1"/>
  <c r="AJ348" i="1"/>
  <c r="AI348" i="1"/>
  <c r="AH348" i="1"/>
  <c r="AG348" i="1"/>
  <c r="AF348" i="1"/>
  <c r="AE348" i="1"/>
  <c r="AD348" i="1"/>
  <c r="AC348" i="1"/>
  <c r="AB348" i="1"/>
  <c r="AA348" i="1"/>
  <c r="Z348" i="1"/>
  <c r="Y348" i="1"/>
  <c r="X348" i="1"/>
  <c r="W348" i="1"/>
  <c r="BJ347" i="1"/>
  <c r="BH347" i="1"/>
  <c r="BE347" i="1"/>
  <c r="AZ347" i="1"/>
  <c r="AU347" i="1"/>
  <c r="AQ347" i="1"/>
  <c r="AP347" i="1"/>
  <c r="AK347" i="1"/>
  <c r="AJ347" i="1"/>
  <c r="AI347" i="1"/>
  <c r="AH347" i="1"/>
  <c r="AG347" i="1"/>
  <c r="AF347" i="1"/>
  <c r="AE347" i="1"/>
  <c r="AD347" i="1"/>
  <c r="AC347" i="1"/>
  <c r="AB347" i="1"/>
  <c r="AA347" i="1"/>
  <c r="Z347" i="1"/>
  <c r="Y347" i="1"/>
  <c r="X347" i="1"/>
  <c r="W347" i="1"/>
  <c r="BJ346" i="1"/>
  <c r="BE346" i="1"/>
  <c r="AZ346" i="1"/>
  <c r="AX346" i="1"/>
  <c r="AU346" i="1"/>
  <c r="AS346" i="1"/>
  <c r="AP346" i="1"/>
  <c r="AN346" i="1"/>
  <c r="AK346" i="1"/>
  <c r="AJ346" i="1"/>
  <c r="AI346" i="1"/>
  <c r="AH346" i="1"/>
  <c r="AG346" i="1"/>
  <c r="AF346" i="1"/>
  <c r="AE346" i="1"/>
  <c r="AD346" i="1"/>
  <c r="AC346" i="1"/>
  <c r="AB346" i="1"/>
  <c r="AA346" i="1"/>
  <c r="Z346" i="1"/>
  <c r="Y346" i="1"/>
  <c r="X346" i="1"/>
  <c r="W346" i="1"/>
  <c r="BJ345" i="1"/>
  <c r="BE345" i="1"/>
  <c r="BB345" i="1"/>
  <c r="AZ345" i="1"/>
  <c r="AU345" i="1"/>
  <c r="AQ345" i="1"/>
  <c r="AP345" i="1"/>
  <c r="AK345" i="1"/>
  <c r="AJ345" i="1"/>
  <c r="AI345" i="1"/>
  <c r="AH345" i="1"/>
  <c r="AG345" i="1"/>
  <c r="AF345" i="1"/>
  <c r="AE345" i="1"/>
  <c r="AD345" i="1"/>
  <c r="AC345" i="1"/>
  <c r="AB345" i="1"/>
  <c r="AA345" i="1"/>
  <c r="Z345" i="1"/>
  <c r="Y345" i="1"/>
  <c r="X345" i="1"/>
  <c r="W345" i="1"/>
  <c r="B342" i="1"/>
  <c r="CK341" i="1"/>
  <c r="CJ341" i="1"/>
  <c r="CI341" i="1"/>
  <c r="CH341" i="1"/>
  <c r="CG341" i="1"/>
  <c r="CF341" i="1"/>
  <c r="CE341" i="1"/>
  <c r="CD341" i="1"/>
  <c r="CC341" i="1"/>
  <c r="CB341" i="1"/>
  <c r="CA341" i="1"/>
  <c r="BZ341" i="1"/>
  <c r="BY341" i="1"/>
  <c r="BX341" i="1"/>
  <c r="BW341" i="1"/>
  <c r="BV341" i="1"/>
  <c r="BU341" i="1"/>
  <c r="BT341" i="1"/>
  <c r="BS341" i="1"/>
  <c r="BR341" i="1"/>
  <c r="BQ341" i="1"/>
  <c r="BP341" i="1"/>
  <c r="BO341" i="1"/>
  <c r="BN341" i="1"/>
  <c r="BM341" i="1"/>
  <c r="BL341" i="1"/>
  <c r="BK341" i="1"/>
  <c r="BJ341" i="1"/>
  <c r="BI341" i="1"/>
  <c r="BH341" i="1"/>
  <c r="BG341" i="1"/>
  <c r="BF341" i="1"/>
  <c r="BE341" i="1"/>
  <c r="BD341" i="1"/>
  <c r="BC341" i="1"/>
  <c r="BB341" i="1"/>
  <c r="AZ341" i="1"/>
  <c r="AY341" i="1"/>
  <c r="AX341" i="1"/>
  <c r="AW341" i="1"/>
  <c r="AU341" i="1"/>
  <c r="AT341" i="1"/>
  <c r="AS341" i="1"/>
  <c r="AR341" i="1"/>
  <c r="AQ341" i="1"/>
  <c r="B341" i="1"/>
  <c r="CI340" i="1"/>
  <c r="CH340" i="1"/>
  <c r="CG340" i="1"/>
  <c r="CF340" i="1"/>
  <c r="CE340" i="1"/>
  <c r="CD340" i="1"/>
  <c r="CC340" i="1"/>
  <c r="CB340" i="1"/>
  <c r="CA340" i="1"/>
  <c r="BZ340" i="1"/>
  <c r="BY340" i="1"/>
  <c r="BX340" i="1"/>
  <c r="BW340" i="1"/>
  <c r="BV340" i="1"/>
  <c r="BU340" i="1"/>
  <c r="BT340" i="1"/>
  <c r="BS340" i="1"/>
  <c r="BR340" i="1"/>
  <c r="BQ340" i="1"/>
  <c r="BP340" i="1"/>
  <c r="BO340" i="1"/>
  <c r="BN340" i="1"/>
  <c r="BM340" i="1"/>
  <c r="BL340" i="1"/>
  <c r="BK340" i="1"/>
  <c r="BI340" i="1"/>
  <c r="BH340" i="1"/>
  <c r="BG340" i="1"/>
  <c r="BF340" i="1"/>
  <c r="BD340" i="1"/>
  <c r="BC340" i="1"/>
  <c r="BB340" i="1"/>
  <c r="BA340" i="1"/>
  <c r="AZ340" i="1"/>
  <c r="AY340" i="1"/>
  <c r="AX340" i="1"/>
  <c r="AW340" i="1"/>
  <c r="AV340" i="1"/>
  <c r="AU340" i="1"/>
  <c r="AT340" i="1"/>
  <c r="AS340" i="1"/>
  <c r="AR340" i="1"/>
  <c r="AQ340" i="1"/>
  <c r="CI339" i="1"/>
  <c r="CH339" i="1"/>
  <c r="CG339" i="1"/>
  <c r="CF339" i="1"/>
  <c r="CE339" i="1"/>
  <c r="CD339" i="1"/>
  <c r="CC339" i="1"/>
  <c r="CB339" i="1"/>
  <c r="CA339" i="1"/>
  <c r="BZ339" i="1"/>
  <c r="BY339" i="1"/>
  <c r="BX339" i="1"/>
  <c r="BW339" i="1"/>
  <c r="BV339" i="1"/>
  <c r="BU339" i="1"/>
  <c r="BT339" i="1"/>
  <c r="BS339" i="1"/>
  <c r="BR339" i="1"/>
  <c r="BQ339" i="1"/>
  <c r="BP339" i="1"/>
  <c r="BO339" i="1"/>
  <c r="BN339" i="1"/>
  <c r="BM339" i="1"/>
  <c r="BL339" i="1"/>
  <c r="BK339" i="1"/>
  <c r="BI339" i="1"/>
  <c r="BH339" i="1"/>
  <c r="BG339" i="1"/>
  <c r="BF339" i="1"/>
  <c r="BD339" i="1"/>
  <c r="BC339" i="1"/>
  <c r="BB339" i="1"/>
  <c r="BA339" i="1"/>
  <c r="AZ339" i="1"/>
  <c r="AY339" i="1"/>
  <c r="AX339" i="1"/>
  <c r="AW339" i="1"/>
  <c r="AV339" i="1"/>
  <c r="AU339" i="1"/>
  <c r="AT339" i="1"/>
  <c r="AS339" i="1"/>
  <c r="AR339" i="1"/>
  <c r="AQ339" i="1"/>
  <c r="CI338" i="1"/>
  <c r="CH338" i="1"/>
  <c r="CG338" i="1"/>
  <c r="CF338" i="1"/>
  <c r="CE338" i="1"/>
  <c r="CD338" i="1"/>
  <c r="CC338" i="1"/>
  <c r="CB338" i="1"/>
  <c r="CA338" i="1"/>
  <c r="BZ338" i="1"/>
  <c r="BY338" i="1"/>
  <c r="BX338" i="1"/>
  <c r="BW338" i="1"/>
  <c r="BV338" i="1"/>
  <c r="BU338" i="1"/>
  <c r="BT338" i="1"/>
  <c r="BS338" i="1"/>
  <c r="BR338" i="1"/>
  <c r="BQ338" i="1"/>
  <c r="BP338" i="1"/>
  <c r="BO338" i="1"/>
  <c r="BN338" i="1"/>
  <c r="BM338" i="1"/>
  <c r="BL338" i="1"/>
  <c r="BK338" i="1"/>
  <c r="BI338" i="1"/>
  <c r="BH338" i="1"/>
  <c r="BG338" i="1"/>
  <c r="BF338" i="1"/>
  <c r="BD338" i="1"/>
  <c r="BC338" i="1"/>
  <c r="BB338" i="1"/>
  <c r="BA338" i="1"/>
  <c r="AZ338" i="1"/>
  <c r="AY338" i="1"/>
  <c r="AX338" i="1"/>
  <c r="AW338" i="1"/>
  <c r="AV338" i="1"/>
  <c r="AU338" i="1"/>
  <c r="AT338" i="1"/>
  <c r="AS338" i="1"/>
  <c r="AR338" i="1"/>
  <c r="AQ338" i="1"/>
  <c r="CI337" i="1"/>
  <c r="CH337" i="1"/>
  <c r="CG337" i="1"/>
  <c r="CF337" i="1"/>
  <c r="CE337" i="1"/>
  <c r="CD337" i="1"/>
  <c r="CC337" i="1"/>
  <c r="CB337" i="1"/>
  <c r="CA337" i="1"/>
  <c r="BZ337" i="1"/>
  <c r="BY337" i="1"/>
  <c r="BX337" i="1"/>
  <c r="BW337" i="1"/>
  <c r="BV337" i="1"/>
  <c r="BU337" i="1"/>
  <c r="BT337" i="1"/>
  <c r="BS337" i="1"/>
  <c r="BR337" i="1"/>
  <c r="BQ337" i="1"/>
  <c r="BP337" i="1"/>
  <c r="BO337" i="1"/>
  <c r="BN337" i="1"/>
  <c r="BM337" i="1"/>
  <c r="BL337" i="1"/>
  <c r="BK337" i="1"/>
  <c r="BI337" i="1"/>
  <c r="BH337" i="1"/>
  <c r="BG337" i="1"/>
  <c r="BF337" i="1"/>
  <c r="BD337" i="1"/>
  <c r="BC337" i="1"/>
  <c r="BB337" i="1"/>
  <c r="BA337" i="1"/>
  <c r="AZ337" i="1"/>
  <c r="AY337" i="1"/>
  <c r="AX337" i="1"/>
  <c r="AW337" i="1"/>
  <c r="AV337" i="1"/>
  <c r="AU337" i="1"/>
  <c r="AT337" i="1"/>
  <c r="AS337" i="1"/>
  <c r="AR337" i="1"/>
  <c r="AQ337" i="1"/>
  <c r="CI336" i="1"/>
  <c r="CH336" i="1"/>
  <c r="CG336" i="1"/>
  <c r="CE336" i="1"/>
  <c r="CD336" i="1"/>
  <c r="CC336" i="1"/>
  <c r="CB336" i="1"/>
  <c r="BZ336" i="1"/>
  <c r="BY336" i="1"/>
  <c r="BX336" i="1"/>
  <c r="BW336" i="1"/>
  <c r="BV336" i="1"/>
  <c r="BU336" i="1"/>
  <c r="BT336" i="1"/>
  <c r="BS336" i="1"/>
  <c r="BR336" i="1"/>
  <c r="BQ336" i="1"/>
  <c r="BP336" i="1"/>
  <c r="BO336" i="1"/>
  <c r="BN336" i="1"/>
  <c r="BM336" i="1"/>
  <c r="BL336" i="1"/>
  <c r="BK336" i="1"/>
  <c r="BI336" i="1"/>
  <c r="BH336" i="1"/>
  <c r="BG336" i="1"/>
  <c r="BF336" i="1"/>
  <c r="BD336" i="1"/>
  <c r="BC336" i="1"/>
  <c r="BB336" i="1"/>
  <c r="BA336" i="1"/>
  <c r="AZ336" i="1"/>
  <c r="AY336" i="1"/>
  <c r="AX336" i="1"/>
  <c r="AW336" i="1"/>
  <c r="AV336" i="1"/>
  <c r="AU336" i="1"/>
  <c r="AT336" i="1"/>
  <c r="AS336" i="1"/>
  <c r="AR336" i="1"/>
  <c r="AQ336" i="1"/>
  <c r="B333" i="1"/>
  <c r="B332" i="1"/>
  <c r="CI324" i="1"/>
  <c r="CH324" i="1"/>
  <c r="CG324" i="1"/>
  <c r="CF324" i="1"/>
  <c r="CE324" i="1"/>
  <c r="CD324" i="1"/>
  <c r="CC324" i="1"/>
  <c r="CB324" i="1"/>
  <c r="CA324" i="1"/>
  <c r="BZ324" i="1"/>
  <c r="BY324" i="1"/>
  <c r="BX324" i="1"/>
  <c r="BW324" i="1"/>
  <c r="BV324" i="1"/>
  <c r="BU324" i="1"/>
  <c r="BT324" i="1"/>
  <c r="BS324" i="1"/>
  <c r="BR324" i="1"/>
  <c r="BQ324" i="1"/>
  <c r="BP324" i="1"/>
  <c r="BO324" i="1"/>
  <c r="BN324" i="1"/>
  <c r="BM324" i="1"/>
  <c r="BL324" i="1"/>
  <c r="BK324" i="1"/>
  <c r="BJ324" i="1"/>
  <c r="BI324" i="1"/>
  <c r="BH324" i="1"/>
  <c r="BG324" i="1"/>
  <c r="BF324" i="1"/>
  <c r="BD324" i="1"/>
  <c r="BC324" i="1"/>
  <c r="BB324" i="1"/>
  <c r="BA324" i="1"/>
  <c r="AZ324" i="1"/>
  <c r="AY324" i="1"/>
  <c r="AX324" i="1"/>
  <c r="AW324" i="1"/>
  <c r="AV324" i="1"/>
  <c r="AU324" i="1"/>
  <c r="AT324" i="1"/>
  <c r="AS324" i="1"/>
  <c r="AR324" i="1"/>
  <c r="AQ324" i="1"/>
  <c r="AP324" i="1"/>
  <c r="AO324" i="1"/>
  <c r="AN324" i="1"/>
  <c r="AL324" i="1"/>
  <c r="CI323" i="1"/>
  <c r="CH323" i="1"/>
  <c r="CG323" i="1"/>
  <c r="CF323" i="1"/>
  <c r="CE323" i="1"/>
  <c r="CD323" i="1"/>
  <c r="CC323" i="1"/>
  <c r="CB323" i="1"/>
  <c r="CA323" i="1"/>
  <c r="BZ323" i="1"/>
  <c r="BY323" i="1"/>
  <c r="BX323" i="1"/>
  <c r="BW323" i="1"/>
  <c r="BV323" i="1"/>
  <c r="BU323" i="1"/>
  <c r="BT323" i="1"/>
  <c r="BS323" i="1"/>
  <c r="BR323" i="1"/>
  <c r="BQ323" i="1"/>
  <c r="BP323" i="1"/>
  <c r="BO323" i="1"/>
  <c r="BN323" i="1"/>
  <c r="BM323" i="1"/>
  <c r="BL323" i="1"/>
  <c r="BK323" i="1"/>
  <c r="BJ323" i="1"/>
  <c r="BI323" i="1"/>
  <c r="BH323" i="1"/>
  <c r="BG323" i="1"/>
  <c r="BF323" i="1"/>
  <c r="BD323" i="1"/>
  <c r="BC323" i="1"/>
  <c r="BB323" i="1"/>
  <c r="BA323" i="1"/>
  <c r="AZ323" i="1"/>
  <c r="AY323" i="1"/>
  <c r="AX323" i="1"/>
  <c r="AW323" i="1"/>
  <c r="AV323" i="1"/>
  <c r="AU323" i="1"/>
  <c r="AT323" i="1"/>
  <c r="AS323" i="1"/>
  <c r="AR323" i="1"/>
  <c r="AQ323" i="1"/>
  <c r="AP323" i="1"/>
  <c r="AO323" i="1"/>
  <c r="AN323" i="1"/>
  <c r="AL323" i="1"/>
  <c r="CI322" i="1"/>
  <c r="CH322" i="1"/>
  <c r="CG322" i="1"/>
  <c r="CF322" i="1"/>
  <c r="CE322" i="1"/>
  <c r="CD322" i="1"/>
  <c r="CC322" i="1"/>
  <c r="CB322" i="1"/>
  <c r="CA322" i="1"/>
  <c r="BZ322" i="1"/>
  <c r="BY322" i="1"/>
  <c r="BX322" i="1"/>
  <c r="BW322" i="1"/>
  <c r="BV322" i="1"/>
  <c r="BU322" i="1"/>
  <c r="BT322" i="1"/>
  <c r="BS322" i="1"/>
  <c r="BR322" i="1"/>
  <c r="BQ322" i="1"/>
  <c r="BP322" i="1"/>
  <c r="BO322" i="1"/>
  <c r="BN322" i="1"/>
  <c r="BM322" i="1"/>
  <c r="BL322" i="1"/>
  <c r="BK322" i="1"/>
  <c r="BJ322" i="1"/>
  <c r="BI322" i="1"/>
  <c r="BH322" i="1"/>
  <c r="BG322" i="1"/>
  <c r="BF322" i="1"/>
  <c r="BD322" i="1"/>
  <c r="BC322" i="1"/>
  <c r="BB322" i="1"/>
  <c r="BA322" i="1"/>
  <c r="AZ322" i="1"/>
  <c r="AY322" i="1"/>
  <c r="AX322" i="1"/>
  <c r="AW322" i="1"/>
  <c r="AV322" i="1"/>
  <c r="AU322" i="1"/>
  <c r="AT322" i="1"/>
  <c r="AS322" i="1"/>
  <c r="AR322" i="1"/>
  <c r="AQ322" i="1"/>
  <c r="AP322" i="1"/>
  <c r="AO322" i="1"/>
  <c r="AN322" i="1"/>
  <c r="AL322" i="1"/>
  <c r="CI321" i="1"/>
  <c r="CH321" i="1"/>
  <c r="CG321" i="1"/>
  <c r="CF321" i="1"/>
  <c r="CE321" i="1"/>
  <c r="CD321" i="1"/>
  <c r="CC321" i="1"/>
  <c r="CB321" i="1"/>
  <c r="CA321" i="1"/>
  <c r="BZ321" i="1"/>
  <c r="BY321" i="1"/>
  <c r="BX321" i="1"/>
  <c r="BW321" i="1"/>
  <c r="BV321" i="1"/>
  <c r="BU321" i="1"/>
  <c r="BT321" i="1"/>
  <c r="BS321" i="1"/>
  <c r="BR321" i="1"/>
  <c r="BQ321" i="1"/>
  <c r="BP321" i="1"/>
  <c r="BO321" i="1"/>
  <c r="BN321" i="1"/>
  <c r="BM321" i="1"/>
  <c r="BL321" i="1"/>
  <c r="BK321" i="1"/>
  <c r="BJ321" i="1"/>
  <c r="BI321" i="1"/>
  <c r="BH321" i="1"/>
  <c r="BG321" i="1"/>
  <c r="BF321" i="1"/>
  <c r="BD321" i="1"/>
  <c r="BC321" i="1"/>
  <c r="BB321" i="1"/>
  <c r="BA321" i="1"/>
  <c r="AZ321" i="1"/>
  <c r="AY321" i="1"/>
  <c r="AX321" i="1"/>
  <c r="AW321" i="1"/>
  <c r="AV321" i="1"/>
  <c r="AU321" i="1"/>
  <c r="AT321" i="1"/>
  <c r="AS321" i="1"/>
  <c r="AR321" i="1"/>
  <c r="AQ321" i="1"/>
  <c r="AP321" i="1"/>
  <c r="AO321" i="1"/>
  <c r="AN321" i="1"/>
  <c r="AL321" i="1"/>
  <c r="CI320" i="1"/>
  <c r="CH320" i="1"/>
  <c r="CG320" i="1"/>
  <c r="CF320" i="1"/>
  <c r="CE320" i="1"/>
  <c r="CD320" i="1"/>
  <c r="CC320" i="1"/>
  <c r="CB320" i="1"/>
  <c r="BZ320" i="1"/>
  <c r="BY320" i="1"/>
  <c r="BX320" i="1"/>
  <c r="BW320" i="1"/>
  <c r="BV320" i="1"/>
  <c r="BU320" i="1"/>
  <c r="BT320" i="1"/>
  <c r="BS320" i="1"/>
  <c r="BR320" i="1"/>
  <c r="BQ320" i="1"/>
  <c r="BP320" i="1"/>
  <c r="BO320" i="1"/>
  <c r="BN320" i="1"/>
  <c r="BM320" i="1"/>
  <c r="BL320" i="1"/>
  <c r="BK320" i="1"/>
  <c r="BJ320" i="1"/>
  <c r="BI320" i="1"/>
  <c r="BH320" i="1"/>
  <c r="BG320" i="1"/>
  <c r="BF320" i="1"/>
  <c r="BD320" i="1"/>
  <c r="BC320" i="1"/>
  <c r="BB320" i="1"/>
  <c r="BA320" i="1"/>
  <c r="AZ320" i="1"/>
  <c r="AY320" i="1"/>
  <c r="AX320" i="1"/>
  <c r="AW320" i="1"/>
  <c r="AV320" i="1"/>
  <c r="AU320" i="1"/>
  <c r="AT320" i="1"/>
  <c r="AS320" i="1"/>
  <c r="AR320" i="1"/>
  <c r="AQ320" i="1"/>
  <c r="AP320" i="1"/>
  <c r="AO320" i="1"/>
  <c r="AN320" i="1"/>
  <c r="AL320" i="1"/>
  <c r="AK317" i="1"/>
  <c r="AJ317" i="1"/>
  <c r="AI317" i="1"/>
  <c r="AH317" i="1"/>
  <c r="AG317" i="1"/>
  <c r="AF317" i="1"/>
  <c r="AE317" i="1"/>
  <c r="AD317" i="1"/>
  <c r="AC317" i="1"/>
  <c r="AB317" i="1"/>
  <c r="AA317" i="1"/>
  <c r="Z317" i="1"/>
  <c r="Y317" i="1"/>
  <c r="X317" i="1"/>
  <c r="W317" i="1"/>
  <c r="CI316" i="1"/>
  <c r="CH316" i="1"/>
  <c r="CG316" i="1"/>
  <c r="CF316" i="1"/>
  <c r="CE316" i="1"/>
  <c r="CD316" i="1"/>
  <c r="CC316" i="1"/>
  <c r="CB316" i="1"/>
  <c r="CA316" i="1"/>
  <c r="BZ316" i="1"/>
  <c r="BY316" i="1"/>
  <c r="BX316" i="1"/>
  <c r="BW316" i="1"/>
  <c r="BV316" i="1"/>
  <c r="BU316" i="1"/>
  <c r="BT316" i="1"/>
  <c r="BS316" i="1"/>
  <c r="BR316" i="1"/>
  <c r="BQ316" i="1"/>
  <c r="BP316" i="1"/>
  <c r="BN316" i="1"/>
  <c r="BM316" i="1"/>
  <c r="BL316" i="1"/>
  <c r="BK316" i="1"/>
  <c r="BJ316" i="1"/>
  <c r="BH316" i="1"/>
  <c r="BG316" i="1"/>
  <c r="BF316" i="1"/>
  <c r="BC316" i="1"/>
  <c r="BB316" i="1"/>
  <c r="BA316" i="1"/>
  <c r="AZ316" i="1"/>
  <c r="AX316" i="1"/>
  <c r="AW316" i="1"/>
  <c r="AV316" i="1"/>
  <c r="AU316" i="1"/>
  <c r="AS316" i="1"/>
  <c r="AR316" i="1"/>
  <c r="AQ316" i="1"/>
  <c r="AP316" i="1"/>
  <c r="AN316" i="1"/>
  <c r="AM316" i="1"/>
  <c r="AL316" i="1"/>
  <c r="AK316" i="1"/>
  <c r="AJ316" i="1"/>
  <c r="AI316" i="1"/>
  <c r="AH316" i="1"/>
  <c r="AG316" i="1"/>
  <c r="AF316" i="1"/>
  <c r="AE316" i="1"/>
  <c r="AD316" i="1"/>
  <c r="AC316" i="1"/>
  <c r="AB316" i="1"/>
  <c r="AA316" i="1"/>
  <c r="Z316" i="1"/>
  <c r="Y316" i="1"/>
  <c r="X316" i="1"/>
  <c r="W316" i="1"/>
  <c r="CI315" i="1"/>
  <c r="CH315" i="1"/>
  <c r="CG315" i="1"/>
  <c r="CF315" i="1"/>
  <c r="CE315" i="1"/>
  <c r="CD315" i="1"/>
  <c r="CC315" i="1"/>
  <c r="CB315" i="1"/>
  <c r="CA315" i="1"/>
  <c r="BZ315" i="1"/>
  <c r="BY315" i="1"/>
  <c r="BX315" i="1"/>
  <c r="BW315" i="1"/>
  <c r="BV315" i="1"/>
  <c r="BU315" i="1"/>
  <c r="BT315" i="1"/>
  <c r="BS315" i="1"/>
  <c r="BR315" i="1"/>
  <c r="BQ315" i="1"/>
  <c r="BP315" i="1"/>
  <c r="BN315" i="1"/>
  <c r="BM315" i="1"/>
  <c r="BL315" i="1"/>
  <c r="BK315" i="1"/>
  <c r="BJ315" i="1"/>
  <c r="BH315" i="1"/>
  <c r="BG315" i="1"/>
  <c r="BF315" i="1"/>
  <c r="BC315" i="1"/>
  <c r="BB315" i="1"/>
  <c r="BA315" i="1"/>
  <c r="AZ315" i="1"/>
  <c r="AX315" i="1"/>
  <c r="AW315" i="1"/>
  <c r="AV315" i="1"/>
  <c r="AU315" i="1"/>
  <c r="AS315" i="1"/>
  <c r="AR315" i="1"/>
  <c r="AQ315" i="1"/>
  <c r="AP315" i="1"/>
  <c r="AN315" i="1"/>
  <c r="AM315" i="1"/>
  <c r="AL315" i="1"/>
  <c r="AK315" i="1"/>
  <c r="AJ315" i="1"/>
  <c r="AI315" i="1"/>
  <c r="AH315" i="1"/>
  <c r="AG315" i="1"/>
  <c r="AF315" i="1"/>
  <c r="AE315" i="1"/>
  <c r="AD315" i="1"/>
  <c r="AC315" i="1"/>
  <c r="AB315" i="1"/>
  <c r="AA315" i="1"/>
  <c r="Z315" i="1"/>
  <c r="Y315" i="1"/>
  <c r="X315" i="1"/>
  <c r="W315" i="1"/>
  <c r="CI314" i="1"/>
  <c r="CH314" i="1"/>
  <c r="CG314" i="1"/>
  <c r="CF314" i="1"/>
  <c r="CE314" i="1"/>
  <c r="CD314" i="1"/>
  <c r="CC314" i="1"/>
  <c r="CB314" i="1"/>
  <c r="CA314" i="1"/>
  <c r="BZ314" i="1"/>
  <c r="BY314" i="1"/>
  <c r="BX314" i="1"/>
  <c r="BW314" i="1"/>
  <c r="BV314" i="1"/>
  <c r="BU314" i="1"/>
  <c r="BT314" i="1"/>
  <c r="BS314" i="1"/>
  <c r="BR314" i="1"/>
  <c r="BQ314" i="1"/>
  <c r="BP314" i="1"/>
  <c r="BN314" i="1"/>
  <c r="BM314" i="1"/>
  <c r="BL314" i="1"/>
  <c r="BK314" i="1"/>
  <c r="BJ314" i="1"/>
  <c r="BH314" i="1"/>
  <c r="BG314" i="1"/>
  <c r="BF314" i="1"/>
  <c r="BC314" i="1"/>
  <c r="BB314" i="1"/>
  <c r="BA314" i="1"/>
  <c r="AZ314" i="1"/>
  <c r="AX314" i="1"/>
  <c r="AW314" i="1"/>
  <c r="AV314" i="1"/>
  <c r="AU314" i="1"/>
  <c r="AS314" i="1"/>
  <c r="AR314" i="1"/>
  <c r="AQ314" i="1"/>
  <c r="AP314" i="1"/>
  <c r="AN314" i="1"/>
  <c r="AM314" i="1"/>
  <c r="AL314" i="1"/>
  <c r="AK314" i="1"/>
  <c r="AJ314" i="1"/>
  <c r="AI314" i="1"/>
  <c r="AH314" i="1"/>
  <c r="AG314" i="1"/>
  <c r="AF314" i="1"/>
  <c r="AE314" i="1"/>
  <c r="AD314" i="1"/>
  <c r="AC314" i="1"/>
  <c r="AB314" i="1"/>
  <c r="AA314" i="1"/>
  <c r="Z314" i="1"/>
  <c r="Y314" i="1"/>
  <c r="X314" i="1"/>
  <c r="W314" i="1"/>
  <c r="CI313" i="1"/>
  <c r="CH313" i="1"/>
  <c r="CG313" i="1"/>
  <c r="CE313" i="1"/>
  <c r="CD313" i="1"/>
  <c r="CC313" i="1"/>
  <c r="CB313" i="1"/>
  <c r="BZ313" i="1"/>
  <c r="BY313" i="1"/>
  <c r="BX313" i="1"/>
  <c r="BW313" i="1"/>
  <c r="BV313" i="1"/>
  <c r="BT313" i="1"/>
  <c r="BS313" i="1"/>
  <c r="BR313" i="1"/>
  <c r="BQ313" i="1"/>
  <c r="BP313" i="1"/>
  <c r="BN313" i="1"/>
  <c r="BM313" i="1"/>
  <c r="BL313" i="1"/>
  <c r="BK313" i="1"/>
  <c r="BJ313" i="1"/>
  <c r="BH313" i="1"/>
  <c r="BG313" i="1"/>
  <c r="BF313" i="1"/>
  <c r="BC313" i="1"/>
  <c r="BB313" i="1"/>
  <c r="BA313" i="1"/>
  <c r="AZ313" i="1"/>
  <c r="AX313" i="1"/>
  <c r="AW313" i="1"/>
  <c r="AV313" i="1"/>
  <c r="AU313" i="1"/>
  <c r="AS313" i="1"/>
  <c r="AR313" i="1"/>
  <c r="AQ313" i="1"/>
  <c r="AP313" i="1"/>
  <c r="AN313" i="1"/>
  <c r="AM313" i="1"/>
  <c r="AL313" i="1"/>
  <c r="AK313" i="1"/>
  <c r="AJ313" i="1"/>
  <c r="AI313" i="1"/>
  <c r="AH313" i="1"/>
  <c r="AG313" i="1"/>
  <c r="AF313" i="1"/>
  <c r="AE313" i="1"/>
  <c r="AD313" i="1"/>
  <c r="AC313" i="1"/>
  <c r="AB313" i="1"/>
  <c r="AA313" i="1"/>
  <c r="Z313" i="1"/>
  <c r="Y313" i="1"/>
  <c r="X313" i="1"/>
  <c r="W313" i="1"/>
  <c r="G312" i="1"/>
  <c r="F312" i="1"/>
  <c r="E312" i="1"/>
  <c r="D312" i="1"/>
  <c r="CN310" i="1"/>
  <c r="CM310" i="1"/>
  <c r="CL310" i="1"/>
  <c r="CI310" i="1"/>
  <c r="CH310" i="1"/>
  <c r="CG310" i="1"/>
  <c r="CF310" i="1"/>
  <c r="CE310" i="1"/>
  <c r="CD310" i="1"/>
  <c r="CC310" i="1"/>
  <c r="CB310" i="1"/>
  <c r="BZ310" i="1"/>
  <c r="BY310" i="1"/>
  <c r="BX310" i="1"/>
  <c r="BW310" i="1"/>
  <c r="BV310" i="1"/>
  <c r="BU310" i="1"/>
  <c r="BT310" i="1"/>
  <c r="BS310" i="1"/>
  <c r="BR310" i="1"/>
  <c r="BQ310" i="1"/>
  <c r="BP310" i="1"/>
  <c r="BO310" i="1"/>
  <c r="BN310" i="1"/>
  <c r="BM310" i="1"/>
  <c r="BL310" i="1"/>
  <c r="BK310" i="1"/>
  <c r="BJ310" i="1"/>
  <c r="BI310" i="1"/>
  <c r="BH310" i="1"/>
  <c r="BG310" i="1"/>
  <c r="BF310" i="1"/>
  <c r="BD310" i="1"/>
  <c r="BC310" i="1"/>
  <c r="BB310" i="1"/>
  <c r="BA310" i="1"/>
  <c r="AZ310" i="1"/>
  <c r="AY310" i="1"/>
  <c r="AX310" i="1"/>
  <c r="AW310" i="1"/>
  <c r="AU310" i="1"/>
  <c r="AT310" i="1"/>
  <c r="AS310" i="1"/>
  <c r="AR310" i="1"/>
  <c r="AQ310" i="1"/>
  <c r="AP310" i="1"/>
  <c r="AO310" i="1"/>
  <c r="AN310" i="1"/>
  <c r="AM310" i="1"/>
  <c r="AL310" i="1"/>
  <c r="AV309" i="1"/>
  <c r="AV310" i="1" s="1"/>
  <c r="CJ308" i="1"/>
  <c r="CK308" i="1" s="1"/>
  <c r="BE308" i="1"/>
  <c r="B308" i="1"/>
  <c r="BE307" i="1"/>
  <c r="B307" i="1"/>
  <c r="BE306" i="1"/>
  <c r="B306" i="1"/>
  <c r="BE305" i="1"/>
  <c r="B305" i="1"/>
  <c r="CA304" i="1"/>
  <c r="BE304" i="1"/>
  <c r="B304" i="1"/>
  <c r="CK303" i="1"/>
  <c r="CK319" i="1" s="1"/>
  <c r="CK326" i="1" s="1"/>
  <c r="CK335" i="1" s="1"/>
  <c r="CK312" i="1" s="1"/>
  <c r="CJ303" i="1"/>
  <c r="CJ319" i="1" s="1"/>
  <c r="CJ326" i="1" s="1"/>
  <c r="CJ335" i="1" s="1"/>
  <c r="CJ312" i="1" s="1"/>
  <c r="CI303" i="1"/>
  <c r="CI319" i="1" s="1"/>
  <c r="CI326" i="1" s="1"/>
  <c r="CI335" i="1" s="1"/>
  <c r="CI312" i="1" s="1"/>
  <c r="CH303" i="1"/>
  <c r="CH319" i="1" s="1"/>
  <c r="CH326" i="1" s="1"/>
  <c r="CH335" i="1" s="1"/>
  <c r="CH312" i="1" s="1"/>
  <c r="CG303" i="1"/>
  <c r="CG319" i="1" s="1"/>
  <c r="CG326" i="1" s="1"/>
  <c r="CG335" i="1" s="1"/>
  <c r="CG312" i="1" s="1"/>
  <c r="CF303" i="1"/>
  <c r="CF319" i="1" s="1"/>
  <c r="CF326" i="1" s="1"/>
  <c r="CF335" i="1" s="1"/>
  <c r="CF312" i="1" s="1"/>
  <c r="CE303" i="1"/>
  <c r="CE319" i="1" s="1"/>
  <c r="CE326" i="1" s="1"/>
  <c r="CE335" i="1" s="1"/>
  <c r="CE312" i="1" s="1"/>
  <c r="CD303" i="1"/>
  <c r="CD319" i="1" s="1"/>
  <c r="CD326" i="1" s="1"/>
  <c r="CD335" i="1" s="1"/>
  <c r="CD312" i="1" s="1"/>
  <c r="CC303" i="1"/>
  <c r="CC319" i="1" s="1"/>
  <c r="CC326" i="1" s="1"/>
  <c r="CC335" i="1" s="1"/>
  <c r="CC312" i="1" s="1"/>
  <c r="CB303" i="1"/>
  <c r="CB319" i="1" s="1"/>
  <c r="CB326" i="1" s="1"/>
  <c r="CB335" i="1" s="1"/>
  <c r="CB312" i="1" s="1"/>
  <c r="CA303" i="1"/>
  <c r="CA319" i="1" s="1"/>
  <c r="CA326" i="1" s="1"/>
  <c r="CA335" i="1" s="1"/>
  <c r="CA312" i="1" s="1"/>
  <c r="BZ303" i="1"/>
  <c r="BZ319" i="1" s="1"/>
  <c r="BZ326" i="1" s="1"/>
  <c r="BZ335" i="1" s="1"/>
  <c r="BZ312" i="1" s="1"/>
  <c r="BY303" i="1"/>
  <c r="BY319" i="1" s="1"/>
  <c r="BY326" i="1" s="1"/>
  <c r="BY335" i="1" s="1"/>
  <c r="BY312" i="1" s="1"/>
  <c r="BX303" i="1"/>
  <c r="BX319" i="1" s="1"/>
  <c r="BX326" i="1" s="1"/>
  <c r="BX335" i="1" s="1"/>
  <c r="BX312" i="1" s="1"/>
  <c r="BW303" i="1"/>
  <c r="BW319" i="1" s="1"/>
  <c r="BW326" i="1" s="1"/>
  <c r="BW335" i="1" s="1"/>
  <c r="BW312" i="1" s="1"/>
  <c r="BV303" i="1"/>
  <c r="BV319" i="1" s="1"/>
  <c r="BV326" i="1" s="1"/>
  <c r="BV335" i="1" s="1"/>
  <c r="BV312" i="1" s="1"/>
  <c r="BU303" i="1"/>
  <c r="BU319" i="1" s="1"/>
  <c r="BU326" i="1" s="1"/>
  <c r="BU335" i="1" s="1"/>
  <c r="BU312" i="1" s="1"/>
  <c r="BT303" i="1"/>
  <c r="BT319" i="1" s="1"/>
  <c r="BT326" i="1" s="1"/>
  <c r="BT335" i="1" s="1"/>
  <c r="BT312" i="1" s="1"/>
  <c r="BS303" i="1"/>
  <c r="BS319" i="1" s="1"/>
  <c r="BS326" i="1" s="1"/>
  <c r="BS335" i="1" s="1"/>
  <c r="BS312" i="1" s="1"/>
  <c r="BR303" i="1"/>
  <c r="BR319" i="1" s="1"/>
  <c r="BR326" i="1" s="1"/>
  <c r="BR335" i="1" s="1"/>
  <c r="BR312" i="1" s="1"/>
  <c r="BQ303" i="1"/>
  <c r="BQ319" i="1" s="1"/>
  <c r="BQ326" i="1" s="1"/>
  <c r="BQ335" i="1" s="1"/>
  <c r="BQ312" i="1" s="1"/>
  <c r="BP303" i="1"/>
  <c r="BP319" i="1" s="1"/>
  <c r="BP326" i="1" s="1"/>
  <c r="BP335" i="1" s="1"/>
  <c r="BP312" i="1" s="1"/>
  <c r="BO303" i="1"/>
  <c r="BO319" i="1" s="1"/>
  <c r="BO326" i="1" s="1"/>
  <c r="BO335" i="1" s="1"/>
  <c r="BO312" i="1" s="1"/>
  <c r="BN303" i="1"/>
  <c r="BN319" i="1" s="1"/>
  <c r="BN326" i="1" s="1"/>
  <c r="BN335" i="1" s="1"/>
  <c r="BN312" i="1" s="1"/>
  <c r="BM303" i="1"/>
  <c r="BM319" i="1" s="1"/>
  <c r="BM326" i="1" s="1"/>
  <c r="BM335" i="1" s="1"/>
  <c r="BM312" i="1" s="1"/>
  <c r="BL303" i="1"/>
  <c r="BL319" i="1" s="1"/>
  <c r="BL326" i="1" s="1"/>
  <c r="BL335" i="1" s="1"/>
  <c r="BL312" i="1" s="1"/>
  <c r="BK303" i="1"/>
  <c r="BK319" i="1" s="1"/>
  <c r="BK326" i="1" s="1"/>
  <c r="BK335" i="1" s="1"/>
  <c r="BK312" i="1" s="1"/>
  <c r="BJ303" i="1"/>
  <c r="BJ319" i="1" s="1"/>
  <c r="BJ326" i="1" s="1"/>
  <c r="BJ335" i="1" s="1"/>
  <c r="BJ312" i="1" s="1"/>
  <c r="BI303" i="1"/>
  <c r="BI319" i="1" s="1"/>
  <c r="BI326" i="1" s="1"/>
  <c r="BI335" i="1" s="1"/>
  <c r="BI312" i="1" s="1"/>
  <c r="BH303" i="1"/>
  <c r="BH319" i="1" s="1"/>
  <c r="BH326" i="1" s="1"/>
  <c r="BH335" i="1" s="1"/>
  <c r="BH312" i="1" s="1"/>
  <c r="BG303" i="1"/>
  <c r="BG319" i="1" s="1"/>
  <c r="BG326" i="1" s="1"/>
  <c r="BG335" i="1" s="1"/>
  <c r="BG312" i="1" s="1"/>
  <c r="BF303" i="1"/>
  <c r="BF319" i="1" s="1"/>
  <c r="BF326" i="1" s="1"/>
  <c r="BF335" i="1" s="1"/>
  <c r="BF312" i="1" s="1"/>
  <c r="BE303" i="1"/>
  <c r="BE319" i="1" s="1"/>
  <c r="BE326" i="1" s="1"/>
  <c r="BE335" i="1" s="1"/>
  <c r="BE312" i="1" s="1"/>
  <c r="BD303" i="1"/>
  <c r="BD319" i="1" s="1"/>
  <c r="BD326" i="1" s="1"/>
  <c r="BD335" i="1" s="1"/>
  <c r="BD312" i="1" s="1"/>
  <c r="BC303" i="1"/>
  <c r="BC319" i="1" s="1"/>
  <c r="BC326" i="1" s="1"/>
  <c r="BC335" i="1" s="1"/>
  <c r="BC312" i="1" s="1"/>
  <c r="BB303" i="1"/>
  <c r="BB319" i="1" s="1"/>
  <c r="BB326" i="1" s="1"/>
  <c r="BB335" i="1" s="1"/>
  <c r="BB312" i="1" s="1"/>
  <c r="BA303" i="1"/>
  <c r="BA319" i="1" s="1"/>
  <c r="BA326" i="1" s="1"/>
  <c r="BA335" i="1" s="1"/>
  <c r="BA312" i="1" s="1"/>
  <c r="AZ303" i="1"/>
  <c r="AZ319" i="1" s="1"/>
  <c r="AZ326" i="1" s="1"/>
  <c r="AZ335" i="1" s="1"/>
  <c r="AZ312" i="1" s="1"/>
  <c r="AY303" i="1"/>
  <c r="AY319" i="1" s="1"/>
  <c r="AY326" i="1" s="1"/>
  <c r="AY335" i="1" s="1"/>
  <c r="AY312" i="1" s="1"/>
  <c r="AX303" i="1"/>
  <c r="AX319" i="1" s="1"/>
  <c r="AX326" i="1" s="1"/>
  <c r="AX335" i="1" s="1"/>
  <c r="AX312" i="1" s="1"/>
  <c r="AW303" i="1"/>
  <c r="AW319" i="1" s="1"/>
  <c r="AW326" i="1" s="1"/>
  <c r="AW335" i="1" s="1"/>
  <c r="AW312" i="1" s="1"/>
  <c r="AV303" i="1"/>
  <c r="AV319" i="1" s="1"/>
  <c r="AV326" i="1" s="1"/>
  <c r="AV335" i="1" s="1"/>
  <c r="AV312" i="1" s="1"/>
  <c r="AU303" i="1"/>
  <c r="AU319" i="1" s="1"/>
  <c r="AU326" i="1" s="1"/>
  <c r="AU335" i="1" s="1"/>
  <c r="AU312" i="1" s="1"/>
  <c r="AT303" i="1"/>
  <c r="AT319" i="1" s="1"/>
  <c r="AT326" i="1" s="1"/>
  <c r="AT335" i="1" s="1"/>
  <c r="AT312" i="1" s="1"/>
  <c r="AS303" i="1"/>
  <c r="AS319" i="1" s="1"/>
  <c r="AS326" i="1" s="1"/>
  <c r="AS335" i="1" s="1"/>
  <c r="AS312" i="1" s="1"/>
  <c r="AR303" i="1"/>
  <c r="AR319" i="1" s="1"/>
  <c r="AR326" i="1" s="1"/>
  <c r="AR335" i="1" s="1"/>
  <c r="AR312" i="1" s="1"/>
  <c r="AQ303" i="1"/>
  <c r="AQ319" i="1" s="1"/>
  <c r="AQ326" i="1" s="1"/>
  <c r="AQ335" i="1" s="1"/>
  <c r="AQ312" i="1" s="1"/>
  <c r="AP303" i="1"/>
  <c r="AP319" i="1" s="1"/>
  <c r="AP326" i="1" s="1"/>
  <c r="AP335" i="1" s="1"/>
  <c r="AP312" i="1" s="1"/>
  <c r="AO303" i="1"/>
  <c r="AO319" i="1" s="1"/>
  <c r="AO326" i="1" s="1"/>
  <c r="AO335" i="1" s="1"/>
  <c r="AO312" i="1" s="1"/>
  <c r="AN303" i="1"/>
  <c r="AN319" i="1" s="1"/>
  <c r="AN326" i="1" s="1"/>
  <c r="AN335" i="1" s="1"/>
  <c r="AN312" i="1" s="1"/>
  <c r="AM303" i="1"/>
  <c r="AM319" i="1" s="1"/>
  <c r="AM326" i="1" s="1"/>
  <c r="AM335" i="1" s="1"/>
  <c r="AM312" i="1" s="1"/>
  <c r="AL303" i="1"/>
  <c r="AL319" i="1" s="1"/>
  <c r="AL326" i="1" s="1"/>
  <c r="AL335" i="1" s="1"/>
  <c r="AL312" i="1" s="1"/>
  <c r="AK303" i="1"/>
  <c r="AK319" i="1" s="1"/>
  <c r="AK326" i="1" s="1"/>
  <c r="AK335" i="1" s="1"/>
  <c r="AK312" i="1" s="1"/>
  <c r="AJ303" i="1"/>
  <c r="AJ319" i="1" s="1"/>
  <c r="AJ326" i="1" s="1"/>
  <c r="AJ335" i="1" s="1"/>
  <c r="AJ312" i="1" s="1"/>
  <c r="AI303" i="1"/>
  <c r="AI319" i="1" s="1"/>
  <c r="AI326" i="1" s="1"/>
  <c r="AI335" i="1" s="1"/>
  <c r="AI312" i="1" s="1"/>
  <c r="AH303" i="1"/>
  <c r="AH319" i="1" s="1"/>
  <c r="AH326" i="1" s="1"/>
  <c r="AH335" i="1" s="1"/>
  <c r="AH312" i="1" s="1"/>
  <c r="AG303" i="1"/>
  <c r="AG319" i="1" s="1"/>
  <c r="AG326" i="1" s="1"/>
  <c r="AG335" i="1" s="1"/>
  <c r="AG312" i="1" s="1"/>
  <c r="AF303" i="1"/>
  <c r="AF319" i="1" s="1"/>
  <c r="AF326" i="1" s="1"/>
  <c r="AF335" i="1" s="1"/>
  <c r="AF312" i="1" s="1"/>
  <c r="AE303" i="1"/>
  <c r="AE319" i="1" s="1"/>
  <c r="AE326" i="1" s="1"/>
  <c r="AE335" i="1" s="1"/>
  <c r="AE312" i="1" s="1"/>
  <c r="AD303" i="1"/>
  <c r="AD319" i="1" s="1"/>
  <c r="AD326" i="1" s="1"/>
  <c r="AD335" i="1" s="1"/>
  <c r="AD312" i="1" s="1"/>
  <c r="AC303" i="1"/>
  <c r="AC319" i="1" s="1"/>
  <c r="AC326" i="1" s="1"/>
  <c r="AC335" i="1" s="1"/>
  <c r="AC312" i="1" s="1"/>
  <c r="AB303" i="1"/>
  <c r="AB319" i="1" s="1"/>
  <c r="AB326" i="1" s="1"/>
  <c r="AB335" i="1" s="1"/>
  <c r="AB312" i="1" s="1"/>
  <c r="AA303" i="1"/>
  <c r="AA319" i="1" s="1"/>
  <c r="AA326" i="1" s="1"/>
  <c r="AA335" i="1" s="1"/>
  <c r="AA312" i="1" s="1"/>
  <c r="Z303" i="1"/>
  <c r="Z319" i="1" s="1"/>
  <c r="Z326" i="1" s="1"/>
  <c r="Z335" i="1" s="1"/>
  <c r="Z312" i="1" s="1"/>
  <c r="Y303" i="1"/>
  <c r="Y319" i="1" s="1"/>
  <c r="Y326" i="1" s="1"/>
  <c r="Y335" i="1" s="1"/>
  <c r="Y312" i="1" s="1"/>
  <c r="X303" i="1"/>
  <c r="X319" i="1" s="1"/>
  <c r="X326" i="1" s="1"/>
  <c r="X335" i="1" s="1"/>
  <c r="X312" i="1" s="1"/>
  <c r="W303" i="1"/>
  <c r="W319" i="1" s="1"/>
  <c r="W326" i="1" s="1"/>
  <c r="W335" i="1" s="1"/>
  <c r="W312" i="1" s="1"/>
  <c r="V303" i="1"/>
  <c r="V319" i="1" s="1"/>
  <c r="V326" i="1" s="1"/>
  <c r="V335" i="1" s="1"/>
  <c r="V312" i="1" s="1"/>
  <c r="U303" i="1"/>
  <c r="U319" i="1" s="1"/>
  <c r="U326" i="1" s="1"/>
  <c r="U335" i="1" s="1"/>
  <c r="U312" i="1" s="1"/>
  <c r="T303" i="1"/>
  <c r="T319" i="1" s="1"/>
  <c r="T326" i="1" s="1"/>
  <c r="T335" i="1" s="1"/>
  <c r="T312" i="1" s="1"/>
  <c r="S303" i="1"/>
  <c r="S319" i="1" s="1"/>
  <c r="S326" i="1" s="1"/>
  <c r="S335" i="1" s="1"/>
  <c r="S312" i="1" s="1"/>
  <c r="R303" i="1"/>
  <c r="R319" i="1" s="1"/>
  <c r="R326" i="1" s="1"/>
  <c r="R335" i="1" s="1"/>
  <c r="R312" i="1" s="1"/>
  <c r="Q303" i="1"/>
  <c r="Q319" i="1" s="1"/>
  <c r="Q326" i="1" s="1"/>
  <c r="Q335" i="1" s="1"/>
  <c r="Q312" i="1" s="1"/>
  <c r="P303" i="1"/>
  <c r="P319" i="1" s="1"/>
  <c r="P326" i="1" s="1"/>
  <c r="P335" i="1" s="1"/>
  <c r="P312" i="1" s="1"/>
  <c r="O303" i="1"/>
  <c r="O319" i="1" s="1"/>
  <c r="O326" i="1" s="1"/>
  <c r="O335" i="1" s="1"/>
  <c r="O312" i="1" s="1"/>
  <c r="N303" i="1"/>
  <c r="N319" i="1" s="1"/>
  <c r="N326" i="1" s="1"/>
  <c r="N335" i="1" s="1"/>
  <c r="N312" i="1" s="1"/>
  <c r="M303" i="1"/>
  <c r="M319" i="1" s="1"/>
  <c r="M326" i="1" s="1"/>
  <c r="M335" i="1" s="1"/>
  <c r="M312" i="1" s="1"/>
  <c r="L303" i="1"/>
  <c r="L319" i="1" s="1"/>
  <c r="L326" i="1" s="1"/>
  <c r="L335" i="1" s="1"/>
  <c r="L312" i="1" s="1"/>
  <c r="K303" i="1"/>
  <c r="K319" i="1" s="1"/>
  <c r="K326" i="1" s="1"/>
  <c r="K335" i="1" s="1"/>
  <c r="K312" i="1" s="1"/>
  <c r="J303" i="1"/>
  <c r="J319" i="1" s="1"/>
  <c r="J326" i="1" s="1"/>
  <c r="J335" i="1" s="1"/>
  <c r="J312" i="1" s="1"/>
  <c r="I303" i="1"/>
  <c r="I319" i="1" s="1"/>
  <c r="I326" i="1" s="1"/>
  <c r="I335" i="1" s="1"/>
  <c r="I312" i="1" s="1"/>
  <c r="H303" i="1"/>
  <c r="H319" i="1" s="1"/>
  <c r="H326" i="1" s="1"/>
  <c r="H335" i="1" s="1"/>
  <c r="H312" i="1" s="1"/>
  <c r="G303" i="1"/>
  <c r="G319" i="1" s="1"/>
  <c r="G326" i="1" s="1"/>
  <c r="G335" i="1" s="1"/>
  <c r="F303" i="1"/>
  <c r="F319" i="1" s="1"/>
  <c r="F326" i="1" s="1"/>
  <c r="F335" i="1" s="1"/>
  <c r="E303" i="1"/>
  <c r="E319" i="1" s="1"/>
  <c r="E326" i="1" s="1"/>
  <c r="E335" i="1" s="1"/>
  <c r="D303" i="1"/>
  <c r="D319" i="1" s="1"/>
  <c r="D326" i="1" s="1"/>
  <c r="D335" i="1" s="1"/>
  <c r="CK300" i="1"/>
  <c r="CJ300" i="1"/>
  <c r="CL299" i="1"/>
  <c r="CI299" i="1"/>
  <c r="BY299" i="1"/>
  <c r="BZ299" i="1" s="1"/>
  <c r="BT299" i="1"/>
  <c r="BO299" i="1"/>
  <c r="BJ299" i="1"/>
  <c r="BE299" i="1"/>
  <c r="AZ299" i="1"/>
  <c r="AU299" i="1"/>
  <c r="AP299" i="1"/>
  <c r="AK299" i="1"/>
  <c r="AG299" i="1"/>
  <c r="AB299" i="1"/>
  <c r="AK298" i="1"/>
  <c r="AG298" i="1"/>
  <c r="AB298" i="1"/>
  <c r="W298" i="1"/>
  <c r="CI296" i="1"/>
  <c r="CJ296" i="1" s="1"/>
  <c r="CK296" i="1" s="1"/>
  <c r="CL296" i="1" s="1"/>
  <c r="CM296" i="1" s="1"/>
  <c r="CN296" i="1" s="1"/>
  <c r="CH296" i="1"/>
  <c r="CG296" i="1"/>
  <c r="CF296" i="1"/>
  <c r="CE296" i="1"/>
  <c r="CD296" i="1"/>
  <c r="CC296" i="1"/>
  <c r="CB296" i="1"/>
  <c r="CA296" i="1"/>
  <c r="BZ296" i="1"/>
  <c r="BY296" i="1"/>
  <c r="BX296" i="1"/>
  <c r="BW296" i="1"/>
  <c r="BV296" i="1"/>
  <c r="BU296" i="1"/>
  <c r="BT296" i="1"/>
  <c r="BS296" i="1"/>
  <c r="BR296" i="1"/>
  <c r="BQ296" i="1"/>
  <c r="BP296" i="1"/>
  <c r="BN296" i="1"/>
  <c r="BM296" i="1"/>
  <c r="BL296" i="1"/>
  <c r="BK296" i="1"/>
  <c r="BJ296" i="1"/>
  <c r="BO296" i="1" s="1"/>
  <c r="BH296" i="1"/>
  <c r="BG296" i="1"/>
  <c r="BF296" i="1"/>
  <c r="BC296" i="1"/>
  <c r="BB296" i="1"/>
  <c r="BA296" i="1"/>
  <c r="AZ296" i="1"/>
  <c r="AX296" i="1"/>
  <c r="AW296" i="1"/>
  <c r="AV296" i="1"/>
  <c r="AU296" i="1"/>
  <c r="AS296" i="1"/>
  <c r="AR296" i="1"/>
  <c r="AQ296" i="1"/>
  <c r="AP296" i="1"/>
  <c r="AN296" i="1"/>
  <c r="AM296" i="1"/>
  <c r="AL296" i="1"/>
  <c r="AK296" i="1"/>
  <c r="AJ296" i="1"/>
  <c r="AI296" i="1"/>
  <c r="AH296" i="1"/>
  <c r="AG296" i="1"/>
  <c r="AF296" i="1"/>
  <c r="AE296" i="1"/>
  <c r="AD296" i="1"/>
  <c r="AC296" i="1"/>
  <c r="AB296" i="1"/>
  <c r="AA296" i="1"/>
  <c r="Z296" i="1"/>
  <c r="Y296" i="1"/>
  <c r="X296" i="1"/>
  <c r="W296" i="1"/>
  <c r="CI295" i="1"/>
  <c r="CH295" i="1"/>
  <c r="CG295" i="1"/>
  <c r="CF295" i="1"/>
  <c r="CE295" i="1"/>
  <c r="CD295" i="1"/>
  <c r="CC295" i="1"/>
  <c r="CB295" i="1"/>
  <c r="CA295" i="1"/>
  <c r="BZ295" i="1"/>
  <c r="BY295" i="1"/>
  <c r="BX295" i="1"/>
  <c r="BW295" i="1"/>
  <c r="BV295" i="1"/>
  <c r="BU295" i="1"/>
  <c r="BT295" i="1"/>
  <c r="BS295" i="1"/>
  <c r="BR295" i="1"/>
  <c r="BQ295" i="1"/>
  <c r="BP295" i="1"/>
  <c r="BN295" i="1"/>
  <c r="BM295" i="1"/>
  <c r="BL295" i="1"/>
  <c r="BK295" i="1"/>
  <c r="BJ295" i="1"/>
  <c r="BO295" i="1" s="1"/>
  <c r="BH295" i="1"/>
  <c r="BG295" i="1"/>
  <c r="BF295" i="1"/>
  <c r="BC295" i="1"/>
  <c r="BB295" i="1"/>
  <c r="BA295" i="1"/>
  <c r="AZ295" i="1"/>
  <c r="AX295" i="1"/>
  <c r="AW295" i="1"/>
  <c r="AV295" i="1"/>
  <c r="AU295" i="1"/>
  <c r="AS295" i="1"/>
  <c r="AR295" i="1"/>
  <c r="AQ295" i="1"/>
  <c r="AP295" i="1"/>
  <c r="AN295" i="1"/>
  <c r="AM295" i="1"/>
  <c r="AL295" i="1"/>
  <c r="AK295" i="1"/>
  <c r="AJ295" i="1"/>
  <c r="AI295" i="1"/>
  <c r="AH295" i="1"/>
  <c r="AG295" i="1"/>
  <c r="AF295" i="1"/>
  <c r="AE295" i="1"/>
  <c r="AD295" i="1"/>
  <c r="AC295" i="1"/>
  <c r="AB295" i="1"/>
  <c r="AA295" i="1"/>
  <c r="Z295" i="1"/>
  <c r="Y295" i="1"/>
  <c r="X295" i="1"/>
  <c r="W295" i="1"/>
  <c r="CI294" i="1"/>
  <c r="CH294" i="1"/>
  <c r="CG294" i="1"/>
  <c r="CF294" i="1"/>
  <c r="CE294" i="1"/>
  <c r="CD294" i="1"/>
  <c r="CC294" i="1"/>
  <c r="CB294" i="1"/>
  <c r="CA294" i="1"/>
  <c r="BZ294" i="1"/>
  <c r="BY294" i="1"/>
  <c r="BX294" i="1"/>
  <c r="BW294" i="1"/>
  <c r="BV294" i="1"/>
  <c r="BU294" i="1"/>
  <c r="BT294" i="1"/>
  <c r="BS294" i="1"/>
  <c r="BR294" i="1"/>
  <c r="BQ294" i="1"/>
  <c r="BP294" i="1"/>
  <c r="BN294" i="1"/>
  <c r="BM294" i="1"/>
  <c r="BL294" i="1"/>
  <c r="BK294" i="1"/>
  <c r="BJ294" i="1"/>
  <c r="BO294" i="1" s="1"/>
  <c r="BH294" i="1"/>
  <c r="BG294" i="1"/>
  <c r="BF294" i="1"/>
  <c r="BC294" i="1"/>
  <c r="BB294" i="1"/>
  <c r="BA294" i="1"/>
  <c r="AZ294" i="1"/>
  <c r="AX294" i="1"/>
  <c r="AW294" i="1"/>
  <c r="AV294" i="1"/>
  <c r="AU294" i="1"/>
  <c r="AS294" i="1"/>
  <c r="AR294" i="1"/>
  <c r="AQ294" i="1"/>
  <c r="AP294" i="1"/>
  <c r="AN294" i="1"/>
  <c r="AM294" i="1"/>
  <c r="AL294" i="1"/>
  <c r="AK294" i="1"/>
  <c r="AJ294" i="1"/>
  <c r="AI294" i="1"/>
  <c r="AH294" i="1"/>
  <c r="AG294" i="1"/>
  <c r="AF294" i="1"/>
  <c r="AE294" i="1"/>
  <c r="AD294" i="1"/>
  <c r="AC294" i="1"/>
  <c r="AB294" i="1"/>
  <c r="AA294" i="1"/>
  <c r="Z294" i="1"/>
  <c r="Y294" i="1"/>
  <c r="X294" i="1"/>
  <c r="W294" i="1"/>
  <c r="CI293" i="1"/>
  <c r="CH293" i="1"/>
  <c r="CH300" i="1" s="1"/>
  <c r="CG293" i="1"/>
  <c r="CG300" i="1" s="1"/>
  <c r="CE293" i="1"/>
  <c r="CE300" i="1" s="1"/>
  <c r="CD293" i="1"/>
  <c r="CC293" i="1"/>
  <c r="CB293" i="1"/>
  <c r="CA293" i="1"/>
  <c r="BZ293" i="1"/>
  <c r="BY293" i="1"/>
  <c r="BX293" i="1"/>
  <c r="BX300" i="1" s="1"/>
  <c r="BW293" i="1"/>
  <c r="BW300" i="1" s="1"/>
  <c r="BV293" i="1"/>
  <c r="BV300" i="1" s="1"/>
  <c r="BT293" i="1"/>
  <c r="BS293" i="1"/>
  <c r="BS300" i="1" s="1"/>
  <c r="BR293" i="1"/>
  <c r="BR300" i="1" s="1"/>
  <c r="BQ293" i="1"/>
  <c r="BQ300" i="1" s="1"/>
  <c r="BP293" i="1"/>
  <c r="BP300" i="1" s="1"/>
  <c r="BN293" i="1"/>
  <c r="BN300" i="1" s="1"/>
  <c r="BM293" i="1"/>
  <c r="BM300" i="1" s="1"/>
  <c r="BL293" i="1"/>
  <c r="BL300" i="1" s="1"/>
  <c r="BK293" i="1"/>
  <c r="BK300" i="1" s="1"/>
  <c r="BJ293" i="1"/>
  <c r="BO293" i="1" s="1"/>
  <c r="BH293" i="1"/>
  <c r="BH300" i="1" s="1"/>
  <c r="BG293" i="1"/>
  <c r="BG300" i="1" s="1"/>
  <c r="BF293" i="1"/>
  <c r="BF300" i="1" s="1"/>
  <c r="BC293" i="1"/>
  <c r="BC300" i="1" s="1"/>
  <c r="BB293" i="1"/>
  <c r="BB300" i="1" s="1"/>
  <c r="BA293" i="1"/>
  <c r="BA300" i="1" s="1"/>
  <c r="AZ293" i="1"/>
  <c r="AX293" i="1"/>
  <c r="AX300" i="1" s="1"/>
  <c r="AW293" i="1"/>
  <c r="AW300" i="1" s="1"/>
  <c r="AV293" i="1"/>
  <c r="AV300" i="1" s="1"/>
  <c r="AU293" i="1"/>
  <c r="AS293" i="1"/>
  <c r="AS300" i="1" s="1"/>
  <c r="AR293" i="1"/>
  <c r="AR300" i="1" s="1"/>
  <c r="AQ293" i="1"/>
  <c r="AQ300" i="1" s="1"/>
  <c r="AP293" i="1"/>
  <c r="AN293" i="1"/>
  <c r="AN300" i="1" s="1"/>
  <c r="AM293" i="1"/>
  <c r="AM300" i="1" s="1"/>
  <c r="AL293" i="1"/>
  <c r="AL300" i="1" s="1"/>
  <c r="AK293" i="1"/>
  <c r="AJ293" i="1"/>
  <c r="AJ300" i="1" s="1"/>
  <c r="AI293" i="1"/>
  <c r="AI300" i="1" s="1"/>
  <c r="AH293" i="1"/>
  <c r="AH300" i="1" s="1"/>
  <c r="AG293" i="1"/>
  <c r="AF293" i="1"/>
  <c r="AF300" i="1" s="1"/>
  <c r="AE293" i="1"/>
  <c r="AE300" i="1" s="1"/>
  <c r="AD293" i="1"/>
  <c r="AD300" i="1" s="1"/>
  <c r="AC293" i="1"/>
  <c r="AC300" i="1" s="1"/>
  <c r="AB293" i="1"/>
  <c r="AA293" i="1"/>
  <c r="AA300" i="1" s="1"/>
  <c r="Z293" i="1"/>
  <c r="Z300" i="1" s="1"/>
  <c r="Y293" i="1"/>
  <c r="Y300" i="1" s="1"/>
  <c r="X293" i="1"/>
  <c r="X300" i="1" s="1"/>
  <c r="W293" i="1"/>
  <c r="AK292" i="1"/>
  <c r="AJ292" i="1"/>
  <c r="AI292" i="1"/>
  <c r="AH292" i="1"/>
  <c r="AG292" i="1"/>
  <c r="AF292" i="1"/>
  <c r="AE292" i="1"/>
  <c r="AD292" i="1"/>
  <c r="AC292" i="1"/>
  <c r="AB292" i="1"/>
  <c r="AA292" i="1"/>
  <c r="Z292" i="1"/>
  <c r="Y292" i="1"/>
  <c r="X292" i="1"/>
  <c r="W292" i="1"/>
  <c r="BX290" i="1"/>
  <c r="BW290" i="1"/>
  <c r="CN288" i="1"/>
  <c r="CM288" i="1"/>
  <c r="CL288" i="1"/>
  <c r="CK288" i="1"/>
  <c r="CJ288" i="1"/>
  <c r="CI288" i="1"/>
  <c r="CH288" i="1"/>
  <c r="CG288" i="1"/>
  <c r="CF288" i="1"/>
  <c r="CE288" i="1"/>
  <c r="CD288" i="1"/>
  <c r="CC288" i="1"/>
  <c r="CB288" i="1"/>
  <c r="CA288" i="1"/>
  <c r="BZ288" i="1"/>
  <c r="BY288" i="1"/>
  <c r="BX288" i="1"/>
  <c r="BW288" i="1"/>
  <c r="BV288" i="1"/>
  <c r="BU288" i="1"/>
  <c r="BT288" i="1"/>
  <c r="BS288" i="1"/>
  <c r="BR288" i="1"/>
  <c r="BQ288" i="1"/>
  <c r="BP288" i="1"/>
  <c r="BO288" i="1"/>
  <c r="BN288" i="1"/>
  <c r="BM288" i="1"/>
  <c r="BL288" i="1"/>
  <c r="BK288" i="1"/>
  <c r="BI288" i="1"/>
  <c r="BH288" i="1"/>
  <c r="BG288" i="1"/>
  <c r="BF288" i="1"/>
  <c r="BD288" i="1"/>
  <c r="BC288" i="1"/>
  <c r="BB288" i="1"/>
  <c r="BA288" i="1"/>
  <c r="AZ288" i="1"/>
  <c r="AY288" i="1"/>
  <c r="AX288" i="1"/>
  <c r="AW288" i="1"/>
  <c r="AV288" i="1"/>
  <c r="AU288" i="1"/>
  <c r="AT288" i="1"/>
  <c r="AS288" i="1"/>
  <c r="AR288" i="1"/>
  <c r="AQ288" i="1"/>
  <c r="CI287" i="1"/>
  <c r="CH287" i="1"/>
  <c r="CG287" i="1"/>
  <c r="CF287" i="1"/>
  <c r="CE287" i="1"/>
  <c r="CD287" i="1"/>
  <c r="CC287" i="1"/>
  <c r="CB287" i="1"/>
  <c r="CA287" i="1"/>
  <c r="BZ287" i="1"/>
  <c r="BY287" i="1"/>
  <c r="BX287" i="1"/>
  <c r="BW287" i="1"/>
  <c r="BV287" i="1"/>
  <c r="BU287" i="1"/>
  <c r="BT287" i="1"/>
  <c r="BS287" i="1"/>
  <c r="BR287" i="1"/>
  <c r="BQ287" i="1"/>
  <c r="BP287" i="1"/>
  <c r="BO287" i="1"/>
  <c r="BN287" i="1"/>
  <c r="BM287" i="1"/>
  <c r="BL287" i="1"/>
  <c r="BK287" i="1"/>
  <c r="BI287" i="1"/>
  <c r="BH287" i="1"/>
  <c r="BG287" i="1"/>
  <c r="BF287" i="1"/>
  <c r="BD287" i="1"/>
  <c r="BC287" i="1"/>
  <c r="BB287" i="1"/>
  <c r="BA287" i="1"/>
  <c r="AZ287" i="1"/>
  <c r="AY287" i="1"/>
  <c r="AX287" i="1"/>
  <c r="AW287" i="1"/>
  <c r="AV287" i="1"/>
  <c r="AU287" i="1"/>
  <c r="AT287" i="1"/>
  <c r="AS287" i="1"/>
  <c r="AR287" i="1"/>
  <c r="AQ287" i="1"/>
  <c r="CI285" i="1"/>
  <c r="CH285" i="1"/>
  <c r="CG285" i="1"/>
  <c r="CF285" i="1"/>
  <c r="CE285" i="1"/>
  <c r="CD285" i="1"/>
  <c r="CC285" i="1"/>
  <c r="CB285" i="1"/>
  <c r="CA285" i="1"/>
  <c r="BZ285" i="1"/>
  <c r="BY285" i="1"/>
  <c r="BX285" i="1"/>
  <c r="BW285" i="1"/>
  <c r="BV285" i="1"/>
  <c r="BU285" i="1"/>
  <c r="BT285" i="1"/>
  <c r="BS285" i="1"/>
  <c r="BR285" i="1"/>
  <c r="BQ285" i="1"/>
  <c r="BP285" i="1"/>
  <c r="BO285" i="1"/>
  <c r="BN285" i="1"/>
  <c r="BM285" i="1"/>
  <c r="BL285" i="1"/>
  <c r="BK285" i="1"/>
  <c r="BK223" i="1" s="1"/>
  <c r="BI285" i="1"/>
  <c r="BH285" i="1"/>
  <c r="BH223" i="1" s="1"/>
  <c r="BG285" i="1"/>
  <c r="BF285" i="1"/>
  <c r="BD285" i="1"/>
  <c r="BC285" i="1"/>
  <c r="BB285" i="1"/>
  <c r="BA285" i="1"/>
  <c r="AZ285" i="1"/>
  <c r="AY285" i="1"/>
  <c r="AX285" i="1"/>
  <c r="AW285" i="1"/>
  <c r="AV285" i="1"/>
  <c r="AU285" i="1"/>
  <c r="AT285" i="1"/>
  <c r="AS285" i="1"/>
  <c r="AR285" i="1"/>
  <c r="AQ285" i="1"/>
  <c r="CI284" i="1"/>
  <c r="CH284" i="1"/>
  <c r="CG284" i="1"/>
  <c r="CF284" i="1"/>
  <c r="CE284" i="1"/>
  <c r="CD284" i="1"/>
  <c r="CC284" i="1"/>
  <c r="CB284" i="1"/>
  <c r="CA284" i="1"/>
  <c r="BZ284" i="1"/>
  <c r="BY284" i="1"/>
  <c r="BX284" i="1"/>
  <c r="BW284" i="1"/>
  <c r="BV284" i="1"/>
  <c r="BU284" i="1"/>
  <c r="BT284" i="1"/>
  <c r="BS284" i="1"/>
  <c r="BR284" i="1"/>
  <c r="BQ284" i="1"/>
  <c r="BP284" i="1"/>
  <c r="BO284" i="1"/>
  <c r="BN284" i="1"/>
  <c r="BM284" i="1"/>
  <c r="BL284" i="1"/>
  <c r="BK284" i="1"/>
  <c r="BK222" i="1" s="1"/>
  <c r="BK214" i="1" s="1"/>
  <c r="BI284" i="1"/>
  <c r="BH284" i="1"/>
  <c r="BH222" i="1" s="1"/>
  <c r="BH214" i="1" s="1"/>
  <c r="BG284" i="1"/>
  <c r="BG222" i="1" s="1"/>
  <c r="BG214" i="1" s="1"/>
  <c r="BF284" i="1"/>
  <c r="BF222" i="1" s="1"/>
  <c r="BF214" i="1" s="1"/>
  <c r="BD284" i="1"/>
  <c r="BC284" i="1"/>
  <c r="BB284" i="1"/>
  <c r="BB222" i="1" s="1"/>
  <c r="BB214" i="1" s="1"/>
  <c r="BA284" i="1"/>
  <c r="BA222" i="1" s="1"/>
  <c r="BA214" i="1" s="1"/>
  <c r="AZ284" i="1"/>
  <c r="AZ222" i="1" s="1"/>
  <c r="AZ214" i="1" s="1"/>
  <c r="AY284" i="1"/>
  <c r="AX284" i="1"/>
  <c r="AX222" i="1" s="1"/>
  <c r="AX214" i="1" s="1"/>
  <c r="AW284" i="1"/>
  <c r="AW222" i="1" s="1"/>
  <c r="AV284" i="1"/>
  <c r="AV222" i="1" s="1"/>
  <c r="AV214" i="1" s="1"/>
  <c r="AU284" i="1"/>
  <c r="AU222" i="1" s="1"/>
  <c r="AU214" i="1" s="1"/>
  <c r="AT284" i="1"/>
  <c r="AT222" i="1" s="1"/>
  <c r="AS284" i="1"/>
  <c r="AS222" i="1" s="1"/>
  <c r="AS214" i="1" s="1"/>
  <c r="AR284" i="1"/>
  <c r="AR222" i="1" s="1"/>
  <c r="AR214" i="1" s="1"/>
  <c r="AQ284" i="1"/>
  <c r="AQ222" i="1" s="1"/>
  <c r="AQ214" i="1" s="1"/>
  <c r="CI283" i="1"/>
  <c r="CH283" i="1"/>
  <c r="CG283" i="1"/>
  <c r="CF283" i="1"/>
  <c r="CE283" i="1"/>
  <c r="CD283" i="1"/>
  <c r="CC283" i="1"/>
  <c r="CB283" i="1"/>
  <c r="CA283" i="1"/>
  <c r="BZ283" i="1"/>
  <c r="BY283" i="1"/>
  <c r="BX283" i="1"/>
  <c r="BW283" i="1"/>
  <c r="BV283" i="1"/>
  <c r="BU283" i="1"/>
  <c r="BT283" i="1"/>
  <c r="BS283" i="1"/>
  <c r="BR283" i="1"/>
  <c r="BQ283" i="1"/>
  <c r="BP283" i="1"/>
  <c r="BO283" i="1"/>
  <c r="BN283" i="1"/>
  <c r="BM283" i="1"/>
  <c r="BL283" i="1"/>
  <c r="BK283" i="1"/>
  <c r="BK221" i="1" s="1"/>
  <c r="BK213" i="1" s="1"/>
  <c r="BI283" i="1"/>
  <c r="BH283" i="1"/>
  <c r="BH221" i="1" s="1"/>
  <c r="BH213" i="1" s="1"/>
  <c r="BG283" i="1"/>
  <c r="BG221" i="1" s="1"/>
  <c r="BG213" i="1" s="1"/>
  <c r="BF283" i="1"/>
  <c r="BF221" i="1" s="1"/>
  <c r="BF213" i="1" s="1"/>
  <c r="BD283" i="1"/>
  <c r="BC283" i="1"/>
  <c r="BC221" i="1" s="1"/>
  <c r="BC213" i="1" s="1"/>
  <c r="BB283" i="1"/>
  <c r="BB221" i="1" s="1"/>
  <c r="BB213" i="1" s="1"/>
  <c r="BA283" i="1"/>
  <c r="BA221" i="1" s="1"/>
  <c r="BA213" i="1" s="1"/>
  <c r="AZ283" i="1"/>
  <c r="AZ221" i="1" s="1"/>
  <c r="AY283" i="1"/>
  <c r="AX283" i="1"/>
  <c r="AX221" i="1" s="1"/>
  <c r="AX213" i="1" s="1"/>
  <c r="AW283" i="1"/>
  <c r="AW221" i="1" s="1"/>
  <c r="AW213" i="1" s="1"/>
  <c r="AV283" i="1"/>
  <c r="AV221" i="1" s="1"/>
  <c r="AV213" i="1" s="1"/>
  <c r="AU283" i="1"/>
  <c r="AU221" i="1" s="1"/>
  <c r="AU213" i="1" s="1"/>
  <c r="AT283" i="1"/>
  <c r="AT221" i="1" s="1"/>
  <c r="AS283" i="1"/>
  <c r="AS221" i="1" s="1"/>
  <c r="AS213" i="1" s="1"/>
  <c r="AR283" i="1"/>
  <c r="AR221" i="1" s="1"/>
  <c r="AR213" i="1" s="1"/>
  <c r="AQ283" i="1"/>
  <c r="CI282" i="1"/>
  <c r="CH282" i="1"/>
  <c r="CG282" i="1"/>
  <c r="CF282" i="1"/>
  <c r="CE282" i="1"/>
  <c r="CD282" i="1"/>
  <c r="CC282" i="1"/>
  <c r="CB282" i="1"/>
  <c r="CA282" i="1"/>
  <c r="BZ282" i="1"/>
  <c r="BY282" i="1"/>
  <c r="BX282" i="1"/>
  <c r="BW282" i="1"/>
  <c r="BV282" i="1"/>
  <c r="BU282" i="1"/>
  <c r="BT282" i="1"/>
  <c r="BS282" i="1"/>
  <c r="BR282" i="1"/>
  <c r="BQ282" i="1"/>
  <c r="BP282" i="1"/>
  <c r="BO282" i="1"/>
  <c r="BN282" i="1"/>
  <c r="BM282" i="1"/>
  <c r="BL282" i="1"/>
  <c r="BK282" i="1"/>
  <c r="BK220" i="1" s="1"/>
  <c r="BK212" i="1" s="1"/>
  <c r="BI282" i="1"/>
  <c r="BH282" i="1"/>
  <c r="BH220" i="1" s="1"/>
  <c r="BH212" i="1" s="1"/>
  <c r="BG282" i="1"/>
  <c r="BF282" i="1"/>
  <c r="BF220" i="1" s="1"/>
  <c r="BF212" i="1" s="1"/>
  <c r="BD282" i="1"/>
  <c r="BC282" i="1"/>
  <c r="BC220" i="1" s="1"/>
  <c r="BC212" i="1" s="1"/>
  <c r="BB282" i="1"/>
  <c r="BB220" i="1" s="1"/>
  <c r="BB212" i="1" s="1"/>
  <c r="BA282" i="1"/>
  <c r="BA220" i="1" s="1"/>
  <c r="BA212" i="1" s="1"/>
  <c r="AZ282" i="1"/>
  <c r="AZ220" i="1" s="1"/>
  <c r="AZ212" i="1" s="1"/>
  <c r="AY282" i="1"/>
  <c r="AX282" i="1"/>
  <c r="AX220" i="1" s="1"/>
  <c r="AX212" i="1" s="1"/>
  <c r="AW282" i="1"/>
  <c r="AW220" i="1" s="1"/>
  <c r="AV282" i="1"/>
  <c r="AV220" i="1" s="1"/>
  <c r="AV212" i="1" s="1"/>
  <c r="AU282" i="1"/>
  <c r="AU220" i="1" s="1"/>
  <c r="AU212" i="1" s="1"/>
  <c r="AT282" i="1"/>
  <c r="AT220" i="1" s="1"/>
  <c r="AS282" i="1"/>
  <c r="AS220" i="1" s="1"/>
  <c r="AS212" i="1" s="1"/>
  <c r="AR282" i="1"/>
  <c r="AR220" i="1" s="1"/>
  <c r="AR212" i="1" s="1"/>
  <c r="AQ282" i="1"/>
  <c r="AQ220" i="1" s="1"/>
  <c r="AQ212" i="1" s="1"/>
  <c r="CI279" i="1"/>
  <c r="CH279" i="1"/>
  <c r="CH360" i="1" s="1"/>
  <c r="CG279" i="1"/>
  <c r="CG360" i="1" s="1"/>
  <c r="CF279" i="1"/>
  <c r="CF360" i="1" s="1"/>
  <c r="CE279" i="1"/>
  <c r="CE360" i="1" s="1"/>
  <c r="CD279" i="1"/>
  <c r="CC279" i="1"/>
  <c r="CC360" i="1" s="1"/>
  <c r="CB279" i="1"/>
  <c r="CB360" i="1" s="1"/>
  <c r="CA279" i="1"/>
  <c r="CA360" i="1" s="1"/>
  <c r="BZ279" i="1"/>
  <c r="BZ360" i="1" s="1"/>
  <c r="BY279" i="1"/>
  <c r="BX279" i="1"/>
  <c r="BX360" i="1" s="1"/>
  <c r="BW279" i="1"/>
  <c r="BW360" i="1" s="1"/>
  <c r="BV279" i="1"/>
  <c r="BV360" i="1" s="1"/>
  <c r="BU279" i="1"/>
  <c r="BU360" i="1" s="1"/>
  <c r="BT279" i="1"/>
  <c r="BS279" i="1"/>
  <c r="BS360" i="1" s="1"/>
  <c r="BR279" i="1"/>
  <c r="BR360" i="1" s="1"/>
  <c r="BQ279" i="1"/>
  <c r="BQ360" i="1" s="1"/>
  <c r="BP279" i="1"/>
  <c r="BP360" i="1" s="1"/>
  <c r="BO279" i="1"/>
  <c r="BN279" i="1"/>
  <c r="BN360" i="1" s="1"/>
  <c r="BM279" i="1"/>
  <c r="BM360" i="1" s="1"/>
  <c r="BL279" i="1"/>
  <c r="BL360" i="1" s="1"/>
  <c r="BK279" i="1"/>
  <c r="BJ279" i="1"/>
  <c r="BI279" i="1"/>
  <c r="BH279" i="1"/>
  <c r="BG279" i="1"/>
  <c r="BF279" i="1"/>
  <c r="BD279" i="1"/>
  <c r="BC279" i="1"/>
  <c r="BB279" i="1"/>
  <c r="BA279" i="1"/>
  <c r="AZ279" i="1"/>
  <c r="AY279" i="1"/>
  <c r="AX279" i="1"/>
  <c r="AW279" i="1"/>
  <c r="AV279" i="1"/>
  <c r="AU279" i="1"/>
  <c r="AT279" i="1"/>
  <c r="AS279" i="1"/>
  <c r="AR279" i="1"/>
  <c r="AQ279" i="1"/>
  <c r="AP279" i="1"/>
  <c r="AO279" i="1"/>
  <c r="AO359" i="1" s="1"/>
  <c r="AO360" i="1" s="1"/>
  <c r="AN279" i="1"/>
  <c r="AN359" i="1" s="1"/>
  <c r="AN360" i="1" s="1"/>
  <c r="AM279" i="1"/>
  <c r="AM359" i="1" s="1"/>
  <c r="AM360" i="1" s="1"/>
  <c r="AL279" i="1"/>
  <c r="AL359" i="1" s="1"/>
  <c r="AL360" i="1" s="1"/>
  <c r="BE278" i="1"/>
  <c r="BE288" i="1" s="1"/>
  <c r="CJ277" i="1"/>
  <c r="CJ287" i="1" s="1"/>
  <c r="BE277" i="1"/>
  <c r="BJ287" i="1" s="1"/>
  <c r="BE275" i="1"/>
  <c r="BE285" i="1" s="1"/>
  <c r="BE274" i="1"/>
  <c r="BE295" i="1" s="1"/>
  <c r="BE273" i="1"/>
  <c r="BE283" i="1" s="1"/>
  <c r="BE272" i="1"/>
  <c r="BJ282" i="1" s="1"/>
  <c r="CI267" i="1"/>
  <c r="CH267" i="1"/>
  <c r="CG267" i="1"/>
  <c r="CF267" i="1"/>
  <c r="CE267" i="1"/>
  <c r="CD267" i="1"/>
  <c r="CC267" i="1"/>
  <c r="CB267" i="1"/>
  <c r="CA267" i="1"/>
  <c r="BZ267" i="1"/>
  <c r="BY267" i="1"/>
  <c r="BX267" i="1"/>
  <c r="BW267" i="1"/>
  <c r="BV267" i="1"/>
  <c r="BU267" i="1"/>
  <c r="BS267" i="1"/>
  <c r="BR267" i="1"/>
  <c r="BQ267" i="1"/>
  <c r="BP267" i="1"/>
  <c r="BM267" i="1"/>
  <c r="BL267" i="1"/>
  <c r="BK267" i="1"/>
  <c r="BJ267" i="1"/>
  <c r="BH267" i="1"/>
  <c r="BG267" i="1"/>
  <c r="BF267" i="1"/>
  <c r="BE267" i="1"/>
  <c r="BC267" i="1"/>
  <c r="BB267" i="1"/>
  <c r="BA267" i="1"/>
  <c r="AZ267" i="1"/>
  <c r="AX267" i="1"/>
  <c r="AW267" i="1"/>
  <c r="AV267" i="1"/>
  <c r="AU267" i="1"/>
  <c r="AS267" i="1"/>
  <c r="AR267" i="1"/>
  <c r="AQ267" i="1"/>
  <c r="AP267" i="1"/>
  <c r="B267" i="1"/>
  <c r="CI266" i="1"/>
  <c r="CH266" i="1"/>
  <c r="CG266" i="1"/>
  <c r="CF266" i="1"/>
  <c r="CE266" i="1"/>
  <c r="CD266" i="1"/>
  <c r="CC266" i="1"/>
  <c r="CB266" i="1"/>
  <c r="CA266" i="1"/>
  <c r="BZ266" i="1"/>
  <c r="BY266" i="1"/>
  <c r="BX266" i="1"/>
  <c r="BW266" i="1"/>
  <c r="BV266" i="1"/>
  <c r="BU266" i="1"/>
  <c r="BS266" i="1"/>
  <c r="BR266" i="1"/>
  <c r="BQ266" i="1"/>
  <c r="BP266" i="1"/>
  <c r="BM266" i="1"/>
  <c r="BL266" i="1"/>
  <c r="BK266" i="1"/>
  <c r="BJ266" i="1"/>
  <c r="BH266" i="1"/>
  <c r="BG266" i="1"/>
  <c r="BF266" i="1"/>
  <c r="BE266" i="1"/>
  <c r="BC266" i="1"/>
  <c r="BB266" i="1"/>
  <c r="BA266" i="1"/>
  <c r="AZ266" i="1"/>
  <c r="AX266" i="1"/>
  <c r="AW266" i="1"/>
  <c r="AV266" i="1"/>
  <c r="AU266" i="1"/>
  <c r="AS266" i="1"/>
  <c r="AR266" i="1"/>
  <c r="AQ266" i="1"/>
  <c r="AP266" i="1"/>
  <c r="B266" i="1"/>
  <c r="CI265" i="1"/>
  <c r="CH265" i="1"/>
  <c r="CG265" i="1"/>
  <c r="CF265" i="1"/>
  <c r="CE265" i="1"/>
  <c r="CD265" i="1"/>
  <c r="CC265" i="1"/>
  <c r="CB265" i="1"/>
  <c r="CA265" i="1"/>
  <c r="BZ265" i="1"/>
  <c r="BY265" i="1"/>
  <c r="BX265" i="1"/>
  <c r="BW265" i="1"/>
  <c r="BV265" i="1"/>
  <c r="BU265" i="1"/>
  <c r="BS265" i="1"/>
  <c r="BR265" i="1"/>
  <c r="BQ265" i="1"/>
  <c r="BP265" i="1"/>
  <c r="BM265" i="1"/>
  <c r="BL265" i="1"/>
  <c r="BK265" i="1"/>
  <c r="BJ265" i="1"/>
  <c r="BH265" i="1"/>
  <c r="BG265" i="1"/>
  <c r="BF265" i="1"/>
  <c r="BE265" i="1"/>
  <c r="BC265" i="1"/>
  <c r="BB265" i="1"/>
  <c r="BA265" i="1"/>
  <c r="AZ265" i="1"/>
  <c r="AX265" i="1"/>
  <c r="AW265" i="1"/>
  <c r="AV265" i="1"/>
  <c r="AU265" i="1"/>
  <c r="AS265" i="1"/>
  <c r="AR265" i="1"/>
  <c r="AQ265" i="1"/>
  <c r="AP265" i="1"/>
  <c r="B265" i="1"/>
  <c r="CI264" i="1"/>
  <c r="CH264" i="1"/>
  <c r="CG264" i="1"/>
  <c r="CE264" i="1"/>
  <c r="CD264" i="1"/>
  <c r="CC264" i="1"/>
  <c r="CB264" i="1"/>
  <c r="CA264" i="1"/>
  <c r="BY264" i="1"/>
  <c r="BX264" i="1"/>
  <c r="BW264" i="1"/>
  <c r="BV264" i="1"/>
  <c r="BS264" i="1"/>
  <c r="BR264" i="1"/>
  <c r="BQ264" i="1"/>
  <c r="BP264" i="1"/>
  <c r="BM264" i="1"/>
  <c r="BL264" i="1"/>
  <c r="BK264" i="1"/>
  <c r="BJ264" i="1"/>
  <c r="BH264" i="1"/>
  <c r="BG264" i="1"/>
  <c r="BF264" i="1"/>
  <c r="BE264" i="1"/>
  <c r="BC264" i="1"/>
  <c r="BB264" i="1"/>
  <c r="BA264" i="1"/>
  <c r="AZ264" i="1"/>
  <c r="AX264" i="1"/>
  <c r="AW264" i="1"/>
  <c r="AV264" i="1"/>
  <c r="AU264" i="1"/>
  <c r="AS264" i="1"/>
  <c r="AR264" i="1"/>
  <c r="AQ264" i="1"/>
  <c r="AP264" i="1"/>
  <c r="B264" i="1"/>
  <c r="CI259" i="1"/>
  <c r="CD259" i="1"/>
  <c r="BY259" i="1"/>
  <c r="BT259" i="1"/>
  <c r="BJ259" i="1"/>
  <c r="CI258" i="1"/>
  <c r="CD258" i="1"/>
  <c r="BY258" i="1"/>
  <c r="BT258" i="1"/>
  <c r="BJ258" i="1"/>
  <c r="CI257" i="1"/>
  <c r="CD257" i="1"/>
  <c r="BY257" i="1"/>
  <c r="BT257" i="1"/>
  <c r="BJ257" i="1"/>
  <c r="CI256" i="1"/>
  <c r="CD256" i="1"/>
  <c r="BY256" i="1"/>
  <c r="BT256" i="1"/>
  <c r="BJ256" i="1"/>
  <c r="CI253" i="1"/>
  <c r="CD253" i="1"/>
  <c r="CC253" i="1"/>
  <c r="CB253" i="1"/>
  <c r="CA253" i="1"/>
  <c r="BY253" i="1"/>
  <c r="BX253" i="1"/>
  <c r="BW253" i="1"/>
  <c r="BV253" i="1"/>
  <c r="BS253" i="1"/>
  <c r="BR253" i="1"/>
  <c r="BQ253" i="1"/>
  <c r="BP253" i="1"/>
  <c r="CI252" i="1"/>
  <c r="CH252" i="1"/>
  <c r="CH292" i="1" s="1"/>
  <c r="CG252" i="1"/>
  <c r="CG292" i="1" s="1"/>
  <c r="CE252" i="1"/>
  <c r="CE292" i="1" s="1"/>
  <c r="CD252" i="1"/>
  <c r="CC252" i="1"/>
  <c r="CC292" i="1" s="1"/>
  <c r="CB252" i="1"/>
  <c r="CB292" i="1" s="1"/>
  <c r="CA252" i="1"/>
  <c r="CA292" i="1" s="1"/>
  <c r="BZ252" i="1"/>
  <c r="BZ292" i="1" s="1"/>
  <c r="BY252" i="1"/>
  <c r="BX252" i="1"/>
  <c r="BX292" i="1" s="1"/>
  <c r="BW252" i="1"/>
  <c r="BW292" i="1" s="1"/>
  <c r="BV252" i="1"/>
  <c r="BV292" i="1" s="1"/>
  <c r="BT252" i="1"/>
  <c r="BS252" i="1"/>
  <c r="BS292" i="1" s="1"/>
  <c r="BR252" i="1"/>
  <c r="BR292" i="1" s="1"/>
  <c r="BQ252" i="1"/>
  <c r="BQ292" i="1" s="1"/>
  <c r="BP252" i="1"/>
  <c r="BP292" i="1" s="1"/>
  <c r="BN252" i="1"/>
  <c r="BN292" i="1" s="1"/>
  <c r="BM252" i="1"/>
  <c r="BM292" i="1" s="1"/>
  <c r="BL252" i="1"/>
  <c r="BL292" i="1" s="1"/>
  <c r="BK252" i="1"/>
  <c r="BK292" i="1" s="1"/>
  <c r="BJ252" i="1"/>
  <c r="BJ350" i="1" s="1"/>
  <c r="BH252" i="1"/>
  <c r="BH292" i="1" s="1"/>
  <c r="BG252" i="1"/>
  <c r="BG292" i="1" s="1"/>
  <c r="BF252" i="1"/>
  <c r="BF292" i="1" s="1"/>
  <c r="BE252" i="1"/>
  <c r="BC252" i="1"/>
  <c r="BC292" i="1" s="1"/>
  <c r="BB252" i="1"/>
  <c r="BB292" i="1" s="1"/>
  <c r="BA252" i="1"/>
  <c r="BA292" i="1" s="1"/>
  <c r="AZ252" i="1"/>
  <c r="AZ292" i="1" s="1"/>
  <c r="AX252" i="1"/>
  <c r="AX292" i="1" s="1"/>
  <c r="AW252" i="1"/>
  <c r="AW292" i="1" s="1"/>
  <c r="AV252" i="1"/>
  <c r="AU252" i="1"/>
  <c r="AS252" i="1"/>
  <c r="AS292" i="1" s="1"/>
  <c r="AR252" i="1"/>
  <c r="AR292" i="1" s="1"/>
  <c r="AQ252" i="1"/>
  <c r="AQ292" i="1" s="1"/>
  <c r="AP252" i="1"/>
  <c r="AP350" i="1" s="1"/>
  <c r="AN252" i="1"/>
  <c r="AN350" i="1" s="1"/>
  <c r="AN351" i="1" s="1"/>
  <c r="AM252" i="1"/>
  <c r="AM350" i="1" s="1"/>
  <c r="AM351" i="1" s="1"/>
  <c r="AL252" i="1"/>
  <c r="AL350" i="1" s="1"/>
  <c r="AL351" i="1" s="1"/>
  <c r="CJ250" i="1"/>
  <c r="CJ357" i="1" s="1"/>
  <c r="BO250" i="1"/>
  <c r="BI250" i="1"/>
  <c r="BI316" i="1" s="1"/>
  <c r="BD250" i="1"/>
  <c r="AY250" i="1"/>
  <c r="AY316" i="1" s="1"/>
  <c r="AT250" i="1"/>
  <c r="AO250" i="1"/>
  <c r="AO296" i="1" s="1"/>
  <c r="CJ249" i="1"/>
  <c r="CJ356" i="1" s="1"/>
  <c r="BO249" i="1"/>
  <c r="BI249" i="1"/>
  <c r="BI314" i="1" s="1"/>
  <c r="BD249" i="1"/>
  <c r="BD314" i="1" s="1"/>
  <c r="AY249" i="1"/>
  <c r="AY314" i="1" s="1"/>
  <c r="AT249" i="1"/>
  <c r="AO249" i="1"/>
  <c r="AO314" i="1" s="1"/>
  <c r="CJ248" i="1"/>
  <c r="BO248" i="1"/>
  <c r="BT265" i="1" s="1"/>
  <c r="BI248" i="1"/>
  <c r="BD248" i="1"/>
  <c r="BD315" i="1" s="1"/>
  <c r="AY248" i="1"/>
  <c r="AT248" i="1"/>
  <c r="AT295" i="1" s="1"/>
  <c r="AO248" i="1"/>
  <c r="CJ247" i="1"/>
  <c r="CJ354" i="1" s="1"/>
  <c r="CF247" i="1"/>
  <c r="BU247" i="1"/>
  <c r="BU313" i="1" s="1"/>
  <c r="BO247" i="1"/>
  <c r="BI247" i="1"/>
  <c r="BI313" i="1" s="1"/>
  <c r="BD247" i="1"/>
  <c r="AY247" i="1"/>
  <c r="AY313" i="1" s="1"/>
  <c r="AT247" i="1"/>
  <c r="AO247" i="1"/>
  <c r="CK242" i="1"/>
  <c r="CJ242" i="1"/>
  <c r="CI242" i="1"/>
  <c r="CD242" i="1"/>
  <c r="BY242" i="1"/>
  <c r="BT242" i="1"/>
  <c r="BO242" i="1"/>
  <c r="CI241" i="1"/>
  <c r="CD241" i="1"/>
  <c r="BY241" i="1"/>
  <c r="BT241" i="1"/>
  <c r="BO241" i="1"/>
  <c r="CI240" i="1"/>
  <c r="CD240" i="1"/>
  <c r="BY240" i="1"/>
  <c r="BT240" i="1"/>
  <c r="BO240" i="1"/>
  <c r="CI239" i="1"/>
  <c r="CD239" i="1"/>
  <c r="BY239" i="1"/>
  <c r="BT239" i="1"/>
  <c r="BO239" i="1"/>
  <c r="CI238" i="1"/>
  <c r="CD238" i="1"/>
  <c r="BY238" i="1"/>
  <c r="BT238" i="1"/>
  <c r="BO238" i="1"/>
  <c r="CI235" i="1"/>
  <c r="CD235" i="1"/>
  <c r="BY235" i="1"/>
  <c r="BT235" i="1"/>
  <c r="BO235" i="1"/>
  <c r="BJ235" i="1"/>
  <c r="CK233" i="1"/>
  <c r="CL233" i="1" s="1"/>
  <c r="CK232" i="1"/>
  <c r="CL232" i="1" s="1"/>
  <c r="CM232" i="1" s="1"/>
  <c r="CN232" i="1" s="1"/>
  <c r="CK231" i="1"/>
  <c r="CL231" i="1" s="1"/>
  <c r="CM231" i="1" s="1"/>
  <c r="CN231" i="1" s="1"/>
  <c r="CJ230" i="1"/>
  <c r="B223" i="1"/>
  <c r="CI222" i="1"/>
  <c r="CD222" i="1"/>
  <c r="BY222" i="1"/>
  <c r="BT222" i="1"/>
  <c r="BC222" i="1"/>
  <c r="BC214" i="1" s="1"/>
  <c r="AP222" i="1"/>
  <c r="AO222" i="1"/>
  <c r="AN222" i="1"/>
  <c r="AN214" i="1" s="1"/>
  <c r="AM222" i="1"/>
  <c r="AM214" i="1" s="1"/>
  <c r="AL222" i="1"/>
  <c r="AL214" i="1" s="1"/>
  <c r="B222" i="1"/>
  <c r="CI221" i="1"/>
  <c r="CD221" i="1"/>
  <c r="BY221" i="1"/>
  <c r="BT221" i="1"/>
  <c r="AQ221" i="1"/>
  <c r="AQ213" i="1" s="1"/>
  <c r="AP221" i="1"/>
  <c r="AP213" i="1" s="1"/>
  <c r="AO221" i="1"/>
  <c r="AN221" i="1"/>
  <c r="AN213" i="1" s="1"/>
  <c r="AM221" i="1"/>
  <c r="AM213" i="1" s="1"/>
  <c r="AL221" i="1"/>
  <c r="AL213" i="1" s="1"/>
  <c r="B221" i="1"/>
  <c r="CI220" i="1"/>
  <c r="CD220" i="1"/>
  <c r="BY220" i="1"/>
  <c r="BT220" i="1"/>
  <c r="BJ220" i="1"/>
  <c r="BG220" i="1"/>
  <c r="BG212" i="1" s="1"/>
  <c r="AP220" i="1"/>
  <c r="AP212" i="1" s="1"/>
  <c r="AO220" i="1"/>
  <c r="AN220" i="1"/>
  <c r="AN212" i="1" s="1"/>
  <c r="AM220" i="1"/>
  <c r="AM212" i="1" s="1"/>
  <c r="AL220" i="1"/>
  <c r="AL212" i="1" s="1"/>
  <c r="B220" i="1"/>
  <c r="CI219" i="1"/>
  <c r="CD219" i="1"/>
  <c r="BY219" i="1"/>
  <c r="BT219" i="1"/>
  <c r="BK219" i="1"/>
  <c r="BK211" i="1" s="1"/>
  <c r="BJ219" i="1"/>
  <c r="BJ211" i="1" s="1"/>
  <c r="BH219" i="1"/>
  <c r="BG219" i="1"/>
  <c r="BF219" i="1"/>
  <c r="BF211" i="1" s="1"/>
  <c r="BC219" i="1"/>
  <c r="BC211" i="1" s="1"/>
  <c r="BB219" i="1"/>
  <c r="BA219" i="1"/>
  <c r="BA211" i="1" s="1"/>
  <c r="AZ219" i="1"/>
  <c r="AZ211" i="1" s="1"/>
  <c r="AX219" i="1"/>
  <c r="AW219" i="1"/>
  <c r="AW211" i="1" s="1"/>
  <c r="AV219" i="1"/>
  <c r="AV211" i="1" s="1"/>
  <c r="AU219" i="1"/>
  <c r="AU211" i="1" s="1"/>
  <c r="AT219" i="1"/>
  <c r="AS219" i="1"/>
  <c r="AR219" i="1"/>
  <c r="AR211" i="1" s="1"/>
  <c r="AQ219" i="1"/>
  <c r="AQ211" i="1" s="1"/>
  <c r="AP219" i="1"/>
  <c r="AP211" i="1" s="1"/>
  <c r="AO219" i="1"/>
  <c r="AN219" i="1"/>
  <c r="AN211" i="1" s="1"/>
  <c r="AM219" i="1"/>
  <c r="AM211" i="1" s="1"/>
  <c r="AL219" i="1"/>
  <c r="B219" i="1"/>
  <c r="AP214" i="1"/>
  <c r="AK214" i="1"/>
  <c r="AJ214" i="1"/>
  <c r="AI214" i="1"/>
  <c r="AH214" i="1"/>
  <c r="AG214" i="1"/>
  <c r="AF214" i="1"/>
  <c r="AE214" i="1"/>
  <c r="AD214" i="1"/>
  <c r="AC214" i="1"/>
  <c r="AB214" i="1"/>
  <c r="AA214" i="1"/>
  <c r="Z214" i="1"/>
  <c r="Y214" i="1"/>
  <c r="X214" i="1"/>
  <c r="W214" i="1"/>
  <c r="AK213" i="1"/>
  <c r="AJ213" i="1"/>
  <c r="AI213" i="1"/>
  <c r="AH213" i="1"/>
  <c r="AG213" i="1"/>
  <c r="AF213" i="1"/>
  <c r="AE213" i="1"/>
  <c r="AD213" i="1"/>
  <c r="AC213" i="1"/>
  <c r="AB213" i="1"/>
  <c r="AA213" i="1"/>
  <c r="Z213" i="1"/>
  <c r="Y213" i="1"/>
  <c r="X213" i="1"/>
  <c r="W213" i="1"/>
  <c r="AK212" i="1"/>
  <c r="AJ212" i="1"/>
  <c r="AI212" i="1"/>
  <c r="AH212" i="1"/>
  <c r="AG212" i="1"/>
  <c r="AF212" i="1"/>
  <c r="AE212" i="1"/>
  <c r="AD212" i="1"/>
  <c r="AC212" i="1"/>
  <c r="AB212" i="1"/>
  <c r="AA212" i="1"/>
  <c r="Z212" i="1"/>
  <c r="Y212" i="1"/>
  <c r="X212" i="1"/>
  <c r="W212" i="1"/>
  <c r="BH211" i="1"/>
  <c r="BB211" i="1"/>
  <c r="AX211" i="1"/>
  <c r="AS211" i="1"/>
  <c r="AL211" i="1"/>
  <c r="AK211" i="1"/>
  <c r="AJ211" i="1"/>
  <c r="AI211" i="1"/>
  <c r="AH211" i="1"/>
  <c r="AG211" i="1"/>
  <c r="AF211" i="1"/>
  <c r="AE211" i="1"/>
  <c r="AD211" i="1"/>
  <c r="AC211" i="1"/>
  <c r="AB211" i="1"/>
  <c r="AA211" i="1"/>
  <c r="Z211" i="1"/>
  <c r="Y211" i="1"/>
  <c r="X211" i="1"/>
  <c r="W211" i="1"/>
  <c r="B208" i="1"/>
  <c r="CK207" i="1"/>
  <c r="CJ207" i="1"/>
  <c r="CI207" i="1"/>
  <c r="CH207" i="1"/>
  <c r="CG207" i="1"/>
  <c r="CF207" i="1"/>
  <c r="CE207" i="1"/>
  <c r="CD207" i="1"/>
  <c r="CC207" i="1"/>
  <c r="CB207" i="1"/>
  <c r="CA207" i="1"/>
  <c r="BZ207" i="1"/>
  <c r="BY207" i="1"/>
  <c r="BX207" i="1"/>
  <c r="BW207" i="1"/>
  <c r="BV207" i="1"/>
  <c r="BU207" i="1"/>
  <c r="BT207" i="1"/>
  <c r="BS207" i="1"/>
  <c r="BR207" i="1"/>
  <c r="BQ207" i="1"/>
  <c r="BP207" i="1"/>
  <c r="BO207" i="1"/>
  <c r="BN207" i="1"/>
  <c r="BM207" i="1"/>
  <c r="BL207" i="1"/>
  <c r="BK207" i="1"/>
  <c r="BJ207" i="1"/>
  <c r="BI207" i="1"/>
  <c r="BH207" i="1"/>
  <c r="BG207" i="1"/>
  <c r="BF207" i="1"/>
  <c r="BE207" i="1"/>
  <c r="BD207" i="1"/>
  <c r="BC207" i="1"/>
  <c r="BB207" i="1"/>
  <c r="AZ207" i="1"/>
  <c r="AY207" i="1"/>
  <c r="AX207" i="1"/>
  <c r="AW207" i="1"/>
  <c r="AU207" i="1"/>
  <c r="AT207" i="1"/>
  <c r="AS207" i="1"/>
  <c r="AR207" i="1"/>
  <c r="AQ207" i="1"/>
  <c r="B207" i="1"/>
  <c r="CI206" i="1"/>
  <c r="CH206" i="1"/>
  <c r="CG206" i="1"/>
  <c r="CF206" i="1"/>
  <c r="CE206" i="1"/>
  <c r="CD206" i="1"/>
  <c r="CC206" i="1"/>
  <c r="CB206" i="1"/>
  <c r="CA206" i="1"/>
  <c r="BZ206" i="1"/>
  <c r="BY206" i="1"/>
  <c r="BX206" i="1"/>
  <c r="BW206" i="1"/>
  <c r="BV206" i="1"/>
  <c r="BU206" i="1"/>
  <c r="BT206" i="1"/>
  <c r="BS206" i="1"/>
  <c r="BR206" i="1"/>
  <c r="BQ206" i="1"/>
  <c r="BP206" i="1"/>
  <c r="BO206" i="1"/>
  <c r="BN206" i="1"/>
  <c r="BM206" i="1"/>
  <c r="BL206" i="1"/>
  <c r="BK206" i="1"/>
  <c r="BI206" i="1"/>
  <c r="BH206" i="1"/>
  <c r="BG206" i="1"/>
  <c r="BF206" i="1"/>
  <c r="BD206" i="1"/>
  <c r="BC206" i="1"/>
  <c r="BB206" i="1"/>
  <c r="BA206" i="1"/>
  <c r="AZ206" i="1"/>
  <c r="AY206" i="1"/>
  <c r="AX206" i="1"/>
  <c r="AW206" i="1"/>
  <c r="AV206" i="1"/>
  <c r="AU206" i="1"/>
  <c r="AT206" i="1"/>
  <c r="AS206" i="1"/>
  <c r="AR206" i="1"/>
  <c r="AQ206" i="1"/>
  <c r="CI205" i="1"/>
  <c r="CH205" i="1"/>
  <c r="CG205" i="1"/>
  <c r="CF205" i="1"/>
  <c r="CE205" i="1"/>
  <c r="CD205" i="1"/>
  <c r="CC205" i="1"/>
  <c r="CB205" i="1"/>
  <c r="CA205" i="1"/>
  <c r="BZ205" i="1"/>
  <c r="BY205" i="1"/>
  <c r="BX205" i="1"/>
  <c r="BW205" i="1"/>
  <c r="BV205" i="1"/>
  <c r="BU205" i="1"/>
  <c r="BT205" i="1"/>
  <c r="BS205" i="1"/>
  <c r="BR205" i="1"/>
  <c r="BQ205" i="1"/>
  <c r="BP205" i="1"/>
  <c r="BO205" i="1"/>
  <c r="BN205" i="1"/>
  <c r="BM205" i="1"/>
  <c r="BL205" i="1"/>
  <c r="BK205" i="1"/>
  <c r="BI205" i="1"/>
  <c r="BH205" i="1"/>
  <c r="BG205" i="1"/>
  <c r="BF205" i="1"/>
  <c r="BD205" i="1"/>
  <c r="BC205" i="1"/>
  <c r="BB205" i="1"/>
  <c r="BA205" i="1"/>
  <c r="AZ205" i="1"/>
  <c r="AY205" i="1"/>
  <c r="AX205" i="1"/>
  <c r="AW205" i="1"/>
  <c r="AV205" i="1"/>
  <c r="AU205" i="1"/>
  <c r="AT205" i="1"/>
  <c r="AS205" i="1"/>
  <c r="AR205" i="1"/>
  <c r="AQ205" i="1"/>
  <c r="CI204" i="1"/>
  <c r="CH204" i="1"/>
  <c r="CG204" i="1"/>
  <c r="CF204" i="1"/>
  <c r="CE204" i="1"/>
  <c r="CD204" i="1"/>
  <c r="CC204" i="1"/>
  <c r="CB204" i="1"/>
  <c r="CA204" i="1"/>
  <c r="BZ204" i="1"/>
  <c r="BY204" i="1"/>
  <c r="BX204" i="1"/>
  <c r="BW204" i="1"/>
  <c r="BV204" i="1"/>
  <c r="BU204" i="1"/>
  <c r="BT204" i="1"/>
  <c r="BS204" i="1"/>
  <c r="BR204" i="1"/>
  <c r="BQ204" i="1"/>
  <c r="BP204" i="1"/>
  <c r="BO204" i="1"/>
  <c r="BN204" i="1"/>
  <c r="BM204" i="1"/>
  <c r="BL204" i="1"/>
  <c r="BK204" i="1"/>
  <c r="BI204" i="1"/>
  <c r="BH204" i="1"/>
  <c r="BG204" i="1"/>
  <c r="BF204" i="1"/>
  <c r="BD204" i="1"/>
  <c r="BC204" i="1"/>
  <c r="BB204" i="1"/>
  <c r="BA204" i="1"/>
  <c r="AZ204" i="1"/>
  <c r="AY204" i="1"/>
  <c r="AX204" i="1"/>
  <c r="AW204" i="1"/>
  <c r="AV204" i="1"/>
  <c r="AU204" i="1"/>
  <c r="AT204" i="1"/>
  <c r="AS204" i="1"/>
  <c r="AR204" i="1"/>
  <c r="AQ204" i="1"/>
  <c r="CI203" i="1"/>
  <c r="CH203" i="1"/>
  <c r="CG203" i="1"/>
  <c r="CF203" i="1"/>
  <c r="CE203" i="1"/>
  <c r="CD203" i="1"/>
  <c r="CC203" i="1"/>
  <c r="CB203" i="1"/>
  <c r="CA203" i="1"/>
  <c r="BZ203" i="1"/>
  <c r="BY203" i="1"/>
  <c r="BX203" i="1"/>
  <c r="BW203" i="1"/>
  <c r="BV203" i="1"/>
  <c r="BU203" i="1"/>
  <c r="BT203" i="1"/>
  <c r="BS203" i="1"/>
  <c r="BR203" i="1"/>
  <c r="BQ203" i="1"/>
  <c r="BP203" i="1"/>
  <c r="BO203" i="1"/>
  <c r="BN203" i="1"/>
  <c r="BM203" i="1"/>
  <c r="BL203" i="1"/>
  <c r="BK203" i="1"/>
  <c r="BI203" i="1"/>
  <c r="BH203" i="1"/>
  <c r="BG203" i="1"/>
  <c r="BF203" i="1"/>
  <c r="BD203" i="1"/>
  <c r="BC203" i="1"/>
  <c r="BB203" i="1"/>
  <c r="BA203" i="1"/>
  <c r="AZ203" i="1"/>
  <c r="AY203" i="1"/>
  <c r="AX203" i="1"/>
  <c r="AW203" i="1"/>
  <c r="AV203" i="1"/>
  <c r="AU203" i="1"/>
  <c r="AT203" i="1"/>
  <c r="AS203" i="1"/>
  <c r="AR203" i="1"/>
  <c r="AQ203" i="1"/>
  <c r="CI202" i="1"/>
  <c r="CH202" i="1"/>
  <c r="CG202" i="1"/>
  <c r="CE202" i="1"/>
  <c r="CD202" i="1"/>
  <c r="CC202" i="1"/>
  <c r="CB202" i="1"/>
  <c r="BZ202" i="1"/>
  <c r="BY202" i="1"/>
  <c r="BX202" i="1"/>
  <c r="BW202" i="1"/>
  <c r="BV202" i="1"/>
  <c r="BU202" i="1"/>
  <c r="BT202" i="1"/>
  <c r="BS202" i="1"/>
  <c r="BR202" i="1"/>
  <c r="BQ202" i="1"/>
  <c r="BP202" i="1"/>
  <c r="BO202" i="1"/>
  <c r="BN202" i="1"/>
  <c r="BM202" i="1"/>
  <c r="BL202" i="1"/>
  <c r="BK202" i="1"/>
  <c r="BI202" i="1"/>
  <c r="BH202" i="1"/>
  <c r="BG202" i="1"/>
  <c r="BF202" i="1"/>
  <c r="BD202" i="1"/>
  <c r="BC202" i="1"/>
  <c r="BB202" i="1"/>
  <c r="BA202" i="1"/>
  <c r="AZ202" i="1"/>
  <c r="AY202" i="1"/>
  <c r="AX202" i="1"/>
  <c r="AW202" i="1"/>
  <c r="AV202" i="1"/>
  <c r="AU202" i="1"/>
  <c r="AT202" i="1"/>
  <c r="AS202" i="1"/>
  <c r="AR202" i="1"/>
  <c r="AQ202" i="1"/>
  <c r="B199" i="1"/>
  <c r="B198" i="1"/>
  <c r="CI190" i="1"/>
  <c r="CH190" i="1"/>
  <c r="CG190" i="1"/>
  <c r="CF190" i="1"/>
  <c r="CE190" i="1"/>
  <c r="CD190" i="1"/>
  <c r="CC190" i="1"/>
  <c r="CB190" i="1"/>
  <c r="CA190" i="1"/>
  <c r="BZ190" i="1"/>
  <c r="BY190" i="1"/>
  <c r="BX190" i="1"/>
  <c r="BW190" i="1"/>
  <c r="BV190" i="1"/>
  <c r="BU190" i="1"/>
  <c r="BT190" i="1"/>
  <c r="BS190" i="1"/>
  <c r="BR190" i="1"/>
  <c r="BQ190" i="1"/>
  <c r="BP190" i="1"/>
  <c r="BO190" i="1"/>
  <c r="BN190" i="1"/>
  <c r="BM190" i="1"/>
  <c r="BL190" i="1"/>
  <c r="BK190" i="1"/>
  <c r="BJ190" i="1"/>
  <c r="BI190" i="1"/>
  <c r="BH190" i="1"/>
  <c r="BG190" i="1"/>
  <c r="BF190" i="1"/>
  <c r="BD190" i="1"/>
  <c r="BC190" i="1"/>
  <c r="BB190" i="1"/>
  <c r="BA190" i="1"/>
  <c r="AZ190" i="1"/>
  <c r="AY190" i="1"/>
  <c r="AX190" i="1"/>
  <c r="AW190" i="1"/>
  <c r="AV190" i="1"/>
  <c r="AU190" i="1"/>
  <c r="AT190" i="1"/>
  <c r="AS190" i="1"/>
  <c r="AR190" i="1"/>
  <c r="AQ190" i="1"/>
  <c r="AP190" i="1"/>
  <c r="AO190" i="1"/>
  <c r="AN190" i="1"/>
  <c r="AL190" i="1"/>
  <c r="CI189" i="1"/>
  <c r="CH189" i="1"/>
  <c r="CG189" i="1"/>
  <c r="CF189" i="1"/>
  <c r="CE189" i="1"/>
  <c r="CD189" i="1"/>
  <c r="CC189" i="1"/>
  <c r="CB189" i="1"/>
  <c r="CA189" i="1"/>
  <c r="BZ189" i="1"/>
  <c r="BY189" i="1"/>
  <c r="BX189" i="1"/>
  <c r="BW189" i="1"/>
  <c r="BV189" i="1"/>
  <c r="BU189" i="1"/>
  <c r="BT189" i="1"/>
  <c r="BS189" i="1"/>
  <c r="BR189" i="1"/>
  <c r="BQ189" i="1"/>
  <c r="BP189" i="1"/>
  <c r="BO189" i="1"/>
  <c r="BN189" i="1"/>
  <c r="BM189" i="1"/>
  <c r="BL189" i="1"/>
  <c r="BK189" i="1"/>
  <c r="BJ189" i="1"/>
  <c r="BI189" i="1"/>
  <c r="BH189" i="1"/>
  <c r="BG189" i="1"/>
  <c r="BF189" i="1"/>
  <c r="BD189" i="1"/>
  <c r="BC189" i="1"/>
  <c r="BB189" i="1"/>
  <c r="BA189" i="1"/>
  <c r="AZ189" i="1"/>
  <c r="AY189" i="1"/>
  <c r="AX189" i="1"/>
  <c r="AW189" i="1"/>
  <c r="AV189" i="1"/>
  <c r="AU189" i="1"/>
  <c r="AT189" i="1"/>
  <c r="AS189" i="1"/>
  <c r="AR189" i="1"/>
  <c r="AQ189" i="1"/>
  <c r="AP189" i="1"/>
  <c r="AO189" i="1"/>
  <c r="AN189" i="1"/>
  <c r="AL189" i="1"/>
  <c r="CI188" i="1"/>
  <c r="CH188" i="1"/>
  <c r="CG188" i="1"/>
  <c r="CF188" i="1"/>
  <c r="CE188" i="1"/>
  <c r="CD188" i="1"/>
  <c r="CC188" i="1"/>
  <c r="CB188" i="1"/>
  <c r="CA188" i="1"/>
  <c r="BZ188" i="1"/>
  <c r="BY188" i="1"/>
  <c r="BX188" i="1"/>
  <c r="BW188" i="1"/>
  <c r="BV188" i="1"/>
  <c r="BU188" i="1"/>
  <c r="BT188" i="1"/>
  <c r="BS188" i="1"/>
  <c r="BR188" i="1"/>
  <c r="BQ188" i="1"/>
  <c r="BP188" i="1"/>
  <c r="BO188" i="1"/>
  <c r="BN188" i="1"/>
  <c r="BM188" i="1"/>
  <c r="BL188" i="1"/>
  <c r="BK188" i="1"/>
  <c r="BJ188" i="1"/>
  <c r="BI188" i="1"/>
  <c r="BH188" i="1"/>
  <c r="BG188" i="1"/>
  <c r="BF188" i="1"/>
  <c r="BD188" i="1"/>
  <c r="BC188" i="1"/>
  <c r="BB188" i="1"/>
  <c r="BA188" i="1"/>
  <c r="AZ188" i="1"/>
  <c r="AY188" i="1"/>
  <c r="AX188" i="1"/>
  <c r="AW188" i="1"/>
  <c r="AV188" i="1"/>
  <c r="AU188" i="1"/>
  <c r="AT188" i="1"/>
  <c r="AS188" i="1"/>
  <c r="AR188" i="1"/>
  <c r="AQ188" i="1"/>
  <c r="AP188" i="1"/>
  <c r="AO188" i="1"/>
  <c r="AN188" i="1"/>
  <c r="AL188" i="1"/>
  <c r="CI187" i="1"/>
  <c r="CH187" i="1"/>
  <c r="CG187" i="1"/>
  <c r="CF187" i="1"/>
  <c r="CE187" i="1"/>
  <c r="CD187" i="1"/>
  <c r="CC187" i="1"/>
  <c r="CB187" i="1"/>
  <c r="CA187" i="1"/>
  <c r="BZ187" i="1"/>
  <c r="BY187" i="1"/>
  <c r="BX187" i="1"/>
  <c r="BW187" i="1"/>
  <c r="BV187" i="1"/>
  <c r="BU187" i="1"/>
  <c r="BT187" i="1"/>
  <c r="BS187" i="1"/>
  <c r="BR187" i="1"/>
  <c r="BQ187" i="1"/>
  <c r="BP187" i="1"/>
  <c r="BO187" i="1"/>
  <c r="BN187" i="1"/>
  <c r="BM187" i="1"/>
  <c r="BL187" i="1"/>
  <c r="BK187" i="1"/>
  <c r="BJ187" i="1"/>
  <c r="BI187" i="1"/>
  <c r="BH187" i="1"/>
  <c r="BG187" i="1"/>
  <c r="BF187" i="1"/>
  <c r="BD187" i="1"/>
  <c r="BC187" i="1"/>
  <c r="BB187" i="1"/>
  <c r="BA187" i="1"/>
  <c r="AZ187" i="1"/>
  <c r="AY187" i="1"/>
  <c r="AX187" i="1"/>
  <c r="AW187" i="1"/>
  <c r="AV187" i="1"/>
  <c r="AU187" i="1"/>
  <c r="AT187" i="1"/>
  <c r="AS187" i="1"/>
  <c r="AR187" i="1"/>
  <c r="AQ187" i="1"/>
  <c r="AP187" i="1"/>
  <c r="AO187" i="1"/>
  <c r="AN187" i="1"/>
  <c r="AL187" i="1"/>
  <c r="CI186" i="1"/>
  <c r="CH186" i="1"/>
  <c r="CG186" i="1"/>
  <c r="CF186" i="1"/>
  <c r="CE186" i="1"/>
  <c r="CD186" i="1"/>
  <c r="CC186" i="1"/>
  <c r="CB186" i="1"/>
  <c r="BZ186" i="1"/>
  <c r="BY186" i="1"/>
  <c r="BX186" i="1"/>
  <c r="BW186" i="1"/>
  <c r="BV186" i="1"/>
  <c r="BU186" i="1"/>
  <c r="BT186" i="1"/>
  <c r="BS186" i="1"/>
  <c r="BR186" i="1"/>
  <c r="BQ186" i="1"/>
  <c r="BP186" i="1"/>
  <c r="BO186" i="1"/>
  <c r="BN186" i="1"/>
  <c r="BM186" i="1"/>
  <c r="BL186" i="1"/>
  <c r="BK186" i="1"/>
  <c r="BJ186" i="1"/>
  <c r="BI186" i="1"/>
  <c r="BH186" i="1"/>
  <c r="BG186" i="1"/>
  <c r="BF186" i="1"/>
  <c r="BD186" i="1"/>
  <c r="BC186" i="1"/>
  <c r="BB186" i="1"/>
  <c r="BA186" i="1"/>
  <c r="AZ186" i="1"/>
  <c r="AY186" i="1"/>
  <c r="AX186" i="1"/>
  <c r="AW186" i="1"/>
  <c r="AV186" i="1"/>
  <c r="AU186" i="1"/>
  <c r="AT186" i="1"/>
  <c r="AS186" i="1"/>
  <c r="AR186" i="1"/>
  <c r="AQ186" i="1"/>
  <c r="AP186" i="1"/>
  <c r="AO186" i="1"/>
  <c r="AN186" i="1"/>
  <c r="AL186" i="1"/>
  <c r="AK183" i="1"/>
  <c r="AJ183" i="1"/>
  <c r="AI183" i="1"/>
  <c r="AH183" i="1"/>
  <c r="AG183" i="1"/>
  <c r="AF183" i="1"/>
  <c r="AE183" i="1"/>
  <c r="AD183" i="1"/>
  <c r="AC183" i="1"/>
  <c r="AB183" i="1"/>
  <c r="AA183" i="1"/>
  <c r="Z183" i="1"/>
  <c r="Y183" i="1"/>
  <c r="X183" i="1"/>
  <c r="W183" i="1"/>
  <c r="CI182" i="1"/>
  <c r="CH182" i="1"/>
  <c r="CG182" i="1"/>
  <c r="CF182" i="1"/>
  <c r="CE182" i="1"/>
  <c r="CD182" i="1"/>
  <c r="CC182" i="1"/>
  <c r="CB182" i="1"/>
  <c r="CA182" i="1"/>
  <c r="BZ182" i="1"/>
  <c r="BY182" i="1"/>
  <c r="BX182" i="1"/>
  <c r="BW182" i="1"/>
  <c r="BV182" i="1"/>
  <c r="BU182" i="1"/>
  <c r="BT182" i="1"/>
  <c r="BS182" i="1"/>
  <c r="BR182" i="1"/>
  <c r="BQ182" i="1"/>
  <c r="BP182" i="1"/>
  <c r="BN182" i="1"/>
  <c r="BM182" i="1"/>
  <c r="BL182" i="1"/>
  <c r="BK182" i="1"/>
  <c r="BJ182" i="1"/>
  <c r="BH182" i="1"/>
  <c r="BG182" i="1"/>
  <c r="BF182" i="1"/>
  <c r="BC182" i="1"/>
  <c r="BB182" i="1"/>
  <c r="BA182" i="1"/>
  <c r="AZ182" i="1"/>
  <c r="AX182" i="1"/>
  <c r="AW182" i="1"/>
  <c r="AV182" i="1"/>
  <c r="AU182" i="1"/>
  <c r="AS182" i="1"/>
  <c r="AR182" i="1"/>
  <c r="AQ182" i="1"/>
  <c r="AP182" i="1"/>
  <c r="AN182" i="1"/>
  <c r="AM182" i="1"/>
  <c r="AL182" i="1"/>
  <c r="AK182" i="1"/>
  <c r="AJ182" i="1"/>
  <c r="AI182" i="1"/>
  <c r="AH182" i="1"/>
  <c r="AG182" i="1"/>
  <c r="AF182" i="1"/>
  <c r="AE182" i="1"/>
  <c r="AD182" i="1"/>
  <c r="AC182" i="1"/>
  <c r="AB182" i="1"/>
  <c r="AA182" i="1"/>
  <c r="Z182" i="1"/>
  <c r="Y182" i="1"/>
  <c r="X182" i="1"/>
  <c r="W182" i="1"/>
  <c r="CI181" i="1"/>
  <c r="CH181" i="1"/>
  <c r="CG181" i="1"/>
  <c r="CF181" i="1"/>
  <c r="CE181" i="1"/>
  <c r="CD181" i="1"/>
  <c r="CC181" i="1"/>
  <c r="CB181" i="1"/>
  <c r="CA181" i="1"/>
  <c r="BZ181" i="1"/>
  <c r="BY181" i="1"/>
  <c r="BX181" i="1"/>
  <c r="BW181" i="1"/>
  <c r="BV181" i="1"/>
  <c r="BU181" i="1"/>
  <c r="BT181" i="1"/>
  <c r="BS181" i="1"/>
  <c r="BR181" i="1"/>
  <c r="BQ181" i="1"/>
  <c r="BP181" i="1"/>
  <c r="BN181" i="1"/>
  <c r="BM181" i="1"/>
  <c r="BL181" i="1"/>
  <c r="BK181" i="1"/>
  <c r="BJ181" i="1"/>
  <c r="BH181" i="1"/>
  <c r="BG181" i="1"/>
  <c r="BF181" i="1"/>
  <c r="BC181" i="1"/>
  <c r="BB181" i="1"/>
  <c r="BA181" i="1"/>
  <c r="AZ181" i="1"/>
  <c r="AX181" i="1"/>
  <c r="AW181" i="1"/>
  <c r="AV181" i="1"/>
  <c r="AU181" i="1"/>
  <c r="AS181" i="1"/>
  <c r="AR181" i="1"/>
  <c r="AQ181" i="1"/>
  <c r="AP181" i="1"/>
  <c r="AN181" i="1"/>
  <c r="AM181" i="1"/>
  <c r="AL181" i="1"/>
  <c r="AK181" i="1"/>
  <c r="AJ181" i="1"/>
  <c r="AI181" i="1"/>
  <c r="AH181" i="1"/>
  <c r="AG181" i="1"/>
  <c r="AF181" i="1"/>
  <c r="AE181" i="1"/>
  <c r="AD181" i="1"/>
  <c r="AC181" i="1"/>
  <c r="AB181" i="1"/>
  <c r="AA181" i="1"/>
  <c r="Z181" i="1"/>
  <c r="Y181" i="1"/>
  <c r="X181" i="1"/>
  <c r="W181" i="1"/>
  <c r="CI180" i="1"/>
  <c r="CH180" i="1"/>
  <c r="CG180" i="1"/>
  <c r="CF180" i="1"/>
  <c r="CE180" i="1"/>
  <c r="CD180" i="1"/>
  <c r="CC180" i="1"/>
  <c r="CB180" i="1"/>
  <c r="CA180" i="1"/>
  <c r="BZ180" i="1"/>
  <c r="BY180" i="1"/>
  <c r="BX180" i="1"/>
  <c r="BW180" i="1"/>
  <c r="BV180" i="1"/>
  <c r="BU180" i="1"/>
  <c r="BT180" i="1"/>
  <c r="BS180" i="1"/>
  <c r="BR180" i="1"/>
  <c r="BQ180" i="1"/>
  <c r="BP180" i="1"/>
  <c r="BN180" i="1"/>
  <c r="BM180" i="1"/>
  <c r="BL180" i="1"/>
  <c r="BK180" i="1"/>
  <c r="BJ180" i="1"/>
  <c r="BH180" i="1"/>
  <c r="BG180" i="1"/>
  <c r="BF180" i="1"/>
  <c r="BC180" i="1"/>
  <c r="BB180" i="1"/>
  <c r="BA180" i="1"/>
  <c r="AZ180" i="1"/>
  <c r="AX180" i="1"/>
  <c r="AW180" i="1"/>
  <c r="AV180" i="1"/>
  <c r="AU180" i="1"/>
  <c r="AS180" i="1"/>
  <c r="AR180" i="1"/>
  <c r="AQ180" i="1"/>
  <c r="AP180" i="1"/>
  <c r="AN180" i="1"/>
  <c r="AM180" i="1"/>
  <c r="AL180" i="1"/>
  <c r="AK180" i="1"/>
  <c r="AJ180" i="1"/>
  <c r="AI180" i="1"/>
  <c r="AH180" i="1"/>
  <c r="AG180" i="1"/>
  <c r="AF180" i="1"/>
  <c r="AE180" i="1"/>
  <c r="AD180" i="1"/>
  <c r="AC180" i="1"/>
  <c r="AB180" i="1"/>
  <c r="AA180" i="1"/>
  <c r="Z180" i="1"/>
  <c r="Y180" i="1"/>
  <c r="X180" i="1"/>
  <c r="W180" i="1"/>
  <c r="CI179" i="1"/>
  <c r="CH179" i="1"/>
  <c r="CG179" i="1"/>
  <c r="CE179" i="1"/>
  <c r="CD179" i="1"/>
  <c r="CC179" i="1"/>
  <c r="CB179" i="1"/>
  <c r="BZ179" i="1"/>
  <c r="BY179" i="1"/>
  <c r="BX179" i="1"/>
  <c r="BW179" i="1"/>
  <c r="BV179" i="1"/>
  <c r="BT179" i="1"/>
  <c r="BS179" i="1"/>
  <c r="BR179" i="1"/>
  <c r="BQ179" i="1"/>
  <c r="BP179" i="1"/>
  <c r="BN179" i="1"/>
  <c r="BM179" i="1"/>
  <c r="BL179" i="1"/>
  <c r="BK179" i="1"/>
  <c r="BJ179" i="1"/>
  <c r="BH179" i="1"/>
  <c r="BG179" i="1"/>
  <c r="BF179" i="1"/>
  <c r="BC179" i="1"/>
  <c r="BB179" i="1"/>
  <c r="BA179" i="1"/>
  <c r="AZ179" i="1"/>
  <c r="AX179" i="1"/>
  <c r="AW179" i="1"/>
  <c r="AV179" i="1"/>
  <c r="AU179" i="1"/>
  <c r="AS179" i="1"/>
  <c r="AR179" i="1"/>
  <c r="AQ179" i="1"/>
  <c r="AP179" i="1"/>
  <c r="AN179" i="1"/>
  <c r="AM179" i="1"/>
  <c r="AL179" i="1"/>
  <c r="AK179" i="1"/>
  <c r="AJ179" i="1"/>
  <c r="AI179" i="1"/>
  <c r="AH179" i="1"/>
  <c r="AG179" i="1"/>
  <c r="AF179" i="1"/>
  <c r="AE179" i="1"/>
  <c r="AD179" i="1"/>
  <c r="AC179" i="1"/>
  <c r="AB179" i="1"/>
  <c r="AA179" i="1"/>
  <c r="Z179" i="1"/>
  <c r="Y179" i="1"/>
  <c r="X179" i="1"/>
  <c r="W179" i="1"/>
  <c r="G178" i="1"/>
  <c r="F178" i="1"/>
  <c r="E178" i="1"/>
  <c r="D178" i="1"/>
  <c r="CN176" i="1"/>
  <c r="CM176" i="1"/>
  <c r="CL176" i="1"/>
  <c r="CK176" i="1"/>
  <c r="CJ176" i="1"/>
  <c r="CI176" i="1"/>
  <c r="CH176" i="1"/>
  <c r="CG176" i="1"/>
  <c r="CF176" i="1"/>
  <c r="CE176" i="1"/>
  <c r="CD176" i="1"/>
  <c r="CC176" i="1"/>
  <c r="CB176" i="1"/>
  <c r="BZ176" i="1"/>
  <c r="BY176" i="1"/>
  <c r="BX176" i="1"/>
  <c r="BW176" i="1"/>
  <c r="BV176" i="1"/>
  <c r="BU176" i="1"/>
  <c r="BT176" i="1"/>
  <c r="BS176" i="1"/>
  <c r="BR176" i="1"/>
  <c r="BQ176" i="1"/>
  <c r="BP176" i="1"/>
  <c r="BO176" i="1"/>
  <c r="BN176" i="1"/>
  <c r="BM176" i="1"/>
  <c r="BL176" i="1"/>
  <c r="BK176" i="1"/>
  <c r="BJ176" i="1"/>
  <c r="BI176" i="1"/>
  <c r="BH176" i="1"/>
  <c r="BG176" i="1"/>
  <c r="BF176" i="1"/>
  <c r="BD176" i="1"/>
  <c r="BC176" i="1"/>
  <c r="BB176" i="1"/>
  <c r="BA176" i="1"/>
  <c r="AZ176" i="1"/>
  <c r="AY176" i="1"/>
  <c r="AX176" i="1"/>
  <c r="AW176" i="1"/>
  <c r="AU176" i="1"/>
  <c r="AT176" i="1"/>
  <c r="AS176" i="1"/>
  <c r="AR176" i="1"/>
  <c r="AQ176" i="1"/>
  <c r="AP176" i="1"/>
  <c r="AO176" i="1"/>
  <c r="AN176" i="1"/>
  <c r="AM176" i="1"/>
  <c r="AL176" i="1"/>
  <c r="AV175" i="1"/>
  <c r="AV176" i="1" s="1"/>
  <c r="CJ174" i="1"/>
  <c r="CK174" i="1" s="1"/>
  <c r="BE174" i="1"/>
  <c r="B174" i="1"/>
  <c r="BE173" i="1"/>
  <c r="BE182" i="1" s="1"/>
  <c r="B173" i="1"/>
  <c r="BE172" i="1"/>
  <c r="B172" i="1"/>
  <c r="BE171" i="1"/>
  <c r="B171" i="1"/>
  <c r="CA170" i="1"/>
  <c r="BE170" i="1"/>
  <c r="B170" i="1"/>
  <c r="CK167" i="1"/>
  <c r="CL165" i="1"/>
  <c r="CI165" i="1"/>
  <c r="BY165" i="1"/>
  <c r="BT165" i="1"/>
  <c r="BO165" i="1"/>
  <c r="BJ165" i="1"/>
  <c r="BE165" i="1"/>
  <c r="AZ165" i="1"/>
  <c r="AU165" i="1"/>
  <c r="AP165" i="1"/>
  <c r="AK165" i="1"/>
  <c r="AG165" i="1"/>
  <c r="AB165" i="1"/>
  <c r="CL164" i="1"/>
  <c r="CM164" i="1" s="1"/>
  <c r="CN164" i="1" s="1"/>
  <c r="CI163" i="1"/>
  <c r="CJ163" i="1" s="1"/>
  <c r="CK163" i="1" s="1"/>
  <c r="CH163" i="1"/>
  <c r="CG163" i="1"/>
  <c r="CF163" i="1"/>
  <c r="CE163" i="1"/>
  <c r="CD163" i="1"/>
  <c r="CC163" i="1"/>
  <c r="CB163" i="1"/>
  <c r="CA163" i="1"/>
  <c r="BZ163" i="1"/>
  <c r="BY163" i="1"/>
  <c r="BX163" i="1"/>
  <c r="BW163" i="1"/>
  <c r="BV163" i="1"/>
  <c r="BU163" i="1"/>
  <c r="BT163" i="1"/>
  <c r="BS163" i="1"/>
  <c r="BR163" i="1"/>
  <c r="BQ163" i="1"/>
  <c r="BP163" i="1"/>
  <c r="BN163" i="1"/>
  <c r="BM163" i="1"/>
  <c r="BL163" i="1"/>
  <c r="BK163" i="1"/>
  <c r="BJ163" i="1"/>
  <c r="BO163" i="1" s="1"/>
  <c r="BH163" i="1"/>
  <c r="BG163" i="1"/>
  <c r="BF163" i="1"/>
  <c r="BC163" i="1"/>
  <c r="BB163" i="1"/>
  <c r="BA163" i="1"/>
  <c r="AZ163" i="1"/>
  <c r="AX163" i="1"/>
  <c r="AW163" i="1"/>
  <c r="AV163" i="1"/>
  <c r="AU163" i="1"/>
  <c r="AS163" i="1"/>
  <c r="AR163" i="1"/>
  <c r="AQ163" i="1"/>
  <c r="AP163" i="1"/>
  <c r="AN163" i="1"/>
  <c r="AM163" i="1"/>
  <c r="AL163" i="1"/>
  <c r="AK163" i="1"/>
  <c r="AJ163" i="1"/>
  <c r="AI163" i="1"/>
  <c r="AH163" i="1"/>
  <c r="AG163" i="1"/>
  <c r="AF163" i="1"/>
  <c r="AE163" i="1"/>
  <c r="AD163" i="1"/>
  <c r="AC163" i="1"/>
  <c r="AB163" i="1"/>
  <c r="AA163" i="1"/>
  <c r="Z163" i="1"/>
  <c r="Y163" i="1"/>
  <c r="X163" i="1"/>
  <c r="W163" i="1"/>
  <c r="CI162" i="1"/>
  <c r="CJ162" i="1" s="1"/>
  <c r="CK162" i="1" s="1"/>
  <c r="CH162" i="1"/>
  <c r="CG162" i="1"/>
  <c r="CF162" i="1"/>
  <c r="CE162" i="1"/>
  <c r="CD162" i="1"/>
  <c r="CC162" i="1"/>
  <c r="CB162" i="1"/>
  <c r="CA162" i="1"/>
  <c r="BZ162" i="1"/>
  <c r="BY162" i="1"/>
  <c r="BX162" i="1"/>
  <c r="BW162" i="1"/>
  <c r="BV162" i="1"/>
  <c r="BU162" i="1"/>
  <c r="BT162" i="1"/>
  <c r="BS162" i="1"/>
  <c r="BR162" i="1"/>
  <c r="BQ162" i="1"/>
  <c r="BP162" i="1"/>
  <c r="BN162" i="1"/>
  <c r="BM162" i="1"/>
  <c r="BL162" i="1"/>
  <c r="BK162" i="1"/>
  <c r="BJ162" i="1"/>
  <c r="BO162" i="1" s="1"/>
  <c r="BH162" i="1"/>
  <c r="BG162" i="1"/>
  <c r="BF162" i="1"/>
  <c r="BC162" i="1"/>
  <c r="BB162" i="1"/>
  <c r="BA162" i="1"/>
  <c r="AZ162" i="1"/>
  <c r="AX162" i="1"/>
  <c r="AW162" i="1"/>
  <c r="AV162" i="1"/>
  <c r="AU162" i="1"/>
  <c r="AS162" i="1"/>
  <c r="AR162" i="1"/>
  <c r="AQ162" i="1"/>
  <c r="AP162" i="1"/>
  <c r="AN162" i="1"/>
  <c r="AM162" i="1"/>
  <c r="AL162" i="1"/>
  <c r="AK162" i="1"/>
  <c r="AJ162" i="1"/>
  <c r="AI162" i="1"/>
  <c r="AH162" i="1"/>
  <c r="AG162" i="1"/>
  <c r="AF162" i="1"/>
  <c r="AE162" i="1"/>
  <c r="AD162" i="1"/>
  <c r="AC162" i="1"/>
  <c r="AB162" i="1"/>
  <c r="AA162" i="1"/>
  <c r="Z162" i="1"/>
  <c r="Y162" i="1"/>
  <c r="X162" i="1"/>
  <c r="W162" i="1"/>
  <c r="CI161" i="1"/>
  <c r="CJ161" i="1" s="1"/>
  <c r="CK161" i="1" s="1"/>
  <c r="CH161" i="1"/>
  <c r="CG161" i="1"/>
  <c r="CF161" i="1"/>
  <c r="CE161" i="1"/>
  <c r="CD161" i="1"/>
  <c r="CC161" i="1"/>
  <c r="CB161" i="1"/>
  <c r="CA161" i="1"/>
  <c r="BZ161" i="1"/>
  <c r="BY161" i="1"/>
  <c r="BX161" i="1"/>
  <c r="BW161" i="1"/>
  <c r="BV161" i="1"/>
  <c r="BU161" i="1"/>
  <c r="BT161" i="1"/>
  <c r="BS161" i="1"/>
  <c r="BR161" i="1"/>
  <c r="BQ161" i="1"/>
  <c r="BP161" i="1"/>
  <c r="BN161" i="1"/>
  <c r="BM161" i="1"/>
  <c r="BL161" i="1"/>
  <c r="BK161" i="1"/>
  <c r="BJ161" i="1"/>
  <c r="BO161" i="1" s="1"/>
  <c r="BH161" i="1"/>
  <c r="BG161" i="1"/>
  <c r="BF161" i="1"/>
  <c r="BC161" i="1"/>
  <c r="BB161" i="1"/>
  <c r="BA161" i="1"/>
  <c r="AZ161" i="1"/>
  <c r="AX161" i="1"/>
  <c r="AW161" i="1"/>
  <c r="AV161" i="1"/>
  <c r="AU161" i="1"/>
  <c r="AS161" i="1"/>
  <c r="AR161" i="1"/>
  <c r="AQ161" i="1"/>
  <c r="AP161" i="1"/>
  <c r="AN161" i="1"/>
  <c r="AM161" i="1"/>
  <c r="AL161" i="1"/>
  <c r="AK161" i="1"/>
  <c r="AJ161" i="1"/>
  <c r="AI161" i="1"/>
  <c r="AH161" i="1"/>
  <c r="AG161" i="1"/>
  <c r="AF161" i="1"/>
  <c r="AE161" i="1"/>
  <c r="AD161" i="1"/>
  <c r="AC161" i="1"/>
  <c r="AB161" i="1"/>
  <c r="AA161" i="1"/>
  <c r="Z161" i="1"/>
  <c r="Y161" i="1"/>
  <c r="X161" i="1"/>
  <c r="W161" i="1"/>
  <c r="CI160" i="1"/>
  <c r="CJ160" i="1" s="1"/>
  <c r="CJ166" i="1" s="1"/>
  <c r="CH160" i="1"/>
  <c r="CH166" i="1" s="1"/>
  <c r="CG160" i="1"/>
  <c r="CG166" i="1" s="1"/>
  <c r="CE160" i="1"/>
  <c r="CE166" i="1" s="1"/>
  <c r="CD160" i="1"/>
  <c r="CC160" i="1"/>
  <c r="CB160" i="1"/>
  <c r="CA160" i="1"/>
  <c r="BZ160" i="1"/>
  <c r="BY160" i="1"/>
  <c r="BX160" i="1"/>
  <c r="BX166" i="1" s="1"/>
  <c r="BW160" i="1"/>
  <c r="BW166" i="1" s="1"/>
  <c r="BV160" i="1"/>
  <c r="BV166" i="1" s="1"/>
  <c r="BT160" i="1"/>
  <c r="BS160" i="1"/>
  <c r="BS166" i="1" s="1"/>
  <c r="BR160" i="1"/>
  <c r="BR166" i="1" s="1"/>
  <c r="BQ160" i="1"/>
  <c r="BQ166" i="1" s="1"/>
  <c r="BP160" i="1"/>
  <c r="BP166" i="1" s="1"/>
  <c r="BN160" i="1"/>
  <c r="BN166" i="1" s="1"/>
  <c r="BM160" i="1"/>
  <c r="BM166" i="1" s="1"/>
  <c r="BL160" i="1"/>
  <c r="BL166" i="1" s="1"/>
  <c r="BK160" i="1"/>
  <c r="BK166" i="1" s="1"/>
  <c r="BJ160" i="1"/>
  <c r="BO160" i="1" s="1"/>
  <c r="BH160" i="1"/>
  <c r="BH166" i="1" s="1"/>
  <c r="BG160" i="1"/>
  <c r="BG166" i="1" s="1"/>
  <c r="BF160" i="1"/>
  <c r="BF166" i="1" s="1"/>
  <c r="BC160" i="1"/>
  <c r="BC166" i="1" s="1"/>
  <c r="BB160" i="1"/>
  <c r="BB166" i="1" s="1"/>
  <c r="BA160" i="1"/>
  <c r="BA166" i="1" s="1"/>
  <c r="AZ160" i="1"/>
  <c r="AX160" i="1"/>
  <c r="AX166" i="1" s="1"/>
  <c r="AW160" i="1"/>
  <c r="AW166" i="1" s="1"/>
  <c r="AV160" i="1"/>
  <c r="AV166" i="1" s="1"/>
  <c r="AU160" i="1"/>
  <c r="AS160" i="1"/>
  <c r="AS166" i="1" s="1"/>
  <c r="AR160" i="1"/>
  <c r="AR166" i="1" s="1"/>
  <c r="AQ160" i="1"/>
  <c r="AQ166" i="1" s="1"/>
  <c r="AP160" i="1"/>
  <c r="AN160" i="1"/>
  <c r="AN166" i="1" s="1"/>
  <c r="AM160" i="1"/>
  <c r="AM166" i="1" s="1"/>
  <c r="AL160" i="1"/>
  <c r="AL166" i="1" s="1"/>
  <c r="AK160" i="1"/>
  <c r="AJ160" i="1"/>
  <c r="AJ166" i="1" s="1"/>
  <c r="AI160" i="1"/>
  <c r="AI166" i="1" s="1"/>
  <c r="AH160" i="1"/>
  <c r="AH166" i="1" s="1"/>
  <c r="AG160" i="1"/>
  <c r="AF160" i="1"/>
  <c r="AF166" i="1" s="1"/>
  <c r="AE160" i="1"/>
  <c r="AE166" i="1" s="1"/>
  <c r="AD160" i="1"/>
  <c r="AD166" i="1" s="1"/>
  <c r="AC160" i="1"/>
  <c r="AC166" i="1" s="1"/>
  <c r="AB160" i="1"/>
  <c r="AA160" i="1"/>
  <c r="AA166" i="1" s="1"/>
  <c r="Z160" i="1"/>
  <c r="Z166" i="1" s="1"/>
  <c r="Y160" i="1"/>
  <c r="Y166" i="1" s="1"/>
  <c r="X160" i="1"/>
  <c r="X166" i="1" s="1"/>
  <c r="W160" i="1"/>
  <c r="AK159" i="1"/>
  <c r="AJ159" i="1"/>
  <c r="AI159" i="1"/>
  <c r="AH159" i="1"/>
  <c r="AG159" i="1"/>
  <c r="AF159" i="1"/>
  <c r="AE159" i="1"/>
  <c r="AD159" i="1"/>
  <c r="AC159" i="1"/>
  <c r="AB159" i="1"/>
  <c r="AA159" i="1"/>
  <c r="Z159" i="1"/>
  <c r="Y159" i="1"/>
  <c r="X159" i="1"/>
  <c r="W159" i="1"/>
  <c r="BX157" i="1"/>
  <c r="BW157" i="1"/>
  <c r="BE157" i="1"/>
  <c r="CK155" i="1"/>
  <c r="CJ155" i="1"/>
  <c r="CI155" i="1"/>
  <c r="CH155" i="1"/>
  <c r="CG155" i="1"/>
  <c r="CF155" i="1"/>
  <c r="CE155" i="1"/>
  <c r="CD155" i="1"/>
  <c r="CC155" i="1"/>
  <c r="CB155" i="1"/>
  <c r="CA155" i="1"/>
  <c r="BZ155" i="1"/>
  <c r="BY155" i="1"/>
  <c r="BX155" i="1"/>
  <c r="BW155" i="1"/>
  <c r="BV155" i="1"/>
  <c r="BU155" i="1"/>
  <c r="BT155" i="1"/>
  <c r="BS155" i="1"/>
  <c r="BR155" i="1"/>
  <c r="BQ155" i="1"/>
  <c r="BP155" i="1"/>
  <c r="BO155" i="1"/>
  <c r="BN155" i="1"/>
  <c r="BM155" i="1"/>
  <c r="BL155" i="1"/>
  <c r="BK155" i="1"/>
  <c r="BI155" i="1"/>
  <c r="BH155" i="1"/>
  <c r="BG155" i="1"/>
  <c r="BF155" i="1"/>
  <c r="BD155" i="1"/>
  <c r="BC155" i="1"/>
  <c r="BB155" i="1"/>
  <c r="BA155" i="1"/>
  <c r="AZ155" i="1"/>
  <c r="AY155" i="1"/>
  <c r="AX155" i="1"/>
  <c r="AW155" i="1"/>
  <c r="AV155" i="1"/>
  <c r="AU155" i="1"/>
  <c r="AT155" i="1"/>
  <c r="AS155" i="1"/>
  <c r="AR155" i="1"/>
  <c r="AQ155" i="1"/>
  <c r="CI154" i="1"/>
  <c r="CH154" i="1"/>
  <c r="CG154" i="1"/>
  <c r="CF154" i="1"/>
  <c r="CE154" i="1"/>
  <c r="CD154" i="1"/>
  <c r="CC154" i="1"/>
  <c r="CB154" i="1"/>
  <c r="CA154" i="1"/>
  <c r="BZ154" i="1"/>
  <c r="BY154" i="1"/>
  <c r="BX154" i="1"/>
  <c r="BW154" i="1"/>
  <c r="BV154" i="1"/>
  <c r="BU154" i="1"/>
  <c r="BT154" i="1"/>
  <c r="BS154" i="1"/>
  <c r="BR154" i="1"/>
  <c r="BQ154" i="1"/>
  <c r="BP154" i="1"/>
  <c r="BO154" i="1"/>
  <c r="BN154" i="1"/>
  <c r="BM154" i="1"/>
  <c r="BL154" i="1"/>
  <c r="BK154" i="1"/>
  <c r="BI154" i="1"/>
  <c r="BH154" i="1"/>
  <c r="BG154" i="1"/>
  <c r="BF154" i="1"/>
  <c r="BD154" i="1"/>
  <c r="BC154" i="1"/>
  <c r="BB154" i="1"/>
  <c r="BA154" i="1"/>
  <c r="AZ154" i="1"/>
  <c r="AY154" i="1"/>
  <c r="AX154" i="1"/>
  <c r="AW154" i="1"/>
  <c r="AV154" i="1"/>
  <c r="AU154" i="1"/>
  <c r="AT154" i="1"/>
  <c r="AS154" i="1"/>
  <c r="AR154" i="1"/>
  <c r="AQ154" i="1"/>
  <c r="CI153" i="1"/>
  <c r="CH153" i="1"/>
  <c r="CG153" i="1"/>
  <c r="CF153" i="1"/>
  <c r="CE153" i="1"/>
  <c r="CD153" i="1"/>
  <c r="CC153" i="1"/>
  <c r="CB153" i="1"/>
  <c r="CA153" i="1"/>
  <c r="BZ153" i="1"/>
  <c r="BY153" i="1"/>
  <c r="BX153" i="1"/>
  <c r="BW153" i="1"/>
  <c r="BV153" i="1"/>
  <c r="BU153" i="1"/>
  <c r="BT153" i="1"/>
  <c r="BS153" i="1"/>
  <c r="BR153" i="1"/>
  <c r="BQ153" i="1"/>
  <c r="BP153" i="1"/>
  <c r="BO153" i="1"/>
  <c r="BN153" i="1"/>
  <c r="BM153" i="1"/>
  <c r="BL153" i="1"/>
  <c r="BK153" i="1"/>
  <c r="BI153" i="1"/>
  <c r="BH153" i="1"/>
  <c r="BG153" i="1"/>
  <c r="BF153" i="1"/>
  <c r="BD153" i="1"/>
  <c r="BC153" i="1"/>
  <c r="BB153" i="1"/>
  <c r="BA153" i="1"/>
  <c r="AZ153" i="1"/>
  <c r="AY153" i="1"/>
  <c r="AX153" i="1"/>
  <c r="AW153" i="1"/>
  <c r="AV153" i="1"/>
  <c r="AU153" i="1"/>
  <c r="AT153" i="1"/>
  <c r="AS153" i="1"/>
  <c r="AR153" i="1"/>
  <c r="AQ153" i="1"/>
  <c r="CI152" i="1"/>
  <c r="CH152" i="1"/>
  <c r="CG152" i="1"/>
  <c r="CF152" i="1"/>
  <c r="CE152" i="1"/>
  <c r="CD152" i="1"/>
  <c r="CC152" i="1"/>
  <c r="CB152" i="1"/>
  <c r="CA152" i="1"/>
  <c r="BZ152" i="1"/>
  <c r="BY152" i="1"/>
  <c r="BX152" i="1"/>
  <c r="BW152" i="1"/>
  <c r="BV152" i="1"/>
  <c r="BU152" i="1"/>
  <c r="BT152" i="1"/>
  <c r="BS152" i="1"/>
  <c r="BR152" i="1"/>
  <c r="BQ152" i="1"/>
  <c r="BP152" i="1"/>
  <c r="BO152" i="1"/>
  <c r="BN152" i="1"/>
  <c r="BM152" i="1"/>
  <c r="BL152" i="1"/>
  <c r="BK152" i="1"/>
  <c r="BI152" i="1"/>
  <c r="BH152" i="1"/>
  <c r="BG152" i="1"/>
  <c r="BF152" i="1"/>
  <c r="BD152" i="1"/>
  <c r="BC152" i="1"/>
  <c r="BB152" i="1"/>
  <c r="BA152" i="1"/>
  <c r="AZ152" i="1"/>
  <c r="AY152" i="1"/>
  <c r="AX152" i="1"/>
  <c r="AW152" i="1"/>
  <c r="AV152" i="1"/>
  <c r="AU152" i="1"/>
  <c r="AT152" i="1"/>
  <c r="AS152" i="1"/>
  <c r="AR152" i="1"/>
  <c r="AQ152" i="1"/>
  <c r="CI151" i="1"/>
  <c r="CH151" i="1"/>
  <c r="CG151" i="1"/>
  <c r="CF151" i="1"/>
  <c r="CE151" i="1"/>
  <c r="CD151" i="1"/>
  <c r="CC151" i="1"/>
  <c r="CB151" i="1"/>
  <c r="CA151" i="1"/>
  <c r="BZ151" i="1"/>
  <c r="BY151" i="1"/>
  <c r="BX151" i="1"/>
  <c r="BW151" i="1"/>
  <c r="BV151" i="1"/>
  <c r="BU151" i="1"/>
  <c r="BT151" i="1"/>
  <c r="BS151" i="1"/>
  <c r="BR151" i="1"/>
  <c r="BQ151" i="1"/>
  <c r="BP151" i="1"/>
  <c r="BO151" i="1"/>
  <c r="BN151" i="1"/>
  <c r="BM151" i="1"/>
  <c r="BL151" i="1"/>
  <c r="BK151" i="1"/>
  <c r="BI151" i="1"/>
  <c r="BH151" i="1"/>
  <c r="BG151" i="1"/>
  <c r="BF151" i="1"/>
  <c r="BD151" i="1"/>
  <c r="BC151" i="1"/>
  <c r="BB151" i="1"/>
  <c r="BA151" i="1"/>
  <c r="AZ151" i="1"/>
  <c r="AY151" i="1"/>
  <c r="AX151" i="1"/>
  <c r="AW151" i="1"/>
  <c r="AV151" i="1"/>
  <c r="AU151" i="1"/>
  <c r="AT151" i="1"/>
  <c r="AS151" i="1"/>
  <c r="AR151" i="1"/>
  <c r="AQ151" i="1"/>
  <c r="CI150" i="1"/>
  <c r="CH150" i="1"/>
  <c r="CH350" i="1" s="1"/>
  <c r="CH351" i="1" s="1"/>
  <c r="CG150" i="1"/>
  <c r="CF150" i="1"/>
  <c r="CE150" i="1"/>
  <c r="CD150" i="1"/>
  <c r="CC150" i="1"/>
  <c r="CB150" i="1"/>
  <c r="CA150" i="1"/>
  <c r="BZ150" i="1"/>
  <c r="BY150" i="1"/>
  <c r="BX150" i="1"/>
  <c r="BW150" i="1"/>
  <c r="BV150" i="1"/>
  <c r="BU150" i="1"/>
  <c r="BT150" i="1"/>
  <c r="BS150" i="1"/>
  <c r="BR150" i="1"/>
  <c r="BQ150" i="1"/>
  <c r="BP150" i="1"/>
  <c r="BO150" i="1"/>
  <c r="BN150" i="1"/>
  <c r="BM150" i="1"/>
  <c r="BL150" i="1"/>
  <c r="BK150" i="1"/>
  <c r="BI150" i="1"/>
  <c r="BH150" i="1"/>
  <c r="BG150" i="1"/>
  <c r="BF150" i="1"/>
  <c r="BF350" i="1" s="1"/>
  <c r="BF351" i="1" s="1"/>
  <c r="BD150" i="1"/>
  <c r="BC150" i="1"/>
  <c r="BB150" i="1"/>
  <c r="BA150" i="1"/>
  <c r="BA350" i="1" s="1"/>
  <c r="BA351" i="1" s="1"/>
  <c r="AZ150" i="1"/>
  <c r="AY150" i="1"/>
  <c r="AX150" i="1"/>
  <c r="AW150" i="1"/>
  <c r="AV150" i="1"/>
  <c r="AV350" i="1" s="1"/>
  <c r="AV351" i="1" s="1"/>
  <c r="AU150" i="1"/>
  <c r="AT150" i="1"/>
  <c r="AS150" i="1"/>
  <c r="AR150" i="1"/>
  <c r="AQ150" i="1"/>
  <c r="CI147" i="1"/>
  <c r="CH147" i="1"/>
  <c r="CG147" i="1"/>
  <c r="CF147" i="1"/>
  <c r="CE147" i="1"/>
  <c r="CD147" i="1"/>
  <c r="CC147" i="1"/>
  <c r="CB147" i="1"/>
  <c r="CA147" i="1"/>
  <c r="BZ147" i="1"/>
  <c r="BY147" i="1"/>
  <c r="BX147" i="1"/>
  <c r="BW147" i="1"/>
  <c r="BV147" i="1"/>
  <c r="BU147" i="1"/>
  <c r="BT147" i="1"/>
  <c r="BS147" i="1"/>
  <c r="BR147" i="1"/>
  <c r="BQ147" i="1"/>
  <c r="BP147" i="1"/>
  <c r="BO147" i="1"/>
  <c r="BN147" i="1"/>
  <c r="BM147" i="1"/>
  <c r="BL147" i="1"/>
  <c r="BK147" i="1"/>
  <c r="BJ147" i="1"/>
  <c r="BI147" i="1"/>
  <c r="BH147" i="1"/>
  <c r="BG147" i="1"/>
  <c r="BF147" i="1"/>
  <c r="BD147" i="1"/>
  <c r="BC147" i="1"/>
  <c r="BB147" i="1"/>
  <c r="BA147" i="1"/>
  <c r="AZ147" i="1"/>
  <c r="AY147" i="1"/>
  <c r="AX147" i="1"/>
  <c r="AW147" i="1"/>
  <c r="AV147" i="1"/>
  <c r="AU147" i="1"/>
  <c r="AT147" i="1"/>
  <c r="AS147" i="1"/>
  <c r="AR147" i="1"/>
  <c r="AQ147" i="1"/>
  <c r="AP147" i="1"/>
  <c r="AP223" i="1" s="1"/>
  <c r="AO147" i="1"/>
  <c r="AO223" i="1" s="1"/>
  <c r="AN147" i="1"/>
  <c r="AN223" i="1" s="1"/>
  <c r="AM147" i="1"/>
  <c r="AM223" i="1" s="1"/>
  <c r="AL147" i="1"/>
  <c r="AL223" i="1" s="1"/>
  <c r="BE146" i="1"/>
  <c r="BJ155" i="1" s="1"/>
  <c r="CJ145" i="1"/>
  <c r="CJ154" i="1" s="1"/>
  <c r="BE145" i="1"/>
  <c r="BJ154" i="1" s="1"/>
  <c r="BE144" i="1"/>
  <c r="BE163" i="1" s="1"/>
  <c r="BE143" i="1"/>
  <c r="BE162" i="1" s="1"/>
  <c r="BE142" i="1"/>
  <c r="BE161" i="1" s="1"/>
  <c r="BE141" i="1"/>
  <c r="BE150" i="1" s="1"/>
  <c r="CI137" i="1"/>
  <c r="CH137" i="1"/>
  <c r="CG137" i="1"/>
  <c r="CF137" i="1"/>
  <c r="CE137" i="1"/>
  <c r="CD137" i="1"/>
  <c r="CC137" i="1"/>
  <c r="CB137" i="1"/>
  <c r="CA137" i="1"/>
  <c r="BZ137" i="1"/>
  <c r="BY137" i="1"/>
  <c r="BX137" i="1"/>
  <c r="BW137" i="1"/>
  <c r="BV137" i="1"/>
  <c r="BU137" i="1"/>
  <c r="BS137" i="1"/>
  <c r="BR137" i="1"/>
  <c r="BQ137" i="1"/>
  <c r="BP137" i="1"/>
  <c r="BM137" i="1"/>
  <c r="BL137" i="1"/>
  <c r="BK137" i="1"/>
  <c r="BJ137" i="1"/>
  <c r="BH137" i="1"/>
  <c r="BG137" i="1"/>
  <c r="BF137" i="1"/>
  <c r="BE137" i="1"/>
  <c r="BC137" i="1"/>
  <c r="BB137" i="1"/>
  <c r="BA137" i="1"/>
  <c r="AZ137" i="1"/>
  <c r="AX137" i="1"/>
  <c r="AW137" i="1"/>
  <c r="AV137" i="1"/>
  <c r="AU137" i="1"/>
  <c r="AS137" i="1"/>
  <c r="AR137" i="1"/>
  <c r="AQ137" i="1"/>
  <c r="AP137" i="1"/>
  <c r="B137" i="1"/>
  <c r="CI136" i="1"/>
  <c r="CH136" i="1"/>
  <c r="CG136" i="1"/>
  <c r="CF136" i="1"/>
  <c r="CE136" i="1"/>
  <c r="CD136" i="1"/>
  <c r="CC136" i="1"/>
  <c r="CB136" i="1"/>
  <c r="CA136" i="1"/>
  <c r="BZ136" i="1"/>
  <c r="BY136" i="1"/>
  <c r="BX136" i="1"/>
  <c r="BW136" i="1"/>
  <c r="BV136" i="1"/>
  <c r="BU136" i="1"/>
  <c r="BS136" i="1"/>
  <c r="BR136" i="1"/>
  <c r="BQ136" i="1"/>
  <c r="BP136" i="1"/>
  <c r="BM136" i="1"/>
  <c r="BL136" i="1"/>
  <c r="BK136" i="1"/>
  <c r="BJ136" i="1"/>
  <c r="BH136" i="1"/>
  <c r="BG136" i="1"/>
  <c r="BF136" i="1"/>
  <c r="BE136" i="1"/>
  <c r="BC136" i="1"/>
  <c r="BB136" i="1"/>
  <c r="BA136" i="1"/>
  <c r="AZ136" i="1"/>
  <c r="AX136" i="1"/>
  <c r="AW136" i="1"/>
  <c r="AV136" i="1"/>
  <c r="AU136" i="1"/>
  <c r="AS136" i="1"/>
  <c r="AR136" i="1"/>
  <c r="AQ136" i="1"/>
  <c r="AP136" i="1"/>
  <c r="B136" i="1"/>
  <c r="CI135" i="1"/>
  <c r="CH135" i="1"/>
  <c r="CG135" i="1"/>
  <c r="CF135" i="1"/>
  <c r="CE135" i="1"/>
  <c r="CD135" i="1"/>
  <c r="CC135" i="1"/>
  <c r="CB135" i="1"/>
  <c r="CA135" i="1"/>
  <c r="BZ135" i="1"/>
  <c r="BY135" i="1"/>
  <c r="BX135" i="1"/>
  <c r="BW135" i="1"/>
  <c r="BV135" i="1"/>
  <c r="BU135" i="1"/>
  <c r="BS135" i="1"/>
  <c r="BR135" i="1"/>
  <c r="BQ135" i="1"/>
  <c r="BP135" i="1"/>
  <c r="BM135" i="1"/>
  <c r="BL135" i="1"/>
  <c r="BK135" i="1"/>
  <c r="BJ135" i="1"/>
  <c r="BH135" i="1"/>
  <c r="BG135" i="1"/>
  <c r="BF135" i="1"/>
  <c r="BE135" i="1"/>
  <c r="BC135" i="1"/>
  <c r="BB135" i="1"/>
  <c r="BA135" i="1"/>
  <c r="AZ135" i="1"/>
  <c r="AX135" i="1"/>
  <c r="AW135" i="1"/>
  <c r="AV135" i="1"/>
  <c r="AU135" i="1"/>
  <c r="AS135" i="1"/>
  <c r="AR135" i="1"/>
  <c r="AQ135" i="1"/>
  <c r="AP135" i="1"/>
  <c r="B135" i="1"/>
  <c r="CI134" i="1"/>
  <c r="CH134" i="1"/>
  <c r="CG134" i="1"/>
  <c r="CE134" i="1"/>
  <c r="CD134" i="1"/>
  <c r="CC134" i="1"/>
  <c r="CB134" i="1"/>
  <c r="CA134" i="1"/>
  <c r="BY134" i="1"/>
  <c r="BX134" i="1"/>
  <c r="BW134" i="1"/>
  <c r="BV134" i="1"/>
  <c r="BS134" i="1"/>
  <c r="BR134" i="1"/>
  <c r="BQ134" i="1"/>
  <c r="BP134" i="1"/>
  <c r="BM134" i="1"/>
  <c r="BL134" i="1"/>
  <c r="BK134" i="1"/>
  <c r="BJ134" i="1"/>
  <c r="BH134" i="1"/>
  <c r="BG134" i="1"/>
  <c r="BF134" i="1"/>
  <c r="BE134" i="1"/>
  <c r="BC134" i="1"/>
  <c r="BB134" i="1"/>
  <c r="BA134" i="1"/>
  <c r="AZ134" i="1"/>
  <c r="AX134" i="1"/>
  <c r="AW134" i="1"/>
  <c r="AV134" i="1"/>
  <c r="AU134" i="1"/>
  <c r="AS134" i="1"/>
  <c r="AR134" i="1"/>
  <c r="AQ134" i="1"/>
  <c r="AP134" i="1"/>
  <c r="B134" i="1"/>
  <c r="CI130" i="1"/>
  <c r="CD130" i="1"/>
  <c r="BY130" i="1"/>
  <c r="BT130" i="1"/>
  <c r="BJ130" i="1"/>
  <c r="CI129" i="1"/>
  <c r="CD129" i="1"/>
  <c r="BY129" i="1"/>
  <c r="BT129" i="1"/>
  <c r="BJ129" i="1"/>
  <c r="CI128" i="1"/>
  <c r="CD128" i="1"/>
  <c r="BY128" i="1"/>
  <c r="BT128" i="1"/>
  <c r="BJ128" i="1"/>
  <c r="CI127" i="1"/>
  <c r="CD127" i="1"/>
  <c r="BY127" i="1"/>
  <c r="BT127" i="1"/>
  <c r="BJ127" i="1"/>
  <c r="CI124" i="1"/>
  <c r="CD124" i="1"/>
  <c r="CC124" i="1"/>
  <c r="CB124" i="1"/>
  <c r="CA124" i="1"/>
  <c r="BY124" i="1"/>
  <c r="BX124" i="1"/>
  <c r="BW124" i="1"/>
  <c r="BV124" i="1"/>
  <c r="BS124" i="1"/>
  <c r="BR124" i="1"/>
  <c r="BQ124" i="1"/>
  <c r="BP124" i="1"/>
  <c r="CI123" i="1"/>
  <c r="CI159" i="1" s="1"/>
  <c r="CH123" i="1"/>
  <c r="CH159" i="1" s="1"/>
  <c r="CG123" i="1"/>
  <c r="CG159" i="1" s="1"/>
  <c r="CE123" i="1"/>
  <c r="CE159" i="1" s="1"/>
  <c r="CD123" i="1"/>
  <c r="CD159" i="1" s="1"/>
  <c r="CC123" i="1"/>
  <c r="CC159" i="1" s="1"/>
  <c r="CB123" i="1"/>
  <c r="CB159" i="1" s="1"/>
  <c r="CA123" i="1"/>
  <c r="CA159" i="1" s="1"/>
  <c r="BZ123" i="1"/>
  <c r="BZ159" i="1" s="1"/>
  <c r="BY123" i="1"/>
  <c r="BY159" i="1" s="1"/>
  <c r="BX123" i="1"/>
  <c r="BX159" i="1" s="1"/>
  <c r="BW123" i="1"/>
  <c r="BW159" i="1" s="1"/>
  <c r="BV123" i="1"/>
  <c r="BV159" i="1" s="1"/>
  <c r="BT123" i="1"/>
  <c r="BT159" i="1" s="1"/>
  <c r="BS123" i="1"/>
  <c r="BS159" i="1" s="1"/>
  <c r="BR123" i="1"/>
  <c r="BR159" i="1" s="1"/>
  <c r="BQ123" i="1"/>
  <c r="BQ159" i="1" s="1"/>
  <c r="BP123" i="1"/>
  <c r="BP159" i="1" s="1"/>
  <c r="BN123" i="1"/>
  <c r="BN159" i="1" s="1"/>
  <c r="BM123" i="1"/>
  <c r="BM159" i="1" s="1"/>
  <c r="BL123" i="1"/>
  <c r="BL159" i="1" s="1"/>
  <c r="BK123" i="1"/>
  <c r="BK159" i="1" s="1"/>
  <c r="BJ123" i="1"/>
  <c r="BJ159" i="1" s="1"/>
  <c r="BH123" i="1"/>
  <c r="BH159" i="1" s="1"/>
  <c r="BG123" i="1"/>
  <c r="BG159" i="1" s="1"/>
  <c r="BF123" i="1"/>
  <c r="BF159" i="1" s="1"/>
  <c r="BE123" i="1"/>
  <c r="BE159" i="1" s="1"/>
  <c r="BC123" i="1"/>
  <c r="BC159" i="1" s="1"/>
  <c r="BB123" i="1"/>
  <c r="BA123" i="1"/>
  <c r="AZ123" i="1"/>
  <c r="AX123" i="1"/>
  <c r="AW123" i="1"/>
  <c r="AV123" i="1"/>
  <c r="AU123" i="1"/>
  <c r="AU159" i="1" s="1"/>
  <c r="AS123" i="1"/>
  <c r="AS159" i="1" s="1"/>
  <c r="AR123" i="1"/>
  <c r="AR159" i="1" s="1"/>
  <c r="AQ123" i="1"/>
  <c r="AQ159" i="1" s="1"/>
  <c r="AP123" i="1"/>
  <c r="AP159" i="1" s="1"/>
  <c r="AN123" i="1"/>
  <c r="AN159" i="1" s="1"/>
  <c r="AM123" i="1"/>
  <c r="AM159" i="1" s="1"/>
  <c r="AL123" i="1"/>
  <c r="AL159" i="1" s="1"/>
  <c r="CJ122" i="1"/>
  <c r="BO122" i="1"/>
  <c r="BO130" i="1" s="1"/>
  <c r="BI122" i="1"/>
  <c r="BD122" i="1"/>
  <c r="AY122" i="1"/>
  <c r="AT122" i="1"/>
  <c r="AO122" i="1"/>
  <c r="CJ121" i="1"/>
  <c r="BO121" i="1"/>
  <c r="BT136" i="1" s="1"/>
  <c r="BI121" i="1"/>
  <c r="BN136" i="1" s="1"/>
  <c r="BD121" i="1"/>
  <c r="AY121" i="1"/>
  <c r="AT121" i="1"/>
  <c r="AO121" i="1"/>
  <c r="CJ120" i="1"/>
  <c r="BO120" i="1"/>
  <c r="BO135" i="1" s="1"/>
  <c r="BI120" i="1"/>
  <c r="BN135" i="1" s="1"/>
  <c r="BD120" i="1"/>
  <c r="AY120" i="1"/>
  <c r="AT120" i="1"/>
  <c r="AO120" i="1"/>
  <c r="CJ119" i="1"/>
  <c r="CF119" i="1"/>
  <c r="CF134" i="1" s="1"/>
  <c r="BU119" i="1"/>
  <c r="BU134" i="1" s="1"/>
  <c r="BO119" i="1"/>
  <c r="BT134" i="1" s="1"/>
  <c r="BI119" i="1"/>
  <c r="BD119" i="1"/>
  <c r="AY119" i="1"/>
  <c r="AT119" i="1"/>
  <c r="AO119" i="1"/>
  <c r="CN118" i="1"/>
  <c r="CN133" i="1" s="1"/>
  <c r="CN140" i="1" s="1"/>
  <c r="CN149" i="1" s="1"/>
  <c r="CN158" i="1" s="1"/>
  <c r="CM118" i="1"/>
  <c r="CM133" i="1" s="1"/>
  <c r="CM140" i="1" s="1"/>
  <c r="CM149" i="1" s="1"/>
  <c r="CM158" i="1" s="1"/>
  <c r="CL118" i="1"/>
  <c r="CL133" i="1" s="1"/>
  <c r="CL140" i="1" s="1"/>
  <c r="CL149" i="1" s="1"/>
  <c r="CL158" i="1" s="1"/>
  <c r="CK118" i="1"/>
  <c r="CK133" i="1" s="1"/>
  <c r="CK140" i="1" s="1"/>
  <c r="CK149" i="1" s="1"/>
  <c r="CK158" i="1" s="1"/>
  <c r="CK210" i="1" s="1"/>
  <c r="CK218" i="1" s="1"/>
  <c r="CK169" i="1" s="1"/>
  <c r="CK185" i="1" s="1"/>
  <c r="CK192" i="1" s="1"/>
  <c r="CK201" i="1" s="1"/>
  <c r="CK178" i="1" s="1"/>
  <c r="CJ118" i="1"/>
  <c r="CJ133" i="1" s="1"/>
  <c r="CJ140" i="1" s="1"/>
  <c r="CJ149" i="1" s="1"/>
  <c r="CJ158" i="1" s="1"/>
  <c r="CJ210" i="1" s="1"/>
  <c r="CJ218" i="1" s="1"/>
  <c r="CJ169" i="1" s="1"/>
  <c r="CJ185" i="1" s="1"/>
  <c r="CJ192" i="1" s="1"/>
  <c r="CJ201" i="1" s="1"/>
  <c r="CJ178" i="1" s="1"/>
  <c r="CI118" i="1"/>
  <c r="CI133" i="1" s="1"/>
  <c r="CI140" i="1" s="1"/>
  <c r="CI149" i="1" s="1"/>
  <c r="CI158" i="1" s="1"/>
  <c r="CI210" i="1" s="1"/>
  <c r="CI218" i="1" s="1"/>
  <c r="CI169" i="1" s="1"/>
  <c r="CI185" i="1" s="1"/>
  <c r="CI192" i="1" s="1"/>
  <c r="CI201" i="1" s="1"/>
  <c r="CI178" i="1" s="1"/>
  <c r="CH118" i="1"/>
  <c r="CH133" i="1" s="1"/>
  <c r="CH140" i="1" s="1"/>
  <c r="CH149" i="1" s="1"/>
  <c r="CH158" i="1" s="1"/>
  <c r="CH210" i="1" s="1"/>
  <c r="CH218" i="1" s="1"/>
  <c r="CH169" i="1" s="1"/>
  <c r="CH185" i="1" s="1"/>
  <c r="CH192" i="1" s="1"/>
  <c r="CH201" i="1" s="1"/>
  <c r="CH178" i="1" s="1"/>
  <c r="CG118" i="1"/>
  <c r="CG133" i="1" s="1"/>
  <c r="CG140" i="1" s="1"/>
  <c r="CG149" i="1" s="1"/>
  <c r="CG158" i="1" s="1"/>
  <c r="CG210" i="1" s="1"/>
  <c r="CG218" i="1" s="1"/>
  <c r="CG169" i="1" s="1"/>
  <c r="CG185" i="1" s="1"/>
  <c r="CG192" i="1" s="1"/>
  <c r="CG201" i="1" s="1"/>
  <c r="CG178" i="1" s="1"/>
  <c r="CF118" i="1"/>
  <c r="CF133" i="1" s="1"/>
  <c r="CF140" i="1" s="1"/>
  <c r="CF149" i="1" s="1"/>
  <c r="CF158" i="1" s="1"/>
  <c r="CF210" i="1" s="1"/>
  <c r="CF218" i="1" s="1"/>
  <c r="CF169" i="1" s="1"/>
  <c r="CF185" i="1" s="1"/>
  <c r="CF192" i="1" s="1"/>
  <c r="CF201" i="1" s="1"/>
  <c r="CF178" i="1" s="1"/>
  <c r="CE118" i="1"/>
  <c r="CE133" i="1" s="1"/>
  <c r="CE140" i="1" s="1"/>
  <c r="CE149" i="1" s="1"/>
  <c r="CE158" i="1" s="1"/>
  <c r="CE210" i="1" s="1"/>
  <c r="CE218" i="1" s="1"/>
  <c r="CE169" i="1" s="1"/>
  <c r="CE185" i="1" s="1"/>
  <c r="CE192" i="1" s="1"/>
  <c r="CE201" i="1" s="1"/>
  <c r="CE178" i="1" s="1"/>
  <c r="CD118" i="1"/>
  <c r="CD133" i="1" s="1"/>
  <c r="CD140" i="1" s="1"/>
  <c r="CD149" i="1" s="1"/>
  <c r="CD158" i="1" s="1"/>
  <c r="CD210" i="1" s="1"/>
  <c r="CD218" i="1" s="1"/>
  <c r="CD169" i="1" s="1"/>
  <c r="CD185" i="1" s="1"/>
  <c r="CD192" i="1" s="1"/>
  <c r="CD201" i="1" s="1"/>
  <c r="CD178" i="1" s="1"/>
  <c r="CC118" i="1"/>
  <c r="CC133" i="1" s="1"/>
  <c r="CC140" i="1" s="1"/>
  <c r="CC149" i="1" s="1"/>
  <c r="CC158" i="1" s="1"/>
  <c r="CC210" i="1" s="1"/>
  <c r="CC218" i="1" s="1"/>
  <c r="CC169" i="1" s="1"/>
  <c r="CC185" i="1" s="1"/>
  <c r="CC192" i="1" s="1"/>
  <c r="CC201" i="1" s="1"/>
  <c r="CC178" i="1" s="1"/>
  <c r="CB118" i="1"/>
  <c r="CB133" i="1" s="1"/>
  <c r="CB140" i="1" s="1"/>
  <c r="CB149" i="1" s="1"/>
  <c r="CB158" i="1" s="1"/>
  <c r="CB210" i="1" s="1"/>
  <c r="CB218" i="1" s="1"/>
  <c r="CB169" i="1" s="1"/>
  <c r="CB185" i="1" s="1"/>
  <c r="CB192" i="1" s="1"/>
  <c r="CB201" i="1" s="1"/>
  <c r="CB178" i="1" s="1"/>
  <c r="CA118" i="1"/>
  <c r="CA133" i="1" s="1"/>
  <c r="CA140" i="1" s="1"/>
  <c r="CA149" i="1" s="1"/>
  <c r="CA158" i="1" s="1"/>
  <c r="CA210" i="1" s="1"/>
  <c r="CA218" i="1" s="1"/>
  <c r="CA169" i="1" s="1"/>
  <c r="CA185" i="1" s="1"/>
  <c r="CA192" i="1" s="1"/>
  <c r="CA201" i="1" s="1"/>
  <c r="CA178" i="1" s="1"/>
  <c r="BZ118" i="1"/>
  <c r="BZ133" i="1" s="1"/>
  <c r="BZ140" i="1" s="1"/>
  <c r="BZ149" i="1" s="1"/>
  <c r="BZ158" i="1" s="1"/>
  <c r="BZ210" i="1" s="1"/>
  <c r="BZ218" i="1" s="1"/>
  <c r="BZ169" i="1" s="1"/>
  <c r="BZ185" i="1" s="1"/>
  <c r="BZ192" i="1" s="1"/>
  <c r="BZ201" i="1" s="1"/>
  <c r="BZ178" i="1" s="1"/>
  <c r="BY118" i="1"/>
  <c r="BY133" i="1" s="1"/>
  <c r="BY140" i="1" s="1"/>
  <c r="BY149" i="1" s="1"/>
  <c r="BY158" i="1" s="1"/>
  <c r="BY210" i="1" s="1"/>
  <c r="BY218" i="1" s="1"/>
  <c r="BY169" i="1" s="1"/>
  <c r="BY185" i="1" s="1"/>
  <c r="BY192" i="1" s="1"/>
  <c r="BY201" i="1" s="1"/>
  <c r="BY178" i="1" s="1"/>
  <c r="BX118" i="1"/>
  <c r="BX133" i="1" s="1"/>
  <c r="BX140" i="1" s="1"/>
  <c r="BX149" i="1" s="1"/>
  <c r="BX158" i="1" s="1"/>
  <c r="BX210" i="1" s="1"/>
  <c r="BX218" i="1" s="1"/>
  <c r="BX169" i="1" s="1"/>
  <c r="BX185" i="1" s="1"/>
  <c r="BX192" i="1" s="1"/>
  <c r="BX201" i="1" s="1"/>
  <c r="BX178" i="1" s="1"/>
  <c r="BW118" i="1"/>
  <c r="BW133" i="1" s="1"/>
  <c r="BW140" i="1" s="1"/>
  <c r="BW149" i="1" s="1"/>
  <c r="BW158" i="1" s="1"/>
  <c r="BW210" i="1" s="1"/>
  <c r="BW218" i="1" s="1"/>
  <c r="BW169" i="1" s="1"/>
  <c r="BW185" i="1" s="1"/>
  <c r="BW192" i="1" s="1"/>
  <c r="BW201" i="1" s="1"/>
  <c r="BW178" i="1" s="1"/>
  <c r="BV118" i="1"/>
  <c r="BV133" i="1" s="1"/>
  <c r="BV140" i="1" s="1"/>
  <c r="BV149" i="1" s="1"/>
  <c r="BV158" i="1" s="1"/>
  <c r="BV210" i="1" s="1"/>
  <c r="BV218" i="1" s="1"/>
  <c r="BV169" i="1" s="1"/>
  <c r="BV185" i="1" s="1"/>
  <c r="BV192" i="1" s="1"/>
  <c r="BV201" i="1" s="1"/>
  <c r="BV178" i="1" s="1"/>
  <c r="BU118" i="1"/>
  <c r="BU133" i="1" s="1"/>
  <c r="BU140" i="1" s="1"/>
  <c r="BU149" i="1" s="1"/>
  <c r="BU158" i="1" s="1"/>
  <c r="BU210" i="1" s="1"/>
  <c r="BU218" i="1" s="1"/>
  <c r="BU169" i="1" s="1"/>
  <c r="BU185" i="1" s="1"/>
  <c r="BU192" i="1" s="1"/>
  <c r="BU201" i="1" s="1"/>
  <c r="BU178" i="1" s="1"/>
  <c r="BT118" i="1"/>
  <c r="BT133" i="1" s="1"/>
  <c r="BT140" i="1" s="1"/>
  <c r="BT149" i="1" s="1"/>
  <c r="BT158" i="1" s="1"/>
  <c r="BT210" i="1" s="1"/>
  <c r="BT218" i="1" s="1"/>
  <c r="BT169" i="1" s="1"/>
  <c r="BT185" i="1" s="1"/>
  <c r="BT192" i="1" s="1"/>
  <c r="BT201" i="1" s="1"/>
  <c r="BT178" i="1" s="1"/>
  <c r="BS118" i="1"/>
  <c r="BS133" i="1" s="1"/>
  <c r="BS140" i="1" s="1"/>
  <c r="BS149" i="1" s="1"/>
  <c r="BS158" i="1" s="1"/>
  <c r="BS210" i="1" s="1"/>
  <c r="BS218" i="1" s="1"/>
  <c r="BS169" i="1" s="1"/>
  <c r="BS185" i="1" s="1"/>
  <c r="BS192" i="1" s="1"/>
  <c r="BS201" i="1" s="1"/>
  <c r="BS178" i="1" s="1"/>
  <c r="BR118" i="1"/>
  <c r="BR133" i="1" s="1"/>
  <c r="BR140" i="1" s="1"/>
  <c r="BR149" i="1" s="1"/>
  <c r="BR158" i="1" s="1"/>
  <c r="BR210" i="1" s="1"/>
  <c r="BR218" i="1" s="1"/>
  <c r="BR169" i="1" s="1"/>
  <c r="BR185" i="1" s="1"/>
  <c r="BR192" i="1" s="1"/>
  <c r="BR201" i="1" s="1"/>
  <c r="BR178" i="1" s="1"/>
  <c r="BQ118" i="1"/>
  <c r="BQ133" i="1" s="1"/>
  <c r="BQ140" i="1" s="1"/>
  <c r="BQ149" i="1" s="1"/>
  <c r="BQ158" i="1" s="1"/>
  <c r="BQ210" i="1" s="1"/>
  <c r="BQ218" i="1" s="1"/>
  <c r="BQ169" i="1" s="1"/>
  <c r="BQ185" i="1" s="1"/>
  <c r="BQ192" i="1" s="1"/>
  <c r="BQ201" i="1" s="1"/>
  <c r="BQ178" i="1" s="1"/>
  <c r="BP118" i="1"/>
  <c r="BP133" i="1" s="1"/>
  <c r="BP140" i="1" s="1"/>
  <c r="BP149" i="1" s="1"/>
  <c r="BP158" i="1" s="1"/>
  <c r="BP210" i="1" s="1"/>
  <c r="BP218" i="1" s="1"/>
  <c r="BP169" i="1" s="1"/>
  <c r="BP185" i="1" s="1"/>
  <c r="BP192" i="1" s="1"/>
  <c r="BP201" i="1" s="1"/>
  <c r="BP178" i="1" s="1"/>
  <c r="BO118" i="1"/>
  <c r="BO133" i="1" s="1"/>
  <c r="BO140" i="1" s="1"/>
  <c r="BO149" i="1" s="1"/>
  <c r="BO158" i="1" s="1"/>
  <c r="BO210" i="1" s="1"/>
  <c r="BO218" i="1" s="1"/>
  <c r="BO169" i="1" s="1"/>
  <c r="BO185" i="1" s="1"/>
  <c r="BO192" i="1" s="1"/>
  <c r="BO201" i="1" s="1"/>
  <c r="BO178" i="1" s="1"/>
  <c r="BN118" i="1"/>
  <c r="BN133" i="1" s="1"/>
  <c r="BN140" i="1" s="1"/>
  <c r="BN149" i="1" s="1"/>
  <c r="BN158" i="1" s="1"/>
  <c r="BN210" i="1" s="1"/>
  <c r="BN218" i="1" s="1"/>
  <c r="BN169" i="1" s="1"/>
  <c r="BN185" i="1" s="1"/>
  <c r="BN192" i="1" s="1"/>
  <c r="BN201" i="1" s="1"/>
  <c r="BN178" i="1" s="1"/>
  <c r="BM118" i="1"/>
  <c r="BM133" i="1" s="1"/>
  <c r="BM140" i="1" s="1"/>
  <c r="BM149" i="1" s="1"/>
  <c r="BM158" i="1" s="1"/>
  <c r="BM210" i="1" s="1"/>
  <c r="BM218" i="1" s="1"/>
  <c r="BM169" i="1" s="1"/>
  <c r="BM185" i="1" s="1"/>
  <c r="BM192" i="1" s="1"/>
  <c r="BM201" i="1" s="1"/>
  <c r="BM178" i="1" s="1"/>
  <c r="BL118" i="1"/>
  <c r="BL133" i="1" s="1"/>
  <c r="BL140" i="1" s="1"/>
  <c r="BL149" i="1" s="1"/>
  <c r="BL158" i="1" s="1"/>
  <c r="BL210" i="1" s="1"/>
  <c r="BL218" i="1" s="1"/>
  <c r="BL169" i="1" s="1"/>
  <c r="BL185" i="1" s="1"/>
  <c r="BL192" i="1" s="1"/>
  <c r="BL201" i="1" s="1"/>
  <c r="BL178" i="1" s="1"/>
  <c r="BK118" i="1"/>
  <c r="BK133" i="1" s="1"/>
  <c r="BK140" i="1" s="1"/>
  <c r="BK149" i="1" s="1"/>
  <c r="BK158" i="1" s="1"/>
  <c r="BK210" i="1" s="1"/>
  <c r="BK218" i="1" s="1"/>
  <c r="BK169" i="1" s="1"/>
  <c r="BK185" i="1" s="1"/>
  <c r="BK192" i="1" s="1"/>
  <c r="BK201" i="1" s="1"/>
  <c r="BK178" i="1" s="1"/>
  <c r="BJ118" i="1"/>
  <c r="BJ133" i="1" s="1"/>
  <c r="BJ140" i="1" s="1"/>
  <c r="BJ149" i="1" s="1"/>
  <c r="BJ158" i="1" s="1"/>
  <c r="BJ210" i="1" s="1"/>
  <c r="BJ218" i="1" s="1"/>
  <c r="BJ169" i="1" s="1"/>
  <c r="BJ185" i="1" s="1"/>
  <c r="BJ192" i="1" s="1"/>
  <c r="BJ201" i="1" s="1"/>
  <c r="BJ178" i="1" s="1"/>
  <c r="BI118" i="1"/>
  <c r="BI133" i="1" s="1"/>
  <c r="BI140" i="1" s="1"/>
  <c r="BI149" i="1" s="1"/>
  <c r="BI158" i="1" s="1"/>
  <c r="BI210" i="1" s="1"/>
  <c r="BI218" i="1" s="1"/>
  <c r="BI169" i="1" s="1"/>
  <c r="BI185" i="1" s="1"/>
  <c r="BI192" i="1" s="1"/>
  <c r="BI201" i="1" s="1"/>
  <c r="BI178" i="1" s="1"/>
  <c r="BH118" i="1"/>
  <c r="BH133" i="1" s="1"/>
  <c r="BH140" i="1" s="1"/>
  <c r="BH149" i="1" s="1"/>
  <c r="BH158" i="1" s="1"/>
  <c r="BH210" i="1" s="1"/>
  <c r="BH218" i="1" s="1"/>
  <c r="BH169" i="1" s="1"/>
  <c r="BH185" i="1" s="1"/>
  <c r="BH192" i="1" s="1"/>
  <c r="BH201" i="1" s="1"/>
  <c r="BH178" i="1" s="1"/>
  <c r="BG118" i="1"/>
  <c r="BG133" i="1" s="1"/>
  <c r="BG140" i="1" s="1"/>
  <c r="BG149" i="1" s="1"/>
  <c r="BG158" i="1" s="1"/>
  <c r="BG210" i="1" s="1"/>
  <c r="BG218" i="1" s="1"/>
  <c r="BG169" i="1" s="1"/>
  <c r="BG185" i="1" s="1"/>
  <c r="BG192" i="1" s="1"/>
  <c r="BG201" i="1" s="1"/>
  <c r="BG178" i="1" s="1"/>
  <c r="BF118" i="1"/>
  <c r="BF133" i="1" s="1"/>
  <c r="BF140" i="1" s="1"/>
  <c r="BF149" i="1" s="1"/>
  <c r="BF158" i="1" s="1"/>
  <c r="BF210" i="1" s="1"/>
  <c r="BF218" i="1" s="1"/>
  <c r="BF169" i="1" s="1"/>
  <c r="BF185" i="1" s="1"/>
  <c r="BF192" i="1" s="1"/>
  <c r="BF201" i="1" s="1"/>
  <c r="BF178" i="1" s="1"/>
  <c r="BE118" i="1"/>
  <c r="BE133" i="1" s="1"/>
  <c r="BE140" i="1" s="1"/>
  <c r="BE149" i="1" s="1"/>
  <c r="BE158" i="1" s="1"/>
  <c r="BE210" i="1" s="1"/>
  <c r="BE218" i="1" s="1"/>
  <c r="BE169" i="1" s="1"/>
  <c r="BE185" i="1" s="1"/>
  <c r="BE192" i="1" s="1"/>
  <c r="BE201" i="1" s="1"/>
  <c r="BE178" i="1" s="1"/>
  <c r="BD118" i="1"/>
  <c r="BD133" i="1" s="1"/>
  <c r="BD140" i="1" s="1"/>
  <c r="BD149" i="1" s="1"/>
  <c r="BD158" i="1" s="1"/>
  <c r="BD210" i="1" s="1"/>
  <c r="BD218" i="1" s="1"/>
  <c r="BD169" i="1" s="1"/>
  <c r="BD185" i="1" s="1"/>
  <c r="BD192" i="1" s="1"/>
  <c r="BD201" i="1" s="1"/>
  <c r="BD178" i="1" s="1"/>
  <c r="BC118" i="1"/>
  <c r="BC133" i="1" s="1"/>
  <c r="BC140" i="1" s="1"/>
  <c r="BC149" i="1" s="1"/>
  <c r="BC158" i="1" s="1"/>
  <c r="BC210" i="1" s="1"/>
  <c r="BC218" i="1" s="1"/>
  <c r="BC169" i="1" s="1"/>
  <c r="BC185" i="1" s="1"/>
  <c r="BC192" i="1" s="1"/>
  <c r="BC201" i="1" s="1"/>
  <c r="BC178" i="1" s="1"/>
  <c r="BB118" i="1"/>
  <c r="BB133" i="1" s="1"/>
  <c r="BB140" i="1" s="1"/>
  <c r="BB149" i="1" s="1"/>
  <c r="BB158" i="1" s="1"/>
  <c r="BB210" i="1" s="1"/>
  <c r="BB218" i="1" s="1"/>
  <c r="BB169" i="1" s="1"/>
  <c r="BB185" i="1" s="1"/>
  <c r="BB192" i="1" s="1"/>
  <c r="BB201" i="1" s="1"/>
  <c r="BB178" i="1" s="1"/>
  <c r="BA118" i="1"/>
  <c r="BA133" i="1" s="1"/>
  <c r="BA140" i="1" s="1"/>
  <c r="BA149" i="1" s="1"/>
  <c r="BA158" i="1" s="1"/>
  <c r="BA210" i="1" s="1"/>
  <c r="BA218" i="1" s="1"/>
  <c r="BA169" i="1" s="1"/>
  <c r="BA185" i="1" s="1"/>
  <c r="BA192" i="1" s="1"/>
  <c r="BA201" i="1" s="1"/>
  <c r="BA178" i="1" s="1"/>
  <c r="AZ118" i="1"/>
  <c r="AZ133" i="1" s="1"/>
  <c r="AZ140" i="1" s="1"/>
  <c r="AZ149" i="1" s="1"/>
  <c r="AZ158" i="1" s="1"/>
  <c r="AZ210" i="1" s="1"/>
  <c r="AZ218" i="1" s="1"/>
  <c r="AZ169" i="1" s="1"/>
  <c r="AZ185" i="1" s="1"/>
  <c r="AZ192" i="1" s="1"/>
  <c r="AZ201" i="1" s="1"/>
  <c r="AZ178" i="1" s="1"/>
  <c r="AY118" i="1"/>
  <c r="AY133" i="1" s="1"/>
  <c r="AY140" i="1" s="1"/>
  <c r="AY149" i="1" s="1"/>
  <c r="AY158" i="1" s="1"/>
  <c r="AY210" i="1" s="1"/>
  <c r="AY218" i="1" s="1"/>
  <c r="AY169" i="1" s="1"/>
  <c r="AY185" i="1" s="1"/>
  <c r="AY192" i="1" s="1"/>
  <c r="AY201" i="1" s="1"/>
  <c r="AY178" i="1" s="1"/>
  <c r="AX118" i="1"/>
  <c r="AX133" i="1" s="1"/>
  <c r="AX140" i="1" s="1"/>
  <c r="AX149" i="1" s="1"/>
  <c r="AX158" i="1" s="1"/>
  <c r="AX210" i="1" s="1"/>
  <c r="AX218" i="1" s="1"/>
  <c r="AX169" i="1" s="1"/>
  <c r="AX185" i="1" s="1"/>
  <c r="AX192" i="1" s="1"/>
  <c r="AX201" i="1" s="1"/>
  <c r="AX178" i="1" s="1"/>
  <c r="AW118" i="1"/>
  <c r="AW133" i="1" s="1"/>
  <c r="AW140" i="1" s="1"/>
  <c r="AW149" i="1" s="1"/>
  <c r="AW158" i="1" s="1"/>
  <c r="AW210" i="1" s="1"/>
  <c r="AW218" i="1" s="1"/>
  <c r="AW169" i="1" s="1"/>
  <c r="AW185" i="1" s="1"/>
  <c r="AW192" i="1" s="1"/>
  <c r="AW201" i="1" s="1"/>
  <c r="AW178" i="1" s="1"/>
  <c r="AV118" i="1"/>
  <c r="AV133" i="1" s="1"/>
  <c r="AV140" i="1" s="1"/>
  <c r="AV149" i="1" s="1"/>
  <c r="AV158" i="1" s="1"/>
  <c r="AV210" i="1" s="1"/>
  <c r="AV218" i="1" s="1"/>
  <c r="AV169" i="1" s="1"/>
  <c r="AV185" i="1" s="1"/>
  <c r="AV192" i="1" s="1"/>
  <c r="AV201" i="1" s="1"/>
  <c r="AV178" i="1" s="1"/>
  <c r="AU118" i="1"/>
  <c r="AU133" i="1" s="1"/>
  <c r="AU140" i="1" s="1"/>
  <c r="AU149" i="1" s="1"/>
  <c r="AU158" i="1" s="1"/>
  <c r="AU210" i="1" s="1"/>
  <c r="AU218" i="1" s="1"/>
  <c r="AU169" i="1" s="1"/>
  <c r="AU185" i="1" s="1"/>
  <c r="AU192" i="1" s="1"/>
  <c r="AU201" i="1" s="1"/>
  <c r="AU178" i="1" s="1"/>
  <c r="AT118" i="1"/>
  <c r="AT133" i="1" s="1"/>
  <c r="AT140" i="1" s="1"/>
  <c r="AT149" i="1" s="1"/>
  <c r="AT158" i="1" s="1"/>
  <c r="AT210" i="1" s="1"/>
  <c r="AT218" i="1" s="1"/>
  <c r="AT169" i="1" s="1"/>
  <c r="AT185" i="1" s="1"/>
  <c r="AT192" i="1" s="1"/>
  <c r="AT201" i="1" s="1"/>
  <c r="AT178" i="1" s="1"/>
  <c r="AS118" i="1"/>
  <c r="AS133" i="1" s="1"/>
  <c r="AS140" i="1" s="1"/>
  <c r="AS149" i="1" s="1"/>
  <c r="AS158" i="1" s="1"/>
  <c r="AS210" i="1" s="1"/>
  <c r="AS218" i="1" s="1"/>
  <c r="AS169" i="1" s="1"/>
  <c r="AS185" i="1" s="1"/>
  <c r="AS192" i="1" s="1"/>
  <c r="AS201" i="1" s="1"/>
  <c r="AS178" i="1" s="1"/>
  <c r="AR118" i="1"/>
  <c r="AR133" i="1" s="1"/>
  <c r="AR140" i="1" s="1"/>
  <c r="AR149" i="1" s="1"/>
  <c r="AR158" i="1" s="1"/>
  <c r="AR210" i="1" s="1"/>
  <c r="AR218" i="1" s="1"/>
  <c r="AR169" i="1" s="1"/>
  <c r="AR185" i="1" s="1"/>
  <c r="AR192" i="1" s="1"/>
  <c r="AR201" i="1" s="1"/>
  <c r="AR178" i="1" s="1"/>
  <c r="AQ118" i="1"/>
  <c r="AQ133" i="1" s="1"/>
  <c r="AQ140" i="1" s="1"/>
  <c r="AQ149" i="1" s="1"/>
  <c r="AQ158" i="1" s="1"/>
  <c r="AQ210" i="1" s="1"/>
  <c r="AQ218" i="1" s="1"/>
  <c r="AQ169" i="1" s="1"/>
  <c r="AQ185" i="1" s="1"/>
  <c r="AQ192" i="1" s="1"/>
  <c r="AQ201" i="1" s="1"/>
  <c r="AQ178" i="1" s="1"/>
  <c r="AP118" i="1"/>
  <c r="AP133" i="1" s="1"/>
  <c r="AP140" i="1" s="1"/>
  <c r="AP149" i="1" s="1"/>
  <c r="AP158" i="1" s="1"/>
  <c r="AP210" i="1" s="1"/>
  <c r="AP218" i="1" s="1"/>
  <c r="AP169" i="1" s="1"/>
  <c r="AP185" i="1" s="1"/>
  <c r="AP192" i="1" s="1"/>
  <c r="AP201" i="1" s="1"/>
  <c r="AP178" i="1" s="1"/>
  <c r="AO118" i="1"/>
  <c r="AO133" i="1" s="1"/>
  <c r="AO140" i="1" s="1"/>
  <c r="AO149" i="1" s="1"/>
  <c r="AO158" i="1" s="1"/>
  <c r="AO210" i="1" s="1"/>
  <c r="AO218" i="1" s="1"/>
  <c r="AO169" i="1" s="1"/>
  <c r="AO185" i="1" s="1"/>
  <c r="AO192" i="1" s="1"/>
  <c r="AO201" i="1" s="1"/>
  <c r="AO178" i="1" s="1"/>
  <c r="AN118" i="1"/>
  <c r="AN133" i="1" s="1"/>
  <c r="AN140" i="1" s="1"/>
  <c r="AN149" i="1" s="1"/>
  <c r="AN158" i="1" s="1"/>
  <c r="AN210" i="1" s="1"/>
  <c r="AN218" i="1" s="1"/>
  <c r="AN169" i="1" s="1"/>
  <c r="AN185" i="1" s="1"/>
  <c r="AN192" i="1" s="1"/>
  <c r="AN201" i="1" s="1"/>
  <c r="AN178" i="1" s="1"/>
  <c r="AM118" i="1"/>
  <c r="AM133" i="1" s="1"/>
  <c r="AM140" i="1" s="1"/>
  <c r="AM149" i="1" s="1"/>
  <c r="AM158" i="1" s="1"/>
  <c r="AM210" i="1" s="1"/>
  <c r="AM218" i="1" s="1"/>
  <c r="AM169" i="1" s="1"/>
  <c r="AM185" i="1" s="1"/>
  <c r="AM192" i="1" s="1"/>
  <c r="AM201" i="1" s="1"/>
  <c r="AM178" i="1" s="1"/>
  <c r="AL118" i="1"/>
  <c r="AL133" i="1" s="1"/>
  <c r="AL140" i="1" s="1"/>
  <c r="AL149" i="1" s="1"/>
  <c r="AL158" i="1" s="1"/>
  <c r="AL210" i="1" s="1"/>
  <c r="AL218" i="1" s="1"/>
  <c r="AL169" i="1" s="1"/>
  <c r="AL185" i="1" s="1"/>
  <c r="AL192" i="1" s="1"/>
  <c r="AL201" i="1" s="1"/>
  <c r="AL178" i="1" s="1"/>
  <c r="AK118" i="1"/>
  <c r="AK133" i="1" s="1"/>
  <c r="AK140" i="1" s="1"/>
  <c r="AK149" i="1" s="1"/>
  <c r="AK158" i="1" s="1"/>
  <c r="AK210" i="1" s="1"/>
  <c r="AK218" i="1" s="1"/>
  <c r="AK169" i="1" s="1"/>
  <c r="AK185" i="1" s="1"/>
  <c r="AK192" i="1" s="1"/>
  <c r="AK201" i="1" s="1"/>
  <c r="AK178" i="1" s="1"/>
  <c r="AJ118" i="1"/>
  <c r="AJ133" i="1" s="1"/>
  <c r="AJ140" i="1" s="1"/>
  <c r="AJ149" i="1" s="1"/>
  <c r="AJ158" i="1" s="1"/>
  <c r="AJ210" i="1" s="1"/>
  <c r="AJ218" i="1" s="1"/>
  <c r="AJ169" i="1" s="1"/>
  <c r="AJ185" i="1" s="1"/>
  <c r="AJ192" i="1" s="1"/>
  <c r="AJ201" i="1" s="1"/>
  <c r="AJ178" i="1" s="1"/>
  <c r="AI118" i="1"/>
  <c r="AI133" i="1" s="1"/>
  <c r="AI140" i="1" s="1"/>
  <c r="AI149" i="1" s="1"/>
  <c r="AI158" i="1" s="1"/>
  <c r="AI210" i="1" s="1"/>
  <c r="AI218" i="1" s="1"/>
  <c r="AI169" i="1" s="1"/>
  <c r="AI185" i="1" s="1"/>
  <c r="AI192" i="1" s="1"/>
  <c r="AI201" i="1" s="1"/>
  <c r="AI178" i="1" s="1"/>
  <c r="AH118" i="1"/>
  <c r="AH133" i="1" s="1"/>
  <c r="AH140" i="1" s="1"/>
  <c r="AH149" i="1" s="1"/>
  <c r="AH158" i="1" s="1"/>
  <c r="AH210" i="1" s="1"/>
  <c r="AH218" i="1" s="1"/>
  <c r="AH169" i="1" s="1"/>
  <c r="AH185" i="1" s="1"/>
  <c r="AH192" i="1" s="1"/>
  <c r="AH201" i="1" s="1"/>
  <c r="AH178" i="1" s="1"/>
  <c r="AG118" i="1"/>
  <c r="AG133" i="1" s="1"/>
  <c r="AG140" i="1" s="1"/>
  <c r="AG149" i="1" s="1"/>
  <c r="AG158" i="1" s="1"/>
  <c r="AG210" i="1" s="1"/>
  <c r="AG218" i="1" s="1"/>
  <c r="AG169" i="1" s="1"/>
  <c r="AG185" i="1" s="1"/>
  <c r="AG192" i="1" s="1"/>
  <c r="AG201" i="1" s="1"/>
  <c r="AG178" i="1" s="1"/>
  <c r="AF118" i="1"/>
  <c r="AF133" i="1" s="1"/>
  <c r="AF140" i="1" s="1"/>
  <c r="AF149" i="1" s="1"/>
  <c r="AF158" i="1" s="1"/>
  <c r="AF210" i="1" s="1"/>
  <c r="AF218" i="1" s="1"/>
  <c r="AF169" i="1" s="1"/>
  <c r="AF185" i="1" s="1"/>
  <c r="AF192" i="1" s="1"/>
  <c r="AF201" i="1" s="1"/>
  <c r="AF178" i="1" s="1"/>
  <c r="AE118" i="1"/>
  <c r="AE133" i="1" s="1"/>
  <c r="AE140" i="1" s="1"/>
  <c r="AE149" i="1" s="1"/>
  <c r="AE158" i="1" s="1"/>
  <c r="AE210" i="1" s="1"/>
  <c r="AE218" i="1" s="1"/>
  <c r="AE169" i="1" s="1"/>
  <c r="AE185" i="1" s="1"/>
  <c r="AE192" i="1" s="1"/>
  <c r="AE201" i="1" s="1"/>
  <c r="AE178" i="1" s="1"/>
  <c r="AD118" i="1"/>
  <c r="AD133" i="1" s="1"/>
  <c r="AD140" i="1" s="1"/>
  <c r="AD149" i="1" s="1"/>
  <c r="AD158" i="1" s="1"/>
  <c r="AD210" i="1" s="1"/>
  <c r="AD218" i="1" s="1"/>
  <c r="AD169" i="1" s="1"/>
  <c r="AD185" i="1" s="1"/>
  <c r="AD192" i="1" s="1"/>
  <c r="AD201" i="1" s="1"/>
  <c r="AD178" i="1" s="1"/>
  <c r="AC118" i="1"/>
  <c r="AC133" i="1" s="1"/>
  <c r="AC140" i="1" s="1"/>
  <c r="AC149" i="1" s="1"/>
  <c r="AC158" i="1" s="1"/>
  <c r="AC210" i="1" s="1"/>
  <c r="AC218" i="1" s="1"/>
  <c r="AC169" i="1" s="1"/>
  <c r="AC185" i="1" s="1"/>
  <c r="AC192" i="1" s="1"/>
  <c r="AC201" i="1" s="1"/>
  <c r="AC178" i="1" s="1"/>
  <c r="AB118" i="1"/>
  <c r="AB133" i="1" s="1"/>
  <c r="AB140" i="1" s="1"/>
  <c r="AB149" i="1" s="1"/>
  <c r="AB158" i="1" s="1"/>
  <c r="AB210" i="1" s="1"/>
  <c r="AB218" i="1" s="1"/>
  <c r="AB169" i="1" s="1"/>
  <c r="AB185" i="1" s="1"/>
  <c r="AB192" i="1" s="1"/>
  <c r="AB201" i="1" s="1"/>
  <c r="AB178" i="1" s="1"/>
  <c r="AA118" i="1"/>
  <c r="AA133" i="1" s="1"/>
  <c r="AA140" i="1" s="1"/>
  <c r="AA149" i="1" s="1"/>
  <c r="AA158" i="1" s="1"/>
  <c r="AA210" i="1" s="1"/>
  <c r="AA218" i="1" s="1"/>
  <c r="AA169" i="1" s="1"/>
  <c r="AA185" i="1" s="1"/>
  <c r="AA192" i="1" s="1"/>
  <c r="AA201" i="1" s="1"/>
  <c r="AA178" i="1" s="1"/>
  <c r="Z118" i="1"/>
  <c r="Z133" i="1" s="1"/>
  <c r="Z140" i="1" s="1"/>
  <c r="Z149" i="1" s="1"/>
  <c r="Z158" i="1" s="1"/>
  <c r="Z210" i="1" s="1"/>
  <c r="Z218" i="1" s="1"/>
  <c r="Z169" i="1" s="1"/>
  <c r="Z185" i="1" s="1"/>
  <c r="Z192" i="1" s="1"/>
  <c r="Z201" i="1" s="1"/>
  <c r="Z178" i="1" s="1"/>
  <c r="Y118" i="1"/>
  <c r="Y133" i="1" s="1"/>
  <c r="Y140" i="1" s="1"/>
  <c r="Y149" i="1" s="1"/>
  <c r="Y158" i="1" s="1"/>
  <c r="Y210" i="1" s="1"/>
  <c r="Y218" i="1" s="1"/>
  <c r="Y169" i="1" s="1"/>
  <c r="Y185" i="1" s="1"/>
  <c r="Y192" i="1" s="1"/>
  <c r="Y201" i="1" s="1"/>
  <c r="Y178" i="1" s="1"/>
  <c r="X118" i="1"/>
  <c r="X133" i="1" s="1"/>
  <c r="X140" i="1" s="1"/>
  <c r="X149" i="1" s="1"/>
  <c r="X158" i="1" s="1"/>
  <c r="X210" i="1" s="1"/>
  <c r="X218" i="1" s="1"/>
  <c r="X169" i="1" s="1"/>
  <c r="X185" i="1" s="1"/>
  <c r="X192" i="1" s="1"/>
  <c r="X201" i="1" s="1"/>
  <c r="X178" i="1" s="1"/>
  <c r="W118" i="1"/>
  <c r="W133" i="1" s="1"/>
  <c r="W140" i="1" s="1"/>
  <c r="W149" i="1" s="1"/>
  <c r="W158" i="1" s="1"/>
  <c r="W210" i="1" s="1"/>
  <c r="W218" i="1" s="1"/>
  <c r="W169" i="1" s="1"/>
  <c r="W185" i="1" s="1"/>
  <c r="W192" i="1" s="1"/>
  <c r="W201" i="1" s="1"/>
  <c r="W178" i="1" s="1"/>
  <c r="V118" i="1"/>
  <c r="V133" i="1" s="1"/>
  <c r="V140" i="1" s="1"/>
  <c r="V149" i="1" s="1"/>
  <c r="V158" i="1" s="1"/>
  <c r="V210" i="1" s="1"/>
  <c r="V218" i="1" s="1"/>
  <c r="V169" i="1" s="1"/>
  <c r="V185" i="1" s="1"/>
  <c r="V192" i="1" s="1"/>
  <c r="V201" i="1" s="1"/>
  <c r="V178" i="1" s="1"/>
  <c r="U118" i="1"/>
  <c r="U133" i="1" s="1"/>
  <c r="U140" i="1" s="1"/>
  <c r="U149" i="1" s="1"/>
  <c r="U158" i="1" s="1"/>
  <c r="U210" i="1" s="1"/>
  <c r="U218" i="1" s="1"/>
  <c r="U169" i="1" s="1"/>
  <c r="U185" i="1" s="1"/>
  <c r="U192" i="1" s="1"/>
  <c r="U201" i="1" s="1"/>
  <c r="U178" i="1" s="1"/>
  <c r="T118" i="1"/>
  <c r="T133" i="1" s="1"/>
  <c r="T140" i="1" s="1"/>
  <c r="T149" i="1" s="1"/>
  <c r="T158" i="1" s="1"/>
  <c r="T210" i="1" s="1"/>
  <c r="T218" i="1" s="1"/>
  <c r="T169" i="1" s="1"/>
  <c r="T185" i="1" s="1"/>
  <c r="T192" i="1" s="1"/>
  <c r="T201" i="1" s="1"/>
  <c r="T178" i="1" s="1"/>
  <c r="S118" i="1"/>
  <c r="S133" i="1" s="1"/>
  <c r="S140" i="1" s="1"/>
  <c r="S149" i="1" s="1"/>
  <c r="S158" i="1" s="1"/>
  <c r="S210" i="1" s="1"/>
  <c r="S218" i="1" s="1"/>
  <c r="S169" i="1" s="1"/>
  <c r="S185" i="1" s="1"/>
  <c r="S192" i="1" s="1"/>
  <c r="S201" i="1" s="1"/>
  <c r="S178" i="1" s="1"/>
  <c r="R118" i="1"/>
  <c r="R133" i="1" s="1"/>
  <c r="R140" i="1" s="1"/>
  <c r="R149" i="1" s="1"/>
  <c r="R158" i="1" s="1"/>
  <c r="R210" i="1" s="1"/>
  <c r="R218" i="1" s="1"/>
  <c r="R169" i="1" s="1"/>
  <c r="R185" i="1" s="1"/>
  <c r="R192" i="1" s="1"/>
  <c r="R201" i="1" s="1"/>
  <c r="R178" i="1" s="1"/>
  <c r="Q118" i="1"/>
  <c r="Q133" i="1" s="1"/>
  <c r="Q140" i="1" s="1"/>
  <c r="Q149" i="1" s="1"/>
  <c r="Q158" i="1" s="1"/>
  <c r="Q210" i="1" s="1"/>
  <c r="Q218" i="1" s="1"/>
  <c r="Q169" i="1" s="1"/>
  <c r="Q185" i="1" s="1"/>
  <c r="Q192" i="1" s="1"/>
  <c r="Q201" i="1" s="1"/>
  <c r="Q178" i="1" s="1"/>
  <c r="P118" i="1"/>
  <c r="P133" i="1" s="1"/>
  <c r="P140" i="1" s="1"/>
  <c r="P149" i="1" s="1"/>
  <c r="P158" i="1" s="1"/>
  <c r="P210" i="1" s="1"/>
  <c r="P218" i="1" s="1"/>
  <c r="P169" i="1" s="1"/>
  <c r="P185" i="1" s="1"/>
  <c r="P192" i="1" s="1"/>
  <c r="P201" i="1" s="1"/>
  <c r="P178" i="1" s="1"/>
  <c r="O118" i="1"/>
  <c r="O133" i="1" s="1"/>
  <c r="O140" i="1" s="1"/>
  <c r="O149" i="1" s="1"/>
  <c r="O158" i="1" s="1"/>
  <c r="O210" i="1" s="1"/>
  <c r="O218" i="1" s="1"/>
  <c r="O169" i="1" s="1"/>
  <c r="O185" i="1" s="1"/>
  <c r="O192" i="1" s="1"/>
  <c r="O201" i="1" s="1"/>
  <c r="O178" i="1" s="1"/>
  <c r="N118" i="1"/>
  <c r="N133" i="1" s="1"/>
  <c r="N140" i="1" s="1"/>
  <c r="N149" i="1" s="1"/>
  <c r="N158" i="1" s="1"/>
  <c r="N210" i="1" s="1"/>
  <c r="N218" i="1" s="1"/>
  <c r="N169" i="1" s="1"/>
  <c r="N185" i="1" s="1"/>
  <c r="N192" i="1" s="1"/>
  <c r="N201" i="1" s="1"/>
  <c r="N178" i="1" s="1"/>
  <c r="M118" i="1"/>
  <c r="M133" i="1" s="1"/>
  <c r="M140" i="1" s="1"/>
  <c r="M149" i="1" s="1"/>
  <c r="M158" i="1" s="1"/>
  <c r="M210" i="1" s="1"/>
  <c r="M218" i="1" s="1"/>
  <c r="M169" i="1" s="1"/>
  <c r="M185" i="1" s="1"/>
  <c r="M192" i="1" s="1"/>
  <c r="M201" i="1" s="1"/>
  <c r="M178" i="1" s="1"/>
  <c r="L118" i="1"/>
  <c r="L133" i="1" s="1"/>
  <c r="L140" i="1" s="1"/>
  <c r="L149" i="1" s="1"/>
  <c r="L158" i="1" s="1"/>
  <c r="L210" i="1" s="1"/>
  <c r="L218" i="1" s="1"/>
  <c r="L169" i="1" s="1"/>
  <c r="L185" i="1" s="1"/>
  <c r="L192" i="1" s="1"/>
  <c r="L201" i="1" s="1"/>
  <c r="L178" i="1" s="1"/>
  <c r="K118" i="1"/>
  <c r="K133" i="1" s="1"/>
  <c r="K140" i="1" s="1"/>
  <c r="K149" i="1" s="1"/>
  <c r="K158" i="1" s="1"/>
  <c r="K210" i="1" s="1"/>
  <c r="K218" i="1" s="1"/>
  <c r="K169" i="1" s="1"/>
  <c r="K185" i="1" s="1"/>
  <c r="K192" i="1" s="1"/>
  <c r="K201" i="1" s="1"/>
  <c r="K178" i="1" s="1"/>
  <c r="J118" i="1"/>
  <c r="J133" i="1" s="1"/>
  <c r="J140" i="1" s="1"/>
  <c r="J149" i="1" s="1"/>
  <c r="J158" i="1" s="1"/>
  <c r="J210" i="1" s="1"/>
  <c r="J218" i="1" s="1"/>
  <c r="J169" i="1" s="1"/>
  <c r="J185" i="1" s="1"/>
  <c r="J192" i="1" s="1"/>
  <c r="J201" i="1" s="1"/>
  <c r="J178" i="1" s="1"/>
  <c r="I118" i="1"/>
  <c r="I133" i="1" s="1"/>
  <c r="I140" i="1" s="1"/>
  <c r="I149" i="1" s="1"/>
  <c r="I158" i="1" s="1"/>
  <c r="I210" i="1" s="1"/>
  <c r="I218" i="1" s="1"/>
  <c r="I169" i="1" s="1"/>
  <c r="I185" i="1" s="1"/>
  <c r="I192" i="1" s="1"/>
  <c r="I201" i="1" s="1"/>
  <c r="I178" i="1" s="1"/>
  <c r="H118" i="1"/>
  <c r="H133" i="1" s="1"/>
  <c r="H140" i="1" s="1"/>
  <c r="H149" i="1" s="1"/>
  <c r="H158" i="1" s="1"/>
  <c r="H210" i="1" s="1"/>
  <c r="H218" i="1" s="1"/>
  <c r="H169" i="1" s="1"/>
  <c r="H185" i="1" s="1"/>
  <c r="H192" i="1" s="1"/>
  <c r="H201" i="1" s="1"/>
  <c r="H178" i="1" s="1"/>
  <c r="G118" i="1"/>
  <c r="G133" i="1" s="1"/>
  <c r="G140" i="1" s="1"/>
  <c r="G149" i="1" s="1"/>
  <c r="G158" i="1" s="1"/>
  <c r="G210" i="1" s="1"/>
  <c r="G218" i="1" s="1"/>
  <c r="G169" i="1" s="1"/>
  <c r="G185" i="1" s="1"/>
  <c r="G192" i="1" s="1"/>
  <c r="G201" i="1" s="1"/>
  <c r="F118" i="1"/>
  <c r="F133" i="1" s="1"/>
  <c r="F140" i="1" s="1"/>
  <c r="F149" i="1" s="1"/>
  <c r="F158" i="1" s="1"/>
  <c r="F210" i="1" s="1"/>
  <c r="F218" i="1" s="1"/>
  <c r="F169" i="1" s="1"/>
  <c r="F185" i="1" s="1"/>
  <c r="F192" i="1" s="1"/>
  <c r="F201" i="1" s="1"/>
  <c r="E118" i="1"/>
  <c r="E133" i="1" s="1"/>
  <c r="E140" i="1" s="1"/>
  <c r="E149" i="1" s="1"/>
  <c r="E158" i="1" s="1"/>
  <c r="E210" i="1" s="1"/>
  <c r="E218" i="1" s="1"/>
  <c r="E169" i="1" s="1"/>
  <c r="E185" i="1" s="1"/>
  <c r="E192" i="1" s="1"/>
  <c r="E201" i="1" s="1"/>
  <c r="D118" i="1"/>
  <c r="D133" i="1" s="1"/>
  <c r="D140" i="1" s="1"/>
  <c r="D149" i="1" s="1"/>
  <c r="D158" i="1" s="1"/>
  <c r="D210" i="1" s="1"/>
  <c r="D218" i="1" s="1"/>
  <c r="D169" i="1" s="1"/>
  <c r="D185" i="1" s="1"/>
  <c r="D192" i="1" s="1"/>
  <c r="D201" i="1" s="1"/>
  <c r="CI114" i="1"/>
  <c r="CD114" i="1"/>
  <c r="BY114" i="1"/>
  <c r="BT114" i="1"/>
  <c r="BO114" i="1"/>
  <c r="BJ114" i="1"/>
  <c r="BJ115" i="1" s="1"/>
  <c r="CJ109" i="1"/>
  <c r="CJ114" i="1" s="1"/>
  <c r="G108" i="1"/>
  <c r="F108" i="1"/>
  <c r="E108" i="1"/>
  <c r="D108" i="1"/>
  <c r="CI106" i="1"/>
  <c r="CJ106" i="1" s="1"/>
  <c r="CK106" i="1" s="1"/>
  <c r="BA106" i="1"/>
  <c r="AL106" i="1"/>
  <c r="AJ106" i="1"/>
  <c r="AI106" i="1"/>
  <c r="AH106" i="1"/>
  <c r="AF106" i="1"/>
  <c r="AE106" i="1"/>
  <c r="AD106" i="1"/>
  <c r="AC106" i="1"/>
  <c r="BO104" i="1"/>
  <c r="CS103" i="1"/>
  <c r="Q100" i="1"/>
  <c r="P100" i="1"/>
  <c r="O100" i="1"/>
  <c r="N100" i="1"/>
  <c r="CN99" i="1"/>
  <c r="CN108" i="1" s="1"/>
  <c r="CM99" i="1"/>
  <c r="CM108" i="1" s="1"/>
  <c r="CL99" i="1"/>
  <c r="CL108" i="1" s="1"/>
  <c r="CK99" i="1"/>
  <c r="CK108" i="1" s="1"/>
  <c r="CJ99" i="1"/>
  <c r="CJ108" i="1" s="1"/>
  <c r="CI99" i="1"/>
  <c r="CI108" i="1" s="1"/>
  <c r="CH99" i="1"/>
  <c r="CH108" i="1" s="1"/>
  <c r="CG99" i="1"/>
  <c r="CG108" i="1" s="1"/>
  <c r="CF99" i="1"/>
  <c r="CF108" i="1" s="1"/>
  <c r="CE99" i="1"/>
  <c r="CE108" i="1" s="1"/>
  <c r="CD99" i="1"/>
  <c r="CD108" i="1" s="1"/>
  <c r="CC99" i="1"/>
  <c r="CC108" i="1" s="1"/>
  <c r="CB99" i="1"/>
  <c r="CB108" i="1" s="1"/>
  <c r="CA99" i="1"/>
  <c r="CA108" i="1" s="1"/>
  <c r="BZ99" i="1"/>
  <c r="BZ108" i="1" s="1"/>
  <c r="BY99" i="1"/>
  <c r="BY108" i="1" s="1"/>
  <c r="BX99" i="1"/>
  <c r="BX108" i="1" s="1"/>
  <c r="BW99" i="1"/>
  <c r="BW108" i="1" s="1"/>
  <c r="BV99" i="1"/>
  <c r="BV108" i="1" s="1"/>
  <c r="BU99" i="1"/>
  <c r="BU108" i="1" s="1"/>
  <c r="BT99" i="1"/>
  <c r="BT108" i="1" s="1"/>
  <c r="BS99" i="1"/>
  <c r="BS108" i="1" s="1"/>
  <c r="BR99" i="1"/>
  <c r="BR108" i="1" s="1"/>
  <c r="BQ99" i="1"/>
  <c r="BQ108" i="1" s="1"/>
  <c r="BP99" i="1"/>
  <c r="BP108" i="1" s="1"/>
  <c r="BO99" i="1"/>
  <c r="BO108" i="1" s="1"/>
  <c r="BN99" i="1"/>
  <c r="BN108" i="1" s="1"/>
  <c r="BM99" i="1"/>
  <c r="BM108" i="1" s="1"/>
  <c r="BL99" i="1"/>
  <c r="BL108" i="1" s="1"/>
  <c r="BK99" i="1"/>
  <c r="BK108" i="1" s="1"/>
  <c r="BJ99" i="1"/>
  <c r="BJ108" i="1" s="1"/>
  <c r="BI99" i="1"/>
  <c r="BI108" i="1" s="1"/>
  <c r="BH99" i="1"/>
  <c r="BH108" i="1" s="1"/>
  <c r="BG99" i="1"/>
  <c r="BG108" i="1" s="1"/>
  <c r="BF99" i="1"/>
  <c r="BF108" i="1" s="1"/>
  <c r="BE99" i="1"/>
  <c r="BE108" i="1" s="1"/>
  <c r="BD99" i="1"/>
  <c r="BD108" i="1" s="1"/>
  <c r="BC99" i="1"/>
  <c r="BC108" i="1" s="1"/>
  <c r="BB99" i="1"/>
  <c r="BB108" i="1" s="1"/>
  <c r="BA99" i="1"/>
  <c r="BA108" i="1" s="1"/>
  <c r="AZ99" i="1"/>
  <c r="AZ108" i="1" s="1"/>
  <c r="AY99" i="1"/>
  <c r="AY108" i="1" s="1"/>
  <c r="AX99" i="1"/>
  <c r="AX108" i="1" s="1"/>
  <c r="AW99" i="1"/>
  <c r="AW108" i="1" s="1"/>
  <c r="AV99" i="1"/>
  <c r="AV108" i="1" s="1"/>
  <c r="AU99" i="1"/>
  <c r="AU108" i="1" s="1"/>
  <c r="AT99" i="1"/>
  <c r="AT108" i="1" s="1"/>
  <c r="AS99" i="1"/>
  <c r="AS108" i="1" s="1"/>
  <c r="AR99" i="1"/>
  <c r="AR108" i="1" s="1"/>
  <c r="AQ99" i="1"/>
  <c r="AQ108" i="1" s="1"/>
  <c r="AP99" i="1"/>
  <c r="AP108" i="1" s="1"/>
  <c r="AO99" i="1"/>
  <c r="AO108" i="1" s="1"/>
  <c r="AN99" i="1"/>
  <c r="AN108" i="1" s="1"/>
  <c r="AM99" i="1"/>
  <c r="AM108" i="1" s="1"/>
  <c r="AL99" i="1"/>
  <c r="AL108" i="1" s="1"/>
  <c r="AK99" i="1"/>
  <c r="AK108" i="1" s="1"/>
  <c r="AJ99" i="1"/>
  <c r="AJ108" i="1" s="1"/>
  <c r="AI99" i="1"/>
  <c r="AI108" i="1" s="1"/>
  <c r="AH99" i="1"/>
  <c r="AH108" i="1" s="1"/>
  <c r="AG99" i="1"/>
  <c r="AG108" i="1" s="1"/>
  <c r="AF99" i="1"/>
  <c r="AF108" i="1" s="1"/>
  <c r="AE99" i="1"/>
  <c r="AE108" i="1" s="1"/>
  <c r="AD99" i="1"/>
  <c r="AD108" i="1" s="1"/>
  <c r="AC99" i="1"/>
  <c r="AC108" i="1" s="1"/>
  <c r="AB99" i="1"/>
  <c r="AB108" i="1" s="1"/>
  <c r="AA99" i="1"/>
  <c r="AA108" i="1" s="1"/>
  <c r="Z99" i="1"/>
  <c r="Z108" i="1" s="1"/>
  <c r="Y99" i="1"/>
  <c r="Y108" i="1" s="1"/>
  <c r="X99" i="1"/>
  <c r="X108" i="1" s="1"/>
  <c r="W99" i="1"/>
  <c r="W108" i="1" s="1"/>
  <c r="V99" i="1"/>
  <c r="V108" i="1" s="1"/>
  <c r="U99" i="1"/>
  <c r="U108" i="1" s="1"/>
  <c r="T99" i="1"/>
  <c r="T108" i="1" s="1"/>
  <c r="S99" i="1"/>
  <c r="S108" i="1" s="1"/>
  <c r="R99" i="1"/>
  <c r="R108" i="1" s="1"/>
  <c r="Q99" i="1"/>
  <c r="Q108" i="1" s="1"/>
  <c r="P99" i="1"/>
  <c r="P108" i="1" s="1"/>
  <c r="O99" i="1"/>
  <c r="O108" i="1" s="1"/>
  <c r="N99" i="1"/>
  <c r="N108" i="1" s="1"/>
  <c r="M99" i="1"/>
  <c r="M108" i="1" s="1"/>
  <c r="L99" i="1"/>
  <c r="L108" i="1" s="1"/>
  <c r="K99" i="1"/>
  <c r="K108" i="1" s="1"/>
  <c r="J99" i="1"/>
  <c r="J108" i="1" s="1"/>
  <c r="I99" i="1"/>
  <c r="I108" i="1" s="1"/>
  <c r="H99" i="1"/>
  <c r="H108" i="1" s="1"/>
  <c r="G99" i="1"/>
  <c r="F99" i="1"/>
  <c r="E99" i="1"/>
  <c r="D99" i="1"/>
  <c r="CI78" i="1"/>
  <c r="CC78" i="1"/>
  <c r="CB78" i="1"/>
  <c r="CA78" i="1"/>
  <c r="BZ78" i="1"/>
  <c r="BU78" i="1"/>
  <c r="BS78" i="1"/>
  <c r="BP78" i="1"/>
  <c r="BO78" i="1"/>
  <c r="BK78" i="1"/>
  <c r="BI78" i="1"/>
  <c r="BG78" i="1"/>
  <c r="CI77" i="1"/>
  <c r="CC77" i="1"/>
  <c r="CB77" i="1"/>
  <c r="CA77" i="1"/>
  <c r="BZ77" i="1"/>
  <c r="BU77" i="1"/>
  <c r="BS77" i="1"/>
  <c r="BP77" i="1"/>
  <c r="BO77" i="1"/>
  <c r="BK77" i="1"/>
  <c r="BI77" i="1"/>
  <c r="BG77" i="1"/>
  <c r="CI72" i="1"/>
  <c r="CD72" i="1"/>
  <c r="CW69" i="1"/>
  <c r="CV69" i="1"/>
  <c r="CU69" i="1"/>
  <c r="CT69" i="1"/>
  <c r="DE68" i="1"/>
  <c r="DD68" i="1"/>
  <c r="DC68" i="1"/>
  <c r="DB68" i="1"/>
  <c r="DA68" i="1"/>
  <c r="CZ68" i="1"/>
  <c r="CY68" i="1"/>
  <c r="CX68" i="1"/>
  <c r="CW68" i="1"/>
  <c r="CV68" i="1"/>
  <c r="CU68" i="1"/>
  <c r="CT68" i="1"/>
  <c r="CI68" i="1"/>
  <c r="CJ68" i="1" s="1"/>
  <c r="CU67" i="1"/>
  <c r="CT67" i="1"/>
  <c r="BO66" i="1"/>
  <c r="BE66" i="1"/>
  <c r="DF65" i="1"/>
  <c r="DE65" i="1"/>
  <c r="DD65" i="1"/>
  <c r="DC65" i="1"/>
  <c r="DB65" i="1"/>
  <c r="DA65" i="1"/>
  <c r="CZ65" i="1"/>
  <c r="CY65" i="1"/>
  <c r="CX65" i="1"/>
  <c r="CW65" i="1"/>
  <c r="CV65" i="1"/>
  <c r="CU65" i="1"/>
  <c r="CT65" i="1"/>
  <c r="BD65" i="1"/>
  <c r="BC65" i="1"/>
  <c r="BB65" i="1"/>
  <c r="BA65" i="1"/>
  <c r="BV63" i="1"/>
  <c r="BW63" i="1" s="1"/>
  <c r="BX63" i="1" s="1"/>
  <c r="BR63" i="1"/>
  <c r="BL63" i="1"/>
  <c r="BM63" i="1" s="1"/>
  <c r="BN63" i="1" s="1"/>
  <c r="BD63" i="1"/>
  <c r="BC63" i="1"/>
  <c r="BB63" i="1"/>
  <c r="BA63" i="1"/>
  <c r="AJ63" i="1"/>
  <c r="AK63" i="1" s="1"/>
  <c r="AP63" i="1" s="1"/>
  <c r="AG63" i="1"/>
  <c r="CU63" i="1" s="1"/>
  <c r="AB63" i="1"/>
  <c r="CT63" i="1" s="1"/>
  <c r="W63" i="1"/>
  <c r="R63" i="1"/>
  <c r="M63" i="1"/>
  <c r="CI60" i="1"/>
  <c r="DF60" i="1" s="1"/>
  <c r="BO60" i="1"/>
  <c r="DB60" i="1" s="1"/>
  <c r="H60" i="1"/>
  <c r="DH58" i="1"/>
  <c r="DG58" i="1"/>
  <c r="DB54" i="1"/>
  <c r="DH53" i="1"/>
  <c r="DG53" i="1"/>
  <c r="DF53" i="1"/>
  <c r="DE53" i="1"/>
  <c r="DD53" i="1"/>
  <c r="DC53" i="1"/>
  <c r="DB53" i="1"/>
  <c r="DA53" i="1"/>
  <c r="CY53" i="1"/>
  <c r="CW53" i="1"/>
  <c r="CV53" i="1"/>
  <c r="CU53" i="1"/>
  <c r="CT53" i="1"/>
  <c r="BQ53" i="1"/>
  <c r="BE53" i="1"/>
  <c r="AU53" i="1"/>
  <c r="CX53" i="1" s="1"/>
  <c r="DF52" i="1"/>
  <c r="DE52" i="1"/>
  <c r="DD52" i="1"/>
  <c r="DC52" i="1"/>
  <c r="DB52" i="1"/>
  <c r="DA52" i="1"/>
  <c r="CZ52" i="1"/>
  <c r="CY52" i="1"/>
  <c r="CX52" i="1"/>
  <c r="CW52" i="1"/>
  <c r="CV52" i="1"/>
  <c r="CU52" i="1"/>
  <c r="CT52" i="1"/>
  <c r="DF51" i="1"/>
  <c r="DB51" i="1"/>
  <c r="CZ51" i="1"/>
  <c r="CJ51" i="1"/>
  <c r="DG51" i="1" s="1"/>
  <c r="BV51" i="1"/>
  <c r="BW51" i="1" s="1"/>
  <c r="BT51" i="1"/>
  <c r="BT66" i="1" s="1"/>
  <c r="BR51" i="1"/>
  <c r="BL51" i="1"/>
  <c r="BJ51" i="1"/>
  <c r="BJ60" i="1" s="1"/>
  <c r="DA60" i="1" s="1"/>
  <c r="BH51" i="1"/>
  <c r="BF51" i="1"/>
  <c r="BD51" i="1"/>
  <c r="BD60" i="1" s="1"/>
  <c r="BC51" i="1"/>
  <c r="BC60" i="1" s="1"/>
  <c r="BB51" i="1"/>
  <c r="BA51" i="1"/>
  <c r="BA60" i="1" s="1"/>
  <c r="AJ51" i="1"/>
  <c r="AK51" i="1" s="1"/>
  <c r="AG51" i="1"/>
  <c r="AG66" i="1" s="1"/>
  <c r="AB51" i="1"/>
  <c r="AB60" i="1" s="1"/>
  <c r="CT60" i="1" s="1"/>
  <c r="W51" i="1"/>
  <c r="R51" i="1"/>
  <c r="R60" i="1" s="1"/>
  <c r="M51" i="1"/>
  <c r="DH48" i="1"/>
  <c r="DG48" i="1"/>
  <c r="DE48" i="1"/>
  <c r="DD48" i="1"/>
  <c r="DC48" i="1"/>
  <c r="DB48" i="1"/>
  <c r="DA48" i="1"/>
  <c r="CZ48" i="1"/>
  <c r="CX48" i="1"/>
  <c r="CW48" i="1"/>
  <c r="CH48" i="1"/>
  <c r="CI48" i="1" s="1"/>
  <c r="DF48" i="1" s="1"/>
  <c r="BB48" i="1"/>
  <c r="AZ48" i="1"/>
  <c r="CY48" i="1" s="1"/>
  <c r="AV48" i="1"/>
  <c r="AK48" i="1"/>
  <c r="CV48" i="1" s="1"/>
  <c r="AG48" i="1"/>
  <c r="CU48" i="1" s="1"/>
  <c r="AB48" i="1"/>
  <c r="CT48" i="1" s="1"/>
  <c r="W48" i="1"/>
  <c r="R48" i="1"/>
  <c r="M48" i="1"/>
  <c r="DH46" i="1"/>
  <c r="DG46" i="1"/>
  <c r="DF46" i="1"/>
  <c r="DE46" i="1"/>
  <c r="DD46" i="1"/>
  <c r="DC46" i="1"/>
  <c r="DB46" i="1"/>
  <c r="DA46" i="1"/>
  <c r="CZ46" i="1"/>
  <c r="CY46" i="1"/>
  <c r="CX46" i="1"/>
  <c r="CW46" i="1"/>
  <c r="AK46" i="1"/>
  <c r="CV46" i="1" s="1"/>
  <c r="AG46" i="1"/>
  <c r="CU46" i="1" s="1"/>
  <c r="AB46" i="1"/>
  <c r="CT46" i="1" s="1"/>
  <c r="W46" i="1"/>
  <c r="R46" i="1"/>
  <c r="M46" i="1"/>
  <c r="DH45" i="1"/>
  <c r="DG45" i="1"/>
  <c r="DF45" i="1"/>
  <c r="DE45" i="1"/>
  <c r="DD45" i="1"/>
  <c r="DC45" i="1"/>
  <c r="DB45" i="1"/>
  <c r="DA45" i="1"/>
  <c r="CZ45" i="1"/>
  <c r="CY45" i="1"/>
  <c r="CX45" i="1"/>
  <c r="CW45" i="1"/>
  <c r="CV45" i="1"/>
  <c r="CU45" i="1"/>
  <c r="CT45" i="1"/>
  <c r="DH43" i="1"/>
  <c r="DG43" i="1"/>
  <c r="DF43" i="1"/>
  <c r="DE43" i="1"/>
  <c r="DD43" i="1"/>
  <c r="DC43" i="1"/>
  <c r="DB43" i="1"/>
  <c r="DA43" i="1"/>
  <c r="CZ43" i="1"/>
  <c r="CY43" i="1"/>
  <c r="CX43" i="1"/>
  <c r="CW43" i="1"/>
  <c r="CS43" i="1"/>
  <c r="AK43" i="1"/>
  <c r="CV43" i="1" s="1"/>
  <c r="AG43" i="1"/>
  <c r="CU43" i="1" s="1"/>
  <c r="AB43" i="1"/>
  <c r="CT43" i="1" s="1"/>
  <c r="W43" i="1"/>
  <c r="R43" i="1"/>
  <c r="M43" i="1"/>
  <c r="DH42" i="1"/>
  <c r="DG42" i="1"/>
  <c r="DF42" i="1"/>
  <c r="DE42" i="1"/>
  <c r="DD42" i="1"/>
  <c r="DC42" i="1"/>
  <c r="DB42" i="1"/>
  <c r="DA42" i="1"/>
  <c r="CZ42" i="1"/>
  <c r="CY42" i="1"/>
  <c r="CX42" i="1"/>
  <c r="CW42" i="1"/>
  <c r="AK42" i="1"/>
  <c r="CV42" i="1" s="1"/>
  <c r="AG42" i="1"/>
  <c r="CU42" i="1" s="1"/>
  <c r="AB42" i="1"/>
  <c r="CT42" i="1" s="1"/>
  <c r="W42" i="1"/>
  <c r="R42" i="1"/>
  <c r="M42" i="1"/>
  <c r="DF41" i="1"/>
  <c r="DE41" i="1"/>
  <c r="DD41" i="1"/>
  <c r="DC41" i="1"/>
  <c r="DB41" i="1"/>
  <c r="DA41" i="1"/>
  <c r="CX41" i="1"/>
  <c r="CW41" i="1"/>
  <c r="BE41" i="1"/>
  <c r="BD41" i="1"/>
  <c r="BB41" i="1"/>
  <c r="AZ41" i="1"/>
  <c r="CY41" i="1" s="1"/>
  <c r="AW41" i="1"/>
  <c r="AK41" i="1"/>
  <c r="AG41" i="1"/>
  <c r="CU41" i="1" s="1"/>
  <c r="AB41" i="1"/>
  <c r="W41" i="1"/>
  <c r="R41" i="1"/>
  <c r="M41" i="1"/>
  <c r="DF38" i="1"/>
  <c r="DE38" i="1"/>
  <c r="DD38" i="1"/>
  <c r="DC38" i="1"/>
  <c r="DB38" i="1"/>
  <c r="DA38" i="1"/>
  <c r="CZ38" i="1"/>
  <c r="CY38" i="1"/>
  <c r="CX38" i="1"/>
  <c r="CW38" i="1"/>
  <c r="AK38" i="1"/>
  <c r="CV38" i="1" s="1"/>
  <c r="AG38" i="1"/>
  <c r="CU38" i="1" s="1"/>
  <c r="AB38" i="1"/>
  <c r="CT38" i="1" s="1"/>
  <c r="W38" i="1"/>
  <c r="R38" i="1"/>
  <c r="M38" i="1"/>
  <c r="DH36" i="1"/>
  <c r="DG36" i="1"/>
  <c r="DF36" i="1"/>
  <c r="DE36" i="1"/>
  <c r="DD36" i="1"/>
  <c r="DC36" i="1"/>
  <c r="DB36" i="1"/>
  <c r="DA36" i="1"/>
  <c r="CZ36" i="1"/>
  <c r="CY36" i="1"/>
  <c r="CX36" i="1"/>
  <c r="CW36" i="1"/>
  <c r="AK36" i="1"/>
  <c r="CV36" i="1" s="1"/>
  <c r="AG36" i="1"/>
  <c r="CU36" i="1" s="1"/>
  <c r="AB36" i="1"/>
  <c r="CT36" i="1" s="1"/>
  <c r="W36" i="1"/>
  <c r="R36" i="1"/>
  <c r="M36" i="1"/>
  <c r="DF35" i="1"/>
  <c r="DE35" i="1"/>
  <c r="DD35" i="1"/>
  <c r="DC35" i="1"/>
  <c r="DB35" i="1"/>
  <c r="DA35" i="1"/>
  <c r="CZ35" i="1"/>
  <c r="CY35" i="1"/>
  <c r="CX35" i="1"/>
  <c r="CW35" i="1"/>
  <c r="BB35" i="1"/>
  <c r="AK35" i="1"/>
  <c r="CV35" i="1" s="1"/>
  <c r="AG35" i="1"/>
  <c r="CU35" i="1" s="1"/>
  <c r="AB35" i="1"/>
  <c r="CT35" i="1" s="1"/>
  <c r="W35" i="1"/>
  <c r="R35" i="1"/>
  <c r="M35" i="1"/>
  <c r="DH34" i="1"/>
  <c r="DG34" i="1"/>
  <c r="DF34" i="1"/>
  <c r="DE34" i="1"/>
  <c r="DD34" i="1"/>
  <c r="DC34" i="1"/>
  <c r="DB34" i="1"/>
  <c r="DA34" i="1"/>
  <c r="CZ34" i="1"/>
  <c r="CY34" i="1"/>
  <c r="CX34" i="1"/>
  <c r="CW34" i="1"/>
  <c r="CV34" i="1"/>
  <c r="CU34" i="1"/>
  <c r="CT34" i="1"/>
  <c r="HG28" i="1"/>
  <c r="DH27" i="1"/>
  <c r="DG27" i="1"/>
  <c r="DH26" i="1"/>
  <c r="DG26" i="1"/>
  <c r="CI26" i="1"/>
  <c r="DF26" i="1" s="1"/>
  <c r="CF26" i="1"/>
  <c r="CF27" i="1" s="1"/>
  <c r="CE26" i="1"/>
  <c r="CE27" i="1" s="1"/>
  <c r="AP26" i="1"/>
  <c r="CW26" i="1" s="1"/>
  <c r="AO26" i="1"/>
  <c r="AO27" i="1" s="1"/>
  <c r="AN26" i="1"/>
  <c r="AL26" i="1"/>
  <c r="AJ26" i="1"/>
  <c r="AJ27" i="1" s="1"/>
  <c r="AI26" i="1"/>
  <c r="AI27" i="1" s="1"/>
  <c r="AH26" i="1"/>
  <c r="AH27" i="1" s="1"/>
  <c r="AF26" i="1"/>
  <c r="AF27" i="1" s="1"/>
  <c r="AE26" i="1"/>
  <c r="AE27" i="1" s="1"/>
  <c r="AD26" i="1"/>
  <c r="AD27" i="1" s="1"/>
  <c r="AC26" i="1"/>
  <c r="AC27" i="1" s="1"/>
  <c r="AA26" i="1"/>
  <c r="AA27" i="1" s="1"/>
  <c r="Z26" i="1"/>
  <c r="Z27" i="1" s="1"/>
  <c r="Y26" i="1"/>
  <c r="Y27" i="1" s="1"/>
  <c r="X26" i="1"/>
  <c r="X27" i="1" s="1"/>
  <c r="V26" i="1"/>
  <c r="V27" i="1" s="1"/>
  <c r="U26" i="1"/>
  <c r="U27" i="1" s="1"/>
  <c r="T26" i="1"/>
  <c r="T27" i="1" s="1"/>
  <c r="S26" i="1"/>
  <c r="S27" i="1" s="1"/>
  <c r="Q26" i="1"/>
  <c r="Q27" i="1" s="1"/>
  <c r="P26" i="1"/>
  <c r="P27" i="1" s="1"/>
  <c r="O26" i="1"/>
  <c r="O27" i="1" s="1"/>
  <c r="N26" i="1"/>
  <c r="N27" i="1" s="1"/>
  <c r="L26" i="1"/>
  <c r="L27" i="1" s="1"/>
  <c r="K26" i="1"/>
  <c r="K27" i="1" s="1"/>
  <c r="J26" i="1"/>
  <c r="J27" i="1" s="1"/>
  <c r="I26" i="1"/>
  <c r="I27" i="1" s="1"/>
  <c r="H26" i="1"/>
  <c r="G26" i="1"/>
  <c r="F26" i="1"/>
  <c r="E26" i="1"/>
  <c r="D26" i="1"/>
  <c r="CI23" i="1"/>
  <c r="CH23" i="1"/>
  <c r="CG23" i="1"/>
  <c r="CF23" i="1"/>
  <c r="CE23" i="1"/>
  <c r="CD23" i="1"/>
  <c r="CB23" i="1"/>
  <c r="CA23" i="1"/>
  <c r="BZ23" i="1"/>
  <c r="BY23" i="1"/>
  <c r="BX23" i="1"/>
  <c r="BW23" i="1"/>
  <c r="BV23" i="1"/>
  <c r="BU23" i="1"/>
  <c r="BT23" i="1"/>
  <c r="BS23" i="1"/>
  <c r="BR23" i="1"/>
  <c r="BQ23" i="1"/>
  <c r="BP23" i="1"/>
  <c r="BO23" i="1"/>
  <c r="BN23" i="1"/>
  <c r="BM23" i="1"/>
  <c r="BL23" i="1"/>
  <c r="BK23" i="1"/>
  <c r="BJ23" i="1"/>
  <c r="BI23" i="1"/>
  <c r="BH23" i="1"/>
  <c r="BG23" i="1"/>
  <c r="BF23" i="1"/>
  <c r="BE23" i="1"/>
  <c r="BD23" i="1"/>
  <c r="BC23" i="1"/>
  <c r="BB23" i="1"/>
  <c r="BA23" i="1"/>
  <c r="AZ23" i="1"/>
  <c r="AY23" i="1"/>
  <c r="AV23" i="1"/>
  <c r="AU23" i="1"/>
  <c r="AT23" i="1"/>
  <c r="AS23" i="1"/>
  <c r="AR23" i="1"/>
  <c r="AQ23" i="1"/>
  <c r="AP23" i="1"/>
  <c r="AO23" i="1"/>
  <c r="AN23" i="1"/>
  <c r="AM23" i="1"/>
  <c r="AL23" i="1"/>
  <c r="AJ23" i="1"/>
  <c r="AI23" i="1"/>
  <c r="AH23" i="1"/>
  <c r="AF23" i="1"/>
  <c r="AE23" i="1"/>
  <c r="AD23" i="1"/>
  <c r="AC23" i="1"/>
  <c r="AA23" i="1"/>
  <c r="Z23" i="1"/>
  <c r="Y23" i="1"/>
  <c r="X23" i="1"/>
  <c r="V23" i="1"/>
  <c r="U23" i="1"/>
  <c r="T23" i="1"/>
  <c r="S23" i="1"/>
  <c r="Q23" i="1"/>
  <c r="P23" i="1"/>
  <c r="O23" i="1"/>
  <c r="N23" i="1"/>
  <c r="DH22" i="1"/>
  <c r="DG22" i="1"/>
  <c r="CX22" i="1"/>
  <c r="CW22" i="1"/>
  <c r="CI22" i="1"/>
  <c r="DF22" i="1" s="1"/>
  <c r="CH22" i="1"/>
  <c r="CG22" i="1"/>
  <c r="CF22" i="1"/>
  <c r="CE22" i="1"/>
  <c r="AO22" i="1"/>
  <c r="AJ22" i="1"/>
  <c r="AI22" i="1"/>
  <c r="AH22" i="1"/>
  <c r="AF22" i="1"/>
  <c r="AE22" i="1"/>
  <c r="AD22" i="1"/>
  <c r="AC22" i="1"/>
  <c r="AA22" i="1"/>
  <c r="Z22" i="1"/>
  <c r="Y22" i="1"/>
  <c r="X22" i="1"/>
  <c r="V22" i="1"/>
  <c r="U22" i="1"/>
  <c r="T22" i="1"/>
  <c r="S22" i="1"/>
  <c r="Q22" i="1"/>
  <c r="P22" i="1"/>
  <c r="O22" i="1"/>
  <c r="N22" i="1"/>
  <c r="L22" i="1"/>
  <c r="K22" i="1"/>
  <c r="J22" i="1"/>
  <c r="I22" i="1"/>
  <c r="DH21" i="1"/>
  <c r="DG21" i="1"/>
  <c r="DF21" i="1"/>
  <c r="CW21" i="1"/>
  <c r="CD21" i="1"/>
  <c r="CC21" i="1"/>
  <c r="CC104" i="1" s="1"/>
  <c r="CB21" i="1"/>
  <c r="CA21" i="1"/>
  <c r="BZ21" i="1"/>
  <c r="BY21" i="1"/>
  <c r="BY104" i="1" s="1"/>
  <c r="BX21" i="1"/>
  <c r="BW21" i="1"/>
  <c r="BV21" i="1"/>
  <c r="BU21" i="1"/>
  <c r="BT21" i="1"/>
  <c r="BS21" i="1"/>
  <c r="BR21" i="1"/>
  <c r="BQ21" i="1"/>
  <c r="BP21" i="1"/>
  <c r="BO21" i="1"/>
  <c r="BO26" i="1" s="1"/>
  <c r="BN21" i="1"/>
  <c r="BM21" i="1"/>
  <c r="BL21" i="1"/>
  <c r="BK21" i="1"/>
  <c r="BJ21" i="1"/>
  <c r="BI21" i="1"/>
  <c r="BH21" i="1"/>
  <c r="BG21" i="1"/>
  <c r="BF21" i="1"/>
  <c r="BF104" i="1" s="1"/>
  <c r="BE21" i="1"/>
  <c r="BD21" i="1"/>
  <c r="BC21" i="1"/>
  <c r="BB21" i="1"/>
  <c r="BA21" i="1"/>
  <c r="BA104" i="1" s="1"/>
  <c r="AZ21" i="1"/>
  <c r="AY21" i="1"/>
  <c r="AX21" i="1"/>
  <c r="AW21" i="1"/>
  <c r="AV21" i="1"/>
  <c r="AU21" i="1"/>
  <c r="AT21" i="1"/>
  <c r="AS21" i="1"/>
  <c r="AR21" i="1"/>
  <c r="AQ21" i="1"/>
  <c r="AM21" i="1"/>
  <c r="AK21" i="1"/>
  <c r="AG21" i="1"/>
  <c r="CU21" i="1" s="1"/>
  <c r="AB21" i="1"/>
  <c r="CT21" i="1" s="1"/>
  <c r="W21" i="1"/>
  <c r="R21" i="1"/>
  <c r="M21" i="1"/>
  <c r="DH20" i="1"/>
  <c r="DG20" i="1"/>
  <c r="CX20" i="1"/>
  <c r="CW20" i="1"/>
  <c r="CI20" i="1"/>
  <c r="DF20" i="1" s="1"/>
  <c r="CF20" i="1"/>
  <c r="CE20" i="1"/>
  <c r="CD20" i="1"/>
  <c r="DE20" i="1" s="1"/>
  <c r="CC20" i="1"/>
  <c r="CB20" i="1"/>
  <c r="CA20" i="1"/>
  <c r="BZ20" i="1"/>
  <c r="BY20" i="1"/>
  <c r="DD20" i="1" s="1"/>
  <c r="BX20" i="1"/>
  <c r="BW20" i="1"/>
  <c r="BV20" i="1"/>
  <c r="BU20" i="1"/>
  <c r="BT20" i="1"/>
  <c r="DC20" i="1" s="1"/>
  <c r="BS20" i="1"/>
  <c r="BR20" i="1"/>
  <c r="BQ20" i="1"/>
  <c r="BP20" i="1"/>
  <c r="BO20" i="1"/>
  <c r="DB20" i="1" s="1"/>
  <c r="BN20" i="1"/>
  <c r="BM20" i="1"/>
  <c r="BL20" i="1"/>
  <c r="BK20" i="1"/>
  <c r="BJ20" i="1"/>
  <c r="DA20" i="1" s="1"/>
  <c r="BI20" i="1"/>
  <c r="BH20" i="1"/>
  <c r="BG20" i="1"/>
  <c r="BF20" i="1"/>
  <c r="BE20" i="1"/>
  <c r="CZ20" i="1" s="1"/>
  <c r="BD20" i="1"/>
  <c r="BC20" i="1"/>
  <c r="BA20" i="1"/>
  <c r="AO20" i="1"/>
  <c r="AJ20" i="1"/>
  <c r="AI20" i="1"/>
  <c r="AH20" i="1"/>
  <c r="AF20" i="1"/>
  <c r="AE20" i="1"/>
  <c r="AD20" i="1"/>
  <c r="AC20" i="1"/>
  <c r="AA20" i="1"/>
  <c r="Z20" i="1"/>
  <c r="Y20" i="1"/>
  <c r="X20" i="1"/>
  <c r="V20" i="1"/>
  <c r="U20" i="1"/>
  <c r="T20" i="1"/>
  <c r="S20" i="1"/>
  <c r="Q20" i="1"/>
  <c r="P20" i="1"/>
  <c r="O20" i="1"/>
  <c r="N20" i="1"/>
  <c r="L20" i="1"/>
  <c r="K20" i="1"/>
  <c r="J20" i="1"/>
  <c r="I20" i="1"/>
  <c r="DH19" i="1"/>
  <c r="DG19" i="1"/>
  <c r="DF19" i="1"/>
  <c r="DE19" i="1"/>
  <c r="DD19" i="1"/>
  <c r="DC19" i="1"/>
  <c r="DB19" i="1"/>
  <c r="DA19" i="1"/>
  <c r="CZ19" i="1"/>
  <c r="CY19" i="1"/>
  <c r="CX19" i="1"/>
  <c r="CW19" i="1"/>
  <c r="CH19" i="1"/>
  <c r="CH104" i="1" s="1"/>
  <c r="CG19" i="1"/>
  <c r="AK19" i="1"/>
  <c r="CV19" i="1" s="1"/>
  <c r="AG19" i="1"/>
  <c r="AB19" i="1"/>
  <c r="CT19" i="1" s="1"/>
  <c r="W19" i="1"/>
  <c r="R19" i="1"/>
  <c r="M19" i="1"/>
  <c r="DH18" i="1"/>
  <c r="DG18" i="1"/>
  <c r="CX18" i="1"/>
  <c r="CI18" i="1"/>
  <c r="DF18" i="1" s="1"/>
  <c r="CH18" i="1"/>
  <c r="CG18" i="1"/>
  <c r="CF18" i="1"/>
  <c r="CE18" i="1"/>
  <c r="CD18" i="1"/>
  <c r="DE18" i="1" s="1"/>
  <c r="CC18" i="1"/>
  <c r="CB18" i="1"/>
  <c r="CA18" i="1"/>
  <c r="BZ18" i="1"/>
  <c r="BY18" i="1"/>
  <c r="DD18" i="1" s="1"/>
  <c r="BX18" i="1"/>
  <c r="BW18" i="1"/>
  <c r="BV18" i="1"/>
  <c r="BU18" i="1"/>
  <c r="BT18" i="1"/>
  <c r="DC18" i="1" s="1"/>
  <c r="BS18" i="1"/>
  <c r="BR18" i="1"/>
  <c r="BQ18" i="1"/>
  <c r="BP18" i="1"/>
  <c r="BO18" i="1"/>
  <c r="DB18" i="1" s="1"/>
  <c r="BN18" i="1"/>
  <c r="BM18" i="1"/>
  <c r="BL18" i="1"/>
  <c r="BK18" i="1"/>
  <c r="BJ18" i="1"/>
  <c r="DA18" i="1" s="1"/>
  <c r="BI18" i="1"/>
  <c r="BH18" i="1"/>
  <c r="BG18" i="1"/>
  <c r="BF18" i="1"/>
  <c r="BE18" i="1"/>
  <c r="CZ18" i="1" s="1"/>
  <c r="BD18" i="1"/>
  <c r="BC18" i="1"/>
  <c r="BA18" i="1"/>
  <c r="AP18" i="1"/>
  <c r="CW18" i="1" s="1"/>
  <c r="AO18" i="1"/>
  <c r="AH18" i="1"/>
  <c r="AF18" i="1"/>
  <c r="AE18" i="1"/>
  <c r="AD18" i="1"/>
  <c r="AC18" i="1"/>
  <c r="AA18" i="1"/>
  <c r="Z18" i="1"/>
  <c r="Y18" i="1"/>
  <c r="X18" i="1"/>
  <c r="V18" i="1"/>
  <c r="U18" i="1"/>
  <c r="T18" i="1"/>
  <c r="S18" i="1"/>
  <c r="Q18" i="1"/>
  <c r="P18" i="1"/>
  <c r="O18" i="1"/>
  <c r="N18" i="1"/>
  <c r="L18" i="1"/>
  <c r="K18" i="1"/>
  <c r="J18" i="1"/>
  <c r="I18" i="1"/>
  <c r="DH17" i="1"/>
  <c r="DG17" i="1"/>
  <c r="DF17" i="1"/>
  <c r="DE17" i="1"/>
  <c r="DD17" i="1"/>
  <c r="DC17" i="1"/>
  <c r="DB17" i="1"/>
  <c r="DA17" i="1"/>
  <c r="CZ17" i="1"/>
  <c r="CY17" i="1"/>
  <c r="CX17" i="1"/>
  <c r="CW17" i="1"/>
  <c r="AK17" i="1"/>
  <c r="AG17" i="1"/>
  <c r="CU17" i="1" s="1"/>
  <c r="AB17" i="1"/>
  <c r="W17" i="1"/>
  <c r="R17" i="1"/>
  <c r="M17" i="1"/>
  <c r="DH16" i="1"/>
  <c r="DG16" i="1"/>
  <c r="CX16" i="1"/>
  <c r="CI16" i="1"/>
  <c r="DF16" i="1" s="1"/>
  <c r="CH16" i="1"/>
  <c r="CG16" i="1"/>
  <c r="CF16" i="1"/>
  <c r="CE16" i="1"/>
  <c r="CD16" i="1"/>
  <c r="DE16" i="1" s="1"/>
  <c r="CC16" i="1"/>
  <c r="CB16" i="1"/>
  <c r="CA16" i="1"/>
  <c r="BZ16" i="1"/>
  <c r="BY16" i="1"/>
  <c r="DD16" i="1" s="1"/>
  <c r="BX16" i="1"/>
  <c r="BW16" i="1"/>
  <c r="BV16" i="1"/>
  <c r="BU16" i="1"/>
  <c r="BT16" i="1"/>
  <c r="DC16" i="1" s="1"/>
  <c r="BS16" i="1"/>
  <c r="BR16" i="1"/>
  <c r="BQ16" i="1"/>
  <c r="BP16" i="1"/>
  <c r="BO16" i="1"/>
  <c r="DB16" i="1" s="1"/>
  <c r="BN16" i="1"/>
  <c r="BM16" i="1"/>
  <c r="BL16" i="1"/>
  <c r="BK16" i="1"/>
  <c r="BJ16" i="1"/>
  <c r="DA16" i="1" s="1"/>
  <c r="BI16" i="1"/>
  <c r="BH16" i="1"/>
  <c r="BG16" i="1"/>
  <c r="BF16" i="1"/>
  <c r="BE16" i="1"/>
  <c r="CZ16" i="1" s="1"/>
  <c r="BD16" i="1"/>
  <c r="BC16" i="1"/>
  <c r="BA16" i="1"/>
  <c r="AP16" i="1"/>
  <c r="CW16" i="1" s="1"/>
  <c r="AO16" i="1"/>
  <c r="AH16" i="1"/>
  <c r="AF16" i="1"/>
  <c r="AE16" i="1"/>
  <c r="AD16" i="1"/>
  <c r="AC16" i="1"/>
  <c r="AA16" i="1"/>
  <c r="Z16" i="1"/>
  <c r="Y16" i="1"/>
  <c r="X16" i="1"/>
  <c r="V16" i="1"/>
  <c r="U16" i="1"/>
  <c r="T16" i="1"/>
  <c r="S16" i="1"/>
  <c r="Q16" i="1"/>
  <c r="P16" i="1"/>
  <c r="O16" i="1"/>
  <c r="N16" i="1"/>
  <c r="L16" i="1"/>
  <c r="K16" i="1"/>
  <c r="J16" i="1"/>
  <c r="I16" i="1"/>
  <c r="DH15" i="1"/>
  <c r="DG15" i="1"/>
  <c r="DF15" i="1"/>
  <c r="DE15" i="1"/>
  <c r="DD15" i="1"/>
  <c r="DC15" i="1"/>
  <c r="DB15" i="1"/>
  <c r="DA15" i="1"/>
  <c r="CZ15" i="1"/>
  <c r="CY15" i="1"/>
  <c r="CX15" i="1"/>
  <c r="CW15" i="1"/>
  <c r="AK15" i="1"/>
  <c r="CV15" i="1" s="1"/>
  <c r="AG15" i="1"/>
  <c r="AB15" i="1"/>
  <c r="W15" i="1"/>
  <c r="R15" i="1"/>
  <c r="M15" i="1"/>
  <c r="DH14" i="1"/>
  <c r="DG14" i="1"/>
  <c r="CX14" i="1"/>
  <c r="CW14" i="1"/>
  <c r="CI14" i="1"/>
  <c r="DF14" i="1" s="1"/>
  <c r="CH14" i="1"/>
  <c r="CG14" i="1"/>
  <c r="CF14" i="1"/>
  <c r="CE14" i="1"/>
  <c r="CD14" i="1"/>
  <c r="DE14" i="1" s="1"/>
  <c r="CB14" i="1"/>
  <c r="CA14" i="1"/>
  <c r="BZ14" i="1"/>
  <c r="BY14" i="1"/>
  <c r="DD14" i="1" s="1"/>
  <c r="BX14" i="1"/>
  <c r="BW14" i="1"/>
  <c r="BV14" i="1"/>
  <c r="BU14" i="1"/>
  <c r="BT14" i="1"/>
  <c r="DC14" i="1" s="1"/>
  <c r="BS14" i="1"/>
  <c r="BR14" i="1"/>
  <c r="BQ14" i="1"/>
  <c r="BP14" i="1"/>
  <c r="BO14" i="1"/>
  <c r="DB14" i="1" s="1"/>
  <c r="BN14" i="1"/>
  <c r="BM14" i="1"/>
  <c r="BL14" i="1"/>
  <c r="BK14" i="1"/>
  <c r="BJ14" i="1"/>
  <c r="DA14" i="1" s="1"/>
  <c r="BI14" i="1"/>
  <c r="BH14" i="1"/>
  <c r="BG14" i="1"/>
  <c r="BF14" i="1"/>
  <c r="BE14" i="1"/>
  <c r="CZ14" i="1" s="1"/>
  <c r="BD14" i="1"/>
  <c r="BC14" i="1"/>
  <c r="BA14" i="1"/>
  <c r="AO14" i="1"/>
  <c r="AJ14" i="1"/>
  <c r="AI14" i="1"/>
  <c r="AH14" i="1"/>
  <c r="AF14" i="1"/>
  <c r="AE14" i="1"/>
  <c r="AD14" i="1"/>
  <c r="AC14" i="1"/>
  <c r="AA14" i="1"/>
  <c r="Z14" i="1"/>
  <c r="Y14" i="1"/>
  <c r="X14" i="1"/>
  <c r="V14" i="1"/>
  <c r="U14" i="1"/>
  <c r="T14" i="1"/>
  <c r="S14" i="1"/>
  <c r="Q14" i="1"/>
  <c r="P14" i="1"/>
  <c r="O14" i="1"/>
  <c r="N14" i="1"/>
  <c r="L14" i="1"/>
  <c r="K14" i="1"/>
  <c r="J14" i="1"/>
  <c r="I14" i="1"/>
  <c r="DH13" i="1"/>
  <c r="DG13" i="1"/>
  <c r="DF13" i="1"/>
  <c r="DE13" i="1"/>
  <c r="DD13" i="1"/>
  <c r="DC13" i="1"/>
  <c r="DB13" i="1"/>
  <c r="DA13" i="1"/>
  <c r="CZ13" i="1"/>
  <c r="CY13" i="1"/>
  <c r="CX13" i="1"/>
  <c r="CW13" i="1"/>
  <c r="CC13" i="1"/>
  <c r="CC14" i="1" s="1"/>
  <c r="AX13" i="1"/>
  <c r="AX23" i="1" s="1"/>
  <c r="AW13" i="1"/>
  <c r="AK13" i="1"/>
  <c r="CV13" i="1" s="1"/>
  <c r="AG13" i="1"/>
  <c r="CU13" i="1" s="1"/>
  <c r="AB13" i="1"/>
  <c r="W13" i="1"/>
  <c r="R13" i="1"/>
  <c r="M13" i="1"/>
  <c r="DH12" i="1"/>
  <c r="DG12" i="1"/>
  <c r="DF12" i="1"/>
  <c r="DE12" i="1"/>
  <c r="DD12" i="1"/>
  <c r="DC12" i="1"/>
  <c r="DB12" i="1"/>
  <c r="DA12" i="1"/>
  <c r="CZ12" i="1"/>
  <c r="CY12" i="1"/>
  <c r="CX12" i="1"/>
  <c r="CW12" i="1"/>
  <c r="CV12" i="1"/>
  <c r="CU12" i="1"/>
  <c r="CT12" i="1"/>
  <c r="DH11" i="1"/>
  <c r="DG11" i="1"/>
  <c r="DF11" i="1"/>
  <c r="DE11" i="1"/>
  <c r="DD11" i="1"/>
  <c r="DC11" i="1"/>
  <c r="DB11" i="1"/>
  <c r="DA11" i="1"/>
  <c r="CZ11" i="1"/>
  <c r="CY11" i="1"/>
  <c r="CX11" i="1"/>
  <c r="CW11" i="1"/>
  <c r="CV11" i="1"/>
  <c r="CU11" i="1"/>
  <c r="CT11" i="1"/>
  <c r="AP10" i="1"/>
  <c r="CI9" i="1"/>
  <c r="CI100" i="1" s="1"/>
  <c r="CH9" i="1"/>
  <c r="CH100" i="1" s="1"/>
  <c r="CG9" i="1"/>
  <c r="CG100" i="1" s="1"/>
  <c r="CF9" i="1"/>
  <c r="CF100" i="1" s="1"/>
  <c r="CE9" i="1"/>
  <c r="CE100" i="1" s="1"/>
  <c r="CD9" i="1"/>
  <c r="CD100" i="1" s="1"/>
  <c r="CC9" i="1"/>
  <c r="CB9" i="1"/>
  <c r="CB100" i="1" s="1"/>
  <c r="CA9" i="1"/>
  <c r="CA100" i="1" s="1"/>
  <c r="BZ9" i="1"/>
  <c r="BZ100" i="1" s="1"/>
  <c r="BY9" i="1"/>
  <c r="BY100" i="1" s="1"/>
  <c r="BX9" i="1"/>
  <c r="BX100" i="1" s="1"/>
  <c r="BW9" i="1"/>
  <c r="BW100" i="1" s="1"/>
  <c r="BV9" i="1"/>
  <c r="BV100" i="1" s="1"/>
  <c r="BU9" i="1"/>
  <c r="BU100" i="1" s="1"/>
  <c r="BT9" i="1"/>
  <c r="BT100" i="1" s="1"/>
  <c r="BS9" i="1"/>
  <c r="BS100" i="1" s="1"/>
  <c r="BR9" i="1"/>
  <c r="BR100" i="1" s="1"/>
  <c r="BQ9" i="1"/>
  <c r="BQ100" i="1" s="1"/>
  <c r="BP9" i="1"/>
  <c r="BP100" i="1" s="1"/>
  <c r="BO9" i="1"/>
  <c r="BO100" i="1" s="1"/>
  <c r="BN9" i="1"/>
  <c r="BN100" i="1" s="1"/>
  <c r="BM9" i="1"/>
  <c r="BM100" i="1" s="1"/>
  <c r="BL9" i="1"/>
  <c r="BL100" i="1" s="1"/>
  <c r="BK9" i="1"/>
  <c r="BK100" i="1" s="1"/>
  <c r="BJ9" i="1"/>
  <c r="BJ100" i="1" s="1"/>
  <c r="BI9" i="1"/>
  <c r="BI100" i="1" s="1"/>
  <c r="BH9" i="1"/>
  <c r="BH100" i="1" s="1"/>
  <c r="BG9" i="1"/>
  <c r="BG100" i="1" s="1"/>
  <c r="BF9" i="1"/>
  <c r="BF100" i="1" s="1"/>
  <c r="BE9" i="1"/>
  <c r="BE100" i="1" s="1"/>
  <c r="BD9" i="1"/>
  <c r="BD100" i="1" s="1"/>
  <c r="BC9" i="1"/>
  <c r="BC100" i="1" s="1"/>
  <c r="BA9" i="1"/>
  <c r="BA100" i="1" s="1"/>
  <c r="AP9" i="1"/>
  <c r="AP100" i="1" s="1"/>
  <c r="AO9" i="1"/>
  <c r="AO100" i="1" s="1"/>
  <c r="AJ9" i="1"/>
  <c r="AJ100" i="1" s="1"/>
  <c r="AI9" i="1"/>
  <c r="AI100" i="1" s="1"/>
  <c r="AH9" i="1"/>
  <c r="AH100" i="1" s="1"/>
  <c r="AF9" i="1"/>
  <c r="AF100" i="1" s="1"/>
  <c r="AE9" i="1"/>
  <c r="AE100" i="1" s="1"/>
  <c r="AD9" i="1"/>
  <c r="AD100" i="1" s="1"/>
  <c r="AC9" i="1"/>
  <c r="AC100" i="1" s="1"/>
  <c r="AA9" i="1"/>
  <c r="AA100" i="1" s="1"/>
  <c r="AA101" i="1" s="1"/>
  <c r="Z9" i="1"/>
  <c r="Z100" i="1" s="1"/>
  <c r="Z101" i="1" s="1"/>
  <c r="Y9" i="1"/>
  <c r="Y100" i="1" s="1"/>
  <c r="Y101" i="1" s="1"/>
  <c r="X9" i="1"/>
  <c r="X100" i="1" s="1"/>
  <c r="X101" i="1" s="1"/>
  <c r="V9" i="1"/>
  <c r="V100" i="1" s="1"/>
  <c r="V101" i="1" s="1"/>
  <c r="U9" i="1"/>
  <c r="U100" i="1" s="1"/>
  <c r="U101" i="1" s="1"/>
  <c r="T9" i="1"/>
  <c r="T100" i="1" s="1"/>
  <c r="T101" i="1" s="1"/>
  <c r="S9" i="1"/>
  <c r="S100" i="1" s="1"/>
  <c r="S101" i="1" s="1"/>
  <c r="Q9" i="1"/>
  <c r="P9" i="1"/>
  <c r="O9" i="1"/>
  <c r="N9" i="1"/>
  <c r="N28" i="1" s="1"/>
  <c r="L9" i="1"/>
  <c r="L100" i="1" s="1"/>
  <c r="L101" i="1" s="1"/>
  <c r="K9" i="1"/>
  <c r="K100" i="1" s="1"/>
  <c r="K101" i="1" s="1"/>
  <c r="J9" i="1"/>
  <c r="J100" i="1" s="1"/>
  <c r="J101" i="1" s="1"/>
  <c r="I9" i="1"/>
  <c r="I100" i="1" s="1"/>
  <c r="I101" i="1" s="1"/>
  <c r="DH8" i="1"/>
  <c r="DG8" i="1"/>
  <c r="DF8" i="1"/>
  <c r="DE8" i="1"/>
  <c r="DD8" i="1"/>
  <c r="DC8" i="1"/>
  <c r="DB8" i="1"/>
  <c r="DA8" i="1"/>
  <c r="CZ8" i="1"/>
  <c r="CY8" i="1"/>
  <c r="CX8" i="1"/>
  <c r="CW8" i="1"/>
  <c r="AK8" i="1"/>
  <c r="CV8" i="1" s="1"/>
  <c r="AG8" i="1"/>
  <c r="CU8" i="1" s="1"/>
  <c r="AB8" i="1"/>
  <c r="CT8" i="1" s="1"/>
  <c r="W8" i="1"/>
  <c r="R8" i="1"/>
  <c r="M8" i="1"/>
  <c r="CI7" i="1"/>
  <c r="DF7" i="1" s="1"/>
  <c r="CD7" i="1"/>
  <c r="DE7" i="1" s="1"/>
  <c r="BY7" i="1"/>
  <c r="DD7" i="1" s="1"/>
  <c r="BT7" i="1"/>
  <c r="DC7" i="1" s="1"/>
  <c r="BP7" i="1"/>
  <c r="BO7" i="1"/>
  <c r="DB7" i="1" s="1"/>
  <c r="BN7" i="1"/>
  <c r="BM7" i="1"/>
  <c r="BL7" i="1"/>
  <c r="BK7" i="1"/>
  <c r="BJ7" i="1"/>
  <c r="DA7" i="1" s="1"/>
  <c r="BI7" i="1"/>
  <c r="BH7" i="1"/>
  <c r="BF7" i="1"/>
  <c r="AP7" i="1"/>
  <c r="CW7" i="1" s="1"/>
  <c r="AO7" i="1"/>
  <c r="AJ7" i="1"/>
  <c r="AI7" i="1"/>
  <c r="AH7" i="1"/>
  <c r="AF7" i="1"/>
  <c r="AE7" i="1"/>
  <c r="AD7" i="1"/>
  <c r="AC7" i="1"/>
  <c r="AA7" i="1"/>
  <c r="Z7" i="1"/>
  <c r="Y7" i="1"/>
  <c r="X7" i="1"/>
  <c r="V7" i="1"/>
  <c r="U7" i="1"/>
  <c r="T7" i="1"/>
  <c r="S7" i="1"/>
  <c r="Q7" i="1"/>
  <c r="P7" i="1"/>
  <c r="O7" i="1"/>
  <c r="N7" i="1"/>
  <c r="HG6" i="1"/>
  <c r="DF6" i="1"/>
  <c r="DE6" i="1"/>
  <c r="DD6" i="1"/>
  <c r="DC6" i="1"/>
  <c r="DB6" i="1"/>
  <c r="DA6" i="1"/>
  <c r="CZ6" i="1"/>
  <c r="CW6" i="1"/>
  <c r="BB6" i="1"/>
  <c r="AZ6" i="1"/>
  <c r="AY6" i="1"/>
  <c r="AX6" i="1"/>
  <c r="AV6" i="1"/>
  <c r="AV16" i="1" s="1"/>
  <c r="AU6" i="1"/>
  <c r="AU9" i="1" s="1"/>
  <c r="AT6" i="1"/>
  <c r="AT20" i="1" s="1"/>
  <c r="AS6" i="1"/>
  <c r="AS20" i="1" s="1"/>
  <c r="AR6" i="1"/>
  <c r="AR14" i="1" s="1"/>
  <c r="AQ6" i="1"/>
  <c r="AQ16" i="1" s="1"/>
  <c r="AN6" i="1"/>
  <c r="AN20" i="1" s="1"/>
  <c r="AM6" i="1"/>
  <c r="AM16" i="1" s="1"/>
  <c r="AL6" i="1"/>
  <c r="AL22" i="1" s="1"/>
  <c r="AK6" i="1"/>
  <c r="AG6" i="1"/>
  <c r="AG9" i="1" s="1"/>
  <c r="AB6" i="1"/>
  <c r="W6" i="1"/>
  <c r="R6" i="1"/>
  <c r="R9" i="1" s="1"/>
  <c r="M6" i="1"/>
  <c r="M9" i="1" s="1"/>
  <c r="H6" i="1"/>
  <c r="H18" i="1" s="1"/>
  <c r="G6" i="1"/>
  <c r="G14" i="1" s="1"/>
  <c r="F6" i="1"/>
  <c r="F22" i="1" s="1"/>
  <c r="E6" i="1"/>
  <c r="E20" i="1" s="1"/>
  <c r="D6" i="1"/>
  <c r="D18" i="1" s="1"/>
  <c r="DH5" i="1"/>
  <c r="DG5" i="1"/>
  <c r="DF5" i="1"/>
  <c r="DE5" i="1"/>
  <c r="DD5" i="1"/>
  <c r="DC5" i="1"/>
  <c r="DB5" i="1"/>
  <c r="DA5" i="1"/>
  <c r="CZ5" i="1"/>
  <c r="CY5" i="1"/>
  <c r="CX5" i="1"/>
  <c r="CW5" i="1"/>
  <c r="CV5" i="1"/>
  <c r="CU5" i="1"/>
  <c r="CT5" i="1"/>
  <c r="DH4" i="1"/>
  <c r="DG4" i="1"/>
  <c r="DF4" i="1"/>
  <c r="DE4" i="1"/>
  <c r="DD4" i="1"/>
  <c r="DC4" i="1"/>
  <c r="DB4" i="1"/>
  <c r="DA4" i="1"/>
  <c r="CZ4" i="1"/>
  <c r="AY4" i="1"/>
  <c r="AX4" i="1"/>
  <c r="AV4" i="1"/>
  <c r="AU4" i="1"/>
  <c r="CX4" i="1" s="1"/>
  <c r="AS4" i="1"/>
  <c r="AR4" i="1"/>
  <c r="AQ4" i="1"/>
  <c r="AP4" i="1"/>
  <c r="CW4" i="1" s="1"/>
  <c r="AN4" i="1"/>
  <c r="AM4" i="1"/>
  <c r="AL4" i="1"/>
  <c r="AK4" i="1"/>
  <c r="CV4" i="1" s="1"/>
  <c r="AJ4" i="1"/>
  <c r="AI4" i="1"/>
  <c r="AH4" i="1"/>
  <c r="AG4" i="1"/>
  <c r="CU4" i="1" s="1"/>
  <c r="AF4" i="1"/>
  <c r="AE4" i="1"/>
  <c r="AD4" i="1"/>
  <c r="AC4" i="1"/>
  <c r="AB4" i="1"/>
  <c r="CT4" i="1" s="1"/>
  <c r="AA4" i="1"/>
  <c r="Z4" i="1"/>
  <c r="Y4" i="1"/>
  <c r="X4" i="1"/>
  <c r="W4" i="1"/>
  <c r="V4" i="1"/>
  <c r="U4" i="1"/>
  <c r="T4" i="1"/>
  <c r="S4" i="1"/>
  <c r="R4" i="1"/>
  <c r="Q4" i="1"/>
  <c r="P4" i="1"/>
  <c r="O4" i="1"/>
  <c r="N4" i="1"/>
  <c r="M4" i="1"/>
  <c r="L4" i="1"/>
  <c r="K4" i="1"/>
  <c r="J4" i="1"/>
  <c r="I4" i="1"/>
  <c r="DH3" i="1"/>
  <c r="DG3" i="1"/>
  <c r="DF3" i="1"/>
  <c r="DE3" i="1"/>
  <c r="DD3" i="1"/>
  <c r="DC3" i="1"/>
  <c r="DB3" i="1"/>
  <c r="DA3" i="1"/>
  <c r="CZ3" i="1"/>
  <c r="CX3" i="1"/>
  <c r="CW3" i="1"/>
  <c r="CV3" i="1"/>
  <c r="CU3" i="1"/>
  <c r="CT3" i="1"/>
  <c r="BB3" i="1"/>
  <c r="AZ3" i="1"/>
  <c r="AZ4" i="1" s="1"/>
  <c r="CY4" i="1" s="1"/>
  <c r="AW3" i="1"/>
  <c r="AO3" i="1"/>
  <c r="DH2" i="1"/>
  <c r="DG2" i="1"/>
  <c r="DF2" i="1"/>
  <c r="DE2" i="1"/>
  <c r="DD2" i="1"/>
  <c r="DC2" i="1"/>
  <c r="DB2" i="1"/>
  <c r="DA2" i="1"/>
  <c r="CZ2" i="1"/>
  <c r="CY2" i="1"/>
  <c r="CX2" i="1"/>
  <c r="CW2" i="1"/>
  <c r="CV2" i="1"/>
  <c r="CU2" i="1"/>
  <c r="CT2" i="1"/>
  <c r="BK350" i="1" l="1"/>
  <c r="BK351" i="1" s="1"/>
  <c r="BT359" i="1"/>
  <c r="CG104" i="1"/>
  <c r="CM251" i="1"/>
  <c r="CN251" i="1" s="1"/>
  <c r="CN297" i="1"/>
  <c r="CN358" i="1"/>
  <c r="CJ252" i="1"/>
  <c r="CL297" i="1"/>
  <c r="CM297" i="1"/>
  <c r="AM104" i="1"/>
  <c r="AM106" i="1" s="1"/>
  <c r="BB104" i="1"/>
  <c r="BV104" i="1"/>
  <c r="BZ104" i="1"/>
  <c r="CD104" i="1"/>
  <c r="BP350" i="1"/>
  <c r="BP351" i="1" s="1"/>
  <c r="BX350" i="1"/>
  <c r="BX351" i="1" s="1"/>
  <c r="CB350" i="1"/>
  <c r="BC104" i="1"/>
  <c r="BW104" i="1"/>
  <c r="CA104" i="1"/>
  <c r="AQ350" i="1"/>
  <c r="AQ351" i="1" s="1"/>
  <c r="CC350" i="1"/>
  <c r="CG350" i="1"/>
  <c r="CG351" i="1" s="1"/>
  <c r="AO345" i="1"/>
  <c r="CC100" i="1"/>
  <c r="CC102" i="1" s="1"/>
  <c r="AR350" i="1"/>
  <c r="AR351" i="1" s="1"/>
  <c r="BE104" i="1"/>
  <c r="AW159" i="1"/>
  <c r="BB159" i="1"/>
  <c r="BG104" i="1"/>
  <c r="CI104" i="1"/>
  <c r="CK109" i="1"/>
  <c r="CK114" i="1" s="1"/>
  <c r="CK115" i="1" s="1"/>
  <c r="BY115" i="1"/>
  <c r="BY116" i="1" s="1"/>
  <c r="BR156" i="1"/>
  <c r="BZ156" i="1"/>
  <c r="CH156" i="1"/>
  <c r="AW350" i="1"/>
  <c r="AW351" i="1" s="1"/>
  <c r="CK247" i="1"/>
  <c r="CK272" i="1" s="1"/>
  <c r="AB300" i="1"/>
  <c r="AR104" i="1"/>
  <c r="BL104" i="1"/>
  <c r="BB350" i="1"/>
  <c r="BB351" i="1" s="1"/>
  <c r="BG350" i="1"/>
  <c r="BG351" i="1" s="1"/>
  <c r="BL350" i="1"/>
  <c r="BL351" i="1" s="1"/>
  <c r="BE350" i="1"/>
  <c r="BE351" i="1" s="1"/>
  <c r="BG345" i="1"/>
  <c r="AW104" i="1"/>
  <c r="BQ104" i="1"/>
  <c r="M56" i="1"/>
  <c r="AQ223" i="1"/>
  <c r="AU223" i="1"/>
  <c r="BQ350" i="1"/>
  <c r="BQ351" i="1" s="1"/>
  <c r="AY219" i="1"/>
  <c r="CD223" i="1"/>
  <c r="CJ256" i="1"/>
  <c r="AY357" i="1"/>
  <c r="AY348" i="1" s="1"/>
  <c r="O24" i="1"/>
  <c r="O25" i="1" s="1"/>
  <c r="BN104" i="1"/>
  <c r="AP104" i="1"/>
  <c r="AP106" i="1" s="1"/>
  <c r="BI220" i="1"/>
  <c r="BI212" i="1" s="1"/>
  <c r="BJ351" i="1"/>
  <c r="BD355" i="1"/>
  <c r="AZ159" i="1"/>
  <c r="AB18" i="1"/>
  <c r="CT18" i="1" s="1"/>
  <c r="M20" i="1"/>
  <c r="AG20" i="1"/>
  <c r="CU20" i="1" s="1"/>
  <c r="AQ104" i="1"/>
  <c r="AU104" i="1"/>
  <c r="BK104" i="1"/>
  <c r="BS104" i="1"/>
  <c r="E27" i="1"/>
  <c r="AN27" i="1"/>
  <c r="W56" i="1"/>
  <c r="CJ115" i="1"/>
  <c r="BT115" i="1"/>
  <c r="BT116" i="1" s="1"/>
  <c r="BN350" i="1"/>
  <c r="BN351" i="1" s="1"/>
  <c r="AP166" i="1"/>
  <c r="BO243" i="1"/>
  <c r="CI243" i="1"/>
  <c r="AQ289" i="1"/>
  <c r="AU289" i="1"/>
  <c r="AY289" i="1"/>
  <c r="BC289" i="1"/>
  <c r="BT298" i="1"/>
  <c r="BT301" i="1" s="1"/>
  <c r="BY359" i="1"/>
  <c r="BY350" i="1" s="1"/>
  <c r="BY351" i="1" s="1"/>
  <c r="BD356" i="1"/>
  <c r="BD347" i="1" s="1"/>
  <c r="M7" i="1"/>
  <c r="BJ104" i="1"/>
  <c r="AK166" i="1"/>
  <c r="AP351" i="1"/>
  <c r="AU300" i="1"/>
  <c r="AR345" i="1"/>
  <c r="W9" i="1"/>
  <c r="W100" i="1" s="1"/>
  <c r="W101" i="1" s="1"/>
  <c r="Q28" i="1"/>
  <c r="Q30" i="1" s="1"/>
  <c r="AB16" i="1"/>
  <c r="CT16" i="1" s="1"/>
  <c r="AV104" i="1"/>
  <c r="AZ104" i="1"/>
  <c r="BP104" i="1"/>
  <c r="BT104" i="1"/>
  <c r="BX104" i="1"/>
  <c r="CB104" i="1"/>
  <c r="BB56" i="1"/>
  <c r="BI106" i="1"/>
  <c r="AS223" i="1"/>
  <c r="AW223" i="1"/>
  <c r="AS350" i="1"/>
  <c r="AS351" i="1" s="1"/>
  <c r="BS350" i="1"/>
  <c r="BS351" i="1" s="1"/>
  <c r="BW350" i="1"/>
  <c r="BW351" i="1" s="1"/>
  <c r="CA350" i="1"/>
  <c r="CE350" i="1"/>
  <c r="CE351" i="1" s="1"/>
  <c r="BY298" i="1"/>
  <c r="BY301" i="1" s="1"/>
  <c r="AW345" i="1"/>
  <c r="BC345" i="1"/>
  <c r="AZ213" i="1"/>
  <c r="AY221" i="1"/>
  <c r="AY213" i="1" s="1"/>
  <c r="AY222" i="1"/>
  <c r="AY214" i="1" s="1"/>
  <c r="AW214" i="1"/>
  <c r="BA7" i="1"/>
  <c r="AG60" i="1"/>
  <c r="CU60" i="1" s="1"/>
  <c r="CI269" i="1"/>
  <c r="AB7" i="1"/>
  <c r="CT7" i="1" s="1"/>
  <c r="AX159" i="1"/>
  <c r="CT6" i="1"/>
  <c r="AG7" i="1"/>
  <c r="CU7" i="1" s="1"/>
  <c r="BE7" i="1"/>
  <c r="CZ7" i="1" s="1"/>
  <c r="AB26" i="1"/>
  <c r="CT26" i="1" s="1"/>
  <c r="M16" i="1"/>
  <c r="AG16" i="1"/>
  <c r="CU16" i="1" s="1"/>
  <c r="M23" i="1"/>
  <c r="M24" i="1" s="1"/>
  <c r="M25" i="1" s="1"/>
  <c r="AG23" i="1"/>
  <c r="AG24" i="1" s="1"/>
  <c r="AG25" i="1" s="1"/>
  <c r="R20" i="1"/>
  <c r="AK20" i="1"/>
  <c r="CV20" i="1" s="1"/>
  <c r="M22" i="1"/>
  <c r="BH104" i="1"/>
  <c r="F27" i="1"/>
  <c r="CD115" i="1"/>
  <c r="CD116" i="1" s="1"/>
  <c r="AT136" i="1"/>
  <c r="AZ138" i="1"/>
  <c r="AT223" i="1"/>
  <c r="AX223" i="1"/>
  <c r="BB156" i="1"/>
  <c r="AX350" i="1"/>
  <c r="AX351" i="1" s="1"/>
  <c r="CI166" i="1"/>
  <c r="CI223" i="1"/>
  <c r="AU350" i="1"/>
  <c r="AU351" i="1" s="1"/>
  <c r="CK277" i="1"/>
  <c r="CK287" i="1" s="1"/>
  <c r="AR289" i="1"/>
  <c r="AV289" i="1"/>
  <c r="AZ298" i="1"/>
  <c r="AZ301" i="1" s="1"/>
  <c r="AG300" i="1"/>
  <c r="AZ300" i="1"/>
  <c r="BT300" i="1"/>
  <c r="CI359" i="1"/>
  <c r="CI360" i="1" s="1"/>
  <c r="AX138" i="1"/>
  <c r="CD261" i="1"/>
  <c r="P10" i="1"/>
  <c r="M14" i="1"/>
  <c r="R16" i="1"/>
  <c r="AK16" i="1"/>
  <c r="CV16" i="1" s="1"/>
  <c r="R23" i="1"/>
  <c r="R24" i="1" s="1"/>
  <c r="R25" i="1" s="1"/>
  <c r="AK23" i="1"/>
  <c r="W20" i="1"/>
  <c r="R22" i="1"/>
  <c r="AK22" i="1"/>
  <c r="CV22" i="1" s="1"/>
  <c r="AS104" i="1"/>
  <c r="BM104" i="1"/>
  <c r="G27" i="1"/>
  <c r="CE104" i="1"/>
  <c r="AT135" i="1"/>
  <c r="BA138" i="1"/>
  <c r="AY156" i="1"/>
  <c r="BC350" i="1"/>
  <c r="BC351" i="1" s="1"/>
  <c r="BH350" i="1"/>
  <c r="BH351" i="1" s="1"/>
  <c r="BM350" i="1"/>
  <c r="BM351" i="1" s="1"/>
  <c r="AB166" i="1"/>
  <c r="AU166" i="1"/>
  <c r="BO166" i="1"/>
  <c r="CL167" i="1"/>
  <c r="BJ212" i="1"/>
  <c r="BT223" i="1"/>
  <c r="BT243" i="1"/>
  <c r="CJ235" i="1"/>
  <c r="CJ243" i="1" s="1"/>
  <c r="CJ38" i="1" s="1"/>
  <c r="DG38" i="1" s="1"/>
  <c r="CK249" i="1"/>
  <c r="AV290" i="1"/>
  <c r="AS289" i="1"/>
  <c r="AW289" i="1"/>
  <c r="BA298" i="1"/>
  <c r="BA301" i="1" s="1"/>
  <c r="BF289" i="1"/>
  <c r="CD289" i="1"/>
  <c r="AK300" i="1"/>
  <c r="AX345" i="1"/>
  <c r="BB346" i="1"/>
  <c r="CD359" i="1"/>
  <c r="CD360" i="1" s="1"/>
  <c r="BI357" i="1"/>
  <c r="BI348" i="1" s="1"/>
  <c r="W14" i="1"/>
  <c r="BH298" i="1"/>
  <c r="BH301" i="1" s="1"/>
  <c r="AK7" i="1"/>
  <c r="CV7" i="1" s="1"/>
  <c r="I7" i="1"/>
  <c r="AS7" i="1"/>
  <c r="R14" i="1"/>
  <c r="CT13" i="1"/>
  <c r="W16" i="1"/>
  <c r="CT15" i="1"/>
  <c r="W18" i="1"/>
  <c r="W22" i="1"/>
  <c r="AX104" i="1"/>
  <c r="BR104" i="1"/>
  <c r="D27" i="1"/>
  <c r="H27" i="1"/>
  <c r="AL27" i="1"/>
  <c r="CU51" i="1"/>
  <c r="BA56" i="1"/>
  <c r="M60" i="1"/>
  <c r="AN104" i="1"/>
  <c r="AN106" i="1" s="1"/>
  <c r="BD134" i="1"/>
  <c r="AW138" i="1"/>
  <c r="BB138" i="1"/>
  <c r="BR350" i="1"/>
  <c r="BR351" i="1" s="1"/>
  <c r="BV350" i="1"/>
  <c r="BV351" i="1" s="1"/>
  <c r="BZ350" i="1"/>
  <c r="BZ351" i="1" s="1"/>
  <c r="AG166" i="1"/>
  <c r="AZ166" i="1"/>
  <c r="BT166" i="1"/>
  <c r="BY223" i="1"/>
  <c r="CK230" i="1"/>
  <c r="CK235" i="1" s="1"/>
  <c r="BU252" i="1"/>
  <c r="BU292" i="1" s="1"/>
  <c r="AP298" i="1"/>
  <c r="AT289" i="1"/>
  <c r="AX289" i="1"/>
  <c r="BB289" i="1"/>
  <c r="BG289" i="1"/>
  <c r="BK289" i="1"/>
  <c r="BO289" i="1"/>
  <c r="CI289" i="1"/>
  <c r="AP300" i="1"/>
  <c r="AS345" i="1"/>
  <c r="BD357" i="1"/>
  <c r="M100" i="1"/>
  <c r="M101" i="1" s="1"/>
  <c r="AG100" i="1"/>
  <c r="AG101" i="1" s="1"/>
  <c r="CU9" i="1"/>
  <c r="R100" i="1"/>
  <c r="R101" i="1" s="1"/>
  <c r="R10" i="1"/>
  <c r="AU100" i="1"/>
  <c r="AU24" i="1"/>
  <c r="AU25" i="1" s="1"/>
  <c r="AU10" i="1"/>
  <c r="CX9" i="1"/>
  <c r="Q37" i="1"/>
  <c r="Q39" i="1" s="1"/>
  <c r="N57" i="1"/>
  <c r="N30" i="1"/>
  <c r="N37" i="1"/>
  <c r="N39" i="1" s="1"/>
  <c r="DB26" i="1"/>
  <c r="BO27" i="1"/>
  <c r="DB27" i="1" s="1"/>
  <c r="CY3" i="1"/>
  <c r="CU6" i="1"/>
  <c r="CY6" i="1"/>
  <c r="J7" i="1"/>
  <c r="R7" i="1"/>
  <c r="AL7" i="1"/>
  <c r="AT7" i="1"/>
  <c r="AX7" i="1"/>
  <c r="D9" i="1"/>
  <c r="D28" i="1" s="1"/>
  <c r="H9" i="1"/>
  <c r="AB9" i="1"/>
  <c r="AF103" i="1"/>
  <c r="AF101" i="1"/>
  <c r="AJ103" i="1"/>
  <c r="AJ101" i="1"/>
  <c r="AN9" i="1"/>
  <c r="AR9" i="1"/>
  <c r="AV9" i="1"/>
  <c r="BA10" i="1" s="1"/>
  <c r="AZ9" i="1"/>
  <c r="BE10" i="1" s="1"/>
  <c r="BD101" i="1"/>
  <c r="BH103" i="1"/>
  <c r="BH102" i="1"/>
  <c r="BH101" i="1"/>
  <c r="BL103" i="1"/>
  <c r="BL102" i="1"/>
  <c r="BL101" i="1"/>
  <c r="BP103" i="1"/>
  <c r="BP102" i="1"/>
  <c r="BP101" i="1"/>
  <c r="BT103" i="1"/>
  <c r="BT102" i="1"/>
  <c r="BT101" i="1"/>
  <c r="BX103" i="1"/>
  <c r="BX102" i="1"/>
  <c r="BX101" i="1"/>
  <c r="CB103" i="1"/>
  <c r="CB102" i="1"/>
  <c r="CB101" i="1"/>
  <c r="CF103" i="1"/>
  <c r="CF101" i="1"/>
  <c r="CW9" i="1"/>
  <c r="DA9" i="1"/>
  <c r="DE9" i="1"/>
  <c r="Q10" i="1"/>
  <c r="U10" i="1"/>
  <c r="Y10" i="1"/>
  <c r="AC10" i="1"/>
  <c r="AO10" i="1"/>
  <c r="BI10" i="1"/>
  <c r="BM10" i="1"/>
  <c r="BQ10" i="1"/>
  <c r="BU10" i="1"/>
  <c r="BY10" i="1"/>
  <c r="CI10" i="1"/>
  <c r="D14" i="1"/>
  <c r="H14" i="1"/>
  <c r="AB14" i="1"/>
  <c r="CT14" i="1" s="1"/>
  <c r="AN14" i="1"/>
  <c r="AS14" i="1"/>
  <c r="AX14" i="1"/>
  <c r="BB14" i="1"/>
  <c r="CU15" i="1"/>
  <c r="F16" i="1"/>
  <c r="AN16" i="1"/>
  <c r="AR16" i="1"/>
  <c r="CT17" i="1"/>
  <c r="E18" i="1"/>
  <c r="M18" i="1"/>
  <c r="AG18" i="1"/>
  <c r="CU18" i="1" s="1"/>
  <c r="AM18" i="1"/>
  <c r="AQ18" i="1"/>
  <c r="AV18" i="1"/>
  <c r="AZ18" i="1"/>
  <c r="CY18" i="1" s="1"/>
  <c r="CU19" i="1"/>
  <c r="F20" i="1"/>
  <c r="AL20" i="1"/>
  <c r="AQ20" i="1"/>
  <c r="AV20" i="1"/>
  <c r="AZ20" i="1"/>
  <c r="CY20" i="1" s="1"/>
  <c r="CV21" i="1"/>
  <c r="CZ21" i="1"/>
  <c r="DD21" i="1"/>
  <c r="G22" i="1"/>
  <c r="AM22" i="1"/>
  <c r="AR22" i="1"/>
  <c r="BA22" i="1"/>
  <c r="BE22" i="1"/>
  <c r="CZ22" i="1" s="1"/>
  <c r="BI22" i="1"/>
  <c r="BM22" i="1"/>
  <c r="BQ22" i="1"/>
  <c r="BU22" i="1"/>
  <c r="BY22" i="1"/>
  <c r="DD22" i="1" s="1"/>
  <c r="CC22" i="1"/>
  <c r="W23" i="1"/>
  <c r="P24" i="1"/>
  <c r="P25" i="1" s="1"/>
  <c r="T24" i="1"/>
  <c r="T25" i="1" s="1"/>
  <c r="X24" i="1"/>
  <c r="X25" i="1" s="1"/>
  <c r="AF24" i="1"/>
  <c r="AF25" i="1" s="1"/>
  <c r="AJ24" i="1"/>
  <c r="AJ25" i="1" s="1"/>
  <c r="BD24" i="1"/>
  <c r="BD25" i="1" s="1"/>
  <c r="BH24" i="1"/>
  <c r="BH25" i="1" s="1"/>
  <c r="BL24" i="1"/>
  <c r="BL25" i="1" s="1"/>
  <c r="BP24" i="1"/>
  <c r="BP25" i="1" s="1"/>
  <c r="BT24" i="1"/>
  <c r="BT25" i="1" s="1"/>
  <c r="BX24" i="1"/>
  <c r="BX25" i="1" s="1"/>
  <c r="CB24" i="1"/>
  <c r="CB25" i="1" s="1"/>
  <c r="CF24" i="1"/>
  <c r="CF25" i="1" s="1"/>
  <c r="M26" i="1"/>
  <c r="M27" i="1" s="1"/>
  <c r="AG26" i="1"/>
  <c r="AG28" i="1" s="1"/>
  <c r="AK26" i="1"/>
  <c r="AS26" i="1"/>
  <c r="AS27" i="1" s="1"/>
  <c r="AW26" i="1"/>
  <c r="BA26" i="1"/>
  <c r="BA27" i="1" s="1"/>
  <c r="BE26" i="1"/>
  <c r="BE28" i="1" s="1"/>
  <c r="BI26" i="1"/>
  <c r="BI27" i="1" s="1"/>
  <c r="BM26" i="1"/>
  <c r="BM27" i="1" s="1"/>
  <c r="BQ26" i="1"/>
  <c r="BQ27" i="1" s="1"/>
  <c r="BU26" i="1"/>
  <c r="BU27" i="1" s="1"/>
  <c r="BY26" i="1"/>
  <c r="BY28" i="1" s="1"/>
  <c r="CC26" i="1"/>
  <c r="CC27" i="1" s="1"/>
  <c r="CG26" i="1"/>
  <c r="CG27" i="1" s="1"/>
  <c r="AP27" i="1"/>
  <c r="CW27" i="1" s="1"/>
  <c r="K28" i="1"/>
  <c r="O28" i="1"/>
  <c r="S28" i="1"/>
  <c r="AA28" i="1"/>
  <c r="AE28" i="1"/>
  <c r="AI28" i="1"/>
  <c r="BO28" i="1"/>
  <c r="CE28" i="1"/>
  <c r="CI28" i="1"/>
  <c r="AK60" i="1"/>
  <c r="CV60" i="1" s="1"/>
  <c r="CV51" i="1"/>
  <c r="AK66" i="1"/>
  <c r="AK56" i="1"/>
  <c r="CV56" i="1" s="1"/>
  <c r="AP51" i="1"/>
  <c r="CW63" i="1"/>
  <c r="AU63" i="1"/>
  <c r="AT4" i="1"/>
  <c r="CX6" i="1"/>
  <c r="BI5" i="1"/>
  <c r="AW6" i="1"/>
  <c r="AW22" i="1" s="1"/>
  <c r="CV6" i="1"/>
  <c r="K7" i="1"/>
  <c r="W7" i="1"/>
  <c r="AM7" i="1"/>
  <c r="AQ7" i="1"/>
  <c r="AU7" i="1"/>
  <c r="CX7" i="1" s="1"/>
  <c r="AY7" i="1"/>
  <c r="BC7" i="1"/>
  <c r="BG7" i="1"/>
  <c r="E9" i="1"/>
  <c r="E28" i="1" s="1"/>
  <c r="AC103" i="1"/>
  <c r="AC101" i="1"/>
  <c r="AK9" i="1"/>
  <c r="AO101" i="1"/>
  <c r="AO103" i="1"/>
  <c r="AS9" i="1"/>
  <c r="BA102" i="1"/>
  <c r="BA101" i="1"/>
  <c r="BE102" i="1"/>
  <c r="BE101" i="1"/>
  <c r="BI101" i="1"/>
  <c r="BI103" i="1"/>
  <c r="BM102" i="1"/>
  <c r="BM101" i="1"/>
  <c r="BM103" i="1"/>
  <c r="BQ102" i="1"/>
  <c r="BQ101" i="1"/>
  <c r="BQ103" i="1"/>
  <c r="BU101" i="1"/>
  <c r="BU103" i="1"/>
  <c r="BY102" i="1"/>
  <c r="BY101" i="1"/>
  <c r="BY103" i="1"/>
  <c r="CG102" i="1"/>
  <c r="CG101" i="1"/>
  <c r="CG103" i="1"/>
  <c r="DB9" i="1"/>
  <c r="DF9" i="1"/>
  <c r="J10" i="1"/>
  <c r="N10" i="1"/>
  <c r="V10" i="1"/>
  <c r="Z10" i="1"/>
  <c r="AD10" i="1"/>
  <c r="AH10" i="1"/>
  <c r="BF10" i="1"/>
  <c r="BJ10" i="1"/>
  <c r="BN10" i="1"/>
  <c r="BR10" i="1"/>
  <c r="BV10" i="1"/>
  <c r="BZ10" i="1"/>
  <c r="E14" i="1"/>
  <c r="AG14" i="1"/>
  <c r="CU14" i="1" s="1"/>
  <c r="AK14" i="1"/>
  <c r="CV14" i="1" s="1"/>
  <c r="AT14" i="1"/>
  <c r="AY14" i="1"/>
  <c r="G16" i="1"/>
  <c r="AS16" i="1"/>
  <c r="AX16" i="1"/>
  <c r="BB16" i="1"/>
  <c r="F18" i="1"/>
  <c r="R18" i="1"/>
  <c r="AN18" i="1"/>
  <c r="AR18" i="1"/>
  <c r="G20" i="1"/>
  <c r="AM20" i="1"/>
  <c r="AR20" i="1"/>
  <c r="CG20" i="1"/>
  <c r="DA21" i="1"/>
  <c r="DE21" i="1"/>
  <c r="D22" i="1"/>
  <c r="H22" i="1"/>
  <c r="AB22" i="1"/>
  <c r="CT22" i="1" s="1"/>
  <c r="AN22" i="1"/>
  <c r="AS22" i="1"/>
  <c r="AX22" i="1"/>
  <c r="BB22" i="1"/>
  <c r="BF22" i="1"/>
  <c r="BJ22" i="1"/>
  <c r="DA22" i="1" s="1"/>
  <c r="BN22" i="1"/>
  <c r="BR22" i="1"/>
  <c r="BV22" i="1"/>
  <c r="BZ22" i="1"/>
  <c r="CD22" i="1"/>
  <c r="DE22" i="1" s="1"/>
  <c r="AB23" i="1"/>
  <c r="Q24" i="1"/>
  <c r="Q25" i="1" s="1"/>
  <c r="U24" i="1"/>
  <c r="U25" i="1" s="1"/>
  <c r="Y24" i="1"/>
  <c r="Y25" i="1" s="1"/>
  <c r="AC24" i="1"/>
  <c r="AC25" i="1" s="1"/>
  <c r="AO24" i="1"/>
  <c r="AO25" i="1" s="1"/>
  <c r="BA24" i="1"/>
  <c r="BA25" i="1" s="1"/>
  <c r="BE24" i="1"/>
  <c r="BE25" i="1" s="1"/>
  <c r="BI24" i="1"/>
  <c r="BI25" i="1" s="1"/>
  <c r="BM24" i="1"/>
  <c r="BM25" i="1" s="1"/>
  <c r="BQ24" i="1"/>
  <c r="BQ25" i="1" s="1"/>
  <c r="BU24" i="1"/>
  <c r="BU25" i="1" s="1"/>
  <c r="BY24" i="1"/>
  <c r="BY25" i="1" s="1"/>
  <c r="CG24" i="1"/>
  <c r="CG25" i="1" s="1"/>
  <c r="R26" i="1"/>
  <c r="R27" i="1" s="1"/>
  <c r="AT26" i="1"/>
  <c r="AT27" i="1" s="1"/>
  <c r="AX26" i="1"/>
  <c r="AX27" i="1" s="1"/>
  <c r="BB26" i="1"/>
  <c r="BB27" i="1" s="1"/>
  <c r="BF26" i="1"/>
  <c r="BF27" i="1" s="1"/>
  <c r="BJ26" i="1"/>
  <c r="BJ28" i="1" s="1"/>
  <c r="BN26" i="1"/>
  <c r="BN27" i="1" s="1"/>
  <c r="BR26" i="1"/>
  <c r="BR27" i="1" s="1"/>
  <c r="BV26" i="1"/>
  <c r="BV27" i="1" s="1"/>
  <c r="BZ26" i="1"/>
  <c r="BZ27" i="1" s="1"/>
  <c r="CD26" i="1"/>
  <c r="CD28" i="1" s="1"/>
  <c r="CH26" i="1"/>
  <c r="CH27" i="1" s="1"/>
  <c r="CI27" i="1"/>
  <c r="DF27" i="1" s="1"/>
  <c r="L28" i="1"/>
  <c r="P28" i="1"/>
  <c r="T28" i="1"/>
  <c r="X28" i="1"/>
  <c r="AF28" i="1"/>
  <c r="AJ28" i="1"/>
  <c r="CF28" i="1"/>
  <c r="AO4" i="1"/>
  <c r="AW4" i="1"/>
  <c r="L7" i="1"/>
  <c r="AN7" i="1"/>
  <c r="AR7" i="1"/>
  <c r="AV7" i="1"/>
  <c r="AZ7" i="1"/>
  <c r="CY7" i="1" s="1"/>
  <c r="BD7" i="1"/>
  <c r="F9" i="1"/>
  <c r="F28" i="1" s="1"/>
  <c r="AD103" i="1"/>
  <c r="AD101" i="1"/>
  <c r="AH103" i="1"/>
  <c r="AH101" i="1"/>
  <c r="AL9" i="1"/>
  <c r="AP101" i="1"/>
  <c r="AP102" i="1"/>
  <c r="AT9" i="1"/>
  <c r="AX9" i="1"/>
  <c r="BC10" i="1" s="1"/>
  <c r="BB9" i="1"/>
  <c r="BG10" i="1" s="1"/>
  <c r="BF101" i="1"/>
  <c r="BF103" i="1"/>
  <c r="BF102" i="1"/>
  <c r="BJ101" i="1"/>
  <c r="BJ103" i="1"/>
  <c r="BJ102" i="1"/>
  <c r="BN101" i="1"/>
  <c r="BN103" i="1"/>
  <c r="BN102" i="1"/>
  <c r="BR101" i="1"/>
  <c r="BR103" i="1"/>
  <c r="BR102" i="1"/>
  <c r="BV101" i="1"/>
  <c r="BV103" i="1"/>
  <c r="BV102" i="1"/>
  <c r="BZ101" i="1"/>
  <c r="BZ103" i="1"/>
  <c r="BZ102" i="1"/>
  <c r="CD101" i="1"/>
  <c r="CD103" i="1"/>
  <c r="CD102" i="1"/>
  <c r="CH101" i="1"/>
  <c r="CH102" i="1"/>
  <c r="DC9" i="1"/>
  <c r="K10" i="1"/>
  <c r="O10" i="1"/>
  <c r="S10" i="1"/>
  <c r="AA10" i="1"/>
  <c r="AE10" i="1"/>
  <c r="AI10" i="1"/>
  <c r="BK10" i="1"/>
  <c r="BO10" i="1"/>
  <c r="BS10" i="1"/>
  <c r="BW10" i="1"/>
  <c r="CA10" i="1"/>
  <c r="F14" i="1"/>
  <c r="AL14" i="1"/>
  <c r="AQ14" i="1"/>
  <c r="AV14" i="1"/>
  <c r="AZ14" i="1"/>
  <c r="CY14" i="1" s="1"/>
  <c r="D16" i="1"/>
  <c r="H16" i="1"/>
  <c r="AL16" i="1"/>
  <c r="AT16" i="1"/>
  <c r="AY16" i="1"/>
  <c r="CV17" i="1"/>
  <c r="G18" i="1"/>
  <c r="AK18" i="1"/>
  <c r="CV18" i="1" s="1"/>
  <c r="AS18" i="1"/>
  <c r="AX18" i="1"/>
  <c r="BB18" i="1"/>
  <c r="D20" i="1"/>
  <c r="H20" i="1"/>
  <c r="AB20" i="1"/>
  <c r="CT20" i="1" s="1"/>
  <c r="AX20" i="1"/>
  <c r="BB20" i="1"/>
  <c r="CH20" i="1"/>
  <c r="CX21" i="1"/>
  <c r="DB21" i="1"/>
  <c r="E22" i="1"/>
  <c r="AG22" i="1"/>
  <c r="CU22" i="1" s="1"/>
  <c r="AT22" i="1"/>
  <c r="AY22" i="1"/>
  <c r="BC22" i="1"/>
  <c r="BG22" i="1"/>
  <c r="BK22" i="1"/>
  <c r="BO22" i="1"/>
  <c r="DB22" i="1" s="1"/>
  <c r="BS22" i="1"/>
  <c r="BW22" i="1"/>
  <c r="CA22" i="1"/>
  <c r="AW23" i="1"/>
  <c r="CC23" i="1"/>
  <c r="CC24" i="1" s="1"/>
  <c r="CC25" i="1" s="1"/>
  <c r="N24" i="1"/>
  <c r="N25" i="1" s="1"/>
  <c r="V24" i="1"/>
  <c r="V25" i="1" s="1"/>
  <c r="Z24" i="1"/>
  <c r="Z25" i="1" s="1"/>
  <c r="AD24" i="1"/>
  <c r="AD25" i="1" s="1"/>
  <c r="AH24" i="1"/>
  <c r="AH25" i="1" s="1"/>
  <c r="AP24" i="1"/>
  <c r="AP25" i="1" s="1"/>
  <c r="BF24" i="1"/>
  <c r="BF25" i="1" s="1"/>
  <c r="BJ24" i="1"/>
  <c r="BJ25" i="1" s="1"/>
  <c r="BN24" i="1"/>
  <c r="BN25" i="1" s="1"/>
  <c r="BR24" i="1"/>
  <c r="BR25" i="1" s="1"/>
  <c r="BV24" i="1"/>
  <c r="BV25" i="1" s="1"/>
  <c r="BZ24" i="1"/>
  <c r="BZ25" i="1" s="1"/>
  <c r="CD24" i="1"/>
  <c r="CD25" i="1" s="1"/>
  <c r="CH24" i="1"/>
  <c r="CH25" i="1" s="1"/>
  <c r="W26" i="1"/>
  <c r="W27" i="1" s="1"/>
  <c r="AM26" i="1"/>
  <c r="AM27" i="1" s="1"/>
  <c r="AQ26" i="1"/>
  <c r="AQ27" i="1" s="1"/>
  <c r="AU26" i="1"/>
  <c r="AU28" i="1" s="1"/>
  <c r="AY26" i="1"/>
  <c r="AY27" i="1" s="1"/>
  <c r="BC26" i="1"/>
  <c r="BC27" i="1" s="1"/>
  <c r="BG26" i="1"/>
  <c r="BG27" i="1" s="1"/>
  <c r="BK26" i="1"/>
  <c r="BK27" i="1" s="1"/>
  <c r="BS26" i="1"/>
  <c r="BS27" i="1" s="1"/>
  <c r="BW26" i="1"/>
  <c r="BW27" i="1" s="1"/>
  <c r="CA26" i="1"/>
  <c r="CA27" i="1" s="1"/>
  <c r="I28" i="1"/>
  <c r="U28" i="1"/>
  <c r="Y28" i="1"/>
  <c r="AC28" i="1"/>
  <c r="AO28" i="1"/>
  <c r="BM28" i="1"/>
  <c r="CC28" i="1"/>
  <c r="G9" i="1"/>
  <c r="G28" i="1" s="1"/>
  <c r="AE101" i="1"/>
  <c r="AE103" i="1"/>
  <c r="AI103" i="1"/>
  <c r="AI101" i="1"/>
  <c r="AM9" i="1"/>
  <c r="AQ9" i="1"/>
  <c r="AY9" i="1"/>
  <c r="BC101" i="1"/>
  <c r="BC102" i="1"/>
  <c r="BG101" i="1"/>
  <c r="BG102" i="1"/>
  <c r="BK101" i="1"/>
  <c r="BK103" i="1"/>
  <c r="BK102" i="1"/>
  <c r="BO101" i="1"/>
  <c r="BO103" i="1"/>
  <c r="BS101" i="1"/>
  <c r="BS103" i="1"/>
  <c r="BS102" i="1"/>
  <c r="BW101" i="1"/>
  <c r="BW103" i="1"/>
  <c r="BW102" i="1"/>
  <c r="CA101" i="1"/>
  <c r="CA103" i="1"/>
  <c r="CA102" i="1"/>
  <c r="CE101" i="1"/>
  <c r="CE103" i="1"/>
  <c r="CE102" i="1"/>
  <c r="CI101" i="1"/>
  <c r="CI103" i="1"/>
  <c r="CI102" i="1"/>
  <c r="CZ9" i="1"/>
  <c r="DD9" i="1"/>
  <c r="T10" i="1"/>
  <c r="X10" i="1"/>
  <c r="AF10" i="1"/>
  <c r="AJ10" i="1"/>
  <c r="BD10" i="1"/>
  <c r="BH10" i="1"/>
  <c r="BL10" i="1"/>
  <c r="BP10" i="1"/>
  <c r="BT10" i="1"/>
  <c r="BX10" i="1"/>
  <c r="CD10" i="1"/>
  <c r="AM14" i="1"/>
  <c r="E16" i="1"/>
  <c r="AZ16" i="1"/>
  <c r="CY16" i="1" s="1"/>
  <c r="AL18" i="1"/>
  <c r="AT18" i="1"/>
  <c r="AY18" i="1"/>
  <c r="AY20" i="1"/>
  <c r="CY21" i="1"/>
  <c r="DC21" i="1"/>
  <c r="AQ22" i="1"/>
  <c r="AV22" i="1"/>
  <c r="AZ22" i="1"/>
  <c r="CY22" i="1" s="1"/>
  <c r="BD22" i="1"/>
  <c r="BH22" i="1"/>
  <c r="BL22" i="1"/>
  <c r="BP22" i="1"/>
  <c r="BT22" i="1"/>
  <c r="DC22" i="1" s="1"/>
  <c r="BX22" i="1"/>
  <c r="CB22" i="1"/>
  <c r="S24" i="1"/>
  <c r="S25" i="1" s="1"/>
  <c r="AA24" i="1"/>
  <c r="AA25" i="1" s="1"/>
  <c r="AE24" i="1"/>
  <c r="AE25" i="1" s="1"/>
  <c r="AI24" i="1"/>
  <c r="AI25" i="1" s="1"/>
  <c r="BC24" i="1"/>
  <c r="BC25" i="1" s="1"/>
  <c r="BG24" i="1"/>
  <c r="BG25" i="1" s="1"/>
  <c r="BK24" i="1"/>
  <c r="BK25" i="1" s="1"/>
  <c r="BO24" i="1"/>
  <c r="BO25" i="1" s="1"/>
  <c r="BS24" i="1"/>
  <c r="BS25" i="1" s="1"/>
  <c r="BW24" i="1"/>
  <c r="BW25" i="1" s="1"/>
  <c r="CA24" i="1"/>
  <c r="CA25" i="1" s="1"/>
  <c r="CE24" i="1"/>
  <c r="CE25" i="1" s="1"/>
  <c r="CI24" i="1"/>
  <c r="CI25" i="1" s="1"/>
  <c r="AR26" i="1"/>
  <c r="AR27" i="1" s="1"/>
  <c r="AV26" i="1"/>
  <c r="AV27" i="1" s="1"/>
  <c r="AZ26" i="1"/>
  <c r="BD26" i="1"/>
  <c r="BD27" i="1" s="1"/>
  <c r="BH26" i="1"/>
  <c r="BH27" i="1" s="1"/>
  <c r="BL26" i="1"/>
  <c r="BL27" i="1" s="1"/>
  <c r="BP26" i="1"/>
  <c r="BP27" i="1" s="1"/>
  <c r="BT26" i="1"/>
  <c r="BX26" i="1"/>
  <c r="BX27" i="1" s="1"/>
  <c r="CB26" i="1"/>
  <c r="CB27" i="1" s="1"/>
  <c r="J28" i="1"/>
  <c r="V28" i="1"/>
  <c r="Z28" i="1"/>
  <c r="AD28" i="1"/>
  <c r="AH28" i="1"/>
  <c r="AP28" i="1"/>
  <c r="BZ28" i="1"/>
  <c r="BH78" i="1"/>
  <c r="BH77" i="1"/>
  <c r="BW78" i="1"/>
  <c r="BW77" i="1"/>
  <c r="DA51" i="1"/>
  <c r="AB56" i="1"/>
  <c r="CT56" i="1" s="1"/>
  <c r="BC56" i="1"/>
  <c r="W60" i="1"/>
  <c r="BB60" i="1"/>
  <c r="AB66" i="1"/>
  <c r="P101" i="1"/>
  <c r="CL114" i="1"/>
  <c r="CT41" i="1"/>
  <c r="BJ78" i="1"/>
  <c r="BJ77" i="1"/>
  <c r="BR78" i="1"/>
  <c r="BR77" i="1"/>
  <c r="BX51" i="1"/>
  <c r="CK51" i="1"/>
  <c r="CT51" i="1"/>
  <c r="BE78" i="1"/>
  <c r="BE77" i="1"/>
  <c r="CZ53" i="1"/>
  <c r="AG56" i="1"/>
  <c r="CU56" i="1" s="1"/>
  <c r="BD56" i="1"/>
  <c r="CV63" i="1"/>
  <c r="Q101" i="1"/>
  <c r="BL78" i="1"/>
  <c r="BL77" i="1"/>
  <c r="BT78" i="1"/>
  <c r="BT77" i="1"/>
  <c r="BY51" i="1"/>
  <c r="DC51" i="1"/>
  <c r="BQ78" i="1"/>
  <c r="BQ77" i="1"/>
  <c r="R56" i="1"/>
  <c r="BT60" i="1"/>
  <c r="DC60" i="1" s="1"/>
  <c r="N101" i="1"/>
  <c r="CV41" i="1"/>
  <c r="CZ41" i="1"/>
  <c r="BF78" i="1"/>
  <c r="BF77" i="1"/>
  <c r="BM51" i="1"/>
  <c r="BV78" i="1"/>
  <c r="BV77" i="1"/>
  <c r="BE60" i="1"/>
  <c r="CZ60" i="1" s="1"/>
  <c r="BJ66" i="1"/>
  <c r="O101" i="1"/>
  <c r="DF68" i="1"/>
  <c r="BO115" i="1"/>
  <c r="BO116" i="1" s="1"/>
  <c r="CI115" i="1"/>
  <c r="CI116" i="1" s="1"/>
  <c r="AO211" i="1"/>
  <c r="AO179" i="1"/>
  <c r="AO160" i="1"/>
  <c r="AO166" i="1" s="1"/>
  <c r="BI179" i="1"/>
  <c r="BI160" i="1"/>
  <c r="BI166" i="1" s="1"/>
  <c r="CJ219" i="1"/>
  <c r="CJ170" i="1"/>
  <c r="AY181" i="1"/>
  <c r="AY162" i="1"/>
  <c r="CJ220" i="1"/>
  <c r="CJ171" i="1"/>
  <c r="AY161" i="1"/>
  <c r="AY180" i="1"/>
  <c r="CJ221" i="1"/>
  <c r="CJ172" i="1"/>
  <c r="AY182" i="1"/>
  <c r="AY163" i="1"/>
  <c r="CJ222" i="1"/>
  <c r="CJ173" i="1"/>
  <c r="AV157" i="1"/>
  <c r="AV159" i="1"/>
  <c r="BD123" i="1"/>
  <c r="BD104" i="1" s="1"/>
  <c r="CF123" i="1"/>
  <c r="CF164" i="1" s="1"/>
  <c r="CF167" i="1" s="1"/>
  <c r="CJ123" i="1"/>
  <c r="CJ183" i="1" s="1"/>
  <c r="BZ124" i="1"/>
  <c r="H126" i="1"/>
  <c r="L126" i="1"/>
  <c r="P126" i="1"/>
  <c r="T126" i="1"/>
  <c r="X126" i="1"/>
  <c r="AB126" i="1"/>
  <c r="AF126" i="1"/>
  <c r="AJ126" i="1"/>
  <c r="AN126" i="1"/>
  <c r="AR126" i="1"/>
  <c r="AV126" i="1"/>
  <c r="AZ126" i="1"/>
  <c r="BD126" i="1"/>
  <c r="BH126" i="1"/>
  <c r="BL126" i="1"/>
  <c r="BP126" i="1"/>
  <c r="BT126" i="1"/>
  <c r="BX126" i="1"/>
  <c r="CB126" i="1"/>
  <c r="CF126" i="1"/>
  <c r="CJ126" i="1"/>
  <c r="CN126" i="1"/>
  <c r="BY131" i="1"/>
  <c r="BY292" i="1" s="1"/>
  <c r="BI135" i="1"/>
  <c r="AY137" i="1"/>
  <c r="BO137" i="1"/>
  <c r="AS138" i="1"/>
  <c r="BE138" i="1"/>
  <c r="BM138" i="1"/>
  <c r="BQ138" i="1"/>
  <c r="BY138" i="1"/>
  <c r="CC138" i="1"/>
  <c r="CG138" i="1"/>
  <c r="CJ144" i="1"/>
  <c r="CJ153" i="1" s="1"/>
  <c r="CK145" i="1"/>
  <c r="CK154" i="1" s="1"/>
  <c r="AR223" i="1"/>
  <c r="AR156" i="1"/>
  <c r="AV223" i="1"/>
  <c r="AV156" i="1"/>
  <c r="AZ223" i="1"/>
  <c r="AZ164" i="1"/>
  <c r="AZ167" i="1" s="1"/>
  <c r="AZ156" i="1"/>
  <c r="BD156" i="1"/>
  <c r="BH164" i="1"/>
  <c r="BH167" i="1" s="1"/>
  <c r="BH156" i="1"/>
  <c r="BL164" i="1"/>
  <c r="BL167" i="1" s="1"/>
  <c r="BL156" i="1"/>
  <c r="BP164" i="1"/>
  <c r="BP167" i="1" s="1"/>
  <c r="BP156" i="1"/>
  <c r="BT164" i="1"/>
  <c r="BT167" i="1" s="1"/>
  <c r="BT156" i="1"/>
  <c r="BX164" i="1"/>
  <c r="BX167" i="1" s="1"/>
  <c r="BX156" i="1"/>
  <c r="CB164" i="1"/>
  <c r="CB156" i="1"/>
  <c r="CF156" i="1"/>
  <c r="BE151" i="1"/>
  <c r="BJ152" i="1"/>
  <c r="BE155" i="1"/>
  <c r="AU156" i="1"/>
  <c r="AQ157" i="1"/>
  <c r="BF183" i="1"/>
  <c r="BJ183" i="1"/>
  <c r="BV183" i="1"/>
  <c r="BZ183" i="1"/>
  <c r="AT211" i="1"/>
  <c r="AT179" i="1"/>
  <c r="AT160" i="1"/>
  <c r="AT166" i="1" s="1"/>
  <c r="BO219" i="1"/>
  <c r="BO179" i="1"/>
  <c r="CK119" i="1"/>
  <c r="BD181" i="1"/>
  <c r="BD162" i="1"/>
  <c r="CK120" i="1"/>
  <c r="BD161" i="1"/>
  <c r="BD180" i="1"/>
  <c r="CK121" i="1"/>
  <c r="BD182" i="1"/>
  <c r="BD163" i="1"/>
  <c r="CK122" i="1"/>
  <c r="AO123" i="1"/>
  <c r="AO104" i="1" s="1"/>
  <c r="AO106" i="1" s="1"/>
  <c r="BA157" i="1"/>
  <c r="BA159" i="1"/>
  <c r="BI123" i="1"/>
  <c r="BI164" i="1" s="1"/>
  <c r="BI167" i="1" s="1"/>
  <c r="BU123" i="1"/>
  <c r="BU104" i="1" s="1"/>
  <c r="BO124" i="1"/>
  <c r="I126" i="1"/>
  <c r="M126" i="1"/>
  <c r="Q126" i="1"/>
  <c r="U126" i="1"/>
  <c r="Y126" i="1"/>
  <c r="AC126" i="1"/>
  <c r="AG126" i="1"/>
  <c r="AK126" i="1"/>
  <c r="AO126" i="1"/>
  <c r="AS126" i="1"/>
  <c r="AW126" i="1"/>
  <c r="BA126" i="1"/>
  <c r="BE126" i="1"/>
  <c r="BI126" i="1"/>
  <c r="BM126" i="1"/>
  <c r="BQ126" i="1"/>
  <c r="BU126" i="1"/>
  <c r="BY126" i="1"/>
  <c r="CC126" i="1"/>
  <c r="CG126" i="1"/>
  <c r="CK126" i="1"/>
  <c r="BJ131" i="1"/>
  <c r="BJ292" i="1" s="1"/>
  <c r="CD131" i="1"/>
  <c r="CD292" i="1" s="1"/>
  <c r="BI134" i="1"/>
  <c r="AY136" i="1"/>
  <c r="BO136" i="1"/>
  <c r="BD137" i="1"/>
  <c r="BT137" i="1"/>
  <c r="AP138" i="1"/>
  <c r="BF138" i="1"/>
  <c r="BJ138" i="1"/>
  <c r="BR138" i="1"/>
  <c r="BV138" i="1"/>
  <c r="CD138" i="1"/>
  <c r="CH138" i="1"/>
  <c r="CJ143" i="1"/>
  <c r="CJ152" i="1" s="1"/>
  <c r="BA223" i="1"/>
  <c r="BA164" i="1"/>
  <c r="BA167" i="1" s="1"/>
  <c r="BE147" i="1"/>
  <c r="BJ156" i="1" s="1"/>
  <c r="BM164" i="1"/>
  <c r="BM167" i="1" s="1"/>
  <c r="BQ164" i="1"/>
  <c r="BQ167" i="1" s="1"/>
  <c r="BY164" i="1"/>
  <c r="CC164" i="1"/>
  <c r="CG164" i="1"/>
  <c r="CG167" i="1" s="1"/>
  <c r="BJ151" i="1"/>
  <c r="BE154" i="1"/>
  <c r="AQ156" i="1"/>
  <c r="AW156" i="1"/>
  <c r="BM156" i="1"/>
  <c r="BU156" i="1"/>
  <c r="CC156" i="1"/>
  <c r="AV330" i="1"/>
  <c r="AV329" i="1"/>
  <c r="AV331" i="1"/>
  <c r="AV327" i="1"/>
  <c r="AV328" i="1"/>
  <c r="AV208" i="1"/>
  <c r="AV199" i="1"/>
  <c r="AV195" i="1"/>
  <c r="AV194" i="1"/>
  <c r="AV197" i="1"/>
  <c r="AV193" i="1"/>
  <c r="AV196" i="1"/>
  <c r="AV183" i="1"/>
  <c r="BG183" i="1"/>
  <c r="BK183" i="1"/>
  <c r="BW183" i="1"/>
  <c r="AY179" i="1"/>
  <c r="AY160" i="1"/>
  <c r="AY166" i="1" s="1"/>
  <c r="BU179" i="1"/>
  <c r="BU160" i="1"/>
  <c r="BU166" i="1" s="1"/>
  <c r="AO213" i="1"/>
  <c r="AO181" i="1"/>
  <c r="AO162" i="1"/>
  <c r="BI181" i="1"/>
  <c r="BI162" i="1"/>
  <c r="AO180" i="1"/>
  <c r="AO161" i="1"/>
  <c r="BI180" i="1"/>
  <c r="BI161" i="1"/>
  <c r="AO214" i="1"/>
  <c r="AO163" i="1"/>
  <c r="AO182" i="1"/>
  <c r="BI163" i="1"/>
  <c r="BI182" i="1"/>
  <c r="AT123" i="1"/>
  <c r="AT183" i="1" s="1"/>
  <c r="BT124" i="1"/>
  <c r="CJ124" i="1"/>
  <c r="J126" i="1"/>
  <c r="N126" i="1"/>
  <c r="R126" i="1"/>
  <c r="V126" i="1"/>
  <c r="Z126" i="1"/>
  <c r="AD126" i="1"/>
  <c r="AH126" i="1"/>
  <c r="AL126" i="1"/>
  <c r="AP126" i="1"/>
  <c r="AT126" i="1"/>
  <c r="AX126" i="1"/>
  <c r="BB126" i="1"/>
  <c r="BF126" i="1"/>
  <c r="BJ126" i="1"/>
  <c r="BN126" i="1"/>
  <c r="BR126" i="1"/>
  <c r="BV126" i="1"/>
  <c r="BZ126" i="1"/>
  <c r="CD126" i="1"/>
  <c r="CH126" i="1"/>
  <c r="CL126" i="1"/>
  <c r="BO127" i="1"/>
  <c r="BO128" i="1"/>
  <c r="BO129" i="1"/>
  <c r="CI131" i="1"/>
  <c r="CI292" i="1" s="1"/>
  <c r="AT134" i="1"/>
  <c r="BN134" i="1"/>
  <c r="BZ134" i="1"/>
  <c r="AY135" i="1"/>
  <c r="BD136" i="1"/>
  <c r="BI137" i="1"/>
  <c r="AQ138" i="1"/>
  <c r="AU138" i="1"/>
  <c r="BC138" i="1"/>
  <c r="BG138" i="1"/>
  <c r="BK138" i="1"/>
  <c r="BS138" i="1"/>
  <c r="BW138" i="1"/>
  <c r="CA138" i="1"/>
  <c r="CE138" i="1"/>
  <c r="CI138" i="1"/>
  <c r="BE219" i="1"/>
  <c r="BE160" i="1"/>
  <c r="BE166" i="1" s="1"/>
  <c r="CJ142" i="1"/>
  <c r="CJ151" i="1" s="1"/>
  <c r="BB223" i="1"/>
  <c r="BB164" i="1"/>
  <c r="BB167" i="1" s="1"/>
  <c r="BF223" i="1"/>
  <c r="BF164" i="1"/>
  <c r="BF167" i="1" s="1"/>
  <c r="BJ164" i="1"/>
  <c r="BJ167" i="1" s="1"/>
  <c r="BN164" i="1"/>
  <c r="BN167" i="1" s="1"/>
  <c r="BR164" i="1"/>
  <c r="BR167" i="1" s="1"/>
  <c r="BV164" i="1"/>
  <c r="BV167" i="1" s="1"/>
  <c r="BZ164" i="1"/>
  <c r="CD164" i="1"/>
  <c r="CH164" i="1"/>
  <c r="CH167" i="1" s="1"/>
  <c r="BJ150" i="1"/>
  <c r="BE153" i="1"/>
  <c r="AS156" i="1"/>
  <c r="AX156" i="1"/>
  <c r="BF156" i="1"/>
  <c r="BN156" i="1"/>
  <c r="BV156" i="1"/>
  <c r="CD156" i="1"/>
  <c r="BD179" i="1"/>
  <c r="BD160" i="1"/>
  <c r="BD166" i="1" s="1"/>
  <c r="CF179" i="1"/>
  <c r="CF160" i="1"/>
  <c r="CF166" i="1" s="1"/>
  <c r="AT213" i="1"/>
  <c r="AT181" i="1"/>
  <c r="AT162" i="1"/>
  <c r="BO220" i="1"/>
  <c r="BO181" i="1"/>
  <c r="AT212" i="1"/>
  <c r="AT180" i="1"/>
  <c r="AT161" i="1"/>
  <c r="BO221" i="1"/>
  <c r="BO180" i="1"/>
  <c r="AT214" i="1"/>
  <c r="AT163" i="1"/>
  <c r="AT182" i="1"/>
  <c r="BO222" i="1"/>
  <c r="BO182" i="1"/>
  <c r="AY123" i="1"/>
  <c r="BO123" i="1"/>
  <c r="BO183" i="1" s="1"/>
  <c r="BU124" i="1"/>
  <c r="K126" i="1"/>
  <c r="O126" i="1"/>
  <c r="S126" i="1"/>
  <c r="W126" i="1"/>
  <c r="AA126" i="1"/>
  <c r="AE126" i="1"/>
  <c r="AI126" i="1"/>
  <c r="AM126" i="1"/>
  <c r="AQ126" i="1"/>
  <c r="AU126" i="1"/>
  <c r="AY126" i="1"/>
  <c r="BC126" i="1"/>
  <c r="BG126" i="1"/>
  <c r="BK126" i="1"/>
  <c r="BO126" i="1"/>
  <c r="BS126" i="1"/>
  <c r="BW126" i="1"/>
  <c r="CA126" i="1"/>
  <c r="CE126" i="1"/>
  <c r="CI126" i="1"/>
  <c r="CM126" i="1"/>
  <c r="CJ127" i="1"/>
  <c r="CJ128" i="1"/>
  <c r="CJ129" i="1"/>
  <c r="CJ130" i="1"/>
  <c r="BT131" i="1"/>
  <c r="BT292" i="1" s="1"/>
  <c r="AY134" i="1"/>
  <c r="BO134" i="1"/>
  <c r="BD135" i="1"/>
  <c r="BT135" i="1"/>
  <c r="BI136" i="1"/>
  <c r="AT137" i="1"/>
  <c r="BN137" i="1"/>
  <c r="AR138" i="1"/>
  <c r="AV138" i="1"/>
  <c r="BH138" i="1"/>
  <c r="BL138" i="1"/>
  <c r="BP138" i="1"/>
  <c r="BT138" i="1"/>
  <c r="BX138" i="1"/>
  <c r="CB138" i="1"/>
  <c r="CJ141" i="1"/>
  <c r="BC223" i="1"/>
  <c r="BC164" i="1"/>
  <c r="BC167" i="1" s="1"/>
  <c r="BC156" i="1"/>
  <c r="BG223" i="1"/>
  <c r="BG164" i="1"/>
  <c r="BG167" i="1" s="1"/>
  <c r="BG156" i="1"/>
  <c r="BK164" i="1"/>
  <c r="BK167" i="1" s="1"/>
  <c r="BK156" i="1"/>
  <c r="BO164" i="1"/>
  <c r="BO167" i="1" s="1"/>
  <c r="BO156" i="1"/>
  <c r="BS164" i="1"/>
  <c r="BS167" i="1" s="1"/>
  <c r="BS156" i="1"/>
  <c r="BW164" i="1"/>
  <c r="BW167" i="1" s="1"/>
  <c r="BW156" i="1"/>
  <c r="CA164" i="1"/>
  <c r="CA156" i="1"/>
  <c r="CE164" i="1"/>
  <c r="CE167" i="1" s="1"/>
  <c r="CE156" i="1"/>
  <c r="CI164" i="1"/>
  <c r="CI167" i="1" s="1"/>
  <c r="CI156" i="1"/>
  <c r="BE152" i="1"/>
  <c r="BJ153" i="1"/>
  <c r="AT156" i="1"/>
  <c r="BA156" i="1"/>
  <c r="BI156" i="1"/>
  <c r="BQ156" i="1"/>
  <c r="BY156" i="1"/>
  <c r="CG156" i="1"/>
  <c r="AL157" i="1"/>
  <c r="CH183" i="1"/>
  <c r="BY166" i="1"/>
  <c r="B202" i="1"/>
  <c r="B193" i="1"/>
  <c r="B186" i="1"/>
  <c r="CK190" i="1"/>
  <c r="CK197" i="1"/>
  <c r="AN330" i="1"/>
  <c r="AN329" i="1"/>
  <c r="AN332" i="1"/>
  <c r="AN331" i="1"/>
  <c r="AN327" i="1"/>
  <c r="AN328" i="1"/>
  <c r="AN195" i="1"/>
  <c r="AN198" i="1"/>
  <c r="AN194" i="1"/>
  <c r="AN197" i="1"/>
  <c r="AN193" i="1"/>
  <c r="AN196" i="1"/>
  <c r="AR330" i="1"/>
  <c r="AR329" i="1"/>
  <c r="AR332" i="1"/>
  <c r="AR331" i="1"/>
  <c r="AR327" i="1"/>
  <c r="AR328" i="1"/>
  <c r="AR208" i="1"/>
  <c r="AR199" i="1"/>
  <c r="AR195" i="1"/>
  <c r="AR198" i="1"/>
  <c r="AR194" i="1"/>
  <c r="AR197" i="1"/>
  <c r="AR193" i="1"/>
  <c r="AR196" i="1"/>
  <c r="AZ330" i="1"/>
  <c r="AZ329" i="1"/>
  <c r="AZ332" i="1"/>
  <c r="AZ331" i="1"/>
  <c r="AZ327" i="1"/>
  <c r="AZ328" i="1"/>
  <c r="AZ208" i="1"/>
  <c r="AZ199" i="1"/>
  <c r="AZ195" i="1"/>
  <c r="AZ198" i="1"/>
  <c r="AZ194" i="1"/>
  <c r="AZ197" i="1"/>
  <c r="AZ193" i="1"/>
  <c r="AZ196" i="1"/>
  <c r="BD330" i="1"/>
  <c r="BD329" i="1"/>
  <c r="BD332" i="1"/>
  <c r="BD331" i="1"/>
  <c r="BD327" i="1"/>
  <c r="BD328" i="1"/>
  <c r="BD208" i="1"/>
  <c r="BD199" i="1"/>
  <c r="BD195" i="1"/>
  <c r="BD198" i="1"/>
  <c r="BD194" i="1"/>
  <c r="BD197" i="1"/>
  <c r="BD193" i="1"/>
  <c r="BD196" i="1"/>
  <c r="BH330" i="1"/>
  <c r="BH329" i="1"/>
  <c r="BH332" i="1"/>
  <c r="BH331" i="1"/>
  <c r="BH327" i="1"/>
  <c r="BH328" i="1"/>
  <c r="BH208" i="1"/>
  <c r="BH199" i="1"/>
  <c r="BH195" i="1"/>
  <c r="BH198" i="1"/>
  <c r="BH194" i="1"/>
  <c r="BH197" i="1"/>
  <c r="BH193" i="1"/>
  <c r="BH183" i="1"/>
  <c r="BH196" i="1"/>
  <c r="BL330" i="1"/>
  <c r="BL329" i="1"/>
  <c r="BL332" i="1"/>
  <c r="BL331" i="1"/>
  <c r="BL328" i="1"/>
  <c r="BL327" i="1"/>
  <c r="BL208" i="1"/>
  <c r="BL199" i="1"/>
  <c r="BL195" i="1"/>
  <c r="BL198" i="1"/>
  <c r="BL194" i="1"/>
  <c r="BL197" i="1"/>
  <c r="BL193" i="1"/>
  <c r="BL183" i="1"/>
  <c r="BL196" i="1"/>
  <c r="BP330" i="1"/>
  <c r="BP329" i="1"/>
  <c r="BP332" i="1"/>
  <c r="BP331" i="1"/>
  <c r="BP327" i="1"/>
  <c r="BP328" i="1"/>
  <c r="BP208" i="1"/>
  <c r="BP199" i="1"/>
  <c r="BP195" i="1"/>
  <c r="BP198" i="1"/>
  <c r="BP194" i="1"/>
  <c r="BP197" i="1"/>
  <c r="BP193" i="1"/>
  <c r="BP183" i="1"/>
  <c r="BP196" i="1"/>
  <c r="BT330" i="1"/>
  <c r="BT329" i="1"/>
  <c r="BT328" i="1"/>
  <c r="BT332" i="1"/>
  <c r="BT331" i="1"/>
  <c r="BT327" i="1"/>
  <c r="BT208" i="1"/>
  <c r="BT199" i="1"/>
  <c r="BT195" i="1"/>
  <c r="BT198" i="1"/>
  <c r="BT194" i="1"/>
  <c r="BT197" i="1"/>
  <c r="BT193" i="1"/>
  <c r="BT183" i="1"/>
  <c r="BT196" i="1"/>
  <c r="BX332" i="1"/>
  <c r="BX330" i="1"/>
  <c r="BX329" i="1"/>
  <c r="BX328" i="1"/>
  <c r="BX331" i="1"/>
  <c r="BX327" i="1"/>
  <c r="BX208" i="1"/>
  <c r="BX199" i="1"/>
  <c r="BX195" i="1"/>
  <c r="BX198" i="1"/>
  <c r="BX194" i="1"/>
  <c r="BX197" i="1"/>
  <c r="BX193" i="1"/>
  <c r="BX183" i="1"/>
  <c r="BX196" i="1"/>
  <c r="CB330" i="1"/>
  <c r="CB332" i="1"/>
  <c r="CB329" i="1"/>
  <c r="CB328" i="1"/>
  <c r="CB331" i="1"/>
  <c r="CB327" i="1"/>
  <c r="CB208" i="1"/>
  <c r="CB199" i="1"/>
  <c r="CB195" i="1"/>
  <c r="CB198" i="1"/>
  <c r="CB194" i="1"/>
  <c r="CB197" i="1"/>
  <c r="CB193" i="1"/>
  <c r="CB183" i="1"/>
  <c r="CB196" i="1"/>
  <c r="CF330" i="1"/>
  <c r="CF329" i="1"/>
  <c r="CF332" i="1"/>
  <c r="CF328" i="1"/>
  <c r="CF331" i="1"/>
  <c r="CF327" i="1"/>
  <c r="CF199" i="1"/>
  <c r="CF195" i="1"/>
  <c r="CF194" i="1"/>
  <c r="CF198" i="1"/>
  <c r="CF197" i="1"/>
  <c r="CF193" i="1"/>
  <c r="CF196" i="1"/>
  <c r="CJ332" i="1"/>
  <c r="CJ208" i="1"/>
  <c r="CJ199" i="1"/>
  <c r="CJ198" i="1"/>
  <c r="CJ310" i="1" s="1"/>
  <c r="AN183" i="1"/>
  <c r="AR183" i="1"/>
  <c r="AZ183" i="1"/>
  <c r="CK160" i="1"/>
  <c r="CK166" i="1" s="1"/>
  <c r="CM165" i="1"/>
  <c r="BJ166" i="1"/>
  <c r="BJ202" i="1"/>
  <c r="BE202" i="1"/>
  <c r="BE186" i="1"/>
  <c r="B203" i="1"/>
  <c r="B194" i="1"/>
  <c r="B187" i="1"/>
  <c r="B204" i="1"/>
  <c r="B195" i="1"/>
  <c r="B188" i="1"/>
  <c r="B205" i="1"/>
  <c r="B196" i="1"/>
  <c r="B189" i="1"/>
  <c r="B206" i="1"/>
  <c r="B197" i="1"/>
  <c r="B190" i="1"/>
  <c r="AV207" i="1"/>
  <c r="BA207" i="1"/>
  <c r="AV198" i="1"/>
  <c r="AO329" i="1"/>
  <c r="AO332" i="1"/>
  <c r="AO328" i="1"/>
  <c r="AO331" i="1"/>
  <c r="AO330" i="1"/>
  <c r="AO327" i="1"/>
  <c r="AO198" i="1"/>
  <c r="AO194" i="1"/>
  <c r="AO199" i="1"/>
  <c r="AO197" i="1"/>
  <c r="AO193" i="1"/>
  <c r="AO196" i="1"/>
  <c r="AO195" i="1"/>
  <c r="AS329" i="1"/>
  <c r="AS332" i="1"/>
  <c r="AS328" i="1"/>
  <c r="AS331" i="1"/>
  <c r="AS330" i="1"/>
  <c r="AS327" i="1"/>
  <c r="AS199" i="1"/>
  <c r="AS198" i="1"/>
  <c r="AS194" i="1"/>
  <c r="AS197" i="1"/>
  <c r="AS193" i="1"/>
  <c r="AS196" i="1"/>
  <c r="AS208" i="1"/>
  <c r="AS195" i="1"/>
  <c r="AW329" i="1"/>
  <c r="AW332" i="1"/>
  <c r="AW328" i="1"/>
  <c r="AW331" i="1"/>
  <c r="AW330" i="1"/>
  <c r="AW327" i="1"/>
  <c r="AW198" i="1"/>
  <c r="AW194" i="1"/>
  <c r="AW197" i="1"/>
  <c r="AW193" i="1"/>
  <c r="AW208" i="1"/>
  <c r="AW196" i="1"/>
  <c r="AW199" i="1"/>
  <c r="AW195" i="1"/>
  <c r="BA329" i="1"/>
  <c r="BA332" i="1"/>
  <c r="BA328" i="1"/>
  <c r="BA331" i="1"/>
  <c r="BA330" i="1"/>
  <c r="BA327" i="1"/>
  <c r="BA198" i="1"/>
  <c r="BA194" i="1"/>
  <c r="BA208" i="1"/>
  <c r="BA197" i="1"/>
  <c r="BA193" i="1"/>
  <c r="BA199" i="1"/>
  <c r="BA196" i="1"/>
  <c r="BA195" i="1"/>
  <c r="BE176" i="1"/>
  <c r="BE193" i="1" s="1"/>
  <c r="BI329" i="1"/>
  <c r="BI332" i="1"/>
  <c r="BI328" i="1"/>
  <c r="BI331" i="1"/>
  <c r="BI330" i="1"/>
  <c r="BI327" i="1"/>
  <c r="BI199" i="1"/>
  <c r="BI198" i="1"/>
  <c r="BI194" i="1"/>
  <c r="BI197" i="1"/>
  <c r="BI193" i="1"/>
  <c r="BI196" i="1"/>
  <c r="BI208" i="1"/>
  <c r="BI195" i="1"/>
  <c r="BM329" i="1"/>
  <c r="BM332" i="1"/>
  <c r="BM328" i="1"/>
  <c r="BM331" i="1"/>
  <c r="BM330" i="1"/>
  <c r="BM327" i="1"/>
  <c r="BM198" i="1"/>
  <c r="BM194" i="1"/>
  <c r="BM197" i="1"/>
  <c r="BM193" i="1"/>
  <c r="BM208" i="1"/>
  <c r="BM196" i="1"/>
  <c r="BM199" i="1"/>
  <c r="BM195" i="1"/>
  <c r="BQ332" i="1"/>
  <c r="BQ329" i="1"/>
  <c r="BQ328" i="1"/>
  <c r="BQ331" i="1"/>
  <c r="BQ330" i="1"/>
  <c r="BQ327" i="1"/>
  <c r="BQ198" i="1"/>
  <c r="BQ194" i="1"/>
  <c r="BQ208" i="1"/>
  <c r="BQ197" i="1"/>
  <c r="BQ193" i="1"/>
  <c r="BQ199" i="1"/>
  <c r="BQ196" i="1"/>
  <c r="BQ195" i="1"/>
  <c r="BU332" i="1"/>
  <c r="BU329" i="1"/>
  <c r="BU328" i="1"/>
  <c r="BU331" i="1"/>
  <c r="BU330" i="1"/>
  <c r="BU327" i="1"/>
  <c r="BU208" i="1"/>
  <c r="BU198" i="1"/>
  <c r="BU194" i="1"/>
  <c r="BU199" i="1"/>
  <c r="BU197" i="1"/>
  <c r="BU193" i="1"/>
  <c r="BU196" i="1"/>
  <c r="BU195" i="1"/>
  <c r="BY332" i="1"/>
  <c r="BY329" i="1"/>
  <c r="BY328" i="1"/>
  <c r="BY331" i="1"/>
  <c r="BY330" i="1"/>
  <c r="BY327" i="1"/>
  <c r="BY199" i="1"/>
  <c r="BY198" i="1"/>
  <c r="BY194" i="1"/>
  <c r="BY197" i="1"/>
  <c r="BY193" i="1"/>
  <c r="BY196" i="1"/>
  <c r="BY208" i="1"/>
  <c r="BY195" i="1"/>
  <c r="CC332" i="1"/>
  <c r="CC329" i="1"/>
  <c r="CC328" i="1"/>
  <c r="CC331" i="1"/>
  <c r="CC330" i="1"/>
  <c r="CC327" i="1"/>
  <c r="CC198" i="1"/>
  <c r="CC194" i="1"/>
  <c r="CC197" i="1"/>
  <c r="CC193" i="1"/>
  <c r="CC208" i="1"/>
  <c r="CC196" i="1"/>
  <c r="CC199" i="1"/>
  <c r="CC195" i="1"/>
  <c r="CG332" i="1"/>
  <c r="CG329" i="1"/>
  <c r="CG328" i="1"/>
  <c r="CG331" i="1"/>
  <c r="CG330" i="1"/>
  <c r="CG327" i="1"/>
  <c r="CG194" i="1"/>
  <c r="CG208" i="1"/>
  <c r="CG198" i="1"/>
  <c r="CG197" i="1"/>
  <c r="CG193" i="1"/>
  <c r="CG199" i="1"/>
  <c r="CG196" i="1"/>
  <c r="CG195" i="1"/>
  <c r="CK332" i="1"/>
  <c r="CK208" i="1"/>
  <c r="CK199" i="1"/>
  <c r="CK198" i="1"/>
  <c r="CK310" i="1" s="1"/>
  <c r="BE179" i="1"/>
  <c r="AS183" i="1"/>
  <c r="AW183" i="1"/>
  <c r="BA183" i="1"/>
  <c r="BQ183" i="1"/>
  <c r="CC183" i="1"/>
  <c r="BZ165" i="1"/>
  <c r="BY167" i="1"/>
  <c r="CF202" i="1"/>
  <c r="CA202" i="1"/>
  <c r="CA186" i="1"/>
  <c r="BJ203" i="1"/>
  <c r="BE187" i="1"/>
  <c r="BE203" i="1"/>
  <c r="BJ204" i="1"/>
  <c r="BE204" i="1"/>
  <c r="BE188" i="1"/>
  <c r="BJ205" i="1"/>
  <c r="BE205" i="1"/>
  <c r="BE189" i="1"/>
  <c r="BJ206" i="1"/>
  <c r="BE206" i="1"/>
  <c r="BE190" i="1"/>
  <c r="AL332" i="1"/>
  <c r="AL328" i="1"/>
  <c r="AL331" i="1"/>
  <c r="AL330" i="1"/>
  <c r="AL329" i="1"/>
  <c r="AL327" i="1"/>
  <c r="AL199" i="1"/>
  <c r="AL197" i="1"/>
  <c r="AL193" i="1"/>
  <c r="AL196" i="1"/>
  <c r="AL195" i="1"/>
  <c r="AL198" i="1"/>
  <c r="AL194" i="1"/>
  <c r="AP332" i="1"/>
  <c r="AP328" i="1"/>
  <c r="AP331" i="1"/>
  <c r="AP330" i="1"/>
  <c r="AP329" i="1"/>
  <c r="AP327" i="1"/>
  <c r="AP199" i="1"/>
  <c r="AP197" i="1"/>
  <c r="AP193" i="1"/>
  <c r="AP196" i="1"/>
  <c r="AP195" i="1"/>
  <c r="AP198" i="1"/>
  <c r="AP194" i="1"/>
  <c r="AT332" i="1"/>
  <c r="AT328" i="1"/>
  <c r="AT331" i="1"/>
  <c r="AT330" i="1"/>
  <c r="AT329" i="1"/>
  <c r="AT327" i="1"/>
  <c r="AT208" i="1"/>
  <c r="AT199" i="1"/>
  <c r="AT197" i="1"/>
  <c r="AT193" i="1"/>
  <c r="AT196" i="1"/>
  <c r="AT195" i="1"/>
  <c r="AT198" i="1"/>
  <c r="AT194" i="1"/>
  <c r="AX332" i="1"/>
  <c r="AX328" i="1"/>
  <c r="AX331" i="1"/>
  <c r="AX330" i="1"/>
  <c r="AX329" i="1"/>
  <c r="AX327" i="1"/>
  <c r="AX208" i="1"/>
  <c r="AX199" i="1"/>
  <c r="AX197" i="1"/>
  <c r="AX193" i="1"/>
  <c r="AX196" i="1"/>
  <c r="AX195" i="1"/>
  <c r="AX198" i="1"/>
  <c r="AX194" i="1"/>
  <c r="BB332" i="1"/>
  <c r="BB328" i="1"/>
  <c r="BB331" i="1"/>
  <c r="BB330" i="1"/>
  <c r="BB329" i="1"/>
  <c r="BB327" i="1"/>
  <c r="BB208" i="1"/>
  <c r="BB199" i="1"/>
  <c r="BB197" i="1"/>
  <c r="BB193" i="1"/>
  <c r="BB196" i="1"/>
  <c r="BB195" i="1"/>
  <c r="BB198" i="1"/>
  <c r="BB194" i="1"/>
  <c r="BF332" i="1"/>
  <c r="BF328" i="1"/>
  <c r="BF331" i="1"/>
  <c r="BF330" i="1"/>
  <c r="BF329" i="1"/>
  <c r="BF327" i="1"/>
  <c r="BF208" i="1"/>
  <c r="BF199" i="1"/>
  <c r="BF197" i="1"/>
  <c r="BF193" i="1"/>
  <c r="BF196" i="1"/>
  <c r="BF195" i="1"/>
  <c r="BF198" i="1"/>
  <c r="BF194" i="1"/>
  <c r="BJ332" i="1"/>
  <c r="BJ328" i="1"/>
  <c r="BJ331" i="1"/>
  <c r="BJ330" i="1"/>
  <c r="BJ329" i="1"/>
  <c r="BJ327" i="1"/>
  <c r="BJ199" i="1"/>
  <c r="BJ197" i="1"/>
  <c r="BJ193" i="1"/>
  <c r="BJ196" i="1"/>
  <c r="BJ195" i="1"/>
  <c r="BJ198" i="1"/>
  <c r="BJ194" i="1"/>
  <c r="BN332" i="1"/>
  <c r="BN328" i="1"/>
  <c r="BN331" i="1"/>
  <c r="BN330" i="1"/>
  <c r="BN329" i="1"/>
  <c r="BN327" i="1"/>
  <c r="BN208" i="1"/>
  <c r="BN199" i="1"/>
  <c r="BN197" i="1"/>
  <c r="BN193" i="1"/>
  <c r="BN196" i="1"/>
  <c r="BN195" i="1"/>
  <c r="BN198" i="1"/>
  <c r="BN194" i="1"/>
  <c r="BR328" i="1"/>
  <c r="BR332" i="1"/>
  <c r="BR331" i="1"/>
  <c r="BR330" i="1"/>
  <c r="BR329" i="1"/>
  <c r="BR327" i="1"/>
  <c r="BR208" i="1"/>
  <c r="BR199" i="1"/>
  <c r="BR197" i="1"/>
  <c r="BR193" i="1"/>
  <c r="BR196" i="1"/>
  <c r="BR195" i="1"/>
  <c r="BR198" i="1"/>
  <c r="BR194" i="1"/>
  <c r="BV328" i="1"/>
  <c r="BV331" i="1"/>
  <c r="BV332" i="1"/>
  <c r="BV330" i="1"/>
  <c r="BV329" i="1"/>
  <c r="BV327" i="1"/>
  <c r="BV208" i="1"/>
  <c r="BV199" i="1"/>
  <c r="BV197" i="1"/>
  <c r="BV193" i="1"/>
  <c r="BV196" i="1"/>
  <c r="BV195" i="1"/>
  <c r="BV198" i="1"/>
  <c r="BV194" i="1"/>
  <c r="BZ328" i="1"/>
  <c r="BZ331" i="1"/>
  <c r="BZ330" i="1"/>
  <c r="BZ332" i="1"/>
  <c r="BZ329" i="1"/>
  <c r="BZ327" i="1"/>
  <c r="BZ208" i="1"/>
  <c r="BZ199" i="1"/>
  <c r="BZ197" i="1"/>
  <c r="BZ193" i="1"/>
  <c r="BZ196" i="1"/>
  <c r="BZ195" i="1"/>
  <c r="BZ198" i="1"/>
  <c r="BZ194" i="1"/>
  <c r="CD332" i="1"/>
  <c r="CD328" i="1"/>
  <c r="CD331" i="1"/>
  <c r="CD330" i="1"/>
  <c r="CD329" i="1"/>
  <c r="CD327" i="1"/>
  <c r="CD208" i="1"/>
  <c r="CD199" i="1"/>
  <c r="CD197" i="1"/>
  <c r="CD193" i="1"/>
  <c r="CD196" i="1"/>
  <c r="CD195" i="1"/>
  <c r="CD198" i="1"/>
  <c r="CD194" i="1"/>
  <c r="CH328" i="1"/>
  <c r="CH332" i="1"/>
  <c r="CH331" i="1"/>
  <c r="CH330" i="1"/>
  <c r="CH329" i="1"/>
  <c r="CH327" i="1"/>
  <c r="CH208" i="1"/>
  <c r="CH199" i="1"/>
  <c r="CH198" i="1"/>
  <c r="CH197" i="1"/>
  <c r="CH193" i="1"/>
  <c r="CH196" i="1"/>
  <c r="CH195" i="1"/>
  <c r="CH194" i="1"/>
  <c r="BE180" i="1"/>
  <c r="AL183" i="1"/>
  <c r="AP183" i="1"/>
  <c r="AX183" i="1"/>
  <c r="BB183" i="1"/>
  <c r="BM183" i="1"/>
  <c r="BR183" i="1"/>
  <c r="CD183" i="1"/>
  <c r="CJ190" i="1"/>
  <c r="CJ197" i="1"/>
  <c r="AM331" i="1"/>
  <c r="AM330" i="1"/>
  <c r="AM329" i="1"/>
  <c r="AM332" i="1"/>
  <c r="AM328" i="1"/>
  <c r="AM327" i="1"/>
  <c r="AM199" i="1"/>
  <c r="AM196" i="1"/>
  <c r="AM195" i="1"/>
  <c r="AM198" i="1"/>
  <c r="AM194" i="1"/>
  <c r="AM197" i="1"/>
  <c r="AM193" i="1"/>
  <c r="AQ331" i="1"/>
  <c r="AQ330" i="1"/>
  <c r="AQ329" i="1"/>
  <c r="AQ332" i="1"/>
  <c r="AQ327" i="1"/>
  <c r="AQ328" i="1"/>
  <c r="AQ208" i="1"/>
  <c r="AQ199" i="1"/>
  <c r="AQ196" i="1"/>
  <c r="AQ195" i="1"/>
  <c r="AQ198" i="1"/>
  <c r="AQ194" i="1"/>
  <c r="AQ197" i="1"/>
  <c r="AQ193" i="1"/>
  <c r="AU331" i="1"/>
  <c r="AU330" i="1"/>
  <c r="AU329" i="1"/>
  <c r="AU332" i="1"/>
  <c r="AU328" i="1"/>
  <c r="AU327" i="1"/>
  <c r="AU208" i="1"/>
  <c r="AU199" i="1"/>
  <c r="AU196" i="1"/>
  <c r="AU195" i="1"/>
  <c r="AU198" i="1"/>
  <c r="AU194" i="1"/>
  <c r="AU197" i="1"/>
  <c r="AU193" i="1"/>
  <c r="AY331" i="1"/>
  <c r="AY330" i="1"/>
  <c r="AY329" i="1"/>
  <c r="AY332" i="1"/>
  <c r="AY327" i="1"/>
  <c r="AY328" i="1"/>
  <c r="AY208" i="1"/>
  <c r="AY199" i="1"/>
  <c r="AY196" i="1"/>
  <c r="AY195" i="1"/>
  <c r="AY198" i="1"/>
  <c r="AY194" i="1"/>
  <c r="AY197" i="1"/>
  <c r="AY193" i="1"/>
  <c r="BC331" i="1"/>
  <c r="BC330" i="1"/>
  <c r="BC329" i="1"/>
  <c r="BC332" i="1"/>
  <c r="BC328" i="1"/>
  <c r="BC327" i="1"/>
  <c r="BC208" i="1"/>
  <c r="BC199" i="1"/>
  <c r="BC196" i="1"/>
  <c r="BC195" i="1"/>
  <c r="BC198" i="1"/>
  <c r="BC194" i="1"/>
  <c r="BC197" i="1"/>
  <c r="BC193" i="1"/>
  <c r="BG331" i="1"/>
  <c r="BG330" i="1"/>
  <c r="BG329" i="1"/>
  <c r="BG332" i="1"/>
  <c r="BG327" i="1"/>
  <c r="BG328" i="1"/>
  <c r="BG208" i="1"/>
  <c r="BG199" i="1"/>
  <c r="BG196" i="1"/>
  <c r="BG195" i="1"/>
  <c r="BG198" i="1"/>
  <c r="BG194" i="1"/>
  <c r="BG197" i="1"/>
  <c r="BG193" i="1"/>
  <c r="BK331" i="1"/>
  <c r="BK330" i="1"/>
  <c r="BK329" i="1"/>
  <c r="BK332" i="1"/>
  <c r="BK328" i="1"/>
  <c r="BK327" i="1"/>
  <c r="BK208" i="1"/>
  <c r="BK199" i="1"/>
  <c r="BK196" i="1"/>
  <c r="BK195" i="1"/>
  <c r="BK198" i="1"/>
  <c r="BK194" i="1"/>
  <c r="BK197" i="1"/>
  <c r="BK193" i="1"/>
  <c r="BO331" i="1"/>
  <c r="BO330" i="1"/>
  <c r="BO329" i="1"/>
  <c r="BO332" i="1"/>
  <c r="BO328" i="1"/>
  <c r="BO327" i="1"/>
  <c r="BO208" i="1"/>
  <c r="BO199" i="1"/>
  <c r="BO196" i="1"/>
  <c r="BO195" i="1"/>
  <c r="BO198" i="1"/>
  <c r="BO194" i="1"/>
  <c r="BO197" i="1"/>
  <c r="BO193" i="1"/>
  <c r="BS332" i="1"/>
  <c r="BS331" i="1"/>
  <c r="BS330" i="1"/>
  <c r="BS329" i="1"/>
  <c r="BS328" i="1"/>
  <c r="BS327" i="1"/>
  <c r="BS208" i="1"/>
  <c r="BS199" i="1"/>
  <c r="BS196" i="1"/>
  <c r="BS195" i="1"/>
  <c r="BS198" i="1"/>
  <c r="BS194" i="1"/>
  <c r="BS197" i="1"/>
  <c r="BS193" i="1"/>
  <c r="BW331" i="1"/>
  <c r="BW332" i="1"/>
  <c r="BW330" i="1"/>
  <c r="BW329" i="1"/>
  <c r="BW328" i="1"/>
  <c r="BW327" i="1"/>
  <c r="BW208" i="1"/>
  <c r="BW199" i="1"/>
  <c r="BW196" i="1"/>
  <c r="BW195" i="1"/>
  <c r="BW198" i="1"/>
  <c r="BW194" i="1"/>
  <c r="BW197" i="1"/>
  <c r="BW193" i="1"/>
  <c r="CA176" i="1"/>
  <c r="CA193" i="1" s="1"/>
  <c r="CE331" i="1"/>
  <c r="CE327" i="1"/>
  <c r="CE330" i="1"/>
  <c r="CE329" i="1"/>
  <c r="CE332" i="1"/>
  <c r="CE328" i="1"/>
  <c r="CE208" i="1"/>
  <c r="CE199" i="1"/>
  <c r="CE198" i="1"/>
  <c r="CE196" i="1"/>
  <c r="CE195" i="1"/>
  <c r="CE194" i="1"/>
  <c r="CE197" i="1"/>
  <c r="CE193" i="1"/>
  <c r="CE183" i="1"/>
  <c r="CI332" i="1"/>
  <c r="CI331" i="1"/>
  <c r="CI327" i="1"/>
  <c r="CI330" i="1"/>
  <c r="CI329" i="1"/>
  <c r="CI328" i="1"/>
  <c r="CI208" i="1"/>
  <c r="CI199" i="1"/>
  <c r="CI198" i="1"/>
  <c r="CI196" i="1"/>
  <c r="CI195" i="1"/>
  <c r="CI194" i="1"/>
  <c r="CI197" i="1"/>
  <c r="CI193" i="1"/>
  <c r="CI183" i="1"/>
  <c r="CA179" i="1"/>
  <c r="BE181" i="1"/>
  <c r="AM183" i="1"/>
  <c r="AQ183" i="1"/>
  <c r="AU183" i="1"/>
  <c r="AY183" i="1"/>
  <c r="BC183" i="1"/>
  <c r="BN183" i="1"/>
  <c r="BS183" i="1"/>
  <c r="BY183" i="1"/>
  <c r="CG183" i="1"/>
  <c r="BE221" i="1"/>
  <c r="AY211" i="1"/>
  <c r="BG211" i="1"/>
  <c r="BI219" i="1"/>
  <c r="BI211" i="1" s="1"/>
  <c r="AO212" i="1"/>
  <c r="AY220" i="1"/>
  <c r="AY212" i="1" s="1"/>
  <c r="AW212" i="1"/>
  <c r="BY243" i="1"/>
  <c r="BD313" i="1"/>
  <c r="BD264" i="1"/>
  <c r="BD293" i="1"/>
  <c r="BD300" i="1" s="1"/>
  <c r="BD252" i="1"/>
  <c r="BD350" i="1" s="1"/>
  <c r="BD351" i="1" s="1"/>
  <c r="CF313" i="1"/>
  <c r="CF264" i="1"/>
  <c r="CF293" i="1"/>
  <c r="CF300" i="1" s="1"/>
  <c r="CF252" i="1"/>
  <c r="CF298" i="1" s="1"/>
  <c r="CF301" i="1" s="1"/>
  <c r="AO347" i="1"/>
  <c r="AO315" i="1"/>
  <c r="AO295" i="1"/>
  <c r="AO252" i="1"/>
  <c r="AO317" i="1" s="1"/>
  <c r="BI315" i="1"/>
  <c r="BI295" i="1"/>
  <c r="BN265" i="1"/>
  <c r="BI265" i="1"/>
  <c r="BI252" i="1"/>
  <c r="BI298" i="1" s="1"/>
  <c r="BI301" i="1" s="1"/>
  <c r="CD243" i="1"/>
  <c r="BT261" i="1"/>
  <c r="CA299" i="1"/>
  <c r="CB299" i="1" s="1"/>
  <c r="CC299" i="1" s="1"/>
  <c r="CC351" i="1" s="1"/>
  <c r="BZ300" i="1"/>
  <c r="AT345" i="1"/>
  <c r="AT313" i="1"/>
  <c r="AT264" i="1"/>
  <c r="AT293" i="1"/>
  <c r="AT300" i="1" s="1"/>
  <c r="AT252" i="1"/>
  <c r="AT317" i="1" s="1"/>
  <c r="BO354" i="1"/>
  <c r="BO313" i="1"/>
  <c r="BO252" i="1"/>
  <c r="BT253" i="1"/>
  <c r="BT264" i="1"/>
  <c r="BO253" i="1"/>
  <c r="BO264" i="1"/>
  <c r="BO256" i="1"/>
  <c r="CK354" i="1"/>
  <c r="AY315" i="1"/>
  <c r="AY265" i="1"/>
  <c r="AY295" i="1"/>
  <c r="CJ355" i="1"/>
  <c r="CJ359" i="1" s="1"/>
  <c r="CJ305" i="1"/>
  <c r="CJ273" i="1"/>
  <c r="CJ283" i="1" s="1"/>
  <c r="CJ257" i="1"/>
  <c r="CK248" i="1"/>
  <c r="AT346" i="1"/>
  <c r="AT314" i="1"/>
  <c r="AT294" i="1"/>
  <c r="AT266" i="1"/>
  <c r="BO356" i="1"/>
  <c r="BO314" i="1"/>
  <c r="BT266" i="1"/>
  <c r="BO266" i="1"/>
  <c r="BO258" i="1"/>
  <c r="AT348" i="1"/>
  <c r="AT316" i="1"/>
  <c r="BO357" i="1"/>
  <c r="BO316" i="1"/>
  <c r="BZ253" i="1"/>
  <c r="CI261" i="1"/>
  <c r="AY264" i="1"/>
  <c r="BD265" i="1"/>
  <c r="BI266" i="1"/>
  <c r="AT267" i="1"/>
  <c r="BN267" i="1"/>
  <c r="AR269" i="1"/>
  <c r="AV269" i="1"/>
  <c r="AZ269" i="1"/>
  <c r="BH269" i="1"/>
  <c r="BL269" i="1"/>
  <c r="BP269" i="1"/>
  <c r="BT269" i="1"/>
  <c r="BX269" i="1"/>
  <c r="CB269" i="1"/>
  <c r="CJ275" i="1"/>
  <c r="CJ285" i="1" s="1"/>
  <c r="BJ283" i="1"/>
  <c r="BJ221" i="1" s="1"/>
  <c r="BJ285" i="1"/>
  <c r="BJ223" i="1" s="1"/>
  <c r="BJ288" i="1"/>
  <c r="AZ289" i="1"/>
  <c r="BD289" i="1"/>
  <c r="BH289" i="1"/>
  <c r="BL289" i="1"/>
  <c r="BP289" i="1"/>
  <c r="BT289" i="1"/>
  <c r="BX289" i="1"/>
  <c r="CB289" i="1"/>
  <c r="CF289" i="1"/>
  <c r="BA290" i="1"/>
  <c r="AN292" i="1"/>
  <c r="AV292" i="1"/>
  <c r="AY294" i="1"/>
  <c r="BE296" i="1"/>
  <c r="BI296" i="1"/>
  <c r="BB298" i="1"/>
  <c r="BB301" i="1" s="1"/>
  <c r="BF298" i="1"/>
  <c r="BF301" i="1" s="1"/>
  <c r="BJ298" i="1"/>
  <c r="BJ301" i="1" s="1"/>
  <c r="BN298" i="1"/>
  <c r="BN301" i="1" s="1"/>
  <c r="BR298" i="1"/>
  <c r="BR301" i="1" s="1"/>
  <c r="BV298" i="1"/>
  <c r="BV301" i="1" s="1"/>
  <c r="BZ298" i="1"/>
  <c r="BZ301" i="1" s="1"/>
  <c r="CD298" i="1"/>
  <c r="CH298" i="1"/>
  <c r="CH301" i="1" s="1"/>
  <c r="BY300" i="1"/>
  <c r="BJ336" i="1"/>
  <c r="BE336" i="1"/>
  <c r="BE320" i="1"/>
  <c r="BE313" i="1"/>
  <c r="B337" i="1"/>
  <c r="B328" i="1"/>
  <c r="B321" i="1"/>
  <c r="B338" i="1"/>
  <c r="B329" i="1"/>
  <c r="B322" i="1"/>
  <c r="B339" i="1"/>
  <c r="B330" i="1"/>
  <c r="B323" i="1"/>
  <c r="B340" i="1"/>
  <c r="B331" i="1"/>
  <c r="B324" i="1"/>
  <c r="BA341" i="1"/>
  <c r="AV341" i="1"/>
  <c r="AV332" i="1"/>
  <c r="AO333" i="1"/>
  <c r="AS342" i="1"/>
  <c r="AS333" i="1"/>
  <c r="AS317" i="1"/>
  <c r="AW333" i="1"/>
  <c r="AW342" i="1"/>
  <c r="AW317" i="1"/>
  <c r="BA342" i="1"/>
  <c r="BA333" i="1"/>
  <c r="BA317" i="1"/>
  <c r="BE310" i="1"/>
  <c r="BJ342" i="1" s="1"/>
  <c r="BI342" i="1"/>
  <c r="BI333" i="1"/>
  <c r="BM333" i="1"/>
  <c r="BM342" i="1"/>
  <c r="BM317" i="1"/>
  <c r="BQ342" i="1"/>
  <c r="BQ333" i="1"/>
  <c r="BQ317" i="1"/>
  <c r="BU342" i="1"/>
  <c r="BU333" i="1"/>
  <c r="BY342" i="1"/>
  <c r="BY333" i="1"/>
  <c r="BY317" i="1"/>
  <c r="CC333" i="1"/>
  <c r="CC342" i="1"/>
  <c r="CC317" i="1"/>
  <c r="CG342" i="1"/>
  <c r="CG333" i="1"/>
  <c r="CG317" i="1"/>
  <c r="BO259" i="1"/>
  <c r="BN266" i="1"/>
  <c r="AY267" i="1"/>
  <c r="BO267" i="1"/>
  <c r="AS269" i="1"/>
  <c r="AW269" i="1"/>
  <c r="BA269" i="1"/>
  <c r="BE269" i="1"/>
  <c r="BM269" i="1"/>
  <c r="BQ269" i="1"/>
  <c r="BY269" i="1"/>
  <c r="CC269" i="1"/>
  <c r="CG269" i="1"/>
  <c r="BE282" i="1"/>
  <c r="BE220" i="1" s="1"/>
  <c r="BE284" i="1"/>
  <c r="BE222" i="1" s="1"/>
  <c r="BE287" i="1"/>
  <c r="BA289" i="1"/>
  <c r="BI289" i="1"/>
  <c r="BM289" i="1"/>
  <c r="BQ289" i="1"/>
  <c r="BU289" i="1"/>
  <c r="BY289" i="1"/>
  <c r="CC289" i="1"/>
  <c r="CG289" i="1"/>
  <c r="AL290" i="1"/>
  <c r="BE292" i="1"/>
  <c r="AO293" i="1"/>
  <c r="AO300" i="1" s="1"/>
  <c r="BE293" i="1"/>
  <c r="BE300" i="1" s="1"/>
  <c r="BI293" i="1"/>
  <c r="BI300" i="1" s="1"/>
  <c r="BU293" i="1"/>
  <c r="BU300" i="1" s="1"/>
  <c r="BD294" i="1"/>
  <c r="AT296" i="1"/>
  <c r="AU298" i="1"/>
  <c r="BC298" i="1"/>
  <c r="BC301" i="1" s="1"/>
  <c r="BG298" i="1"/>
  <c r="BG301" i="1" s="1"/>
  <c r="BK298" i="1"/>
  <c r="BK301" i="1" s="1"/>
  <c r="BO298" i="1"/>
  <c r="BO301" i="1" s="1"/>
  <c r="BS298" i="1"/>
  <c r="BS301" i="1" s="1"/>
  <c r="BW298" i="1"/>
  <c r="BW301" i="1" s="1"/>
  <c r="CA298" i="1"/>
  <c r="CE298" i="1"/>
  <c r="CE301" i="1" s="1"/>
  <c r="CI298" i="1"/>
  <c r="CI301" i="1" s="1"/>
  <c r="CM299" i="1"/>
  <c r="BJ300" i="1"/>
  <c r="CL300" i="1"/>
  <c r="CF336" i="1"/>
  <c r="CA336" i="1"/>
  <c r="CA320" i="1"/>
  <c r="CA313" i="1"/>
  <c r="BJ337" i="1"/>
  <c r="BE337" i="1"/>
  <c r="BE328" i="1"/>
  <c r="BE321" i="1"/>
  <c r="BE314" i="1"/>
  <c r="BJ338" i="1"/>
  <c r="BE338" i="1"/>
  <c r="BE315" i="1"/>
  <c r="BE322" i="1"/>
  <c r="BJ339" i="1"/>
  <c r="BE339" i="1"/>
  <c r="BE316" i="1"/>
  <c r="BE323" i="1"/>
  <c r="BE340" i="1"/>
  <c r="BJ340" i="1"/>
  <c r="BE324" i="1"/>
  <c r="AL333" i="1"/>
  <c r="AL317" i="1"/>
  <c r="AP333" i="1"/>
  <c r="AP317" i="1"/>
  <c r="AT342" i="1"/>
  <c r="AT333" i="1"/>
  <c r="AX342" i="1"/>
  <c r="AX333" i="1"/>
  <c r="AX317" i="1"/>
  <c r="BB342" i="1"/>
  <c r="BB333" i="1"/>
  <c r="BB317" i="1"/>
  <c r="BF342" i="1"/>
  <c r="BF333" i="1"/>
  <c r="BF317" i="1"/>
  <c r="BJ333" i="1"/>
  <c r="BJ317" i="1"/>
  <c r="BN342" i="1"/>
  <c r="BN333" i="1"/>
  <c r="BN317" i="1"/>
  <c r="BR342" i="1"/>
  <c r="BR333" i="1"/>
  <c r="BR317" i="1"/>
  <c r="BV342" i="1"/>
  <c r="BV333" i="1"/>
  <c r="BV317" i="1"/>
  <c r="BZ342" i="1"/>
  <c r="BZ333" i="1"/>
  <c r="BZ317" i="1"/>
  <c r="CD333" i="1"/>
  <c r="CD342" i="1"/>
  <c r="CD317" i="1"/>
  <c r="CH333" i="1"/>
  <c r="CH342" i="1"/>
  <c r="CH317" i="1"/>
  <c r="AT347" i="1"/>
  <c r="AT315" i="1"/>
  <c r="BO355" i="1"/>
  <c r="BO315" i="1"/>
  <c r="BD348" i="1"/>
  <c r="BD316" i="1"/>
  <c r="CK250" i="1"/>
  <c r="CJ253" i="1"/>
  <c r="CJ259" i="1"/>
  <c r="BY261" i="1"/>
  <c r="BI264" i="1"/>
  <c r="BU264" i="1"/>
  <c r="AT265" i="1"/>
  <c r="AY266" i="1"/>
  <c r="BD267" i="1"/>
  <c r="BT267" i="1"/>
  <c r="AP269" i="1"/>
  <c r="AX269" i="1"/>
  <c r="BB269" i="1"/>
  <c r="BF269" i="1"/>
  <c r="BJ269" i="1"/>
  <c r="BR269" i="1"/>
  <c r="BV269" i="1"/>
  <c r="BZ269" i="1"/>
  <c r="CD269" i="1"/>
  <c r="CH269" i="1"/>
  <c r="CJ272" i="1"/>
  <c r="CJ274" i="1"/>
  <c r="CJ284" i="1" s="1"/>
  <c r="BJ284" i="1"/>
  <c r="BJ222" i="1" s="1"/>
  <c r="BN289" i="1"/>
  <c r="BR289" i="1"/>
  <c r="BV289" i="1"/>
  <c r="BZ289" i="1"/>
  <c r="CH289" i="1"/>
  <c r="AQ290" i="1"/>
  <c r="AL292" i="1"/>
  <c r="AP292" i="1"/>
  <c r="AO294" i="1"/>
  <c r="BE294" i="1"/>
  <c r="BI294" i="1"/>
  <c r="BD295" i="1"/>
  <c r="AY296" i="1"/>
  <c r="BL298" i="1"/>
  <c r="BL301" i="1" s="1"/>
  <c r="BP298" i="1"/>
  <c r="BP301" i="1" s="1"/>
  <c r="BX298" i="1"/>
  <c r="BX301" i="1" s="1"/>
  <c r="CB298" i="1"/>
  <c r="BO300" i="1"/>
  <c r="CI300" i="1"/>
  <c r="CJ304" i="1"/>
  <c r="CJ306" i="1"/>
  <c r="CJ307" i="1"/>
  <c r="CJ331" i="1"/>
  <c r="CJ324" i="1"/>
  <c r="AM333" i="1"/>
  <c r="AM317" i="1"/>
  <c r="AQ342" i="1"/>
  <c r="AQ333" i="1"/>
  <c r="AQ317" i="1"/>
  <c r="AU342" i="1"/>
  <c r="AU333" i="1"/>
  <c r="AU317" i="1"/>
  <c r="AY342" i="1"/>
  <c r="AY333" i="1"/>
  <c r="BC342" i="1"/>
  <c r="BC333" i="1"/>
  <c r="BC317" i="1"/>
  <c r="BG342" i="1"/>
  <c r="BG333" i="1"/>
  <c r="BG317" i="1"/>
  <c r="BK342" i="1"/>
  <c r="BK333" i="1"/>
  <c r="BK317" i="1"/>
  <c r="BO342" i="1"/>
  <c r="BO333" i="1"/>
  <c r="BO317" i="1"/>
  <c r="BS342" i="1"/>
  <c r="BS333" i="1"/>
  <c r="BS317" i="1"/>
  <c r="BW342" i="1"/>
  <c r="BW333" i="1"/>
  <c r="BW317" i="1"/>
  <c r="CA310" i="1"/>
  <c r="CF342" i="1" s="1"/>
  <c r="CE342" i="1"/>
  <c r="CE333" i="1"/>
  <c r="CE317" i="1"/>
  <c r="CI342" i="1"/>
  <c r="CI333" i="1"/>
  <c r="CI317" i="1"/>
  <c r="AO348" i="1"/>
  <c r="AO316" i="1"/>
  <c r="AY252" i="1"/>
  <c r="AY317" i="1" s="1"/>
  <c r="BU253" i="1"/>
  <c r="BO257" i="1"/>
  <c r="CJ258" i="1"/>
  <c r="BJ261" i="1"/>
  <c r="BN264" i="1"/>
  <c r="BZ264" i="1"/>
  <c r="BO265" i="1"/>
  <c r="BD266" i="1"/>
  <c r="BI267" i="1"/>
  <c r="AQ269" i="1"/>
  <c r="AU269" i="1"/>
  <c r="BC269" i="1"/>
  <c r="BG269" i="1"/>
  <c r="BK269" i="1"/>
  <c r="BS269" i="1"/>
  <c r="BW269" i="1"/>
  <c r="CA269" i="1"/>
  <c r="CE269" i="1"/>
  <c r="BE279" i="1"/>
  <c r="BS289" i="1"/>
  <c r="BW289" i="1"/>
  <c r="CA289" i="1"/>
  <c r="CE289" i="1"/>
  <c r="AM292" i="1"/>
  <c r="AU292" i="1"/>
  <c r="AY293" i="1"/>
  <c r="AY300" i="1" s="1"/>
  <c r="BD296" i="1"/>
  <c r="BM298" i="1"/>
  <c r="BM301" i="1" s="1"/>
  <c r="BQ298" i="1"/>
  <c r="BQ301" i="1" s="1"/>
  <c r="CC298" i="1"/>
  <c r="CG298" i="1"/>
  <c r="CG301" i="1" s="1"/>
  <c r="B336" i="1"/>
  <c r="B320" i="1"/>
  <c r="B327" i="1"/>
  <c r="CK331" i="1"/>
  <c r="AN317" i="1"/>
  <c r="AR342" i="1"/>
  <c r="AR333" i="1"/>
  <c r="AR317" i="1"/>
  <c r="AV342" i="1"/>
  <c r="AV333" i="1"/>
  <c r="AV317" i="1"/>
  <c r="AZ342" i="1"/>
  <c r="AZ333" i="1"/>
  <c r="AZ317" i="1"/>
  <c r="BD342" i="1"/>
  <c r="BD333" i="1"/>
  <c r="BH342" i="1"/>
  <c r="BH333" i="1"/>
  <c r="BH317" i="1"/>
  <c r="BL342" i="1"/>
  <c r="BL333" i="1"/>
  <c r="BL317" i="1"/>
  <c r="BP342" i="1"/>
  <c r="BP333" i="1"/>
  <c r="BP317" i="1"/>
  <c r="BT342" i="1"/>
  <c r="BT333" i="1"/>
  <c r="BT317" i="1"/>
  <c r="BX342" i="1"/>
  <c r="BX333" i="1"/>
  <c r="BX317" i="1"/>
  <c r="CB342" i="1"/>
  <c r="CB333" i="1"/>
  <c r="CB317" i="1"/>
  <c r="CF333" i="1"/>
  <c r="AO313" i="1"/>
  <c r="AS360" i="1"/>
  <c r="BD346" i="1"/>
  <c r="AG351" i="1"/>
  <c r="AK351" i="1"/>
  <c r="BY360" i="1"/>
  <c r="AV360" i="1"/>
  <c r="AW360" i="1"/>
  <c r="BC360" i="1"/>
  <c r="AR360" i="1"/>
  <c r="BK360" i="1"/>
  <c r="AX360" i="1"/>
  <c r="BF359" i="1"/>
  <c r="BF360" i="1" s="1"/>
  <c r="BI354" i="1"/>
  <c r="BT360" i="1"/>
  <c r="BT350" i="1"/>
  <c r="BT351" i="1" s="1"/>
  <c r="BI356" i="1"/>
  <c r="BI347" i="1" s="1"/>
  <c r="BF347" i="1"/>
  <c r="AU360" i="1"/>
  <c r="AT360" i="1"/>
  <c r="BA359" i="1"/>
  <c r="BA360" i="1" s="1"/>
  <c r="BD354" i="1"/>
  <c r="BG360" i="1"/>
  <c r="BH359" i="1"/>
  <c r="BH360" i="1" s="1"/>
  <c r="AB351" i="1"/>
  <c r="AQ360" i="1"/>
  <c r="AV345" i="1"/>
  <c r="AY354" i="1"/>
  <c r="BB360" i="1"/>
  <c r="AO346" i="1"/>
  <c r="AY355" i="1"/>
  <c r="AY346" i="1" s="1"/>
  <c r="BI355" i="1"/>
  <c r="BI346" i="1" s="1"/>
  <c r="AY356" i="1"/>
  <c r="AY347" i="1" s="1"/>
  <c r="AV347" i="1"/>
  <c r="AP360" i="1"/>
  <c r="AZ360" i="1"/>
  <c r="AZ350" i="1"/>
  <c r="AZ351" i="1" s="1"/>
  <c r="BJ360" i="1"/>
  <c r="BE329" i="1" l="1"/>
  <c r="BI183" i="1"/>
  <c r="CM358" i="1"/>
  <c r="CL247" i="1"/>
  <c r="CL272" i="1" s="1"/>
  <c r="CK304" i="1"/>
  <c r="CK320" i="1" s="1"/>
  <c r="CK253" i="1"/>
  <c r="CK356" i="1"/>
  <c r="CK252" i="1"/>
  <c r="CK317" i="1" s="1"/>
  <c r="CL249" i="1"/>
  <c r="CK306" i="1"/>
  <c r="CC103" i="1"/>
  <c r="CC101" i="1"/>
  <c r="CH103" i="1"/>
  <c r="CF317" i="1"/>
  <c r="BU269" i="1"/>
  <c r="BU317" i="1"/>
  <c r="CK243" i="1"/>
  <c r="BD317" i="1"/>
  <c r="CA327" i="1"/>
  <c r="BU28" i="1"/>
  <c r="CK324" i="1"/>
  <c r="BU298" i="1"/>
  <c r="BU301" i="1" s="1"/>
  <c r="CL277" i="1"/>
  <c r="BQ28" i="1"/>
  <c r="CA351" i="1"/>
  <c r="BD164" i="1"/>
  <c r="BD167" i="1" s="1"/>
  <c r="CG28" i="1"/>
  <c r="CG215" i="1" s="1"/>
  <c r="CG216" i="1" s="1"/>
  <c r="W10" i="1"/>
  <c r="BE194" i="1"/>
  <c r="BD183" i="1"/>
  <c r="AY138" i="1"/>
  <c r="BN28" i="1"/>
  <c r="W24" i="1"/>
  <c r="W25" i="1" s="1"/>
  <c r="AO183" i="1"/>
  <c r="BA28" i="1"/>
  <c r="BA105" i="1" s="1"/>
  <c r="Q57" i="1"/>
  <c r="AB27" i="1"/>
  <c r="CT27" i="1" s="1"/>
  <c r="CD350" i="1"/>
  <c r="CI350" i="1"/>
  <c r="CI351" i="1" s="1"/>
  <c r="BI223" i="1"/>
  <c r="BU183" i="1"/>
  <c r="CK256" i="1"/>
  <c r="CL230" i="1"/>
  <c r="CM230" i="1" s="1"/>
  <c r="CN230" i="1" s="1"/>
  <c r="CF183" i="1"/>
  <c r="Q29" i="1"/>
  <c r="BN269" i="1"/>
  <c r="BE331" i="1"/>
  <c r="BE327" i="1"/>
  <c r="CK258" i="1"/>
  <c r="BJ208" i="1"/>
  <c r="BZ138" i="1"/>
  <c r="BU350" i="1"/>
  <c r="BU351" i="1" s="1"/>
  <c r="CK274" i="1"/>
  <c r="CK284" i="1" s="1"/>
  <c r="BE330" i="1"/>
  <c r="BI317" i="1"/>
  <c r="BE197" i="1"/>
  <c r="BE196" i="1"/>
  <c r="BE195" i="1"/>
  <c r="BV28" i="1"/>
  <c r="BF28" i="1"/>
  <c r="L10" i="1"/>
  <c r="BD298" i="1"/>
  <c r="BD301" i="1" s="1"/>
  <c r="AY223" i="1"/>
  <c r="CH28" i="1"/>
  <c r="CH105" i="1" s="1"/>
  <c r="BR28" i="1"/>
  <c r="BR57" i="1" s="1"/>
  <c r="BI28" i="1"/>
  <c r="AU215" i="1"/>
  <c r="AU216" i="1" s="1"/>
  <c r="AU105" i="1"/>
  <c r="AU37" i="1"/>
  <c r="AU57" i="1"/>
  <c r="CX57" i="1" s="1"/>
  <c r="AU31" i="1"/>
  <c r="CX28" i="1"/>
  <c r="AU30" i="1"/>
  <c r="CX30" i="1" s="1"/>
  <c r="AU29" i="1"/>
  <c r="CX29" i="1" s="1"/>
  <c r="AG215" i="1"/>
  <c r="AG216" i="1" s="1"/>
  <c r="AG105" i="1"/>
  <c r="AG57" i="1"/>
  <c r="CU57" i="1" s="1"/>
  <c r="AG37" i="1"/>
  <c r="CU28" i="1"/>
  <c r="AG30" i="1"/>
  <c r="CU30" i="1" s="1"/>
  <c r="AG31" i="1"/>
  <c r="BE360" i="1"/>
  <c r="BE298" i="1"/>
  <c r="BE301" i="1" s="1"/>
  <c r="BE289" i="1"/>
  <c r="AY292" i="1"/>
  <c r="AY269" i="1"/>
  <c r="CJ327" i="1"/>
  <c r="CJ320" i="1"/>
  <c r="CK357" i="1"/>
  <c r="CK307" i="1"/>
  <c r="CK259" i="1"/>
  <c r="CL250" i="1"/>
  <c r="CK275" i="1"/>
  <c r="CK285" i="1" s="1"/>
  <c r="CM300" i="1"/>
  <c r="CN299" i="1"/>
  <c r="CL354" i="1"/>
  <c r="CL253" i="1"/>
  <c r="CK327" i="1"/>
  <c r="CD299" i="1"/>
  <c r="BJ289" i="1"/>
  <c r="BE213" i="1"/>
  <c r="BD221" i="1"/>
  <c r="BD213" i="1" s="1"/>
  <c r="BE332" i="1"/>
  <c r="BE208" i="1"/>
  <c r="BE198" i="1"/>
  <c r="BE199" i="1"/>
  <c r="BE183" i="1"/>
  <c r="BD219" i="1"/>
  <c r="BE211" i="1"/>
  <c r="AT159" i="1"/>
  <c r="AT138" i="1"/>
  <c r="BI159" i="1"/>
  <c r="BI138" i="1"/>
  <c r="CK222" i="1"/>
  <c r="CK173" i="1"/>
  <c r="CK144" i="1"/>
  <c r="CK153" i="1" s="1"/>
  <c r="CK130" i="1"/>
  <c r="CJ138" i="1"/>
  <c r="CJ131" i="1"/>
  <c r="CJ292" i="1" s="1"/>
  <c r="CQ292" i="1" s="1"/>
  <c r="CH215" i="1"/>
  <c r="CH216" i="1" s="1"/>
  <c r="CH29" i="1"/>
  <c r="CH31" i="1"/>
  <c r="AP215" i="1"/>
  <c r="AP216" i="1" s="1"/>
  <c r="AP105" i="1"/>
  <c r="AP57" i="1"/>
  <c r="CW57" i="1" s="1"/>
  <c r="AP30" i="1"/>
  <c r="CW30" i="1" s="1"/>
  <c r="AP31" i="1"/>
  <c r="AP37" i="1"/>
  <c r="CW28" i="1"/>
  <c r="V57" i="1"/>
  <c r="V30" i="1"/>
  <c r="V29" i="1"/>
  <c r="V31" i="1"/>
  <c r="V37" i="1"/>
  <c r="V39" i="1" s="1"/>
  <c r="BT27" i="1"/>
  <c r="DC27" i="1" s="1"/>
  <c r="DC26" i="1"/>
  <c r="AM100" i="1"/>
  <c r="AM24" i="1"/>
  <c r="AM25" i="1" s="1"/>
  <c r="AM10" i="1"/>
  <c r="AM28" i="1"/>
  <c r="BQ215" i="1"/>
  <c r="BQ216" i="1" s="1"/>
  <c r="BQ105" i="1"/>
  <c r="BQ76" i="1"/>
  <c r="BQ79" i="1" s="1"/>
  <c r="BQ57" i="1"/>
  <c r="BQ37" i="1"/>
  <c r="BQ39" i="1" s="1"/>
  <c r="BQ30" i="1"/>
  <c r="BQ31" i="1"/>
  <c r="BA215" i="1"/>
  <c r="BA216" i="1" s="1"/>
  <c r="BA30" i="1"/>
  <c r="U57" i="1"/>
  <c r="U37" i="1"/>
  <c r="U39" i="1" s="1"/>
  <c r="U30" i="1"/>
  <c r="U29" i="1"/>
  <c r="U31" i="1"/>
  <c r="AX100" i="1"/>
  <c r="AX28" i="1"/>
  <c r="AX24" i="1"/>
  <c r="AX25" i="1" s="1"/>
  <c r="AX10" i="1"/>
  <c r="BX28" i="1"/>
  <c r="CC29" i="1" s="1"/>
  <c r="BH28" i="1"/>
  <c r="BM29" i="1" s="1"/>
  <c r="X215" i="1"/>
  <c r="X216" i="1" s="1"/>
  <c r="X57" i="1"/>
  <c r="X37" i="1"/>
  <c r="X39" i="1" s="1"/>
  <c r="X30" i="1"/>
  <c r="X29" i="1"/>
  <c r="X31" i="1"/>
  <c r="AT104" i="1"/>
  <c r="BI102" i="1"/>
  <c r="AO159" i="1"/>
  <c r="AP66" i="1"/>
  <c r="AP56" i="1"/>
  <c r="CW56" i="1" s="1"/>
  <c r="AU51" i="1"/>
  <c r="AP60" i="1"/>
  <c r="CW60" i="1" s="1"/>
  <c r="CW51" i="1"/>
  <c r="CA28" i="1"/>
  <c r="CF29" i="1" s="1"/>
  <c r="BK28" i="1"/>
  <c r="AE215" i="1"/>
  <c r="AE216" i="1" s="1"/>
  <c r="AE105" i="1"/>
  <c r="AE37" i="1"/>
  <c r="AE39" i="1" s="1"/>
  <c r="AE57" i="1"/>
  <c r="AE31" i="1"/>
  <c r="AE30" i="1"/>
  <c r="AE29" i="1"/>
  <c r="K37" i="1"/>
  <c r="K39" i="1" s="1"/>
  <c r="K57" i="1"/>
  <c r="K30" i="1"/>
  <c r="K29" i="1"/>
  <c r="BY27" i="1"/>
  <c r="DD27" i="1" s="1"/>
  <c r="DD26" i="1"/>
  <c r="AN100" i="1"/>
  <c r="AN10" i="1"/>
  <c r="AN28" i="1"/>
  <c r="AN24" i="1"/>
  <c r="AN25" i="1" s="1"/>
  <c r="BB7" i="1"/>
  <c r="N44" i="1"/>
  <c r="N47" i="1" s="1"/>
  <c r="N49" i="1" s="1"/>
  <c r="N58" i="1"/>
  <c r="W28" i="1"/>
  <c r="AU101" i="1"/>
  <c r="AU103" i="1"/>
  <c r="AU102" i="1"/>
  <c r="M28" i="1"/>
  <c r="AY359" i="1"/>
  <c r="AY360" i="1" s="1"/>
  <c r="AY345" i="1"/>
  <c r="BD345" i="1"/>
  <c r="BD359" i="1"/>
  <c r="BD360" i="1" s="1"/>
  <c r="BI359" i="1"/>
  <c r="BI360" i="1" s="1"/>
  <c r="BI345" i="1"/>
  <c r="BJ214" i="1"/>
  <c r="BI222" i="1"/>
  <c r="BI214" i="1" s="1"/>
  <c r="CC301" i="1"/>
  <c r="CC300" i="1"/>
  <c r="BD222" i="1"/>
  <c r="BD214" i="1" s="1"/>
  <c r="BE214" i="1"/>
  <c r="BI221" i="1"/>
  <c r="BI213" i="1" s="1"/>
  <c r="BJ213" i="1"/>
  <c r="CJ261" i="1"/>
  <c r="CJ269" i="1"/>
  <c r="BO359" i="1"/>
  <c r="BI292" i="1"/>
  <c r="BI269" i="1"/>
  <c r="CA331" i="1"/>
  <c r="CA330" i="1"/>
  <c r="CA332" i="1"/>
  <c r="CA329" i="1"/>
  <c r="CA328" i="1"/>
  <c r="CA208" i="1"/>
  <c r="CA199" i="1"/>
  <c r="CA196" i="1"/>
  <c r="CA195" i="1"/>
  <c r="CA198" i="1"/>
  <c r="CA194" i="1"/>
  <c r="CA197" i="1"/>
  <c r="CA183" i="1"/>
  <c r="BZ167" i="1"/>
  <c r="BZ166" i="1"/>
  <c r="AY350" i="1"/>
  <c r="AY351" i="1" s="1"/>
  <c r="BO159" i="1"/>
  <c r="BO138" i="1"/>
  <c r="BO131" i="1"/>
  <c r="BO292" i="1" s="1"/>
  <c r="BI350" i="1"/>
  <c r="BI351" i="1" s="1"/>
  <c r="BU164" i="1"/>
  <c r="BU167" i="1" s="1"/>
  <c r="BE223" i="1"/>
  <c r="BE164" i="1"/>
  <c r="BE167" i="1" s="1"/>
  <c r="BE156" i="1"/>
  <c r="CK219" i="1"/>
  <c r="CK170" i="1"/>
  <c r="CK124" i="1"/>
  <c r="CK123" i="1"/>
  <c r="CK141" i="1"/>
  <c r="CK150" i="1" s="1"/>
  <c r="CK127" i="1"/>
  <c r="CF159" i="1"/>
  <c r="CF138" i="1"/>
  <c r="CF104" i="1"/>
  <c r="CJ189" i="1"/>
  <c r="CJ196" i="1"/>
  <c r="CJ195" i="1"/>
  <c r="CJ188" i="1"/>
  <c r="CJ194" i="1"/>
  <c r="CJ187" i="1"/>
  <c r="CJ186" i="1"/>
  <c r="CJ193" i="1"/>
  <c r="BM78" i="1"/>
  <c r="BM77" i="1"/>
  <c r="BN51" i="1"/>
  <c r="DH51" i="1"/>
  <c r="CL51" i="1"/>
  <c r="CL115" i="1"/>
  <c r="CM114" i="1"/>
  <c r="CD215" i="1"/>
  <c r="CD105" i="1"/>
  <c r="CD76" i="1"/>
  <c r="CD57" i="1"/>
  <c r="DE57" i="1" s="1"/>
  <c r="CD37" i="1"/>
  <c r="CD30" i="1"/>
  <c r="DE30" i="1" s="1"/>
  <c r="CD29" i="1"/>
  <c r="DE29" i="1" s="1"/>
  <c r="CD31" i="1"/>
  <c r="DE28" i="1"/>
  <c r="BN215" i="1"/>
  <c r="BN216" i="1" s="1"/>
  <c r="BN105" i="1"/>
  <c r="BN76" i="1"/>
  <c r="BN57" i="1"/>
  <c r="BN37" i="1"/>
  <c r="BN39" i="1" s="1"/>
  <c r="BN30" i="1"/>
  <c r="BN29" i="1"/>
  <c r="BN31" i="1"/>
  <c r="AH215" i="1"/>
  <c r="AH216" i="1" s="1"/>
  <c r="AH105" i="1"/>
  <c r="AH57" i="1"/>
  <c r="AH37" i="1"/>
  <c r="AH39" i="1" s="1"/>
  <c r="AH30" i="1"/>
  <c r="AH29" i="1"/>
  <c r="AH31" i="1"/>
  <c r="J57" i="1"/>
  <c r="J30" i="1"/>
  <c r="J29" i="1"/>
  <c r="J37" i="1"/>
  <c r="J39" i="1" s="1"/>
  <c r="AZ27" i="1"/>
  <c r="CY27" i="1" s="1"/>
  <c r="CY26" i="1"/>
  <c r="G37" i="1"/>
  <c r="G39" i="1" s="1"/>
  <c r="G57" i="1"/>
  <c r="G30" i="1"/>
  <c r="CC215" i="1"/>
  <c r="CC105" i="1"/>
  <c r="CC76" i="1"/>
  <c r="CC79" i="1" s="1"/>
  <c r="CC37" i="1"/>
  <c r="CC39" i="1" s="1"/>
  <c r="CC30" i="1"/>
  <c r="CC31" i="1"/>
  <c r="BM215" i="1"/>
  <c r="BM216" i="1" s="1"/>
  <c r="BM105" i="1"/>
  <c r="BM76" i="1"/>
  <c r="BM57" i="1"/>
  <c r="BM37" i="1"/>
  <c r="BM39" i="1" s="1"/>
  <c r="BM30" i="1"/>
  <c r="BM31" i="1"/>
  <c r="AO215" i="1"/>
  <c r="AO216" i="1" s="1"/>
  <c r="AO105" i="1"/>
  <c r="AO57" i="1"/>
  <c r="AO37" i="1"/>
  <c r="AO39" i="1" s="1"/>
  <c r="AO30" i="1"/>
  <c r="AO29" i="1"/>
  <c r="AO31" i="1"/>
  <c r="I57" i="1"/>
  <c r="I37" i="1"/>
  <c r="I39" i="1" s="1"/>
  <c r="N40" i="1" s="1"/>
  <c r="I30" i="1"/>
  <c r="I29" i="1"/>
  <c r="CX26" i="1"/>
  <c r="AU27" i="1"/>
  <c r="CX27" i="1" s="1"/>
  <c r="AT100" i="1"/>
  <c r="AT28" i="1"/>
  <c r="AT24" i="1"/>
  <c r="AT25" i="1" s="1"/>
  <c r="AT10" i="1"/>
  <c r="AL100" i="1"/>
  <c r="AL28" i="1"/>
  <c r="AL24" i="1"/>
  <c r="AL25" i="1" s="1"/>
  <c r="AL10" i="1"/>
  <c r="BT28" i="1"/>
  <c r="BY29" i="1" s="1"/>
  <c r="DD29" i="1" s="1"/>
  <c r="BD28" i="1"/>
  <c r="T57" i="1"/>
  <c r="T37" i="1"/>
  <c r="T39" i="1" s="1"/>
  <c r="T30" i="1"/>
  <c r="T29" i="1"/>
  <c r="T31" i="1"/>
  <c r="E57" i="1"/>
  <c r="E37" i="1"/>
  <c r="E39" i="1" s="1"/>
  <c r="E30" i="1"/>
  <c r="BW28" i="1"/>
  <c r="BG28" i="1"/>
  <c r="AA215" i="1"/>
  <c r="AA216" i="1" s="1"/>
  <c r="AA37" i="1"/>
  <c r="AA39" i="1" s="1"/>
  <c r="AA57" i="1"/>
  <c r="AA31" i="1"/>
  <c r="AA30" i="1"/>
  <c r="AA29" i="1"/>
  <c r="BE27" i="1"/>
  <c r="CZ27" i="1" s="1"/>
  <c r="CZ26" i="1"/>
  <c r="AK27" i="1"/>
  <c r="CV27" i="1" s="1"/>
  <c r="CV26" i="1"/>
  <c r="I10" i="1"/>
  <c r="AZ100" i="1"/>
  <c r="AZ10" i="1"/>
  <c r="CY9" i="1"/>
  <c r="AZ28" i="1"/>
  <c r="BE29" i="1" s="1"/>
  <c r="CZ29" i="1" s="1"/>
  <c r="AZ24" i="1"/>
  <c r="AZ25" i="1" s="1"/>
  <c r="AB100" i="1"/>
  <c r="AB101" i="1" s="1"/>
  <c r="AB10" i="1"/>
  <c r="AB28" i="1"/>
  <c r="AG29" i="1" s="1"/>
  <c r="CU29" i="1" s="1"/>
  <c r="CT9" i="1"/>
  <c r="AB24" i="1"/>
  <c r="AB25" i="1" s="1"/>
  <c r="N29" i="1"/>
  <c r="AG10" i="1"/>
  <c r="CD351" i="1"/>
  <c r="CA342" i="1"/>
  <c r="CA333" i="1"/>
  <c r="CA317" i="1"/>
  <c r="CJ330" i="1"/>
  <c r="CJ323" i="1"/>
  <c r="BD220" i="1"/>
  <c r="BD212" i="1" s="1"/>
  <c r="BE212" i="1"/>
  <c r="BE342" i="1"/>
  <c r="BE333" i="1"/>
  <c r="BE317" i="1"/>
  <c r="CB300" i="1"/>
  <c r="CB301" i="1"/>
  <c r="CL287" i="1"/>
  <c r="CM277" i="1"/>
  <c r="CJ328" i="1"/>
  <c r="CJ321" i="1"/>
  <c r="AT292" i="1"/>
  <c r="AT269" i="1"/>
  <c r="CA301" i="1"/>
  <c r="CA300" i="1"/>
  <c r="AO350" i="1"/>
  <c r="AO351" i="1" s="1"/>
  <c r="AO292" i="1"/>
  <c r="CF292" i="1"/>
  <c r="CF269" i="1"/>
  <c r="BD292" i="1"/>
  <c r="BD269" i="1"/>
  <c r="CK342" i="1"/>
  <c r="CK333" i="1"/>
  <c r="CN165" i="1"/>
  <c r="CN167" i="1" s="1"/>
  <c r="CM167" i="1"/>
  <c r="CJ342" i="1"/>
  <c r="CJ333" i="1"/>
  <c r="CJ317" i="1"/>
  <c r="CF208" i="1"/>
  <c r="CJ150" i="1"/>
  <c r="CJ147" i="1"/>
  <c r="AT350" i="1"/>
  <c r="AT351" i="1" s="1"/>
  <c r="BN138" i="1"/>
  <c r="CK220" i="1"/>
  <c r="CK171" i="1"/>
  <c r="CK142" i="1"/>
  <c r="CK151" i="1" s="1"/>
  <c r="CK128" i="1"/>
  <c r="CF350" i="1"/>
  <c r="CF351" i="1" s="1"/>
  <c r="BD159" i="1"/>
  <c r="BD138" i="1"/>
  <c r="CJ223" i="1"/>
  <c r="BY78" i="1"/>
  <c r="BY77" i="1"/>
  <c r="BY60" i="1"/>
  <c r="DD60" i="1" s="1"/>
  <c r="DD51" i="1"/>
  <c r="CD51" i="1"/>
  <c r="BY66" i="1"/>
  <c r="BX78" i="1"/>
  <c r="BX77" i="1"/>
  <c r="BZ215" i="1"/>
  <c r="BZ216" i="1" s="1"/>
  <c r="BZ105" i="1"/>
  <c r="BZ76" i="1"/>
  <c r="BZ79" i="1" s="1"/>
  <c r="BZ30" i="1"/>
  <c r="BZ29" i="1"/>
  <c r="BZ37" i="1"/>
  <c r="BZ39" i="1" s="1"/>
  <c r="BZ31" i="1"/>
  <c r="BJ215" i="1"/>
  <c r="BJ216" i="1" s="1"/>
  <c r="BJ105" i="1"/>
  <c r="BJ76" i="1"/>
  <c r="BJ79" i="1" s="1"/>
  <c r="BJ57" i="1"/>
  <c r="DA57" i="1" s="1"/>
  <c r="BJ30" i="1"/>
  <c r="DA30" i="1" s="1"/>
  <c r="BJ29" i="1"/>
  <c r="DA29" i="1" s="1"/>
  <c r="BJ37" i="1"/>
  <c r="BJ31" i="1"/>
  <c r="DA28" i="1"/>
  <c r="AD215" i="1"/>
  <c r="AD216" i="1" s="1"/>
  <c r="AD105" i="1"/>
  <c r="AD57" i="1"/>
  <c r="AD30" i="1"/>
  <c r="AD29" i="1"/>
  <c r="AD37" i="1"/>
  <c r="AD39" i="1" s="1"/>
  <c r="AD31" i="1"/>
  <c r="BO102" i="1"/>
  <c r="AY100" i="1"/>
  <c r="AY24" i="1"/>
  <c r="AY25" i="1" s="1"/>
  <c r="AY10" i="1"/>
  <c r="AY28" i="1"/>
  <c r="BY215" i="1"/>
  <c r="BY216" i="1" s="1"/>
  <c r="BY105" i="1"/>
  <c r="BY76" i="1"/>
  <c r="BY57" i="1"/>
  <c r="DD57" i="1" s="1"/>
  <c r="BY37" i="1"/>
  <c r="BY30" i="1"/>
  <c r="DD30" i="1" s="1"/>
  <c r="BY31" i="1"/>
  <c r="DD28" i="1"/>
  <c r="BI215" i="1"/>
  <c r="BI216" i="1" s="1"/>
  <c r="BI105" i="1"/>
  <c r="BI76" i="1"/>
  <c r="BI79" i="1" s="1"/>
  <c r="BI57" i="1"/>
  <c r="BI37" i="1"/>
  <c r="BI39" i="1" s="1"/>
  <c r="BI30" i="1"/>
  <c r="BI31" i="1"/>
  <c r="AC215" i="1"/>
  <c r="AC216" i="1" s="1"/>
  <c r="AC105" i="1"/>
  <c r="AC57" i="1"/>
  <c r="AC37" i="1"/>
  <c r="AC39" i="1" s="1"/>
  <c r="AC30" i="1"/>
  <c r="AC29" i="1"/>
  <c r="AC31" i="1"/>
  <c r="AY104" i="1"/>
  <c r="F57" i="1"/>
  <c r="F30" i="1"/>
  <c r="F37" i="1"/>
  <c r="F39" i="1" s="1"/>
  <c r="CF215" i="1"/>
  <c r="CF216" i="1" s="1"/>
  <c r="CF105" i="1"/>
  <c r="CF37" i="1"/>
  <c r="CF39" i="1" s="1"/>
  <c r="CF30" i="1"/>
  <c r="CF31" i="1"/>
  <c r="BP28" i="1"/>
  <c r="BU29" i="1" s="1"/>
  <c r="AJ215" i="1"/>
  <c r="AJ216" i="1" s="1"/>
  <c r="AJ105" i="1"/>
  <c r="AJ57" i="1"/>
  <c r="AJ37" i="1"/>
  <c r="AJ39" i="1" s="1"/>
  <c r="AJ30" i="1"/>
  <c r="AJ29" i="1"/>
  <c r="AJ31" i="1"/>
  <c r="P57" i="1"/>
  <c r="P37" i="1"/>
  <c r="P39" i="1" s="1"/>
  <c r="P30" i="1"/>
  <c r="P29" i="1"/>
  <c r="DE26" i="1"/>
  <c r="CD27" i="1"/>
  <c r="DE27" i="1" s="1"/>
  <c r="AK100" i="1"/>
  <c r="CV9" i="1"/>
  <c r="AK28" i="1"/>
  <c r="AP29" i="1" s="1"/>
  <c r="CW29" i="1" s="1"/>
  <c r="AK24" i="1"/>
  <c r="AK25" i="1" s="1"/>
  <c r="AK10" i="1"/>
  <c r="AY159" i="1"/>
  <c r="CX63" i="1"/>
  <c r="AZ63" i="1"/>
  <c r="CI215" i="1"/>
  <c r="CI216" i="1" s="1"/>
  <c r="CI76" i="1"/>
  <c r="CI79" i="1" s="1"/>
  <c r="CI105" i="1"/>
  <c r="CI37" i="1"/>
  <c r="CI57" i="1"/>
  <c r="DF57" i="1" s="1"/>
  <c r="CI31" i="1"/>
  <c r="DF28" i="1"/>
  <c r="CI30" i="1"/>
  <c r="DF30" i="1" s="1"/>
  <c r="CI29" i="1"/>
  <c r="DF29" i="1" s="1"/>
  <c r="BS28" i="1"/>
  <c r="BC28" i="1"/>
  <c r="S37" i="1"/>
  <c r="S39" i="1" s="1"/>
  <c r="S57" i="1"/>
  <c r="S31" i="1"/>
  <c r="S30" i="1"/>
  <c r="S29" i="1"/>
  <c r="AG27" i="1"/>
  <c r="CU27" i="1" s="1"/>
  <c r="CU26" i="1"/>
  <c r="BI104" i="1"/>
  <c r="CF102" i="1"/>
  <c r="AV100" i="1"/>
  <c r="AV10" i="1"/>
  <c r="AV28" i="1"/>
  <c r="AV24" i="1"/>
  <c r="AV25" i="1" s="1"/>
  <c r="H100" i="1"/>
  <c r="H28" i="1"/>
  <c r="Q58" i="1"/>
  <c r="Q44" i="1"/>
  <c r="Q47" i="1" s="1"/>
  <c r="Q49" i="1" s="1"/>
  <c r="M10" i="1"/>
  <c r="CK329" i="1"/>
  <c r="CJ329" i="1"/>
  <c r="CJ322" i="1"/>
  <c r="CJ279" i="1"/>
  <c r="CJ282" i="1"/>
  <c r="CJ350" i="1"/>
  <c r="CJ351" i="1" s="1"/>
  <c r="CJ28" i="1"/>
  <c r="CK355" i="1"/>
  <c r="CK359" i="1" s="1"/>
  <c r="CK305" i="1"/>
  <c r="CK273" i="1"/>
  <c r="CK283" i="1" s="1"/>
  <c r="CK257" i="1"/>
  <c r="CL248" i="1"/>
  <c r="CK282" i="1"/>
  <c r="BO269" i="1"/>
  <c r="BO261" i="1"/>
  <c r="BU159" i="1"/>
  <c r="BU138" i="1"/>
  <c r="CK221" i="1"/>
  <c r="CK172" i="1"/>
  <c r="CK143" i="1"/>
  <c r="CK152" i="1" s="1"/>
  <c r="CK129" i="1"/>
  <c r="BO223" i="1"/>
  <c r="CA165" i="1"/>
  <c r="CB351" i="1"/>
  <c r="DG68" i="1"/>
  <c r="CK68" i="1"/>
  <c r="BV215" i="1"/>
  <c r="BV216" i="1" s="1"/>
  <c r="BV105" i="1"/>
  <c r="BV76" i="1"/>
  <c r="BV79" i="1" s="1"/>
  <c r="BV57" i="1"/>
  <c r="BV30" i="1"/>
  <c r="BV29" i="1"/>
  <c r="BV31" i="1"/>
  <c r="BV37" i="1"/>
  <c r="BV39" i="1" s="1"/>
  <c r="BF215" i="1"/>
  <c r="BF216" i="1" s="1"/>
  <c r="BF105" i="1"/>
  <c r="BF76" i="1"/>
  <c r="BF79" i="1" s="1"/>
  <c r="BF57" i="1"/>
  <c r="BF30" i="1"/>
  <c r="BF29" i="1"/>
  <c r="BF31" i="1"/>
  <c r="BF37" i="1"/>
  <c r="BF39" i="1" s="1"/>
  <c r="Z215" i="1"/>
  <c r="Z216" i="1" s="1"/>
  <c r="Z57" i="1"/>
  <c r="Z30" i="1"/>
  <c r="Z29" i="1"/>
  <c r="Z31" i="1"/>
  <c r="Z37" i="1"/>
  <c r="Z39" i="1" s="1"/>
  <c r="AQ100" i="1"/>
  <c r="AQ24" i="1"/>
  <c r="AQ25" i="1" s="1"/>
  <c r="AQ10" i="1"/>
  <c r="AQ28" i="1"/>
  <c r="BU215" i="1"/>
  <c r="BU216" i="1" s="1"/>
  <c r="BU105" i="1"/>
  <c r="BU76" i="1"/>
  <c r="BU79" i="1" s="1"/>
  <c r="BU57" i="1"/>
  <c r="BU37" i="1"/>
  <c r="BU39" i="1" s="1"/>
  <c r="BU30" i="1"/>
  <c r="BU31" i="1"/>
  <c r="BE215" i="1"/>
  <c r="BE216" i="1" s="1"/>
  <c r="BE105" i="1"/>
  <c r="BE76" i="1"/>
  <c r="BE79" i="1" s="1"/>
  <c r="BE57" i="1"/>
  <c r="CZ57" i="1" s="1"/>
  <c r="BE37" i="1"/>
  <c r="BE30" i="1"/>
  <c r="CZ30" i="1" s="1"/>
  <c r="BE31" i="1"/>
  <c r="CZ28" i="1"/>
  <c r="Y215" i="1"/>
  <c r="Y216" i="1" s="1"/>
  <c r="Y57" i="1"/>
  <c r="Y37" i="1"/>
  <c r="Y39" i="1" s="1"/>
  <c r="Y30" i="1"/>
  <c r="Y29" i="1"/>
  <c r="Y31" i="1"/>
  <c r="BB100" i="1"/>
  <c r="BB28" i="1"/>
  <c r="BB24" i="1"/>
  <c r="BB25" i="1" s="1"/>
  <c r="CB28" i="1"/>
  <c r="BL28" i="1"/>
  <c r="AF215" i="1"/>
  <c r="AF216" i="1" s="1"/>
  <c r="AF105" i="1"/>
  <c r="AF57" i="1"/>
  <c r="AF37" i="1"/>
  <c r="AF39" i="1" s="1"/>
  <c r="AF30" i="1"/>
  <c r="AF29" i="1"/>
  <c r="AF31" i="1"/>
  <c r="L57" i="1"/>
  <c r="L37" i="1"/>
  <c r="L39" i="1" s="1"/>
  <c r="Q40" i="1" s="1"/>
  <c r="L30" i="1"/>
  <c r="L29" i="1"/>
  <c r="DA26" i="1"/>
  <c r="BJ27" i="1"/>
  <c r="DA27" i="1" s="1"/>
  <c r="BU102" i="1"/>
  <c r="AS100" i="1"/>
  <c r="AS28" i="1"/>
  <c r="AS24" i="1"/>
  <c r="AS25" i="1" s="1"/>
  <c r="AS10" i="1"/>
  <c r="AW7" i="1"/>
  <c r="AW20" i="1"/>
  <c r="AW18" i="1"/>
  <c r="AW9" i="1"/>
  <c r="AW16" i="1"/>
  <c r="CE215" i="1"/>
  <c r="CE216" i="1" s="1"/>
  <c r="CE105" i="1"/>
  <c r="CE37" i="1"/>
  <c r="CE39" i="1" s="1"/>
  <c r="CE31" i="1"/>
  <c r="CE30" i="1"/>
  <c r="CE29" i="1"/>
  <c r="BO215" i="1"/>
  <c r="BO216" i="1" s="1"/>
  <c r="BO76" i="1"/>
  <c r="BO79" i="1" s="1"/>
  <c r="BO105" i="1"/>
  <c r="BO37" i="1"/>
  <c r="BO57" i="1"/>
  <c r="DB57" i="1" s="1"/>
  <c r="BO31" i="1"/>
  <c r="DB28" i="1"/>
  <c r="BO30" i="1"/>
  <c r="DB30" i="1" s="1"/>
  <c r="BO29" i="1"/>
  <c r="DB29" i="1" s="1"/>
  <c r="AI215" i="1"/>
  <c r="AI216" i="1" s="1"/>
  <c r="AI105" i="1"/>
  <c r="AI37" i="1"/>
  <c r="AI39" i="1" s="1"/>
  <c r="AI57" i="1"/>
  <c r="AI31" i="1"/>
  <c r="AI30" i="1"/>
  <c r="AI29" i="1"/>
  <c r="O37" i="1"/>
  <c r="O39" i="1" s="1"/>
  <c r="O57" i="1"/>
  <c r="O30" i="1"/>
  <c r="O29" i="1"/>
  <c r="AW27" i="1"/>
  <c r="BD102" i="1"/>
  <c r="AR100" i="1"/>
  <c r="AR10" i="1"/>
  <c r="AR28" i="1"/>
  <c r="AR24" i="1"/>
  <c r="AR25" i="1" s="1"/>
  <c r="D57" i="1"/>
  <c r="D37" i="1"/>
  <c r="D39" i="1" s="1"/>
  <c r="D30" i="1"/>
  <c r="AW14" i="1"/>
  <c r="R28" i="1"/>
  <c r="CG31" i="1" l="1"/>
  <c r="CG30" i="1"/>
  <c r="BY79" i="1"/>
  <c r="CG37" i="1"/>
  <c r="CG39" i="1" s="1"/>
  <c r="CK74" i="1"/>
  <c r="CK38" i="1" s="1"/>
  <c r="DH38" i="1" s="1"/>
  <c r="CG105" i="1"/>
  <c r="BA37" i="1"/>
  <c r="BA39" i="1" s="1"/>
  <c r="BA57" i="1"/>
  <c r="CM247" i="1"/>
  <c r="CM272" i="1" s="1"/>
  <c r="CL252" i="1"/>
  <c r="CJ360" i="1"/>
  <c r="CJ6" i="1"/>
  <c r="CM249" i="1"/>
  <c r="CM356" i="1" s="1"/>
  <c r="CL274" i="1"/>
  <c r="CL258" i="1"/>
  <c r="CL356" i="1"/>
  <c r="CK28" i="1"/>
  <c r="CH30" i="1"/>
  <c r="CH37" i="1"/>
  <c r="CH39" i="1" s="1"/>
  <c r="BA31" i="1"/>
  <c r="BF32" i="1" s="1"/>
  <c r="BR31" i="1"/>
  <c r="BR76" i="1"/>
  <c r="BR79" i="1" s="1"/>
  <c r="BM79" i="1"/>
  <c r="CL256" i="1"/>
  <c r="CK322" i="1"/>
  <c r="CL284" i="1"/>
  <c r="BR29" i="1"/>
  <c r="BR105" i="1"/>
  <c r="BR30" i="1"/>
  <c r="BR215" i="1"/>
  <c r="BR216" i="1" s="1"/>
  <c r="CK279" i="1"/>
  <c r="BR37" i="1"/>
  <c r="BR39" i="1" s="1"/>
  <c r="BR44" i="1" s="1"/>
  <c r="BR47" i="1" s="1"/>
  <c r="CK350" i="1"/>
  <c r="CK351" i="1" s="1"/>
  <c r="AI33" i="1"/>
  <c r="AI32" i="1"/>
  <c r="R57" i="1"/>
  <c r="R37" i="1"/>
  <c r="R39" i="1" s="1"/>
  <c r="R30" i="1"/>
  <c r="R29" i="1"/>
  <c r="R31" i="1"/>
  <c r="AR103" i="1"/>
  <c r="AR102" i="1"/>
  <c r="AR101" i="1"/>
  <c r="AS215" i="1"/>
  <c r="AS216" i="1" s="1"/>
  <c r="AS105" i="1"/>
  <c r="AS57" i="1"/>
  <c r="AS37" i="1"/>
  <c r="AS39" i="1" s="1"/>
  <c r="AS30" i="1"/>
  <c r="AS29" i="1"/>
  <c r="AS31" i="1"/>
  <c r="AF58" i="1"/>
  <c r="AF40" i="1"/>
  <c r="AF44" i="1"/>
  <c r="AF47" i="1" s="1"/>
  <c r="AF49" i="1" s="1"/>
  <c r="BL215" i="1"/>
  <c r="BL216" i="1" s="1"/>
  <c r="BL76" i="1"/>
  <c r="BL79" i="1" s="1"/>
  <c r="BL105" i="1"/>
  <c r="BL57" i="1"/>
  <c r="BL37" i="1"/>
  <c r="BL39" i="1" s="1"/>
  <c r="BQ40" i="1" s="1"/>
  <c r="BL30" i="1"/>
  <c r="BL29" i="1"/>
  <c r="BL31" i="1"/>
  <c r="BB215" i="1"/>
  <c r="BB216" i="1" s="1"/>
  <c r="BB105" i="1"/>
  <c r="BB57" i="1"/>
  <c r="BB30" i="1"/>
  <c r="BB31" i="1"/>
  <c r="BB37" i="1"/>
  <c r="BB39" i="1" s="1"/>
  <c r="BE39" i="1"/>
  <c r="CZ37" i="1"/>
  <c r="BU58" i="1"/>
  <c r="BU44" i="1"/>
  <c r="BU47" i="1" s="1"/>
  <c r="AQ101" i="1"/>
  <c r="AQ103" i="1"/>
  <c r="AQ102" i="1"/>
  <c r="BF33" i="1"/>
  <c r="BV33" i="1"/>
  <c r="BV32" i="1"/>
  <c r="DH68" i="1"/>
  <c r="CL68" i="1"/>
  <c r="H57" i="1"/>
  <c r="H37" i="1"/>
  <c r="H39" i="1" s="1"/>
  <c r="H30" i="1"/>
  <c r="S33" i="1"/>
  <c r="S32" i="1"/>
  <c r="BS215" i="1"/>
  <c r="BS216" i="1" s="1"/>
  <c r="BS76" i="1"/>
  <c r="BS79" i="1" s="1"/>
  <c r="BS105" i="1"/>
  <c r="BS37" i="1"/>
  <c r="BS39" i="1" s="1"/>
  <c r="BS57" i="1"/>
  <c r="BS31" i="1"/>
  <c r="BS30" i="1"/>
  <c r="BS29" i="1"/>
  <c r="CI33" i="1"/>
  <c r="CI32" i="1"/>
  <c r="AJ33" i="1"/>
  <c r="AJ32" i="1"/>
  <c r="CF33" i="1"/>
  <c r="BI58" i="1"/>
  <c r="BI44" i="1"/>
  <c r="BI47" i="1" s="1"/>
  <c r="AD40" i="1"/>
  <c r="AD44" i="1"/>
  <c r="AD47" i="1" s="1"/>
  <c r="AD49" i="1" s="1"/>
  <c r="AD58" i="1"/>
  <c r="BJ39" i="1"/>
  <c r="DA37" i="1"/>
  <c r="BZ40" i="1"/>
  <c r="BZ44" i="1"/>
  <c r="BZ47" i="1" s="1"/>
  <c r="BZ49" i="1" s="1"/>
  <c r="BZ58" i="1"/>
  <c r="CK194" i="1"/>
  <c r="CK187" i="1"/>
  <c r="CJ164" i="1"/>
  <c r="CJ167" i="1" s="1"/>
  <c r="CJ156" i="1"/>
  <c r="AB215" i="1"/>
  <c r="AB216" i="1" s="1"/>
  <c r="AB105" i="1"/>
  <c r="AB57" i="1"/>
  <c r="CT57" i="1" s="1"/>
  <c r="AB37" i="1"/>
  <c r="CT28" i="1"/>
  <c r="AB30" i="1"/>
  <c r="CT30" i="1" s="1"/>
  <c r="AB29" i="1"/>
  <c r="CT29" i="1" s="1"/>
  <c r="AB31" i="1"/>
  <c r="AG32" i="1" s="1"/>
  <c r="AZ215" i="1"/>
  <c r="AZ216" i="1" s="1"/>
  <c r="AZ105" i="1"/>
  <c r="AZ57" i="1"/>
  <c r="CY57" i="1" s="1"/>
  <c r="AZ37" i="1"/>
  <c r="CY28" i="1"/>
  <c r="AZ30" i="1"/>
  <c r="CY30" i="1" s="1"/>
  <c r="AZ29" i="1"/>
  <c r="CY29" i="1" s="1"/>
  <c r="AZ31" i="1"/>
  <c r="BW215" i="1"/>
  <c r="BW216" i="1" s="1"/>
  <c r="BW76" i="1"/>
  <c r="BW79" i="1" s="1"/>
  <c r="BW105" i="1"/>
  <c r="BW37" i="1"/>
  <c r="BW39" i="1" s="1"/>
  <c r="BW57" i="1"/>
  <c r="BW31" i="1"/>
  <c r="BW30" i="1"/>
  <c r="BW29" i="1"/>
  <c r="T33" i="1"/>
  <c r="T32" i="1"/>
  <c r="AO58" i="1"/>
  <c r="AO40" i="1"/>
  <c r="AO44" i="1"/>
  <c r="AO47" i="1" s="1"/>
  <c r="AO49" i="1" s="1"/>
  <c r="BM33" i="1"/>
  <c r="CC33" i="1"/>
  <c r="J40" i="1"/>
  <c r="J44" i="1"/>
  <c r="J47" i="1" s="1"/>
  <c r="J49" i="1" s="1"/>
  <c r="J58" i="1"/>
  <c r="AH33" i="1"/>
  <c r="AH32" i="1"/>
  <c r="CD33" i="1"/>
  <c r="CD32" i="1"/>
  <c r="CN114" i="1"/>
  <c r="CN115" i="1" s="1"/>
  <c r="CM115" i="1"/>
  <c r="BN78" i="1"/>
  <c r="BN79" i="1" s="1"/>
  <c r="BN77" i="1"/>
  <c r="CL123" i="1"/>
  <c r="CK147" i="1"/>
  <c r="CK138" i="1"/>
  <c r="CK131" i="1"/>
  <c r="CK292" i="1" s="1"/>
  <c r="CR292" i="1" s="1"/>
  <c r="CK183" i="1"/>
  <c r="AE44" i="1"/>
  <c r="AE47" i="1" s="1"/>
  <c r="AE49" i="1" s="1"/>
  <c r="AE58" i="1"/>
  <c r="AE40" i="1"/>
  <c r="CA215" i="1"/>
  <c r="CA216" i="1" s="1"/>
  <c r="CA76" i="1"/>
  <c r="CA79" i="1" s="1"/>
  <c r="CA105" i="1"/>
  <c r="CA37" i="1"/>
  <c r="CA39" i="1" s="1"/>
  <c r="CF40" i="1" s="1"/>
  <c r="CA31" i="1"/>
  <c r="CA30" i="1"/>
  <c r="CA29" i="1"/>
  <c r="X58" i="1"/>
  <c r="X40" i="1"/>
  <c r="X44" i="1"/>
  <c r="X47" i="1" s="1"/>
  <c r="X49" i="1" s="1"/>
  <c r="BX215" i="1"/>
  <c r="BX216" i="1" s="1"/>
  <c r="BX76" i="1"/>
  <c r="BX79" i="1" s="1"/>
  <c r="BX105" i="1"/>
  <c r="BX57" i="1"/>
  <c r="BX37" i="1"/>
  <c r="BX39" i="1" s="1"/>
  <c r="CC40" i="1" s="1"/>
  <c r="BX30" i="1"/>
  <c r="BX29" i="1"/>
  <c r="BX31" i="1"/>
  <c r="CC32" i="1" s="1"/>
  <c r="AX101" i="1"/>
  <c r="AX103" i="1"/>
  <c r="AX102" i="1"/>
  <c r="BC103" i="1"/>
  <c r="U58" i="1"/>
  <c r="U40" i="1"/>
  <c r="U44" i="1"/>
  <c r="U47" i="1" s="1"/>
  <c r="U49" i="1" s="1"/>
  <c r="BQ58" i="1"/>
  <c r="BQ44" i="1"/>
  <c r="BQ47" i="1" s="1"/>
  <c r="CG58" i="1"/>
  <c r="CG44" i="1"/>
  <c r="CG47" i="1" s="1"/>
  <c r="CG49" i="1" s="1"/>
  <c r="AP33" i="1"/>
  <c r="CK189" i="1"/>
  <c r="CK196" i="1"/>
  <c r="CD301" i="1"/>
  <c r="CD300" i="1"/>
  <c r="AG33" i="1"/>
  <c r="AG39" i="1"/>
  <c r="CU37" i="1"/>
  <c r="BO33" i="1"/>
  <c r="BO62" i="1"/>
  <c r="BO32" i="1"/>
  <c r="CE33" i="1"/>
  <c r="CE32" i="1"/>
  <c r="AF33" i="1"/>
  <c r="AF32" i="1"/>
  <c r="CB215" i="1"/>
  <c r="CB76" i="1"/>
  <c r="CB79" i="1" s="1"/>
  <c r="CB105" i="1"/>
  <c r="CB37" i="1"/>
  <c r="CB39" i="1" s="1"/>
  <c r="CG40" i="1" s="1"/>
  <c r="CB30" i="1"/>
  <c r="CB29" i="1"/>
  <c r="CB31" i="1"/>
  <c r="CG32" i="1" s="1"/>
  <c r="BU33" i="1"/>
  <c r="AQ215" i="1"/>
  <c r="AQ216" i="1" s="1"/>
  <c r="AQ105" i="1"/>
  <c r="AQ37" i="1"/>
  <c r="AQ39" i="1" s="1"/>
  <c r="AQ57" i="1"/>
  <c r="AQ31" i="1"/>
  <c r="AQ30" i="1"/>
  <c r="AQ29" i="1"/>
  <c r="CK261" i="1"/>
  <c r="CK269" i="1"/>
  <c r="CK328" i="1"/>
  <c r="CK321" i="1"/>
  <c r="Q59" i="1"/>
  <c r="AV103" i="1"/>
  <c r="AV102" i="1"/>
  <c r="AV101" i="1"/>
  <c r="BA103" i="1"/>
  <c r="AK101" i="1"/>
  <c r="AP103" i="1"/>
  <c r="AC58" i="1"/>
  <c r="AC40" i="1"/>
  <c r="AC44" i="1"/>
  <c r="AC47" i="1" s="1"/>
  <c r="AC49" i="1" s="1"/>
  <c r="BI33" i="1"/>
  <c r="BY39" i="1"/>
  <c r="DD37" i="1"/>
  <c r="AY101" i="1"/>
  <c r="AY103" i="1"/>
  <c r="AY102" i="1"/>
  <c r="BD103" i="1"/>
  <c r="CM287" i="1"/>
  <c r="CN277" i="1"/>
  <c r="CN287" i="1" s="1"/>
  <c r="AA44" i="1"/>
  <c r="AA47" i="1" s="1"/>
  <c r="AA49" i="1" s="1"/>
  <c r="AA58" i="1"/>
  <c r="AA40" i="1"/>
  <c r="BD215" i="1"/>
  <c r="BD216" i="1" s="1"/>
  <c r="BD105" i="1"/>
  <c r="BD57" i="1"/>
  <c r="BD37" i="1"/>
  <c r="BD39" i="1" s="1"/>
  <c r="BI40" i="1" s="1"/>
  <c r="BD30" i="1"/>
  <c r="BD29" i="1"/>
  <c r="BD31" i="1"/>
  <c r="BI32" i="1" s="1"/>
  <c r="AL215" i="1"/>
  <c r="AL216" i="1" s="1"/>
  <c r="AL105" i="1"/>
  <c r="AL57" i="1"/>
  <c r="AL30" i="1"/>
  <c r="AL29" i="1"/>
  <c r="AL31" i="1"/>
  <c r="AL37" i="1"/>
  <c r="AL39" i="1" s="1"/>
  <c r="AT215" i="1"/>
  <c r="AT216" i="1" s="1"/>
  <c r="AT105" i="1"/>
  <c r="AT106" i="1" s="1"/>
  <c r="AT57" i="1"/>
  <c r="AT30" i="1"/>
  <c r="AT29" i="1"/>
  <c r="AT37" i="1"/>
  <c r="AT39" i="1" s="1"/>
  <c r="AT31" i="1"/>
  <c r="AO33" i="1"/>
  <c r="AO32" i="1"/>
  <c r="G44" i="1"/>
  <c r="G47" i="1" s="1"/>
  <c r="G49" i="1" s="1"/>
  <c r="G59" i="1" s="1"/>
  <c r="G58" i="1"/>
  <c r="M57" i="1"/>
  <c r="M37" i="1"/>
  <c r="M39" i="1" s="1"/>
  <c r="M30" i="1"/>
  <c r="M29" i="1"/>
  <c r="M31" i="1"/>
  <c r="M33" i="1" s="1"/>
  <c r="W215" i="1"/>
  <c r="W216" i="1" s="1"/>
  <c r="W37" i="1"/>
  <c r="W39" i="1" s="1"/>
  <c r="W57" i="1"/>
  <c r="W31" i="1"/>
  <c r="W30" i="1"/>
  <c r="W29" i="1"/>
  <c r="AN103" i="1"/>
  <c r="AN101" i="1"/>
  <c r="X33" i="1"/>
  <c r="X32" i="1"/>
  <c r="U33" i="1"/>
  <c r="U32" i="1"/>
  <c r="BA58" i="1"/>
  <c r="BA44" i="1"/>
  <c r="BA47" i="1" s="1"/>
  <c r="BQ33" i="1"/>
  <c r="BQ32" i="1"/>
  <c r="CG33" i="1"/>
  <c r="V40" i="1"/>
  <c r="V44" i="1"/>
  <c r="V47" i="1" s="1"/>
  <c r="V49" i="1" s="1"/>
  <c r="V58" i="1"/>
  <c r="CL282" i="1"/>
  <c r="CN300" i="1"/>
  <c r="CL357" i="1"/>
  <c r="CL275" i="1"/>
  <c r="CL285" i="1" s="1"/>
  <c r="CL259" i="1"/>
  <c r="CM250" i="1"/>
  <c r="AU39" i="1"/>
  <c r="CX37" i="1"/>
  <c r="BB101" i="1"/>
  <c r="BB102" i="1"/>
  <c r="BG103" i="1"/>
  <c r="BE33" i="1"/>
  <c r="BE32" i="1"/>
  <c r="AR215" i="1"/>
  <c r="AR216" i="1" s="1"/>
  <c r="AR105" i="1"/>
  <c r="AR57" i="1"/>
  <c r="AR37" i="1"/>
  <c r="AR39" i="1" s="1"/>
  <c r="AR30" i="1"/>
  <c r="AR29" i="1"/>
  <c r="AR31" i="1"/>
  <c r="O44" i="1"/>
  <c r="O47" i="1" s="1"/>
  <c r="O49" i="1" s="1"/>
  <c r="O58" i="1"/>
  <c r="O40" i="1"/>
  <c r="CE44" i="1"/>
  <c r="CE47" i="1" s="1"/>
  <c r="CE49" i="1" s="1"/>
  <c r="CE58" i="1"/>
  <c r="CE40" i="1"/>
  <c r="AW100" i="1"/>
  <c r="BB103" i="1" s="1"/>
  <c r="AW28" i="1"/>
  <c r="AW24" i="1"/>
  <c r="AW25" i="1" s="1"/>
  <c r="AW10" i="1"/>
  <c r="BB10" i="1"/>
  <c r="Y33" i="1"/>
  <c r="Y32" i="1"/>
  <c r="Z33" i="1"/>
  <c r="Z32" i="1"/>
  <c r="CL355" i="1"/>
  <c r="CL273" i="1"/>
  <c r="CL283" i="1" s="1"/>
  <c r="CL257" i="1"/>
  <c r="CM248" i="1"/>
  <c r="S44" i="1"/>
  <c r="S47" i="1" s="1"/>
  <c r="S49" i="1" s="1"/>
  <c r="S58" i="1"/>
  <c r="S40" i="1"/>
  <c r="CI39" i="1"/>
  <c r="DF37" i="1"/>
  <c r="BE63" i="1"/>
  <c r="CY63" i="1"/>
  <c r="P58" i="1"/>
  <c r="P40" i="1"/>
  <c r="P44" i="1"/>
  <c r="P47" i="1" s="1"/>
  <c r="P49" i="1" s="1"/>
  <c r="F44" i="1"/>
  <c r="F47" i="1" s="1"/>
  <c r="F49" i="1" s="1"/>
  <c r="F59" i="1" s="1"/>
  <c r="F58" i="1"/>
  <c r="AC33" i="1"/>
  <c r="AC32" i="1"/>
  <c r="BI29" i="1"/>
  <c r="BY62" i="1"/>
  <c r="BY33" i="1"/>
  <c r="AY215" i="1"/>
  <c r="AY216" i="1" s="1"/>
  <c r="AY105" i="1"/>
  <c r="AY37" i="1"/>
  <c r="AY39" i="1" s="1"/>
  <c r="AY57" i="1"/>
  <c r="AY31" i="1"/>
  <c r="AY30" i="1"/>
  <c r="AY29" i="1"/>
  <c r="CD78" i="1"/>
  <c r="CD79" i="1" s="1"/>
  <c r="CD77" i="1"/>
  <c r="CI62" i="1" s="1"/>
  <c r="CD66" i="1"/>
  <c r="CD60" i="1"/>
  <c r="DE60" i="1" s="1"/>
  <c r="DE51" i="1"/>
  <c r="E58" i="1"/>
  <c r="E44" i="1"/>
  <c r="E47" i="1" s="1"/>
  <c r="E49" i="1" s="1"/>
  <c r="E59" i="1" s="1"/>
  <c r="BT215" i="1"/>
  <c r="BT216" i="1" s="1"/>
  <c r="BT76" i="1"/>
  <c r="BT79" i="1" s="1"/>
  <c r="BT105" i="1"/>
  <c r="BT57" i="1"/>
  <c r="DC57" i="1" s="1"/>
  <c r="BT37" i="1"/>
  <c r="DC28" i="1"/>
  <c r="BT30" i="1"/>
  <c r="DC30" i="1" s="1"/>
  <c r="BT29" i="1"/>
  <c r="DC29" i="1" s="1"/>
  <c r="BT31" i="1"/>
  <c r="AL101" i="1"/>
  <c r="AL103" i="1"/>
  <c r="AT101" i="1"/>
  <c r="AT103" i="1"/>
  <c r="AT102" i="1"/>
  <c r="BN40" i="1"/>
  <c r="BN44" i="1"/>
  <c r="BN47" i="1" s="1"/>
  <c r="BN58" i="1"/>
  <c r="CK186" i="1"/>
  <c r="CK193" i="1"/>
  <c r="AE33" i="1"/>
  <c r="AE32" i="1"/>
  <c r="BQ29" i="1"/>
  <c r="CG29" i="1"/>
  <c r="AM101" i="1"/>
  <c r="AM103" i="1"/>
  <c r="V33" i="1"/>
  <c r="V32" i="1"/>
  <c r="CH40" i="1"/>
  <c r="CH44" i="1"/>
  <c r="CH47" i="1" s="1"/>
  <c r="CH49" i="1" s="1"/>
  <c r="CH58" i="1"/>
  <c r="AU106" i="1"/>
  <c r="AS102" i="1"/>
  <c r="AS101" i="1"/>
  <c r="AS103" i="1"/>
  <c r="Y58" i="1"/>
  <c r="Y40" i="1"/>
  <c r="Y44" i="1"/>
  <c r="Y47" i="1" s="1"/>
  <c r="Y49" i="1" s="1"/>
  <c r="Z40" i="1"/>
  <c r="Z44" i="1"/>
  <c r="Z47" i="1" s="1"/>
  <c r="Z49" i="1" s="1"/>
  <c r="Z58" i="1"/>
  <c r="D58" i="1"/>
  <c r="D44" i="1"/>
  <c r="D47" i="1" s="1"/>
  <c r="D49" i="1" s="1"/>
  <c r="D59" i="1" s="1"/>
  <c r="AI44" i="1"/>
  <c r="AI47" i="1" s="1"/>
  <c r="AI49" i="1" s="1"/>
  <c r="AI58" i="1"/>
  <c r="AI40" i="1"/>
  <c r="BO39" i="1"/>
  <c r="DB37" i="1"/>
  <c r="L58" i="1"/>
  <c r="L40" i="1"/>
  <c r="L44" i="1"/>
  <c r="L47" i="1" s="1"/>
  <c r="L49" i="1" s="1"/>
  <c r="BF40" i="1"/>
  <c r="BF44" i="1"/>
  <c r="BF47" i="1" s="1"/>
  <c r="BF58" i="1"/>
  <c r="BV40" i="1"/>
  <c r="BV44" i="1"/>
  <c r="BV47" i="1" s="1"/>
  <c r="BV58" i="1"/>
  <c r="CA166" i="1"/>
  <c r="CA167" i="1"/>
  <c r="CK188" i="1"/>
  <c r="CK195" i="1"/>
  <c r="CB165" i="1"/>
  <c r="CC165" i="1" s="1"/>
  <c r="CJ215" i="1"/>
  <c r="CJ216" i="1" s="1"/>
  <c r="DG28" i="1"/>
  <c r="CJ29" i="1"/>
  <c r="DG29" i="1" s="1"/>
  <c r="CJ31" i="1"/>
  <c r="CJ298" i="1"/>
  <c r="CJ301" i="1" s="1"/>
  <c r="CJ289" i="1"/>
  <c r="AV215" i="1"/>
  <c r="AV216" i="1" s="1"/>
  <c r="AV105" i="1"/>
  <c r="AV106" i="1" s="1"/>
  <c r="AV57" i="1"/>
  <c r="AV37" i="1"/>
  <c r="AV39" i="1" s="1"/>
  <c r="BA40" i="1" s="1"/>
  <c r="AV30" i="1"/>
  <c r="AV29" i="1"/>
  <c r="AV31" i="1"/>
  <c r="BC215" i="1"/>
  <c r="BC216" i="1" s="1"/>
  <c r="BC105" i="1"/>
  <c r="BC37" i="1"/>
  <c r="BC39" i="1" s="1"/>
  <c r="BC57" i="1"/>
  <c r="BC31" i="1"/>
  <c r="BC30" i="1"/>
  <c r="BC29" i="1"/>
  <c r="AK215" i="1"/>
  <c r="AK216" i="1" s="1"/>
  <c r="AK105" i="1"/>
  <c r="AK57" i="1"/>
  <c r="CV57" i="1" s="1"/>
  <c r="AK37" i="1"/>
  <c r="AK30" i="1"/>
  <c r="CV30" i="1" s="1"/>
  <c r="AK29" i="1"/>
  <c r="CV29" i="1" s="1"/>
  <c r="AK31" i="1"/>
  <c r="CV28" i="1"/>
  <c r="AJ58" i="1"/>
  <c r="AJ40" i="1"/>
  <c r="AJ44" i="1"/>
  <c r="AJ47" i="1" s="1"/>
  <c r="AJ49" i="1" s="1"/>
  <c r="BP215" i="1"/>
  <c r="BP216" i="1" s="1"/>
  <c r="BP76" i="1"/>
  <c r="BP79" i="1" s="1"/>
  <c r="BP105" i="1"/>
  <c r="BP57" i="1"/>
  <c r="BP37" i="1"/>
  <c r="BP39" i="1" s="1"/>
  <c r="BP30" i="1"/>
  <c r="BP29" i="1"/>
  <c r="BP31" i="1"/>
  <c r="BU32" i="1" s="1"/>
  <c r="CF58" i="1"/>
  <c r="CF44" i="1"/>
  <c r="CF47" i="1" s="1"/>
  <c r="CF49" i="1" s="1"/>
  <c r="AD33" i="1"/>
  <c r="AD32" i="1"/>
  <c r="BJ62" i="1"/>
  <c r="BJ32" i="1"/>
  <c r="BJ33" i="1"/>
  <c r="BZ32" i="1"/>
  <c r="BZ33" i="1"/>
  <c r="AZ103" i="1"/>
  <c r="AZ102" i="1"/>
  <c r="AZ101" i="1"/>
  <c r="BE103" i="1"/>
  <c r="AA33" i="1"/>
  <c r="AA32" i="1"/>
  <c r="BG215" i="1"/>
  <c r="BG216" i="1" s="1"/>
  <c r="BG76" i="1"/>
  <c r="BG79" i="1" s="1"/>
  <c r="BG105" i="1"/>
  <c r="BG37" i="1"/>
  <c r="BG39" i="1" s="1"/>
  <c r="BG57" i="1"/>
  <c r="BG31" i="1"/>
  <c r="BG30" i="1"/>
  <c r="BG29" i="1"/>
  <c r="T58" i="1"/>
  <c r="T40" i="1"/>
  <c r="T44" i="1"/>
  <c r="T47" i="1" s="1"/>
  <c r="T49" i="1" s="1"/>
  <c r="I58" i="1"/>
  <c r="I40" i="1"/>
  <c r="I44" i="1"/>
  <c r="I47" i="1" s="1"/>
  <c r="I49" i="1" s="1"/>
  <c r="N50" i="1" s="1"/>
  <c r="BM58" i="1"/>
  <c r="BM44" i="1"/>
  <c r="BM47" i="1" s="1"/>
  <c r="CC58" i="1"/>
  <c r="CC44" i="1"/>
  <c r="CC47" i="1" s="1"/>
  <c r="CC49" i="1" s="1"/>
  <c r="AH40" i="1"/>
  <c r="AH44" i="1"/>
  <c r="AH47" i="1" s="1"/>
  <c r="AH49" i="1" s="1"/>
  <c r="AH58" i="1"/>
  <c r="BN33" i="1"/>
  <c r="BN32" i="1"/>
  <c r="CD39" i="1"/>
  <c r="DE37" i="1"/>
  <c r="CM51" i="1"/>
  <c r="CK223" i="1"/>
  <c r="BO360" i="1"/>
  <c r="BO350" i="1"/>
  <c r="BO351" i="1" s="1"/>
  <c r="N59" i="1"/>
  <c r="AN215" i="1"/>
  <c r="AN216" i="1" s="1"/>
  <c r="AN105" i="1"/>
  <c r="AN57" i="1"/>
  <c r="AN37" i="1"/>
  <c r="AN39" i="1" s="1"/>
  <c r="AN30" i="1"/>
  <c r="AN29" i="1"/>
  <c r="AN31" i="1"/>
  <c r="K44" i="1"/>
  <c r="K47" i="1" s="1"/>
  <c r="K49" i="1" s="1"/>
  <c r="K58" i="1"/>
  <c r="K40" i="1"/>
  <c r="BK215" i="1"/>
  <c r="BK216" i="1" s="1"/>
  <c r="BK76" i="1"/>
  <c r="BK79" i="1" s="1"/>
  <c r="BK105" i="1"/>
  <c r="BK37" i="1"/>
  <c r="BK39" i="1" s="1"/>
  <c r="BK57" i="1"/>
  <c r="BK31" i="1"/>
  <c r="BK30" i="1"/>
  <c r="BK29" i="1"/>
  <c r="AZ51" i="1"/>
  <c r="CX51" i="1"/>
  <c r="AU66" i="1"/>
  <c r="AU56" i="1"/>
  <c r="CX56" i="1" s="1"/>
  <c r="AU60" i="1"/>
  <c r="CX60" i="1" s="1"/>
  <c r="BH215" i="1"/>
  <c r="BH216" i="1" s="1"/>
  <c r="BH76" i="1"/>
  <c r="BH79" i="1" s="1"/>
  <c r="BH105" i="1"/>
  <c r="BH57" i="1"/>
  <c r="BH37" i="1"/>
  <c r="BH39" i="1" s="1"/>
  <c r="BH30" i="1"/>
  <c r="BH29" i="1"/>
  <c r="BH31" i="1"/>
  <c r="AX215" i="1"/>
  <c r="AX216" i="1" s="1"/>
  <c r="AX105" i="1"/>
  <c r="AX57" i="1"/>
  <c r="AX37" i="1"/>
  <c r="AX39" i="1" s="1"/>
  <c r="AX30" i="1"/>
  <c r="AX29" i="1"/>
  <c r="AX31" i="1"/>
  <c r="BA29" i="1"/>
  <c r="AM215" i="1"/>
  <c r="AM216" i="1" s="1"/>
  <c r="AM105" i="1"/>
  <c r="AM37" i="1"/>
  <c r="AM39" i="1" s="1"/>
  <c r="AM57" i="1"/>
  <c r="AM31" i="1"/>
  <c r="AM30" i="1"/>
  <c r="AM29" i="1"/>
  <c r="AP39" i="1"/>
  <c r="CW37" i="1"/>
  <c r="BR32" i="1"/>
  <c r="BR33" i="1"/>
  <c r="CH32" i="1"/>
  <c r="CH33" i="1"/>
  <c r="BD223" i="1"/>
  <c r="BD211" i="1"/>
  <c r="CM354" i="1"/>
  <c r="CM253" i="1"/>
  <c r="CM256" i="1"/>
  <c r="CN247" i="1"/>
  <c r="CK330" i="1"/>
  <c r="CK323" i="1"/>
  <c r="AU33" i="1"/>
  <c r="AU32" i="1"/>
  <c r="CM274" i="1" l="1"/>
  <c r="CM284" i="1" s="1"/>
  <c r="CN249" i="1"/>
  <c r="CM258" i="1"/>
  <c r="CL359" i="1"/>
  <c r="CL350" i="1" s="1"/>
  <c r="CL351" i="1" s="1"/>
  <c r="CM252" i="1"/>
  <c r="CM269" i="1" s="1"/>
  <c r="CK360" i="1"/>
  <c r="BA33" i="1"/>
  <c r="BR40" i="1"/>
  <c r="CM317" i="1"/>
  <c r="CK289" i="1"/>
  <c r="CK298" i="1"/>
  <c r="CK301" i="1" s="1"/>
  <c r="CK6" i="1"/>
  <c r="CK9" i="1" s="1"/>
  <c r="BR58" i="1"/>
  <c r="CE50" i="1"/>
  <c r="CC167" i="1"/>
  <c r="CC166" i="1"/>
  <c r="CC216" i="1"/>
  <c r="CM282" i="1"/>
  <c r="T59" i="1"/>
  <c r="T50" i="1"/>
  <c r="AV33" i="1"/>
  <c r="AV32" i="1"/>
  <c r="BV49" i="1"/>
  <c r="BV59" i="1"/>
  <c r="AI59" i="1"/>
  <c r="AI50" i="1"/>
  <c r="Z50" i="1"/>
  <c r="Z59" i="1"/>
  <c r="AY33" i="1"/>
  <c r="AY32" i="1"/>
  <c r="AU44" i="1"/>
  <c r="CX39" i="1"/>
  <c r="AU58" i="1"/>
  <c r="CX58" i="1" s="1"/>
  <c r="AU40" i="1"/>
  <c r="CX40" i="1" s="1"/>
  <c r="BA61" i="1"/>
  <c r="BA49" i="1"/>
  <c r="BA59" i="1"/>
  <c r="AL40" i="1"/>
  <c r="AL44" i="1"/>
  <c r="AL47" i="1" s="1"/>
  <c r="AL49" i="1" s="1"/>
  <c r="AL58" i="1"/>
  <c r="AA59" i="1"/>
  <c r="AA50" i="1"/>
  <c r="CN356" i="1"/>
  <c r="CN258" i="1"/>
  <c r="CN274" i="1"/>
  <c r="CN284" i="1" s="1"/>
  <c r="BY58" i="1"/>
  <c r="DD58" i="1" s="1"/>
  <c r="BY44" i="1"/>
  <c r="DD39" i="1"/>
  <c r="AQ33" i="1"/>
  <c r="AQ32" i="1"/>
  <c r="BX58" i="1"/>
  <c r="BX40" i="1"/>
  <c r="BX44" i="1"/>
  <c r="BX47" i="1" s="1"/>
  <c r="AO50" i="1"/>
  <c r="AO59" i="1"/>
  <c r="H58" i="1"/>
  <c r="H44" i="1"/>
  <c r="H47" i="1" s="1"/>
  <c r="BU49" i="1"/>
  <c r="BZ50" i="1" s="1"/>
  <c r="BU59" i="1"/>
  <c r="BE44" i="1"/>
  <c r="CZ39" i="1"/>
  <c r="BE58" i="1"/>
  <c r="CZ58" i="1" s="1"/>
  <c r="BL33" i="1"/>
  <c r="BL32" i="1"/>
  <c r="AF59" i="1"/>
  <c r="AF50" i="1"/>
  <c r="AS106" i="1"/>
  <c r="R40" i="1"/>
  <c r="R44" i="1"/>
  <c r="R47" i="1" s="1"/>
  <c r="R58" i="1"/>
  <c r="CD165" i="1"/>
  <c r="CN354" i="1"/>
  <c r="CN272" i="1"/>
  <c r="CN253" i="1"/>
  <c r="CN256" i="1"/>
  <c r="AM33" i="1"/>
  <c r="AM32" i="1"/>
  <c r="BH58" i="1"/>
  <c r="BH40" i="1"/>
  <c r="BH44" i="1"/>
  <c r="BH47" i="1" s="1"/>
  <c r="BK33" i="1"/>
  <c r="BK32" i="1"/>
  <c r="K59" i="1"/>
  <c r="K50" i="1"/>
  <c r="AN58" i="1"/>
  <c r="AN40" i="1"/>
  <c r="AN44" i="1"/>
  <c r="AN47" i="1" s="1"/>
  <c r="AN49" i="1" s="1"/>
  <c r="CD40" i="1"/>
  <c r="DE40" i="1" s="1"/>
  <c r="CD44" i="1"/>
  <c r="DE39" i="1"/>
  <c r="CD58" i="1"/>
  <c r="DE58" i="1" s="1"/>
  <c r="AH50" i="1"/>
  <c r="AH59" i="1"/>
  <c r="I50" i="1"/>
  <c r="I59" i="1"/>
  <c r="BG33" i="1"/>
  <c r="BG32" i="1"/>
  <c r="BP58" i="1"/>
  <c r="BP40" i="1"/>
  <c r="BP44" i="1"/>
  <c r="BP47" i="1" s="1"/>
  <c r="AK39" i="1"/>
  <c r="AP40" i="1" s="1"/>
  <c r="CW40" i="1" s="1"/>
  <c r="CV37" i="1"/>
  <c r="BC44" i="1"/>
  <c r="BC47" i="1" s="1"/>
  <c r="BC58" i="1"/>
  <c r="BC40" i="1"/>
  <c r="L59" i="1"/>
  <c r="L50" i="1"/>
  <c r="BO44" i="1"/>
  <c r="DB39" i="1"/>
  <c r="BO58" i="1"/>
  <c r="DB58" i="1" s="1"/>
  <c r="BO40" i="1"/>
  <c r="DB40" i="1" s="1"/>
  <c r="CL269" i="1"/>
  <c r="CL317" i="1"/>
  <c r="BN49" i="1"/>
  <c r="BN59" i="1"/>
  <c r="BT62" i="1"/>
  <c r="BT33" i="1"/>
  <c r="BT32" i="1"/>
  <c r="BT39" i="1"/>
  <c r="DC37" i="1"/>
  <c r="BY32" i="1"/>
  <c r="P59" i="1"/>
  <c r="P50" i="1"/>
  <c r="BJ63" i="1"/>
  <c r="BE56" i="1"/>
  <c r="CZ56" i="1" s="1"/>
  <c r="CZ63" i="1"/>
  <c r="O59" i="1"/>
  <c r="O50" i="1"/>
  <c r="AR58" i="1"/>
  <c r="AR40" i="1"/>
  <c r="AR44" i="1"/>
  <c r="AR47" i="1" s="1"/>
  <c r="AR49" i="1" s="1"/>
  <c r="CM357" i="1"/>
  <c r="CM275" i="1"/>
  <c r="CM285" i="1" s="1"/>
  <c r="CN250" i="1"/>
  <c r="W44" i="1"/>
  <c r="W47" i="1" s="1"/>
  <c r="W40" i="1"/>
  <c r="W58" i="1"/>
  <c r="AT33" i="1"/>
  <c r="AT32" i="1"/>
  <c r="AL33" i="1"/>
  <c r="AL32" i="1"/>
  <c r="Q50" i="1"/>
  <c r="CB216" i="1"/>
  <c r="BX33" i="1"/>
  <c r="BX32" i="1"/>
  <c r="X59" i="1"/>
  <c r="X50" i="1"/>
  <c r="AE59" i="1"/>
  <c r="AE50" i="1"/>
  <c r="CK156" i="1"/>
  <c r="CK148" i="1"/>
  <c r="CD62" i="1"/>
  <c r="BW44" i="1"/>
  <c r="BW47" i="1" s="1"/>
  <c r="BW58" i="1"/>
  <c r="BW40" i="1"/>
  <c r="AZ33" i="1"/>
  <c r="AZ32" i="1"/>
  <c r="AZ39" i="1"/>
  <c r="CY37" i="1"/>
  <c r="AB33" i="1"/>
  <c r="AB32" i="1"/>
  <c r="AB39" i="1"/>
  <c r="AG40" i="1" s="1"/>
  <c r="CU40" i="1" s="1"/>
  <c r="CT37" i="1"/>
  <c r="AD50" i="1"/>
  <c r="AD59" i="1"/>
  <c r="BS44" i="1"/>
  <c r="BS47" i="1" s="1"/>
  <c r="BS58" i="1"/>
  <c r="BS40" i="1"/>
  <c r="BU40" i="1"/>
  <c r="BB44" i="1"/>
  <c r="BB47" i="1" s="1"/>
  <c r="BB58" i="1"/>
  <c r="R33" i="1"/>
  <c r="R32" i="1"/>
  <c r="CK215" i="1"/>
  <c r="CK216" i="1" s="1"/>
  <c r="CK29" i="1"/>
  <c r="DH29" i="1" s="1"/>
  <c r="CK31" i="1"/>
  <c r="DH28" i="1"/>
  <c r="AP44" i="1"/>
  <c r="CW39" i="1"/>
  <c r="AP58" i="1"/>
  <c r="CW58" i="1" s="1"/>
  <c r="AX40" i="1"/>
  <c r="AX44" i="1"/>
  <c r="AX47" i="1" s="1"/>
  <c r="AX58" i="1"/>
  <c r="BH33" i="1"/>
  <c r="BH32" i="1"/>
  <c r="AZ60" i="1"/>
  <c r="CY60" i="1" s="1"/>
  <c r="CY51" i="1"/>
  <c r="AZ66" i="1"/>
  <c r="AZ56" i="1"/>
  <c r="CY56" i="1" s="1"/>
  <c r="AN33" i="1"/>
  <c r="AN32" i="1"/>
  <c r="BM49" i="1"/>
  <c r="BM59" i="1"/>
  <c r="BP33" i="1"/>
  <c r="BP32" i="1"/>
  <c r="AJ59" i="1"/>
  <c r="AJ50" i="1"/>
  <c r="AK33" i="1"/>
  <c r="AK32" i="1"/>
  <c r="CJ32" i="1"/>
  <c r="CB166" i="1"/>
  <c r="CB167" i="1"/>
  <c r="Y50" i="1"/>
  <c r="Y59" i="1"/>
  <c r="BR49" i="1"/>
  <c r="BR59" i="1"/>
  <c r="BA32" i="1"/>
  <c r="AY44" i="1"/>
  <c r="AY47" i="1" s="1"/>
  <c r="AY58" i="1"/>
  <c r="AY40" i="1"/>
  <c r="S59" i="1"/>
  <c r="S50" i="1"/>
  <c r="AW215" i="1"/>
  <c r="AW216" i="1" s="1"/>
  <c r="AW105" i="1"/>
  <c r="AW106" i="1" s="1"/>
  <c r="AW57" i="1"/>
  <c r="AW37" i="1"/>
  <c r="AW39" i="1" s="1"/>
  <c r="BB40" i="1" s="1"/>
  <c r="AW30" i="1"/>
  <c r="AW29" i="1"/>
  <c r="AW31" i="1"/>
  <c r="BB32" i="1" s="1"/>
  <c r="AR33" i="1"/>
  <c r="AR32" i="1"/>
  <c r="V50" i="1"/>
  <c r="V59" i="1"/>
  <c r="M40" i="1"/>
  <c r="M44" i="1"/>
  <c r="M47" i="1" s="1"/>
  <c r="M58" i="1"/>
  <c r="AT40" i="1"/>
  <c r="AT44" i="1"/>
  <c r="AT47" i="1" s="1"/>
  <c r="AT49" i="1" s="1"/>
  <c r="AT58" i="1"/>
  <c r="BD40" i="1"/>
  <c r="BD44" i="1"/>
  <c r="BD47" i="1" s="1"/>
  <c r="BD58" i="1"/>
  <c r="AQ44" i="1"/>
  <c r="AQ47" i="1" s="1"/>
  <c r="AQ49" i="1" s="1"/>
  <c r="AQ58" i="1"/>
  <c r="AQ40" i="1"/>
  <c r="CB58" i="1"/>
  <c r="CB40" i="1"/>
  <c r="CB44" i="1"/>
  <c r="CB47" i="1" s="1"/>
  <c r="CB49" i="1" s="1"/>
  <c r="AG44" i="1"/>
  <c r="CU39" i="1"/>
  <c r="AG58" i="1"/>
  <c r="CU58" i="1" s="1"/>
  <c r="AP32" i="1"/>
  <c r="U50" i="1"/>
  <c r="U59" i="1"/>
  <c r="CA33" i="1"/>
  <c r="CA32" i="1"/>
  <c r="CM123" i="1"/>
  <c r="CL147" i="1"/>
  <c r="CL156" i="1" s="1"/>
  <c r="CL131" i="1"/>
  <c r="CL292" i="1" s="1"/>
  <c r="CL183" i="1"/>
  <c r="J50" i="1"/>
  <c r="J59" i="1"/>
  <c r="BM32" i="1"/>
  <c r="CF32" i="1"/>
  <c r="BB33" i="1"/>
  <c r="AS58" i="1"/>
  <c r="AS40" i="1"/>
  <c r="AS44" i="1"/>
  <c r="AS47" i="1" s="1"/>
  <c r="AS49" i="1" s="1"/>
  <c r="AM44" i="1"/>
  <c r="AM47" i="1" s="1"/>
  <c r="AM49" i="1" s="1"/>
  <c r="AM58" i="1"/>
  <c r="AM40" i="1"/>
  <c r="AX33" i="1"/>
  <c r="AX32" i="1"/>
  <c r="BK44" i="1"/>
  <c r="BK47" i="1" s="1"/>
  <c r="BK58" i="1"/>
  <c r="BK40" i="1"/>
  <c r="CN51" i="1"/>
  <c r="BM40" i="1"/>
  <c r="BG44" i="1"/>
  <c r="BG47" i="1" s="1"/>
  <c r="BG58" i="1"/>
  <c r="BG40" i="1"/>
  <c r="BC33" i="1"/>
  <c r="BC32" i="1"/>
  <c r="AV58" i="1"/>
  <c r="AV40" i="1"/>
  <c r="AV44" i="1"/>
  <c r="AV47" i="1" s="1"/>
  <c r="CJ159" i="1"/>
  <c r="CQ159" i="1" s="1"/>
  <c r="CJ72" i="1"/>
  <c r="CJ7" i="1"/>
  <c r="DG7" i="1" s="1"/>
  <c r="CJ9" i="1"/>
  <c r="CJ33" i="1" s="1"/>
  <c r="DG6" i="1"/>
  <c r="BF49" i="1"/>
  <c r="BF59" i="1"/>
  <c r="CH50" i="1"/>
  <c r="CI44" i="1"/>
  <c r="DF39" i="1"/>
  <c r="CI58" i="1"/>
  <c r="DF58" i="1" s="1"/>
  <c r="CI40" i="1"/>
  <c r="DF40" i="1" s="1"/>
  <c r="CM355" i="1"/>
  <c r="CM359" i="1" s="1"/>
  <c r="CM273" i="1"/>
  <c r="CM283" i="1" s="1"/>
  <c r="CM257" i="1"/>
  <c r="CN248" i="1"/>
  <c r="CN252" i="1" s="1"/>
  <c r="AW102" i="1"/>
  <c r="AW101" i="1"/>
  <c r="AW103" i="1"/>
  <c r="AR106" i="1"/>
  <c r="CL279" i="1"/>
  <c r="W33" i="1"/>
  <c r="W32" i="1"/>
  <c r="BD33" i="1"/>
  <c r="BD32" i="1"/>
  <c r="AC50" i="1"/>
  <c r="AC59" i="1"/>
  <c r="AQ106" i="1"/>
  <c r="CB33" i="1"/>
  <c r="CB32" i="1"/>
  <c r="BQ49" i="1"/>
  <c r="BQ59" i="1"/>
  <c r="CA44" i="1"/>
  <c r="CA47" i="1" s="1"/>
  <c r="CA49" i="1" s="1"/>
  <c r="CA58" i="1"/>
  <c r="CA40" i="1"/>
  <c r="BW33" i="1"/>
  <c r="BW32" i="1"/>
  <c r="BJ40" i="1"/>
  <c r="DA40" i="1" s="1"/>
  <c r="BJ44" i="1"/>
  <c r="DA39" i="1"/>
  <c r="BJ58" i="1"/>
  <c r="DA58" i="1" s="1"/>
  <c r="BI49" i="1"/>
  <c r="BI59" i="1"/>
  <c r="BS33" i="1"/>
  <c r="BS32" i="1"/>
  <c r="CM68" i="1"/>
  <c r="BB29" i="1"/>
  <c r="BL58" i="1"/>
  <c r="BL40" i="1"/>
  <c r="BL44" i="1"/>
  <c r="BL47" i="1" s="1"/>
  <c r="AS33" i="1"/>
  <c r="AS32" i="1"/>
  <c r="CL360" i="1" l="1"/>
  <c r="CK159" i="1"/>
  <c r="CR159" i="1" s="1"/>
  <c r="BF50" i="1"/>
  <c r="CL28" i="1"/>
  <c r="CL215" i="1" s="1"/>
  <c r="CK7" i="1"/>
  <c r="DH7" i="1" s="1"/>
  <c r="CK72" i="1"/>
  <c r="DH6" i="1"/>
  <c r="CA50" i="1"/>
  <c r="CM350" i="1"/>
  <c r="CM351" i="1" s="1"/>
  <c r="CM28" i="1"/>
  <c r="BK49" i="1"/>
  <c r="BK50" i="1" s="1"/>
  <c r="BK59" i="1"/>
  <c r="BD59" i="1"/>
  <c r="BD61" i="1"/>
  <c r="BD49" i="1"/>
  <c r="AW33" i="1"/>
  <c r="AW32" i="1"/>
  <c r="CM279" i="1"/>
  <c r="CL289" i="1"/>
  <c r="CL298" i="1"/>
  <c r="CL301" i="1" s="1"/>
  <c r="CL6" i="1"/>
  <c r="DF44" i="1"/>
  <c r="CI47" i="1"/>
  <c r="AM59" i="1"/>
  <c r="AM50" i="1"/>
  <c r="DH9" i="1"/>
  <c r="CK10" i="1"/>
  <c r="CK30" i="1"/>
  <c r="DH30" i="1" s="1"/>
  <c r="BB61" i="1"/>
  <c r="BB49" i="1"/>
  <c r="BB59" i="1"/>
  <c r="W61" i="1"/>
  <c r="W49" i="1"/>
  <c r="BO63" i="1"/>
  <c r="DA63" i="1"/>
  <c r="BJ56" i="1"/>
  <c r="DA56" i="1" s="1"/>
  <c r="AK40" i="1"/>
  <c r="CV40" i="1" s="1"/>
  <c r="AK44" i="1"/>
  <c r="CV39" i="1"/>
  <c r="AK58" i="1"/>
  <c r="CV58" i="1" s="1"/>
  <c r="DE44" i="1"/>
  <c r="CD47" i="1"/>
  <c r="CN282" i="1"/>
  <c r="R61" i="1"/>
  <c r="R49" i="1"/>
  <c r="BA69" i="1"/>
  <c r="BA70" i="1" s="1"/>
  <c r="BA67" i="1"/>
  <c r="CN355" i="1"/>
  <c r="CN273" i="1"/>
  <c r="CN283" i="1" s="1"/>
  <c r="CN257" i="1"/>
  <c r="DG9" i="1"/>
  <c r="CJ10" i="1"/>
  <c r="CJ57" i="1"/>
  <c r="DG57" i="1" s="1"/>
  <c r="CJ30" i="1"/>
  <c r="DG30" i="1" s="1"/>
  <c r="AV59" i="1"/>
  <c r="AV49" i="1"/>
  <c r="AV50" i="1" s="1"/>
  <c r="BG49" i="1"/>
  <c r="BG59" i="1"/>
  <c r="AS50" i="1"/>
  <c r="AS59" i="1"/>
  <c r="AQ59" i="1"/>
  <c r="AQ50" i="1"/>
  <c r="M61" i="1"/>
  <c r="M49" i="1"/>
  <c r="BR50" i="1"/>
  <c r="BS49" i="1"/>
  <c r="BS50" i="1" s="1"/>
  <c r="BS59" i="1"/>
  <c r="CT39" i="1"/>
  <c r="AB40" i="1"/>
  <c r="CT40" i="1" s="1"/>
  <c r="AB44" i="1"/>
  <c r="AB58" i="1"/>
  <c r="CT58" i="1" s="1"/>
  <c r="AZ40" i="1"/>
  <c r="CY40" i="1" s="1"/>
  <c r="AZ44" i="1"/>
  <c r="CY39" i="1"/>
  <c r="AZ58" i="1"/>
  <c r="CY58" i="1" s="1"/>
  <c r="CN357" i="1"/>
  <c r="CN275" i="1"/>
  <c r="CN285" i="1" s="1"/>
  <c r="AR59" i="1"/>
  <c r="AR50" i="1"/>
  <c r="BT58" i="1"/>
  <c r="DC58" i="1" s="1"/>
  <c r="BT40" i="1"/>
  <c r="DC40" i="1" s="1"/>
  <c r="BT44" i="1"/>
  <c r="DC39" i="1"/>
  <c r="DB44" i="1"/>
  <c r="BO47" i="1"/>
  <c r="BP59" i="1"/>
  <c r="BP49" i="1"/>
  <c r="BH59" i="1"/>
  <c r="BH49" i="1"/>
  <c r="BM50" i="1" s="1"/>
  <c r="BE47" i="1"/>
  <c r="CZ44" i="1"/>
  <c r="H61" i="1"/>
  <c r="H49" i="1"/>
  <c r="H59" i="1" s="1"/>
  <c r="CG50" i="1"/>
  <c r="BY47" i="1"/>
  <c r="CS42" i="1"/>
  <c r="CS44" i="1" s="1"/>
  <c r="CS46" i="1" s="1"/>
  <c r="DD44" i="1"/>
  <c r="BL59" i="1"/>
  <c r="BL49" i="1"/>
  <c r="DA44" i="1"/>
  <c r="BJ47" i="1"/>
  <c r="CF50" i="1"/>
  <c r="CM147" i="1"/>
  <c r="CM156" i="1" s="1"/>
  <c r="CM131" i="1"/>
  <c r="CM292" i="1" s="1"/>
  <c r="CN123" i="1"/>
  <c r="CM183" i="1"/>
  <c r="AG47" i="1"/>
  <c r="CU44" i="1"/>
  <c r="AT50" i="1"/>
  <c r="AT59" i="1"/>
  <c r="AW40" i="1"/>
  <c r="AW44" i="1"/>
  <c r="AW47" i="1" s="1"/>
  <c r="AW58" i="1"/>
  <c r="AY49" i="1"/>
  <c r="AY50" i="1" s="1"/>
  <c r="AY59" i="1"/>
  <c r="AX49" i="1"/>
  <c r="AX50" i="1" s="1"/>
  <c r="AX59" i="1"/>
  <c r="CW44" i="1"/>
  <c r="AP47" i="1"/>
  <c r="CK33" i="1"/>
  <c r="CK32" i="1"/>
  <c r="CK57" i="1"/>
  <c r="DH57" i="1" s="1"/>
  <c r="BW49" i="1"/>
  <c r="BW50" i="1" s="1"/>
  <c r="BW59" i="1"/>
  <c r="BN50" i="1"/>
  <c r="BC49" i="1"/>
  <c r="BC59" i="1"/>
  <c r="BC61" i="1"/>
  <c r="AN59" i="1"/>
  <c r="AN50" i="1"/>
  <c r="CD167" i="1"/>
  <c r="CD166" i="1"/>
  <c r="CD216" i="1"/>
  <c r="BE40" i="1"/>
  <c r="CZ40" i="1" s="1"/>
  <c r="BX59" i="1"/>
  <c r="BX49" i="1"/>
  <c r="BY40" i="1"/>
  <c r="DD40" i="1" s="1"/>
  <c r="AL50" i="1"/>
  <c r="AL59" i="1"/>
  <c r="CX44" i="1"/>
  <c r="AU47" i="1"/>
  <c r="BV50" i="1"/>
  <c r="CN359" i="1" l="1"/>
  <c r="BP50" i="1"/>
  <c r="CL29" i="1"/>
  <c r="CL223" i="1"/>
  <c r="BG50" i="1"/>
  <c r="BA50" i="1"/>
  <c r="BC50" i="1"/>
  <c r="BL50" i="1"/>
  <c r="CN350" i="1"/>
  <c r="CN351" i="1" s="1"/>
  <c r="BC69" i="1"/>
  <c r="BC70" i="1" s="1"/>
  <c r="BC67" i="1"/>
  <c r="AW49" i="1"/>
  <c r="AW50" i="1" s="1"/>
  <c r="AW59" i="1"/>
  <c r="BJ61" i="1"/>
  <c r="DA61" i="1" s="1"/>
  <c r="BJ49" i="1"/>
  <c r="DA47" i="1"/>
  <c r="BJ59" i="1"/>
  <c r="BE61" i="1"/>
  <c r="CZ61" i="1" s="1"/>
  <c r="BE49" i="1"/>
  <c r="CZ47" i="1"/>
  <c r="BE59" i="1"/>
  <c r="CY44" i="1"/>
  <c r="AZ47" i="1"/>
  <c r="BU50" i="1"/>
  <c r="CN279" i="1"/>
  <c r="BB69" i="1"/>
  <c r="BB70" i="1" s="1"/>
  <c r="BB67" i="1"/>
  <c r="CL159" i="1"/>
  <c r="CL72" i="1"/>
  <c r="CL9" i="1"/>
  <c r="CL7" i="1"/>
  <c r="BD69" i="1"/>
  <c r="BD70" i="1" s="1"/>
  <c r="BD67" i="1"/>
  <c r="AP61" i="1"/>
  <c r="CW61" i="1" s="1"/>
  <c r="AP49" i="1"/>
  <c r="CW47" i="1"/>
  <c r="AG61" i="1"/>
  <c r="CU61" i="1" s="1"/>
  <c r="AG49" i="1"/>
  <c r="CU47" i="1"/>
  <c r="CN28" i="1"/>
  <c r="M50" i="1"/>
  <c r="M59" i="1"/>
  <c r="R50" i="1"/>
  <c r="R59" i="1"/>
  <c r="CD61" i="1"/>
  <c r="DE61" i="1" s="1"/>
  <c r="CD49" i="1"/>
  <c r="DE47" i="1"/>
  <c r="AK47" i="1"/>
  <c r="CV44" i="1"/>
  <c r="DB63" i="1"/>
  <c r="BT63" i="1"/>
  <c r="BO56" i="1"/>
  <c r="DB56" i="1" s="1"/>
  <c r="CB50" i="1"/>
  <c r="CM215" i="1"/>
  <c r="CM223" i="1"/>
  <c r="CM29" i="1"/>
  <c r="AU49" i="1"/>
  <c r="CX47" i="1"/>
  <c r="AU61" i="1"/>
  <c r="CX61" i="1" s="1"/>
  <c r="CN269" i="1"/>
  <c r="CN317" i="1"/>
  <c r="DC44" i="1"/>
  <c r="BT47" i="1"/>
  <c r="W59" i="1"/>
  <c r="W50" i="1"/>
  <c r="CI73" i="1"/>
  <c r="CI75" i="1"/>
  <c r="CI49" i="1"/>
  <c r="DF47" i="1"/>
  <c r="CI61" i="1"/>
  <c r="DF61" i="1" s="1"/>
  <c r="BD50" i="1"/>
  <c r="BX50" i="1"/>
  <c r="CC50" i="1"/>
  <c r="CN131" i="1"/>
  <c r="CN292" i="1" s="1"/>
  <c r="CN147" i="1"/>
  <c r="CN156" i="1" s="1"/>
  <c r="CN183" i="1"/>
  <c r="BQ50" i="1"/>
  <c r="BY61" i="1"/>
  <c r="DD61" i="1" s="1"/>
  <c r="BY49" i="1"/>
  <c r="DD47" i="1"/>
  <c r="BH50" i="1"/>
  <c r="BO49" i="1"/>
  <c r="DB47" i="1"/>
  <c r="BO59" i="1"/>
  <c r="BO61" i="1"/>
  <c r="DB61" i="1" s="1"/>
  <c r="AB47" i="1"/>
  <c r="CT44" i="1"/>
  <c r="CM289" i="1"/>
  <c r="CM298" i="1"/>
  <c r="CM301" i="1" s="1"/>
  <c r="CM6" i="1"/>
  <c r="BI50" i="1"/>
  <c r="CM360" i="1"/>
  <c r="BB50" i="1" l="1"/>
  <c r="CM159" i="1"/>
  <c r="CM72" i="1"/>
  <c r="CM9" i="1"/>
  <c r="CM7" i="1"/>
  <c r="CT47" i="1"/>
  <c r="AB61" i="1"/>
  <c r="CT61" i="1" s="1"/>
  <c r="AB49" i="1"/>
  <c r="AG50" i="1" s="1"/>
  <c r="CU50" i="1" s="1"/>
  <c r="DB49" i="1"/>
  <c r="BO50" i="1"/>
  <c r="DB50" i="1" s="1"/>
  <c r="DD49" i="1"/>
  <c r="DF49" i="1"/>
  <c r="CR49" i="1"/>
  <c r="CI50" i="1"/>
  <c r="DF50" i="1" s="1"/>
  <c r="CX49" i="1"/>
  <c r="AU59" i="1"/>
  <c r="AU50" i="1"/>
  <c r="CX50" i="1" s="1"/>
  <c r="BY63" i="1"/>
  <c r="DC63" i="1"/>
  <c r="BT56" i="1"/>
  <c r="DC56" i="1" s="1"/>
  <c r="CN223" i="1"/>
  <c r="CN215" i="1"/>
  <c r="CN29" i="1"/>
  <c r="CN298" i="1"/>
  <c r="CN301" i="1" s="1"/>
  <c r="CN289" i="1"/>
  <c r="CN6" i="1"/>
  <c r="BE69" i="1"/>
  <c r="BE67" i="1"/>
  <c r="CZ67" i="1" s="1"/>
  <c r="CZ59" i="1"/>
  <c r="BJ69" i="1"/>
  <c r="BJ67" i="1"/>
  <c r="DA67" i="1" s="1"/>
  <c r="DA59" i="1"/>
  <c r="BT59" i="1"/>
  <c r="BT61" i="1"/>
  <c r="DC61" i="1" s="1"/>
  <c r="BT49" i="1"/>
  <c r="DC47" i="1"/>
  <c r="BO69" i="1"/>
  <c r="BO67" i="1"/>
  <c r="DB67" i="1" s="1"/>
  <c r="DB59" i="1"/>
  <c r="CD50" i="1"/>
  <c r="DE50" i="1" s="1"/>
  <c r="DE49" i="1"/>
  <c r="CN360" i="1"/>
  <c r="CW49" i="1"/>
  <c r="AP59" i="1"/>
  <c r="AZ59" i="1"/>
  <c r="AZ61" i="1"/>
  <c r="CY61" i="1" s="1"/>
  <c r="AZ49" i="1"/>
  <c r="BE50" i="1" s="1"/>
  <c r="CZ50" i="1" s="1"/>
  <c r="CY47" i="1"/>
  <c r="CZ49" i="1"/>
  <c r="BJ50" i="1"/>
  <c r="DA50" i="1" s="1"/>
  <c r="DA49" i="1"/>
  <c r="AK61" i="1"/>
  <c r="CV61" i="1" s="1"/>
  <c r="AK49" i="1"/>
  <c r="AP50" i="1" s="1"/>
  <c r="CW50" i="1" s="1"/>
  <c r="CV47" i="1"/>
  <c r="AG59" i="1"/>
  <c r="CU59" i="1" s="1"/>
  <c r="CU49" i="1"/>
  <c r="CL10" i="1"/>
  <c r="CL30" i="1"/>
  <c r="CL57" i="1"/>
  <c r="BT50" i="1" l="1"/>
  <c r="DC50" i="1" s="1"/>
  <c r="DC49" i="1"/>
  <c r="BE70" i="1"/>
  <c r="CZ69" i="1"/>
  <c r="AU69" i="1"/>
  <c r="AU67" i="1"/>
  <c r="CX67" i="1" s="1"/>
  <c r="CX59" i="1"/>
  <c r="AK50" i="1"/>
  <c r="CV50" i="1" s="1"/>
  <c r="CV49" i="1"/>
  <c r="AK59" i="1"/>
  <c r="AZ67" i="1"/>
  <c r="CY67" i="1" s="1"/>
  <c r="AZ69" i="1"/>
  <c r="CY59" i="1"/>
  <c r="DA69" i="1"/>
  <c r="BJ70" i="1"/>
  <c r="CN159" i="1"/>
  <c r="CN72" i="1"/>
  <c r="CN7" i="1"/>
  <c r="CN9" i="1"/>
  <c r="AB59" i="1"/>
  <c r="CT59" i="1" s="1"/>
  <c r="CT49" i="1"/>
  <c r="AB50" i="1"/>
  <c r="CT50" i="1" s="1"/>
  <c r="CM10" i="1"/>
  <c r="CM30" i="1"/>
  <c r="CM57" i="1"/>
  <c r="AP67" i="1"/>
  <c r="CW67" i="1" s="1"/>
  <c r="CW59" i="1"/>
  <c r="DB69" i="1"/>
  <c r="BO70" i="1"/>
  <c r="BT67" i="1"/>
  <c r="DC67" i="1" s="1"/>
  <c r="BT69" i="1"/>
  <c r="DC59" i="1"/>
  <c r="CD63" i="1"/>
  <c r="DD63" i="1"/>
  <c r="BY56" i="1"/>
  <c r="DD56" i="1" s="1"/>
  <c r="BY59" i="1"/>
  <c r="BY50" i="1"/>
  <c r="DD50" i="1" s="1"/>
  <c r="AZ50" i="1"/>
  <c r="CY50" i="1" s="1"/>
  <c r="CY49" i="1"/>
  <c r="CI63" i="1" l="1"/>
  <c r="DE63" i="1"/>
  <c r="CD56" i="1"/>
  <c r="DE56" i="1" s="1"/>
  <c r="CD59" i="1"/>
  <c r="CX69" i="1"/>
  <c r="AU70" i="1"/>
  <c r="BY69" i="1"/>
  <c r="BY67" i="1"/>
  <c r="DD67" i="1" s="1"/>
  <c r="DD59" i="1"/>
  <c r="CY69" i="1"/>
  <c r="AZ70" i="1"/>
  <c r="DC69" i="1"/>
  <c r="BT70" i="1"/>
  <c r="CN10" i="1"/>
  <c r="CN30" i="1"/>
  <c r="CN57" i="1"/>
  <c r="AK67" i="1"/>
  <c r="CV67" i="1" s="1"/>
  <c r="CV59" i="1"/>
  <c r="CD69" i="1" l="1"/>
  <c r="CD67" i="1"/>
  <c r="DE67" i="1" s="1"/>
  <c r="DE59" i="1"/>
  <c r="BY70" i="1"/>
  <c r="DD69" i="1"/>
  <c r="DF63" i="1"/>
  <c r="CI64" i="1"/>
  <c r="CI66" i="1" s="1"/>
  <c r="CJ63" i="1"/>
  <c r="CI56" i="1"/>
  <c r="DF56" i="1" s="1"/>
  <c r="CI59" i="1"/>
  <c r="CI67" i="1" l="1"/>
  <c r="DF67" i="1" s="1"/>
  <c r="DF59" i="1"/>
  <c r="CR63" i="1"/>
  <c r="CI69" i="1"/>
  <c r="CK63" i="1"/>
  <c r="DG63" i="1"/>
  <c r="CJ64" i="1"/>
  <c r="DE69" i="1"/>
  <c r="CD70" i="1"/>
  <c r="DF69" i="1" l="1"/>
  <c r="CI70" i="1"/>
  <c r="CL63" i="1"/>
  <c r="DH63" i="1"/>
  <c r="CK64" i="1"/>
  <c r="CM63" i="1" l="1"/>
  <c r="CL64" i="1"/>
  <c r="CN63" i="1" l="1"/>
  <c r="CN64" i="1" s="1"/>
  <c r="CM64" i="1"/>
  <c r="CM233" i="1" l="1"/>
  <c r="CM259" i="1" l="1"/>
  <c r="CL234" i="1"/>
  <c r="CM234" i="1" s="1"/>
  <c r="CL235" i="1"/>
  <c r="CL260" i="1"/>
  <c r="CL243" i="1" l="1"/>
  <c r="CL261" i="1"/>
  <c r="CM235" i="1"/>
  <c r="CM260" i="1"/>
  <c r="CL74" i="1" l="1"/>
  <c r="CL38" i="1" s="1"/>
  <c r="CL31" i="1" s="1"/>
  <c r="CM261" i="1"/>
  <c r="CM243" i="1"/>
  <c r="CM74" i="1" s="1"/>
  <c r="CL32" i="1" l="1"/>
  <c r="CL33" i="1"/>
  <c r="CM38" i="1"/>
  <c r="CM31" i="1" s="1"/>
  <c r="CM32" i="1" l="1"/>
  <c r="CM33" i="1"/>
  <c r="CJ65" i="1" l="1"/>
  <c r="DG65" i="1" l="1"/>
  <c r="CK65" i="1"/>
  <c r="CJ66" i="1"/>
  <c r="DH65" i="1" l="1"/>
  <c r="CL65" i="1"/>
  <c r="CK66" i="1"/>
  <c r="CL66" i="1" l="1"/>
  <c r="CM65" i="1"/>
  <c r="CN65" i="1" l="1"/>
  <c r="CN66" i="1" s="1"/>
  <c r="CM66" i="1"/>
  <c r="CL67" i="1" l="1"/>
  <c r="CL59" i="1"/>
  <c r="CL69" i="1"/>
  <c r="CL70" i="1"/>
  <c r="DH40" i="1"/>
  <c r="CK40" i="1"/>
  <c r="CM79" i="1"/>
  <c r="CM76" i="1"/>
  <c r="CM41" i="1"/>
  <c r="DH49" i="1"/>
  <c r="CS69" i="1"/>
  <c r="CS58" i="1"/>
  <c r="CR58" i="1"/>
  <c r="CL79" i="1"/>
  <c r="CL76" i="1"/>
  <c r="CL41" i="1"/>
  <c r="DG40" i="1"/>
  <c r="CJ40" i="1"/>
  <c r="CS70" i="1"/>
  <c r="CS59" i="1"/>
  <c r="DG49" i="1"/>
  <c r="CS49" i="1"/>
  <c r="DH60" i="1"/>
  <c r="CK60" i="1"/>
  <c r="DG67" i="1"/>
  <c r="CJ67" i="1"/>
  <c r="CJ50" i="1"/>
  <c r="DG50" i="1"/>
  <c r="CK49" i="1"/>
  <c r="CK50" i="1"/>
  <c r="DH50" i="1"/>
  <c r="CM62" i="1"/>
  <c r="CM77" i="1"/>
  <c r="CS60" i="1"/>
  <c r="CR59" i="1"/>
  <c r="CR60" i="1"/>
  <c r="CK79" i="1"/>
  <c r="CK76" i="1"/>
  <c r="CQ56" i="1"/>
  <c r="CK56" i="1"/>
  <c r="DH56" i="1"/>
  <c r="CN242" i="1"/>
  <c r="CN234" i="1"/>
  <c r="CN260" i="1"/>
  <c r="DG56" i="1"/>
  <c r="CJ56" i="1"/>
  <c r="CN50" i="1"/>
  <c r="CN49" i="1"/>
  <c r="CK62" i="1"/>
  <c r="CK77" i="1"/>
  <c r="DH61" i="1"/>
  <c r="CK61" i="1"/>
  <c r="DG61" i="1"/>
  <c r="CJ61" i="1"/>
  <c r="DH35" i="1"/>
  <c r="CL75" i="1"/>
  <c r="CL61" i="1"/>
  <c r="CL73" i="1"/>
  <c r="DG35" i="1"/>
  <c r="CK41" i="1"/>
  <c r="DH41" i="1"/>
  <c r="CM50" i="1"/>
  <c r="CM49" i="1"/>
  <c r="CN261" i="1"/>
  <c r="CM40" i="1"/>
  <c r="DG52" i="1"/>
  <c r="CJ78" i="1"/>
  <c r="DG69" i="1"/>
  <c r="CJ69" i="1"/>
  <c r="CJ70" i="1"/>
  <c r="CJ77" i="1"/>
  <c r="CJ62" i="1"/>
  <c r="CN67" i="1"/>
  <c r="DH39" i="1"/>
  <c r="DG41" i="1"/>
  <c r="CM67" i="1"/>
  <c r="DH44" i="1"/>
  <c r="CM59" i="1"/>
  <c r="CM69" i="1"/>
  <c r="CM70" i="1"/>
  <c r="DG37" i="1"/>
  <c r="CJ60" i="1"/>
  <c r="DG60" i="1"/>
  <c r="CM73" i="1"/>
  <c r="CM75" i="1"/>
  <c r="CM35" i="1"/>
  <c r="CM37" i="1"/>
  <c r="CM39" i="1"/>
  <c r="CM44" i="1"/>
  <c r="CM47" i="1"/>
  <c r="CM61" i="1"/>
  <c r="DG44" i="1"/>
  <c r="CN59" i="1"/>
  <c r="CN69" i="1"/>
  <c r="CN70" i="1"/>
  <c r="DH67" i="1"/>
  <c r="CK67" i="1"/>
  <c r="CL62" i="1"/>
  <c r="CL77" i="1"/>
  <c r="CJ75" i="1"/>
  <c r="DG47" i="1"/>
  <c r="CL40" i="1"/>
  <c r="CS63" i="1"/>
  <c r="CJ59" i="1"/>
  <c r="DG59" i="1"/>
  <c r="CN40" i="1"/>
  <c r="CN41" i="1"/>
  <c r="CM60" i="1"/>
  <c r="CM56" i="1"/>
  <c r="CM78" i="1"/>
  <c r="CL35" i="1"/>
  <c r="CL37" i="1"/>
  <c r="CL39" i="1"/>
  <c r="CL44" i="1"/>
  <c r="CL47" i="1"/>
  <c r="CL49" i="1"/>
  <c r="CL50" i="1"/>
  <c r="DH59" i="1"/>
  <c r="CJ41" i="1"/>
  <c r="CJ76" i="1"/>
  <c r="CJ79" i="1"/>
  <c r="CK78" i="1"/>
  <c r="DH52" i="1"/>
  <c r="CN259" i="1"/>
  <c r="CK70" i="1"/>
  <c r="CK59" i="1"/>
  <c r="CK69" i="1"/>
  <c r="DH69" i="1"/>
  <c r="CN96" i="1"/>
  <c r="CN92" i="1"/>
  <c r="CN93" i="1"/>
  <c r="CN94" i="1"/>
  <c r="CN95" i="1"/>
  <c r="CN97" i="1"/>
  <c r="CL56" i="1"/>
  <c r="CL60" i="1"/>
  <c r="CL78" i="1"/>
  <c r="CN33" i="1"/>
  <c r="CN32" i="1"/>
  <c r="CN31" i="1"/>
  <c r="CN62" i="1"/>
  <c r="DG39" i="1"/>
  <c r="CN61" i="1"/>
  <c r="CN75" i="1"/>
  <c r="CL54" i="1"/>
  <c r="CM54" i="1"/>
  <c r="CN54" i="1"/>
  <c r="CN35" i="1"/>
  <c r="CN37" i="1"/>
  <c r="CN39" i="1"/>
  <c r="CN44" i="1"/>
  <c r="CN47" i="1"/>
  <c r="CN73" i="1"/>
  <c r="CN60" i="1"/>
  <c r="CN56" i="1"/>
  <c r="CN77" i="1"/>
  <c r="CJ49" i="1"/>
  <c r="CJ52" i="1"/>
  <c r="CK52" i="1"/>
  <c r="CL52" i="1"/>
  <c r="CM52" i="1"/>
  <c r="CN52" i="1"/>
  <c r="CN78" i="1"/>
  <c r="CK73" i="1"/>
  <c r="CK75" i="1"/>
  <c r="CK39" i="1"/>
  <c r="CK44" i="1"/>
  <c r="CK47" i="1"/>
  <c r="DH47" i="1"/>
  <c r="CN88" i="1"/>
  <c r="CN241" i="1"/>
  <c r="CN233" i="1"/>
  <c r="CN235" i="1"/>
  <c r="CN243" i="1"/>
  <c r="CN74" i="1"/>
  <c r="CN38" i="1"/>
  <c r="CN76" i="1"/>
  <c r="CN79" i="1"/>
  <c r="CN83" i="1"/>
  <c r="CN84" i="1"/>
  <c r="CN85" i="1"/>
  <c r="CN86" i="1"/>
  <c r="CN87" i="1"/>
  <c r="CJ35" i="1"/>
  <c r="CJ37" i="1"/>
  <c r="CJ39" i="1"/>
  <c r="CJ44" i="1"/>
  <c r="CJ47" i="1"/>
  <c r="CJ73" i="1"/>
  <c r="CJ54" i="1"/>
  <c r="CK54" i="1"/>
  <c r="CK35" i="1"/>
  <c r="CK37" i="1"/>
  <c r="DH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Abhishek, Ghosh</author>
    <author>Ghosh, Abhishek (India)</author>
    <author>Shah, Darshita (India)</author>
  </authors>
  <commentList>
    <comment ref="AW3" authorId="0" shapeId="0" xr:uid="{2E411FBC-3C41-4A86-A387-4357541B79E0}">
      <text>
        <r>
          <rPr>
            <b/>
            <sz val="9"/>
            <color indexed="81"/>
            <rFont val="Tahoma"/>
            <family val="2"/>
          </rPr>
          <t>Abhishek, Ghosh:</t>
        </r>
        <r>
          <rPr>
            <sz val="9"/>
            <color indexed="81"/>
            <rFont val="Tahoma"/>
            <family val="2"/>
          </rPr>
          <t xml:space="preserve">
Reducing sale of real estate revenues</t>
        </r>
      </text>
    </comment>
    <comment ref="AZ3" authorId="0" shapeId="0" xr:uid="{7E935086-0B51-4945-9239-21464BAEC9FC}">
      <text>
        <r>
          <rPr>
            <b/>
            <sz val="9"/>
            <color indexed="81"/>
            <rFont val="Tahoma"/>
            <family val="2"/>
          </rPr>
          <t>Abhishek, Ghosh:</t>
        </r>
        <r>
          <rPr>
            <sz val="9"/>
            <color indexed="81"/>
            <rFont val="Tahoma"/>
            <family val="2"/>
          </rPr>
          <t xml:space="preserve">
rs55.86 crores is the exceptional item and deducted from revenue</t>
        </r>
      </text>
    </comment>
    <comment ref="BB3" authorId="1" shapeId="0" xr:uid="{54DCB76D-D2B3-42CD-B4CF-68C0141A1599}">
      <text>
        <r>
          <rPr>
            <b/>
            <sz val="9"/>
            <color indexed="81"/>
            <rFont val="Tahoma"/>
            <family val="2"/>
          </rPr>
          <t>Ghosh, Abhishek (India):</t>
        </r>
        <r>
          <rPr>
            <sz val="9"/>
            <color indexed="81"/>
            <rFont val="Tahoma"/>
            <family val="2"/>
          </rPr>
          <t xml:space="preserve">
Rs9.7 crore is the revenue which was deducted due to write off of orders in compostie cyclinder for Bangladesh</t>
        </r>
      </text>
    </comment>
    <comment ref="BB6" authorId="1" shapeId="0" xr:uid="{49DD48F8-349D-47AD-991B-7FC44CA03B54}">
      <text>
        <r>
          <rPr>
            <b/>
            <sz val="9"/>
            <color indexed="81"/>
            <rFont val="Tahoma"/>
            <family val="2"/>
          </rPr>
          <t>Ghosh, Abhishek (India):</t>
        </r>
        <r>
          <rPr>
            <sz val="9"/>
            <color indexed="81"/>
            <rFont val="Tahoma"/>
            <family val="2"/>
          </rPr>
          <t xml:space="preserve">
Rs9.7 crore is the revenue which was deducted due to write off of orders in compostie cyclinder for Bangladesh</t>
        </r>
      </text>
    </comment>
    <comment ref="AW13" authorId="0" shapeId="0" xr:uid="{B103823E-1790-46D0-A46D-F0E87973B271}">
      <text>
        <r>
          <rPr>
            <b/>
            <sz val="9"/>
            <color indexed="81"/>
            <rFont val="Tahoma"/>
            <family val="2"/>
          </rPr>
          <t>Abhishek, Ghosh:</t>
        </r>
        <r>
          <rPr>
            <sz val="9"/>
            <color indexed="81"/>
            <rFont val="Tahoma"/>
            <family val="2"/>
          </rPr>
          <t xml:space="preserve">
reducing expenses cnstruction expenses</t>
        </r>
      </text>
    </comment>
    <comment ref="CG19" authorId="2" shapeId="0" xr:uid="{E2C573A3-3986-4E14-B1ED-45D76B9B1CB0}">
      <text>
        <r>
          <rPr>
            <b/>
            <sz val="9"/>
            <color indexed="81"/>
            <rFont val="Tahoma"/>
            <family val="2"/>
          </rPr>
          <t>Shah, Darshita (India):</t>
        </r>
        <r>
          <rPr>
            <sz val="9"/>
            <color indexed="81"/>
            <rFont val="Tahoma"/>
            <family val="2"/>
          </rPr>
          <t xml:space="preserve">
Includes INR15.38Cr from change in labour code impact</t>
        </r>
      </text>
    </comment>
    <comment ref="AW21" authorId="0" shapeId="0" xr:uid="{AD7377C2-5B8B-488B-8BCB-26C08A09CC02}">
      <text>
        <r>
          <rPr>
            <b/>
            <sz val="9"/>
            <color indexed="81"/>
            <rFont val="Tahoma"/>
            <family val="2"/>
          </rPr>
          <t>Abhishek, Ghosh:</t>
        </r>
        <r>
          <rPr>
            <sz val="9"/>
            <color indexed="81"/>
            <rFont val="Tahoma"/>
            <family val="2"/>
          </rPr>
          <t xml:space="preserve">
reducing expenses towards constrcution expenses</t>
        </r>
      </text>
    </comment>
    <comment ref="BB21" authorId="1" shapeId="0" xr:uid="{10A66402-F0AF-46EA-A437-5B122A946B40}">
      <text>
        <r>
          <rPr>
            <b/>
            <sz val="9"/>
            <color indexed="81"/>
            <rFont val="Tahoma"/>
            <family val="2"/>
          </rPr>
          <t>Ghosh, Abhishek (India):</t>
        </r>
        <r>
          <rPr>
            <sz val="9"/>
            <color indexed="81"/>
            <rFont val="Tahoma"/>
            <family val="2"/>
          </rPr>
          <t xml:space="preserve">
Rs4 cr is write off for bad debtors</t>
        </r>
      </text>
    </comment>
    <comment ref="BS28" authorId="1" shapeId="0" xr:uid="{A9A81D39-E77C-4EB6-911D-72E88D5C88FD}">
      <text>
        <r>
          <rPr>
            <b/>
            <sz val="9"/>
            <color indexed="81"/>
            <rFont val="Tahoma"/>
            <family val="2"/>
          </rPr>
          <t>Ghosh, Abhishek (India):</t>
        </r>
        <r>
          <rPr>
            <sz val="9"/>
            <color indexed="81"/>
            <rFont val="Tahoma"/>
            <family val="2"/>
          </rPr>
          <t xml:space="preserve">
Rs70 cr of inventoy gain</t>
        </r>
      </text>
    </comment>
    <comment ref="BU28" authorId="1" shapeId="0" xr:uid="{CE061F25-5D57-49A3-9357-555999FFC5D4}">
      <text>
        <r>
          <rPr>
            <b/>
            <sz val="9"/>
            <color indexed="81"/>
            <rFont val="Tahoma"/>
            <family val="2"/>
          </rPr>
          <t>Ghosh, Abhishek (India):</t>
        </r>
        <r>
          <rPr>
            <sz val="9"/>
            <color indexed="81"/>
            <rFont val="Tahoma"/>
            <family val="2"/>
          </rPr>
          <t xml:space="preserve">
Inventory losses of Rs 40 cr in 1QFY24</t>
        </r>
      </text>
    </comment>
    <comment ref="CA28" authorId="1" shapeId="0" xr:uid="{84EA308F-CD90-4047-A195-FBE6F931F2D0}">
      <text>
        <r>
          <rPr>
            <b/>
            <sz val="9"/>
            <color indexed="81"/>
            <rFont val="Tahoma"/>
            <family val="2"/>
          </rPr>
          <t>Ghosh, Abhishek (India):</t>
        </r>
        <r>
          <rPr>
            <sz val="9"/>
            <color indexed="81"/>
            <rFont val="Tahoma"/>
            <family val="2"/>
          </rPr>
          <t xml:space="preserve">
Rs35 cr of inventory loss in 2QFY25</t>
        </r>
      </text>
    </comment>
    <comment ref="CE28" authorId="1" shapeId="0" xr:uid="{792E2F30-4721-4C2A-B47C-70E7419D1240}">
      <text>
        <r>
          <rPr>
            <b/>
            <sz val="9"/>
            <color indexed="81"/>
            <rFont val="Tahoma"/>
            <family val="2"/>
          </rPr>
          <t>Ghosh, Abhishek (India):</t>
        </r>
        <r>
          <rPr>
            <sz val="9"/>
            <color indexed="81"/>
            <rFont val="Tahoma"/>
            <family val="2"/>
          </rPr>
          <t xml:space="preserve">
Rs 50-60 cr of inventory losses</t>
        </r>
      </text>
    </comment>
    <comment ref="CF28" authorId="1" shapeId="0" xr:uid="{2E65B355-3421-44AC-922F-1AB6FC8E3554}">
      <text>
        <r>
          <rPr>
            <b/>
            <sz val="9"/>
            <color indexed="81"/>
            <rFont val="Tahoma"/>
            <family val="2"/>
          </rPr>
          <t>Ghosh, Abhishek (India):</t>
        </r>
        <r>
          <rPr>
            <sz val="9"/>
            <color indexed="81"/>
            <rFont val="Tahoma"/>
            <family val="2"/>
          </rPr>
          <t xml:space="preserve">
Rs 50-60 cr of inventory losses</t>
        </r>
      </text>
    </comment>
    <comment ref="CH28" authorId="2" shapeId="0" xr:uid="{872379CE-7919-4ADD-AE5C-55AA770D0864}">
      <text>
        <r>
          <rPr>
            <b/>
            <sz val="9"/>
            <color indexed="81"/>
            <rFont val="Tahoma"/>
            <family val="2"/>
          </rPr>
          <t>Shah, Darshita (India):</t>
        </r>
        <r>
          <rPr>
            <sz val="9"/>
            <color indexed="81"/>
            <rFont val="Tahoma"/>
            <family val="2"/>
          </rPr>
          <t xml:space="preserve">
INR70-80Cr of inventory gain</t>
        </r>
      </text>
    </comment>
    <comment ref="AW41" authorId="0" shapeId="0" xr:uid="{4452FFC9-B503-468B-901F-849AE4B4B9D9}">
      <text>
        <r>
          <rPr>
            <b/>
            <sz val="9"/>
            <color indexed="81"/>
            <rFont val="Tahoma"/>
            <family val="2"/>
          </rPr>
          <t>Abhishek, Ghosh:</t>
        </r>
        <r>
          <rPr>
            <sz val="9"/>
            <color indexed="81"/>
            <rFont val="Tahoma"/>
            <family val="2"/>
          </rPr>
          <t xml:space="preserve">
reducing tax towards constrcution sale</t>
        </r>
      </text>
    </comment>
    <comment ref="AZ41" authorId="0" shapeId="0" xr:uid="{99FC2472-D965-4160-8A9A-0CF75709CF67}">
      <text>
        <r>
          <rPr>
            <b/>
            <sz val="9"/>
            <color indexed="81"/>
            <rFont val="Tahoma"/>
            <family val="2"/>
          </rPr>
          <t>Abhishek, Ghosh:</t>
        </r>
        <r>
          <rPr>
            <sz val="9"/>
            <color indexed="81"/>
            <rFont val="Tahoma"/>
            <family val="2"/>
          </rPr>
          <t xml:space="preserve">
Reduced tax of Rs18.6crores related to asset cell ( refer cell AV35)</t>
        </r>
      </text>
    </comment>
    <comment ref="BB41" authorId="1" shapeId="0" xr:uid="{876F61AF-6147-471D-A579-25C5D3FC81C7}">
      <text>
        <r>
          <rPr>
            <b/>
            <sz val="9"/>
            <color indexed="81"/>
            <rFont val="Tahoma"/>
            <family val="2"/>
          </rPr>
          <t>Ghosh, Abhishek (India):</t>
        </r>
        <r>
          <rPr>
            <sz val="9"/>
            <color indexed="81"/>
            <rFont val="Tahoma"/>
            <family val="2"/>
          </rPr>
          <t xml:space="preserve">
Rs33.60 Crores has been added back as that is the deferred tax write back for previous years.</t>
        </r>
      </text>
    </comment>
    <comment ref="AV48" authorId="0" shapeId="0" xr:uid="{3C3611E7-9345-40AB-AB8A-AAFF3B2D36B5}">
      <text>
        <r>
          <rPr>
            <b/>
            <sz val="9"/>
            <color indexed="81"/>
            <rFont val="Tahoma"/>
            <family val="2"/>
          </rPr>
          <t>Abhishek, Ghosh:</t>
        </r>
        <r>
          <rPr>
            <sz val="9"/>
            <color indexed="81"/>
            <rFont val="Tahoma"/>
            <family val="2"/>
          </rPr>
          <t xml:space="preserve">
</t>
        </r>
      </text>
    </comment>
    <comment ref="AW48" authorId="0" shapeId="0" xr:uid="{B13B431F-7EBD-4F16-A7FD-FD27FE0F9C43}">
      <text>
        <r>
          <rPr>
            <b/>
            <sz val="9"/>
            <color indexed="81"/>
            <rFont val="Tahoma"/>
            <family val="2"/>
          </rPr>
          <t>Abhishek, Ghosh:</t>
        </r>
        <r>
          <rPr>
            <sz val="9"/>
            <color indexed="81"/>
            <rFont val="Tahoma"/>
            <family val="2"/>
          </rPr>
          <t xml:space="preserve">
Income related to real estate sale</t>
        </r>
      </text>
    </comment>
    <comment ref="AY48" authorId="0" shapeId="0" xr:uid="{8C9CAD8E-9423-4EFB-B3E9-CEAE59851B62}">
      <text>
        <r>
          <rPr>
            <b/>
            <sz val="9"/>
            <color indexed="81"/>
            <rFont val="Tahoma"/>
            <family val="2"/>
          </rPr>
          <t>Abhishek, Ghosh:</t>
        </r>
        <r>
          <rPr>
            <sz val="9"/>
            <color indexed="81"/>
            <rFont val="Tahoma"/>
            <family val="2"/>
          </rPr>
          <t xml:space="preserve">
Exceptional gain on sale of land at Hosur unit</t>
        </r>
      </text>
    </comment>
    <comment ref="AZ48" authorId="0" shapeId="0" xr:uid="{601EC551-93DD-407A-8AA3-104C655C726C}">
      <text>
        <r>
          <rPr>
            <b/>
            <sz val="9"/>
            <color indexed="81"/>
            <rFont val="Tahoma"/>
            <family val="2"/>
          </rPr>
          <t>Abhishek, Ghosh:</t>
        </r>
        <r>
          <rPr>
            <sz val="9"/>
            <color indexed="81"/>
            <rFont val="Tahoma"/>
            <family val="2"/>
          </rPr>
          <t xml:space="preserve">
Reduced tax related to sale of construction assets ( refer cell AV35)Rs55.86 is exceptiional item for the year mentioned in notes to accounts and deducted from revenue</t>
        </r>
      </text>
    </comment>
    <comment ref="BB48" authorId="1" shapeId="0" xr:uid="{2C44FD4D-46E1-421D-9E00-113EB21E9109}">
      <text>
        <r>
          <rPr>
            <b/>
            <sz val="9"/>
            <color indexed="81"/>
            <rFont val="Tahoma"/>
            <family val="2"/>
          </rPr>
          <t>Ghosh, Abhishek (India):</t>
        </r>
        <r>
          <rPr>
            <sz val="9"/>
            <color indexed="81"/>
            <rFont val="Tahoma"/>
            <family val="2"/>
          </rPr>
          <t xml:space="preserve">
Rs33.60 Crores has been added back as that is the deferred tax write back for previous years.
Also Rs4 cr is write off for bad debtors. And Rs9.07 cr was Composite cylinder for Bangladesh orders.</t>
        </r>
      </text>
    </comment>
    <comment ref="BH100" authorId="1" shapeId="0" xr:uid="{CBB596E8-97A4-4B01-83E8-8CCFEF969557}">
      <text>
        <r>
          <rPr>
            <b/>
            <sz val="9"/>
            <color indexed="81"/>
            <rFont val="Tahoma"/>
            <family val="2"/>
          </rPr>
          <t>Ghosh, Abhishek (India):</t>
        </r>
        <r>
          <rPr>
            <sz val="9"/>
            <color indexed="81"/>
            <rFont val="Tahoma"/>
            <family val="2"/>
          </rPr>
          <t xml:space="preserve">
Rs 80 cr of inventory gain adjusted</t>
        </r>
      </text>
    </comment>
    <comment ref="BI100" authorId="1" shapeId="0" xr:uid="{400E5574-C93F-4503-AA65-8B5F36E01E50}">
      <text>
        <r>
          <rPr>
            <b/>
            <sz val="9"/>
            <color indexed="81"/>
            <rFont val="Tahoma"/>
            <family val="2"/>
          </rPr>
          <t>Ghosh, Abhishek (India):</t>
        </r>
        <r>
          <rPr>
            <sz val="9"/>
            <color indexed="81"/>
            <rFont val="Tahoma"/>
            <family val="2"/>
          </rPr>
          <t xml:space="preserve">
Rs120 cr of inventory gain adjusted</t>
        </r>
      </text>
    </comment>
    <comment ref="AZ120" authorId="1" shapeId="0" xr:uid="{BA79C21D-4B42-49A8-BFB6-9C388F11998C}">
      <text>
        <r>
          <rPr>
            <b/>
            <sz val="9"/>
            <color indexed="81"/>
            <rFont val="Tahoma"/>
            <family val="2"/>
          </rPr>
          <t>Ghosh, Abhishek (India):</t>
        </r>
        <r>
          <rPr>
            <sz val="9"/>
            <color indexed="81"/>
            <rFont val="Tahoma"/>
            <family val="2"/>
          </rPr>
          <t xml:space="preserve">
6703 tons is performance films division ( -10% YoY). Protective packaging is 26018 tonnes</t>
        </r>
      </text>
    </comment>
    <comment ref="AU143" authorId="0" shapeId="0" xr:uid="{FF3199B9-1A87-4C00-8F61-9159EB523D50}">
      <text>
        <r>
          <rPr>
            <b/>
            <sz val="9"/>
            <color indexed="81"/>
            <rFont val="Tahoma"/>
            <family val="2"/>
          </rPr>
          <t>Abhishek, Ghosh:</t>
        </r>
        <r>
          <rPr>
            <sz val="9"/>
            <color indexed="81"/>
            <rFont val="Tahoma"/>
            <family val="2"/>
          </rPr>
          <t xml:space="preserve">
Simpaulin Rs500 crores of revenue</t>
        </r>
      </text>
    </comment>
    <comment ref="AZ143" authorId="1" shapeId="0" xr:uid="{CFFE27ED-A276-49D5-85C0-8D50191FBA04}">
      <text>
        <r>
          <rPr>
            <b/>
            <sz val="9"/>
            <color indexed="81"/>
            <rFont val="Tahoma"/>
            <family val="2"/>
          </rPr>
          <t>Ghosh, Abhishek (India):</t>
        </r>
        <r>
          <rPr>
            <sz val="9"/>
            <color indexed="81"/>
            <rFont val="Tahoma"/>
            <family val="2"/>
          </rPr>
          <t xml:space="preserve">
Rs110 cr is revenu from Performance films division </t>
        </r>
      </text>
    </comment>
    <comment ref="CA170" authorId="1" shapeId="0" xr:uid="{9C1FD9CF-F206-450E-BE8C-51E8589F3001}">
      <text>
        <r>
          <rPr>
            <b/>
            <sz val="9"/>
            <color indexed="81"/>
            <rFont val="Tahoma"/>
            <family val="2"/>
          </rPr>
          <t>Ghosh, Abhishek (India):</t>
        </r>
        <r>
          <rPr>
            <sz val="9"/>
            <color indexed="81"/>
            <rFont val="Tahoma"/>
            <family val="2"/>
          </rPr>
          <t xml:space="preserve">
Rs35 cr of Inventory gains</t>
        </r>
      </text>
    </comment>
    <comment ref="AZ248" authorId="1" shapeId="0" xr:uid="{87E323A3-8001-475C-80CF-1DD75BC0D6EA}">
      <text>
        <r>
          <rPr>
            <b/>
            <sz val="9"/>
            <color indexed="81"/>
            <rFont val="Tahoma"/>
            <family val="2"/>
          </rPr>
          <t>Ghosh, Abhishek (India):</t>
        </r>
        <r>
          <rPr>
            <sz val="9"/>
            <color indexed="81"/>
            <rFont val="Tahoma"/>
            <family val="2"/>
          </rPr>
          <t xml:space="preserve">
6703 tons is performance films division ( -10% YoY). Protective packaging is 26018 tonnes</t>
        </r>
      </text>
    </comment>
    <comment ref="AU274" authorId="0" shapeId="0" xr:uid="{B7DC1E76-80F6-4447-B6AF-D542B3D57742}">
      <text>
        <r>
          <rPr>
            <b/>
            <sz val="9"/>
            <color indexed="81"/>
            <rFont val="Tahoma"/>
            <family val="2"/>
          </rPr>
          <t>Abhishek, Ghosh:</t>
        </r>
        <r>
          <rPr>
            <sz val="9"/>
            <color indexed="81"/>
            <rFont val="Tahoma"/>
            <family val="2"/>
          </rPr>
          <t xml:space="preserve">
Simpaulin Rs500 crores of revenue</t>
        </r>
      </text>
    </comment>
    <comment ref="AZ274" authorId="1" shapeId="0" xr:uid="{7C6DC84C-9AB0-406E-A197-110CC40C5824}">
      <text>
        <r>
          <rPr>
            <b/>
            <sz val="9"/>
            <color indexed="81"/>
            <rFont val="Tahoma"/>
            <family val="2"/>
          </rPr>
          <t>Ghosh, Abhishek (India):</t>
        </r>
        <r>
          <rPr>
            <sz val="9"/>
            <color indexed="81"/>
            <rFont val="Tahoma"/>
            <family val="2"/>
          </rPr>
          <t xml:space="preserve">
Rs110 cr is revenu from Performance films division </t>
        </r>
      </text>
    </comment>
    <comment ref="CA304" authorId="1" shapeId="0" xr:uid="{3C4BE81A-73E8-41C3-A093-94E10973CA1F}">
      <text>
        <r>
          <rPr>
            <b/>
            <sz val="9"/>
            <color indexed="81"/>
            <rFont val="Tahoma"/>
            <family val="2"/>
          </rPr>
          <t>Ghosh, Abhishek (India):</t>
        </r>
        <r>
          <rPr>
            <sz val="9"/>
            <color indexed="81"/>
            <rFont val="Tahoma"/>
            <family val="2"/>
          </rPr>
          <t xml:space="preserve">
Rs35 cr of Inventory gains</t>
        </r>
      </text>
    </comment>
  </commentList>
</comments>
</file>

<file path=xl/sharedStrings.xml><?xml version="1.0" encoding="utf-8"?>
<sst xmlns="http://schemas.openxmlformats.org/spreadsheetml/2006/main" count="1001" uniqueCount="266">
  <si>
    <t>Supreme Industries Limited</t>
  </si>
  <si>
    <t>Sep</t>
  </si>
  <si>
    <t>Dec</t>
  </si>
  <si>
    <t>March</t>
  </si>
  <si>
    <t>June</t>
  </si>
  <si>
    <t>Mar</t>
  </si>
  <si>
    <t>Oct</t>
  </si>
  <si>
    <t>TP-Self'!A1</t>
  </si>
  <si>
    <t>2QFY18</t>
  </si>
  <si>
    <t>1QFY18</t>
  </si>
  <si>
    <t>1QFY19</t>
  </si>
  <si>
    <t>Pre 2QFY19</t>
  </si>
  <si>
    <t>Pre 3QFY19</t>
  </si>
  <si>
    <t>Pre 4QFY19</t>
  </si>
  <si>
    <t>Pre 2QFY20 results</t>
  </si>
  <si>
    <t>22nd May 2020</t>
  </si>
  <si>
    <t>31st August 2020-MOSL conference</t>
  </si>
  <si>
    <t>pre 3QFy21 results</t>
  </si>
  <si>
    <t>Pre 4QFY21 results</t>
  </si>
  <si>
    <t>Pre 4QFY22 results</t>
  </si>
  <si>
    <t>pre 1QFY23 results</t>
  </si>
  <si>
    <t>pre 2QFy23 results</t>
  </si>
  <si>
    <t>pre 3QFy23 results</t>
  </si>
  <si>
    <t>pre 4QFY23 Results</t>
  </si>
  <si>
    <t>Pre 1QFY24 results</t>
  </si>
  <si>
    <t>pre 2QFy24 results</t>
  </si>
  <si>
    <t>FY24E</t>
  </si>
  <si>
    <t>FY25E</t>
  </si>
  <si>
    <t>FY26E</t>
  </si>
  <si>
    <t>Pre 4QFY24 results</t>
  </si>
  <si>
    <t>Pre 2QFY25 results</t>
  </si>
  <si>
    <t>pre 3QFY25 results</t>
  </si>
  <si>
    <t>Pre 4QFY25 results</t>
  </si>
  <si>
    <t>Pre 1QFY26 Rsults</t>
  </si>
  <si>
    <t>Pre 2QFY26 results</t>
  </si>
  <si>
    <t>Post 2QFY26 results</t>
  </si>
  <si>
    <t>(YE Mar) (Curr: Rs in Cr.)</t>
  </si>
  <si>
    <t>1QFY10</t>
  </si>
  <si>
    <t>2QFY10</t>
  </si>
  <si>
    <t>3QFY10</t>
  </si>
  <si>
    <t>4QFY10</t>
  </si>
  <si>
    <t>CY10</t>
  </si>
  <si>
    <t>1QFY11</t>
  </si>
  <si>
    <t>2QFY11</t>
  </si>
  <si>
    <t>3QFY11</t>
  </si>
  <si>
    <t>4QFY11</t>
  </si>
  <si>
    <t>CY11</t>
  </si>
  <si>
    <t>1QFY12</t>
  </si>
  <si>
    <t>2QFY12</t>
  </si>
  <si>
    <t>3QFY12</t>
  </si>
  <si>
    <t>4QFY12</t>
  </si>
  <si>
    <t>CY12</t>
  </si>
  <si>
    <t>1QFY13</t>
  </si>
  <si>
    <t>2QFY13</t>
  </si>
  <si>
    <t>3QFY13</t>
  </si>
  <si>
    <t>4QFY13</t>
  </si>
  <si>
    <t>CY13</t>
  </si>
  <si>
    <t>1QFY14</t>
  </si>
  <si>
    <t>2QFY14</t>
  </si>
  <si>
    <t>3QFY14</t>
  </si>
  <si>
    <t>4QFY14</t>
  </si>
  <si>
    <t>CY14</t>
  </si>
  <si>
    <t>1QFY15</t>
  </si>
  <si>
    <t>2QFY15</t>
  </si>
  <si>
    <t>3QFY15</t>
  </si>
  <si>
    <t>4QFY15</t>
  </si>
  <si>
    <t>CY15</t>
  </si>
  <si>
    <t>1QFY16</t>
  </si>
  <si>
    <t>2QFY16</t>
  </si>
  <si>
    <t>3QFY16</t>
  </si>
  <si>
    <t>FY16</t>
  </si>
  <si>
    <t>1QFY17</t>
  </si>
  <si>
    <t>2QFY17</t>
  </si>
  <si>
    <t>3QFY17</t>
  </si>
  <si>
    <t>4QFY17</t>
  </si>
  <si>
    <t>FY17</t>
  </si>
  <si>
    <t>3QFY18</t>
  </si>
  <si>
    <t>4QFY18</t>
  </si>
  <si>
    <t>FY18</t>
  </si>
  <si>
    <t>2QFY19</t>
  </si>
  <si>
    <t>3QFY19</t>
  </si>
  <si>
    <t>4QFY19</t>
  </si>
  <si>
    <t>FY19</t>
  </si>
  <si>
    <t>1QFY20</t>
  </si>
  <si>
    <t>2QFY20</t>
  </si>
  <si>
    <t>3QFY20</t>
  </si>
  <si>
    <t>4QFY20</t>
  </si>
  <si>
    <t>FY20</t>
  </si>
  <si>
    <t>1QFY21</t>
  </si>
  <si>
    <t>2QFY21</t>
  </si>
  <si>
    <t>3QFY21</t>
  </si>
  <si>
    <t>4QFY21</t>
  </si>
  <si>
    <t>FY21</t>
  </si>
  <si>
    <t>1QFY22</t>
  </si>
  <si>
    <t>2QFY22</t>
  </si>
  <si>
    <t>3QFY22</t>
  </si>
  <si>
    <t>4QFY22</t>
  </si>
  <si>
    <t>FY22</t>
  </si>
  <si>
    <t>1QFY23</t>
  </si>
  <si>
    <t>2QFY23</t>
  </si>
  <si>
    <t>3QFY23</t>
  </si>
  <si>
    <t>4QFY23</t>
  </si>
  <si>
    <t>FY23</t>
  </si>
  <si>
    <t>1QFY24</t>
  </si>
  <si>
    <t>2QFY24</t>
  </si>
  <si>
    <t>3QFY24</t>
  </si>
  <si>
    <t>4QFY24</t>
  </si>
  <si>
    <t>FY24</t>
  </si>
  <si>
    <t>1QFY25</t>
  </si>
  <si>
    <t>2QFY25</t>
  </si>
  <si>
    <t>3QFY25</t>
  </si>
  <si>
    <t>4QFY25</t>
  </si>
  <si>
    <t>FY25</t>
  </si>
  <si>
    <t>1QFY26</t>
  </si>
  <si>
    <t>2QFY26</t>
  </si>
  <si>
    <t>3QFY26</t>
  </si>
  <si>
    <t>4QFY26</t>
  </si>
  <si>
    <t>FY26</t>
  </si>
  <si>
    <t>FY27E</t>
  </si>
  <si>
    <t>FY28E</t>
  </si>
  <si>
    <t>FY29E</t>
  </si>
  <si>
    <t>FY30E</t>
  </si>
  <si>
    <t>FY31E</t>
  </si>
  <si>
    <t>SMC!A1</t>
  </si>
  <si>
    <t>FY20e</t>
  </si>
  <si>
    <t>FY18E</t>
  </si>
  <si>
    <t>FY19e</t>
  </si>
  <si>
    <t>4QFY18E</t>
  </si>
  <si>
    <t>FY21e</t>
  </si>
  <si>
    <t>1QFY20E</t>
  </si>
  <si>
    <t>2QFY20E</t>
  </si>
  <si>
    <t>3QFY20E</t>
  </si>
  <si>
    <t>4QFY20E</t>
  </si>
  <si>
    <t>FY22E</t>
  </si>
  <si>
    <t>FY23E</t>
  </si>
  <si>
    <t>pre 1QFY25 results</t>
  </si>
  <si>
    <t>Gross Sales</t>
  </si>
  <si>
    <t>Growth (% YOY)</t>
  </si>
  <si>
    <t>Excise Duty</t>
  </si>
  <si>
    <t>Net Sales</t>
  </si>
  <si>
    <t>Other Operating Income</t>
  </si>
  <si>
    <t>Total Income</t>
  </si>
  <si>
    <t xml:space="preserve"> Raw Material Consumed</t>
  </si>
  <si>
    <t>% sales</t>
  </si>
  <si>
    <t xml:space="preserve"> Stock Adjustment</t>
  </si>
  <si>
    <t xml:space="preserve"> Purchase of Finished Goods</t>
  </si>
  <si>
    <t xml:space="preserve"> Employee Expenses</t>
  </si>
  <si>
    <t xml:space="preserve"> Other Expenses</t>
  </si>
  <si>
    <t>COGS</t>
  </si>
  <si>
    <t>GP</t>
  </si>
  <si>
    <t>Total Expenditure</t>
  </si>
  <si>
    <t>PBIDT (EBITDA)</t>
  </si>
  <si>
    <t>PBIT</t>
  </si>
  <si>
    <t>Other Income</t>
  </si>
  <si>
    <t>Interest</t>
  </si>
  <si>
    <t>PBDT</t>
  </si>
  <si>
    <t>Depreciation</t>
  </si>
  <si>
    <t>PBT</t>
  </si>
  <si>
    <t>Tax</t>
  </si>
  <si>
    <t>30x EPS</t>
  </si>
  <si>
    <t>Fringe Benefit Tax</t>
  </si>
  <si>
    <t>Pipes</t>
  </si>
  <si>
    <t>Deferred Tax</t>
  </si>
  <si>
    <t>Supreme Petchem @25% discount</t>
  </si>
  <si>
    <t>Reported Profit After Tax</t>
  </si>
  <si>
    <t>Intrinsic value</t>
  </si>
  <si>
    <t>Minority Interest After NP</t>
  </si>
  <si>
    <t>Profit/Loss of Associate Company</t>
  </si>
  <si>
    <t>Upside from CMP of Rs 1954</t>
  </si>
  <si>
    <t>Net Profit after Minority Interest &amp; P/L Asso.Co.</t>
  </si>
  <si>
    <t>Extra-ordinary Items</t>
  </si>
  <si>
    <t>Adjusted Profit After Extra-ordinary item</t>
  </si>
  <si>
    <t>Equity</t>
  </si>
  <si>
    <t>Reserve &amp; Surplus</t>
  </si>
  <si>
    <t>Debt</t>
  </si>
  <si>
    <t>Cash Equivalents</t>
  </si>
  <si>
    <t>Net Block</t>
  </si>
  <si>
    <t>Book Value</t>
  </si>
  <si>
    <t>P/E Multiple</t>
  </si>
  <si>
    <t>PBIDTM(%)</t>
  </si>
  <si>
    <t>FY27 EPS</t>
  </si>
  <si>
    <t>Tax/PBT (%)</t>
  </si>
  <si>
    <t>EPS (Rs.)</t>
  </si>
  <si>
    <t>D:E</t>
  </si>
  <si>
    <t>ROE (%)</t>
  </si>
  <si>
    <t>ROCE</t>
  </si>
  <si>
    <t>Face Value</t>
  </si>
  <si>
    <t>No. of Shares</t>
  </si>
  <si>
    <t>CMP (Rs.)</t>
  </si>
  <si>
    <t>CMP</t>
  </si>
  <si>
    <t>Market Cap ( Rs cr)</t>
  </si>
  <si>
    <t>PE (x)</t>
  </si>
  <si>
    <t>Target Multiple (x)</t>
  </si>
  <si>
    <t>Target Price (Rs.)</t>
  </si>
  <si>
    <t>Hold</t>
  </si>
  <si>
    <t>Upside (%)</t>
  </si>
  <si>
    <t>Working Capital</t>
  </si>
  <si>
    <t>OCF</t>
  </si>
  <si>
    <t>Capex</t>
  </si>
  <si>
    <t>Dividend</t>
  </si>
  <si>
    <t>NOPAT</t>
  </si>
  <si>
    <t>Capital Employed</t>
  </si>
  <si>
    <t>Invested Capital</t>
  </si>
  <si>
    <t>ROIC</t>
  </si>
  <si>
    <t>Cost of Equity</t>
  </si>
  <si>
    <t>Growth Beyond 2031</t>
  </si>
  <si>
    <t>EV/Invest Capital</t>
  </si>
  <si>
    <t>EV</t>
  </si>
  <si>
    <t>Equity Value</t>
  </si>
  <si>
    <t>Fair Price</t>
  </si>
  <si>
    <t>Implied PE Multiple</t>
  </si>
  <si>
    <t>CAGR (26-31)</t>
  </si>
  <si>
    <t>Growth</t>
  </si>
  <si>
    <t>Growth Period</t>
  </si>
  <si>
    <t>Gross Profit</t>
  </si>
  <si>
    <t>Gross Margin (%)</t>
  </si>
  <si>
    <t>Gross Profit/Kg</t>
  </si>
  <si>
    <t>Growth (%)</t>
  </si>
  <si>
    <t>OPEX/Kg ( Rs/kg)</t>
  </si>
  <si>
    <t>EBITDA/Kg</t>
  </si>
  <si>
    <t>A</t>
  </si>
  <si>
    <t>Capacity</t>
  </si>
  <si>
    <t>Plastic Piping System</t>
  </si>
  <si>
    <t>Packaging Products</t>
  </si>
  <si>
    <t>Industrial Products</t>
  </si>
  <si>
    <t>Consumer Products</t>
  </si>
  <si>
    <t>Window and Doors</t>
  </si>
  <si>
    <t>Sales Volume</t>
  </si>
  <si>
    <t>Plastic Goods Sold (MT)</t>
  </si>
  <si>
    <t>Volume addition</t>
  </si>
  <si>
    <t>Capacity Utilisation</t>
  </si>
  <si>
    <t>Volume Growth (%)</t>
  </si>
  <si>
    <t>Segment Revenue</t>
  </si>
  <si>
    <t>Plastics Piping Products</t>
  </si>
  <si>
    <t>Others</t>
  </si>
  <si>
    <t>Total</t>
  </si>
  <si>
    <t>Revenue Growth (%)</t>
  </si>
  <si>
    <t>Realisation (Rs/kg)</t>
  </si>
  <si>
    <t>Overall realizations</t>
  </si>
  <si>
    <t>Blended Realization</t>
  </si>
  <si>
    <t>PVC Price</t>
  </si>
  <si>
    <t>% of pipe realisation</t>
  </si>
  <si>
    <t>Segment Results</t>
  </si>
  <si>
    <t>Other Unallocable</t>
  </si>
  <si>
    <t>Total EBIT</t>
  </si>
  <si>
    <t>EBIT/Kg</t>
  </si>
  <si>
    <t>EBIT Margin (%)</t>
  </si>
  <si>
    <t>EBIT Mix (%)</t>
  </si>
  <si>
    <t>EBIT Growth (%)</t>
  </si>
  <si>
    <t>EBITDA (INR/kg)</t>
  </si>
  <si>
    <t>Overall EBITDA</t>
  </si>
  <si>
    <t>EBITDA</t>
  </si>
  <si>
    <t>Total Capacity</t>
  </si>
  <si>
    <t>Capacity Addition</t>
  </si>
  <si>
    <t>Total Addition</t>
  </si>
  <si>
    <t>% of PVC</t>
  </si>
  <si>
    <t>EBITDAM</t>
  </si>
  <si>
    <t>% sales (EBITDA Margin)</t>
  </si>
  <si>
    <t>% sales (EBIT Margin)</t>
  </si>
  <si>
    <t>P&amp;L</t>
  </si>
  <si>
    <t>Derived</t>
  </si>
  <si>
    <t>BS</t>
  </si>
  <si>
    <t>TCA-TCL</t>
  </si>
  <si>
    <t>Net Cash Generated From (Used in) Operations</t>
  </si>
  <si>
    <t>Proceeds from Sale of Fixed Assets+Purchase of Fixed Assets</t>
  </si>
  <si>
    <t>Dividend% x Face Value x No. of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</si>
</sst>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2]\ * #,##0.00_);_([$€-2]\ * \(#,##0.00\);_([$€-2]\ * &quot;-&quot;??_);_(@_)"/>
    <numFmt numFmtId="165" formatCode="0.0"/>
    <numFmt numFmtId="166" formatCode="0.0%"/>
    <numFmt numFmtId="167" formatCode="_(* #,##0.00_);_(* \(#,##0.00\);_(* &quot;-&quot;??_);_(@_)"/>
    <numFmt numFmtId="168" formatCode="_(* #,##0_);_(* \(#,##0\);_(* &quot;-&quot;??_);_(@_)"/>
    <numFmt numFmtId="169" formatCode="0.000000"/>
    <numFmt numFmtId="170" formatCode="_(* #,##0.0_);_(* \(#,##0.0\);_(* &quot;-&quot;??_);_(@_)"/>
    <numFmt numFmtId="171" formatCode="#,##0.0_);[Red]\(#,##0.0\)"/>
    <numFmt numFmtId="172" formatCode="0.0000"/>
    <numFmt numFmtId="173" formatCode="#,##0.0"/>
  </numFmts>
  <fonts count="13" x14ac:knownFonts="1">
    <font>
      <sz val="11"/>
      <color theme="1"/>
      <name val="Aptos Narrow"/>
      <family val="2"/>
      <scheme val="minor"/>
    </font>
    <font>
      <sz val="11"/>
      <color theme="1"/>
      <name val="Aptos Narrow"/>
      <family val="2"/>
      <scheme val="minor"/>
    </font>
    <font>
      <sz val="10"/>
      <name val="Arial"/>
      <family val="2"/>
    </font>
    <font>
      <b/>
      <sz val="10"/>
      <name val="Aptos Narrow"/>
      <family val="2"/>
      <scheme val="minor"/>
    </font>
    <font>
      <u/>
      <sz val="10"/>
      <color theme="10"/>
      <name val="Arial"/>
      <family val="2"/>
    </font>
    <font>
      <u/>
      <sz val="10"/>
      <color theme="10"/>
      <name val="Aptos Narrow"/>
      <family val="2"/>
      <scheme val="minor"/>
    </font>
    <font>
      <sz val="10"/>
      <name val="Aptos Narrow"/>
      <family val="2"/>
      <scheme val="minor"/>
    </font>
    <font>
      <i/>
      <sz val="10"/>
      <name val="Aptos Narrow"/>
      <family val="2"/>
      <scheme val="minor"/>
    </font>
    <font>
      <sz val="11"/>
      <color indexed="8"/>
      <name val="Calibri"/>
      <family val="2"/>
    </font>
    <font>
      <b/>
      <i/>
      <sz val="10"/>
      <name val="Aptos Narrow"/>
      <family val="2"/>
      <scheme val="minor"/>
    </font>
    <font>
      <sz val="10"/>
      <color rgb="FFFF0000"/>
      <name val="Aptos Narrow"/>
      <family val="2"/>
      <scheme val="minor"/>
    </font>
    <font>
      <b/>
      <sz val="9"/>
      <color indexed="81"/>
      <name val="Tahoma"/>
      <family val="2"/>
    </font>
    <font>
      <sz val="9"/>
      <color indexed="81"/>
      <name val="Tahoma"/>
      <family val="2"/>
    </font>
  </fonts>
  <fills count="12">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indexed="13"/>
        <bgColor indexed="64"/>
      </patternFill>
    </fill>
    <fill>
      <patternFill patternType="solid">
        <fgColor theme="7"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2" fillId="0" borderId="0"/>
    <xf numFmtId="164" fontId="4" fillId="0" borderId="0" applyNumberFormat="0" applyFill="0" applyBorder="0" applyAlignment="0" applyProtection="0">
      <alignment vertical="top"/>
      <protection locked="0"/>
    </xf>
    <xf numFmtId="164" fontId="2" fillId="0" borderId="0"/>
    <xf numFmtId="9" fontId="2" fillId="0" borderId="0" applyFont="0" applyFill="0" applyBorder="0" applyAlignment="0" applyProtection="0"/>
    <xf numFmtId="167" fontId="2" fillId="0" borderId="0" applyFont="0" applyFill="0" applyBorder="0" applyAlignment="0" applyProtection="0"/>
    <xf numFmtId="167" fontId="8" fillId="0" borderId="0" applyFont="0" applyFill="0" applyBorder="0" applyAlignment="0" applyProtection="0"/>
    <xf numFmtId="9" fontId="8" fillId="0" borderId="0" applyFont="0" applyFill="0" applyBorder="0" applyAlignment="0" applyProtection="0"/>
  </cellStyleXfs>
  <cellXfs count="231">
    <xf numFmtId="0" fontId="0" fillId="0" borderId="0" xfId="0"/>
    <xf numFmtId="164" fontId="3" fillId="2" borderId="1" xfId="1" applyFont="1" applyFill="1" applyBorder="1"/>
    <xf numFmtId="164" fontId="3" fillId="2" borderId="1" xfId="1" applyFont="1" applyFill="1" applyBorder="1" applyAlignment="1">
      <alignment horizontal="right"/>
    </xf>
    <xf numFmtId="164" fontId="3" fillId="2" borderId="0" xfId="1" applyFont="1" applyFill="1" applyAlignment="1">
      <alignment horizontal="right"/>
    </xf>
    <xf numFmtId="164" fontId="3" fillId="0" borderId="0" xfId="1" applyFont="1" applyAlignment="1">
      <alignment horizontal="right"/>
    </xf>
    <xf numFmtId="164" fontId="5" fillId="0" borderId="0" xfId="2" quotePrefix="1" applyFont="1" applyAlignment="1" applyProtection="1"/>
    <xf numFmtId="164" fontId="6" fillId="0" borderId="0" xfId="1" applyFont="1"/>
    <xf numFmtId="164" fontId="6" fillId="0" borderId="0" xfId="3" applyFont="1"/>
    <xf numFmtId="164" fontId="5" fillId="0" borderId="0" xfId="2" applyFont="1" applyAlignment="1" applyProtection="1"/>
    <xf numFmtId="165" fontId="6" fillId="2" borderId="0" xfId="1" applyNumberFormat="1" applyFont="1" applyFill="1" applyAlignment="1">
      <alignment horizontal="right"/>
    </xf>
    <xf numFmtId="164" fontId="3" fillId="2" borderId="0" xfId="1" applyFont="1" applyFill="1" applyAlignment="1">
      <alignment horizontal="left"/>
    </xf>
    <xf numFmtId="164" fontId="6" fillId="0" borderId="1" xfId="1" applyFont="1" applyBorder="1"/>
    <xf numFmtId="165" fontId="6" fillId="0" borderId="1" xfId="1" applyNumberFormat="1" applyFont="1" applyBorder="1" applyAlignment="1">
      <alignment horizontal="right"/>
    </xf>
    <xf numFmtId="165" fontId="6" fillId="2" borderId="1" xfId="1" applyNumberFormat="1" applyFont="1" applyFill="1" applyBorder="1" applyAlignment="1">
      <alignment horizontal="right"/>
    </xf>
    <xf numFmtId="3" fontId="6" fillId="0" borderId="1" xfId="1" applyNumberFormat="1" applyFont="1" applyBorder="1" applyAlignment="1">
      <alignment horizontal="right"/>
    </xf>
    <xf numFmtId="165" fontId="6" fillId="0" borderId="0" xfId="1" applyNumberFormat="1" applyFont="1" applyAlignment="1">
      <alignment horizontal="right"/>
    </xf>
    <xf numFmtId="166" fontId="7" fillId="3" borderId="0" xfId="4" applyNumberFormat="1" applyFont="1" applyFill="1" applyBorder="1" applyAlignment="1">
      <alignment horizontal="right"/>
    </xf>
    <xf numFmtId="164" fontId="7" fillId="3" borderId="1" xfId="1" applyFont="1" applyFill="1" applyBorder="1"/>
    <xf numFmtId="165" fontId="7" fillId="3" borderId="1" xfId="1" applyNumberFormat="1" applyFont="1" applyFill="1" applyBorder="1" applyAlignment="1">
      <alignment horizontal="right"/>
    </xf>
    <xf numFmtId="166" fontId="7" fillId="3" borderId="1" xfId="4" applyNumberFormat="1" applyFont="1" applyFill="1" applyBorder="1" applyAlignment="1">
      <alignment horizontal="right"/>
    </xf>
    <xf numFmtId="166" fontId="7" fillId="0" borderId="0" xfId="4" applyNumberFormat="1" applyFont="1" applyFill="1" applyBorder="1" applyAlignment="1">
      <alignment horizontal="right"/>
    </xf>
    <xf numFmtId="164" fontId="3" fillId="0" borderId="0" xfId="1" applyFont="1" applyAlignment="1">
      <alignment horizontal="center"/>
    </xf>
    <xf numFmtId="167" fontId="7" fillId="3" borderId="1" xfId="5" applyFont="1" applyFill="1" applyBorder="1" applyAlignment="1">
      <alignment horizontal="right"/>
    </xf>
    <xf numFmtId="164" fontId="6" fillId="0" borderId="1" xfId="1" applyFont="1" applyBorder="1" applyAlignment="1">
      <alignment horizontal="right"/>
    </xf>
    <xf numFmtId="9" fontId="6" fillId="0" borderId="1" xfId="4" applyFont="1" applyBorder="1" applyAlignment="1">
      <alignment horizontal="right"/>
    </xf>
    <xf numFmtId="167" fontId="6" fillId="0" borderId="1" xfId="5" applyFont="1" applyBorder="1" applyAlignment="1">
      <alignment horizontal="right"/>
    </xf>
    <xf numFmtId="38" fontId="6" fillId="2" borderId="1" xfId="6" applyNumberFormat="1" applyFont="1" applyFill="1" applyBorder="1" applyAlignment="1">
      <alignment horizontal="right"/>
    </xf>
    <xf numFmtId="38" fontId="6" fillId="0" borderId="1" xfId="6" applyNumberFormat="1" applyFont="1" applyBorder="1" applyAlignment="1">
      <alignment horizontal="right"/>
    </xf>
    <xf numFmtId="9" fontId="6" fillId="0" borderId="0" xfId="6" applyNumberFormat="1" applyFont="1" applyFill="1" applyBorder="1" applyAlignment="1">
      <alignment horizontal="right"/>
    </xf>
    <xf numFmtId="38" fontId="6" fillId="0" borderId="0" xfId="6" applyNumberFormat="1" applyFont="1" applyFill="1" applyBorder="1" applyAlignment="1">
      <alignment horizontal="right"/>
    </xf>
    <xf numFmtId="168" fontId="6" fillId="0" borderId="0" xfId="5" applyNumberFormat="1" applyFont="1"/>
    <xf numFmtId="1" fontId="6" fillId="0" borderId="0" xfId="1" applyNumberFormat="1" applyFont="1"/>
    <xf numFmtId="9" fontId="6" fillId="0" borderId="0" xfId="1" applyNumberFormat="1" applyFont="1"/>
    <xf numFmtId="1" fontId="3" fillId="2" borderId="1" xfId="1" applyNumberFormat="1" applyFont="1" applyFill="1" applyBorder="1" applyAlignment="1">
      <alignment horizontal="right"/>
    </xf>
    <xf numFmtId="164" fontId="3" fillId="0" borderId="1" xfId="1" applyFont="1" applyBorder="1"/>
    <xf numFmtId="165" fontId="3" fillId="0" borderId="1" xfId="1" applyNumberFormat="1" applyFont="1" applyBorder="1" applyAlignment="1">
      <alignment horizontal="right"/>
    </xf>
    <xf numFmtId="165" fontId="3" fillId="2" borderId="1" xfId="1" applyNumberFormat="1" applyFont="1" applyFill="1" applyBorder="1" applyAlignment="1">
      <alignment horizontal="right"/>
    </xf>
    <xf numFmtId="1" fontId="3" fillId="0" borderId="1" xfId="1" applyNumberFormat="1" applyFont="1" applyBorder="1" applyAlignment="1">
      <alignment horizontal="right"/>
    </xf>
    <xf numFmtId="1" fontId="3" fillId="0" borderId="0" xfId="1" applyNumberFormat="1" applyFont="1" applyAlignment="1">
      <alignment horizontal="right"/>
    </xf>
    <xf numFmtId="166" fontId="6" fillId="0" borderId="0" xfId="4" applyNumberFormat="1" applyFont="1"/>
    <xf numFmtId="9" fontId="6" fillId="0" borderId="0" xfId="4" applyFont="1"/>
    <xf numFmtId="165" fontId="6" fillId="0" borderId="0" xfId="1" applyNumberFormat="1" applyFont="1"/>
    <xf numFmtId="9" fontId="6" fillId="2" borderId="1" xfId="4" applyFont="1" applyFill="1" applyBorder="1" applyAlignment="1">
      <alignment horizontal="right"/>
    </xf>
    <xf numFmtId="1" fontId="6" fillId="2" borderId="1" xfId="1" applyNumberFormat="1" applyFont="1" applyFill="1" applyBorder="1" applyAlignment="1">
      <alignment horizontal="right"/>
    </xf>
    <xf numFmtId="1" fontId="6" fillId="0" borderId="1" xfId="1" applyNumberFormat="1" applyFont="1" applyBorder="1" applyAlignment="1">
      <alignment horizontal="right"/>
    </xf>
    <xf numFmtId="1" fontId="6" fillId="0" borderId="0" xfId="1" applyNumberFormat="1" applyFont="1" applyAlignment="1">
      <alignment horizontal="right"/>
    </xf>
    <xf numFmtId="166" fontId="7" fillId="4" borderId="1" xfId="4" applyNumberFormat="1" applyFont="1" applyFill="1" applyBorder="1" applyAlignment="1">
      <alignment horizontal="right"/>
    </xf>
    <xf numFmtId="164" fontId="7" fillId="4" borderId="1" xfId="1" applyFont="1" applyFill="1" applyBorder="1"/>
    <xf numFmtId="1" fontId="6" fillId="2" borderId="1" xfId="6" applyNumberFormat="1" applyFont="1" applyFill="1" applyBorder="1" applyAlignment="1">
      <alignment horizontal="right"/>
    </xf>
    <xf numFmtId="1" fontId="3" fillId="0" borderId="0" xfId="1" applyNumberFormat="1" applyFont="1"/>
    <xf numFmtId="166" fontId="6" fillId="0" borderId="0" xfId="1" quotePrefix="1" applyNumberFormat="1" applyFont="1"/>
    <xf numFmtId="10" fontId="6" fillId="0" borderId="0" xfId="1" quotePrefix="1" applyNumberFormat="1" applyFont="1"/>
    <xf numFmtId="9" fontId="3" fillId="0" borderId="0" xfId="7" applyFont="1" applyFill="1"/>
    <xf numFmtId="38" fontId="3" fillId="0" borderId="1" xfId="6" applyNumberFormat="1" applyFont="1" applyBorder="1" applyAlignment="1">
      <alignment horizontal="right"/>
    </xf>
    <xf numFmtId="38" fontId="3" fillId="2" borderId="1" xfId="6" applyNumberFormat="1" applyFont="1" applyFill="1" applyBorder="1" applyAlignment="1">
      <alignment horizontal="right"/>
    </xf>
    <xf numFmtId="3" fontId="3" fillId="0" borderId="1" xfId="1" applyNumberFormat="1" applyFont="1" applyBorder="1" applyAlignment="1">
      <alignment horizontal="right"/>
    </xf>
    <xf numFmtId="9" fontId="3" fillId="0" borderId="0" xfId="6" applyNumberFormat="1" applyFont="1" applyFill="1" applyBorder="1" applyAlignment="1">
      <alignment horizontal="right"/>
    </xf>
    <xf numFmtId="38" fontId="3" fillId="0" borderId="0" xfId="6" applyNumberFormat="1" applyFont="1" applyFill="1" applyBorder="1" applyAlignment="1">
      <alignment horizontal="right"/>
    </xf>
    <xf numFmtId="164" fontId="3" fillId="0" borderId="0" xfId="1" applyFont="1"/>
    <xf numFmtId="168" fontId="3" fillId="0" borderId="0" xfId="5" applyNumberFormat="1" applyFont="1"/>
    <xf numFmtId="164" fontId="3" fillId="0" borderId="0" xfId="3" applyFont="1"/>
    <xf numFmtId="166" fontId="9" fillId="3" borderId="1" xfId="4" applyNumberFormat="1" applyFont="1" applyFill="1" applyBorder="1" applyAlignment="1">
      <alignment horizontal="right"/>
    </xf>
    <xf numFmtId="168" fontId="3" fillId="0" borderId="1" xfId="5" applyNumberFormat="1" applyFont="1" applyBorder="1" applyAlignment="1">
      <alignment horizontal="right"/>
    </xf>
    <xf numFmtId="169" fontId="3" fillId="0" borderId="1" xfId="1" applyNumberFormat="1" applyFont="1" applyBorder="1" applyAlignment="1">
      <alignment horizontal="right"/>
    </xf>
    <xf numFmtId="167" fontId="6" fillId="0" borderId="0" xfId="5" applyFont="1"/>
    <xf numFmtId="166" fontId="6" fillId="0" borderId="0" xfId="7" applyNumberFormat="1" applyFont="1"/>
    <xf numFmtId="166" fontId="7" fillId="5" borderId="1" xfId="4" applyNumberFormat="1" applyFont="1" applyFill="1" applyBorder="1" applyAlignment="1">
      <alignment horizontal="right"/>
    </xf>
    <xf numFmtId="165" fontId="3" fillId="0" borderId="0" xfId="1" applyNumberFormat="1" applyFont="1" applyAlignment="1">
      <alignment horizontal="right"/>
    </xf>
    <xf numFmtId="165" fontId="3" fillId="0" borderId="0" xfId="1" applyNumberFormat="1" applyFont="1"/>
    <xf numFmtId="170" fontId="6" fillId="0" borderId="0" xfId="5" applyNumberFormat="1" applyFont="1"/>
    <xf numFmtId="9" fontId="6" fillId="6" borderId="1" xfId="1" applyNumberFormat="1" applyFont="1" applyFill="1" applyBorder="1" applyAlignment="1">
      <alignment horizontal="right"/>
    </xf>
    <xf numFmtId="164" fontId="6" fillId="5" borderId="1" xfId="1" applyFont="1" applyFill="1" applyBorder="1" applyAlignment="1">
      <alignment horizontal="right"/>
    </xf>
    <xf numFmtId="165" fontId="6" fillId="6" borderId="1" xfId="1" applyNumberFormat="1" applyFont="1" applyFill="1" applyBorder="1" applyAlignment="1">
      <alignment horizontal="right"/>
    </xf>
    <xf numFmtId="165" fontId="6" fillId="5" borderId="1" xfId="1" applyNumberFormat="1" applyFont="1" applyFill="1" applyBorder="1" applyAlignment="1">
      <alignment horizontal="right"/>
    </xf>
    <xf numFmtId="9" fontId="6" fillId="0" borderId="0" xfId="4" applyFont="1" applyFill="1" applyBorder="1" applyAlignment="1">
      <alignment horizontal="right"/>
    </xf>
    <xf numFmtId="168" fontId="6" fillId="0" borderId="1" xfId="5" applyNumberFormat="1" applyFont="1" applyBorder="1"/>
    <xf numFmtId="171" fontId="6" fillId="7" borderId="1" xfId="6" applyNumberFormat="1" applyFont="1" applyFill="1" applyBorder="1" applyAlignment="1">
      <alignment horizontal="right"/>
    </xf>
    <xf numFmtId="171" fontId="6" fillId="0" borderId="1" xfId="6" applyNumberFormat="1" applyFont="1" applyBorder="1" applyAlignment="1">
      <alignment horizontal="right"/>
    </xf>
    <xf numFmtId="171" fontId="6" fillId="2" borderId="1" xfId="6" applyNumberFormat="1" applyFont="1" applyFill="1" applyBorder="1" applyAlignment="1">
      <alignment horizontal="right"/>
    </xf>
    <xf numFmtId="171" fontId="6" fillId="0" borderId="0" xfId="6" applyNumberFormat="1" applyFont="1" applyFill="1" applyBorder="1" applyAlignment="1">
      <alignment horizontal="right"/>
    </xf>
    <xf numFmtId="9" fontId="6" fillId="0" borderId="1" xfId="4" applyFont="1" applyBorder="1"/>
    <xf numFmtId="9" fontId="3" fillId="0" borderId="1" xfId="4" applyFont="1" applyBorder="1" applyAlignment="1">
      <alignment horizontal="right"/>
    </xf>
    <xf numFmtId="171" fontId="6" fillId="5" borderId="1" xfId="6" applyNumberFormat="1" applyFont="1" applyFill="1" applyBorder="1" applyAlignment="1">
      <alignment horizontal="right"/>
    </xf>
    <xf numFmtId="168" fontId="3" fillId="2" borderId="1" xfId="5" applyNumberFormat="1" applyFont="1" applyFill="1" applyBorder="1" applyAlignment="1">
      <alignment horizontal="right"/>
    </xf>
    <xf numFmtId="172" fontId="6" fillId="0" borderId="1" xfId="1" applyNumberFormat="1" applyFont="1" applyBorder="1" applyAlignment="1">
      <alignment horizontal="right"/>
    </xf>
    <xf numFmtId="172" fontId="6" fillId="2" borderId="1" xfId="1" applyNumberFormat="1" applyFont="1" applyFill="1" applyBorder="1" applyAlignment="1">
      <alignment horizontal="right"/>
    </xf>
    <xf numFmtId="1" fontId="6" fillId="0" borderId="0" xfId="3" applyNumberFormat="1" applyFont="1"/>
    <xf numFmtId="164" fontId="6" fillId="2" borderId="1" xfId="1" applyFont="1" applyFill="1" applyBorder="1" applyAlignment="1">
      <alignment horizontal="right"/>
    </xf>
    <xf numFmtId="166" fontId="6" fillId="2" borderId="1" xfId="4" applyNumberFormat="1" applyFont="1" applyFill="1" applyBorder="1" applyAlignment="1">
      <alignment horizontal="right"/>
    </xf>
    <xf numFmtId="166" fontId="6" fillId="0" borderId="1" xfId="4" applyNumberFormat="1" applyFont="1" applyBorder="1" applyAlignment="1">
      <alignment horizontal="right"/>
    </xf>
    <xf numFmtId="166" fontId="6" fillId="0" borderId="0" xfId="4" applyNumberFormat="1" applyFont="1" applyFill="1" applyBorder="1" applyAlignment="1">
      <alignment horizontal="right"/>
    </xf>
    <xf numFmtId="165" fontId="3" fillId="5" borderId="1" xfId="1" applyNumberFormat="1" applyFont="1" applyFill="1" applyBorder="1" applyAlignment="1">
      <alignment horizontal="right"/>
    </xf>
    <xf numFmtId="165" fontId="3" fillId="6" borderId="1" xfId="1" applyNumberFormat="1" applyFont="1" applyFill="1" applyBorder="1" applyAlignment="1">
      <alignment horizontal="right"/>
    </xf>
    <xf numFmtId="2" fontId="6" fillId="0" borderId="1" xfId="1" applyNumberFormat="1" applyFont="1" applyBorder="1" applyAlignment="1">
      <alignment horizontal="right"/>
    </xf>
    <xf numFmtId="9" fontId="3" fillId="0" borderId="0" xfId="1" applyNumberFormat="1" applyFont="1" applyAlignment="1">
      <alignment horizontal="right"/>
    </xf>
    <xf numFmtId="164" fontId="6" fillId="5" borderId="0" xfId="1" applyFont="1" applyFill="1"/>
    <xf numFmtId="164" fontId="6" fillId="5" borderId="0" xfId="3" applyFont="1" applyFill="1"/>
    <xf numFmtId="2" fontId="6" fillId="2" borderId="1" xfId="1" applyNumberFormat="1" applyFont="1" applyFill="1" applyBorder="1" applyAlignment="1">
      <alignment horizontal="right"/>
    </xf>
    <xf numFmtId="2" fontId="6" fillId="0" borderId="0" xfId="1" applyNumberFormat="1" applyFont="1" applyAlignment="1">
      <alignment horizontal="right"/>
    </xf>
    <xf numFmtId="164" fontId="3" fillId="0" borderId="1" xfId="1" applyFont="1" applyBorder="1" applyAlignment="1">
      <alignment horizontal="right"/>
    </xf>
    <xf numFmtId="166" fontId="3" fillId="2" borderId="1" xfId="4" applyNumberFormat="1" applyFont="1" applyFill="1" applyBorder="1" applyAlignment="1">
      <alignment horizontal="right"/>
    </xf>
    <xf numFmtId="166" fontId="3" fillId="0" borderId="1" xfId="4" applyNumberFormat="1" applyFont="1" applyFill="1" applyBorder="1" applyAlignment="1">
      <alignment horizontal="right"/>
    </xf>
    <xf numFmtId="166" fontId="3" fillId="0" borderId="0" xfId="4" applyNumberFormat="1" applyFont="1" applyFill="1" applyBorder="1" applyAlignment="1">
      <alignment horizontal="right"/>
    </xf>
    <xf numFmtId="164" fontId="3" fillId="8" borderId="0" xfId="1" applyFont="1" applyFill="1"/>
    <xf numFmtId="165" fontId="3" fillId="2" borderId="1" xfId="4" applyNumberFormat="1" applyFont="1" applyFill="1" applyBorder="1" applyAlignment="1">
      <alignment horizontal="right"/>
    </xf>
    <xf numFmtId="166" fontId="6" fillId="0" borderId="1" xfId="4" applyNumberFormat="1" applyFont="1" applyFill="1" applyBorder="1" applyAlignment="1">
      <alignment horizontal="right"/>
    </xf>
    <xf numFmtId="4" fontId="6" fillId="2" borderId="1" xfId="4" applyNumberFormat="1" applyFont="1" applyFill="1" applyBorder="1" applyAlignment="1">
      <alignment horizontal="right"/>
    </xf>
    <xf numFmtId="164" fontId="6" fillId="8" borderId="0" xfId="1" applyFont="1" applyFill="1"/>
    <xf numFmtId="165" fontId="6" fillId="2" borderId="1" xfId="4" applyNumberFormat="1" applyFont="1" applyFill="1" applyBorder="1" applyAlignment="1">
      <alignment horizontal="right"/>
    </xf>
    <xf numFmtId="165" fontId="6" fillId="0" borderId="1" xfId="4" applyNumberFormat="1" applyFont="1" applyFill="1" applyBorder="1" applyAlignment="1">
      <alignment horizontal="right"/>
    </xf>
    <xf numFmtId="1" fontId="6" fillId="5" borderId="1" xfId="4" applyNumberFormat="1" applyFont="1" applyFill="1" applyBorder="1" applyAlignment="1">
      <alignment horizontal="right"/>
    </xf>
    <xf numFmtId="165" fontId="6" fillId="0" borderId="0" xfId="4" applyNumberFormat="1" applyFont="1" applyFill="1" applyBorder="1" applyAlignment="1">
      <alignment horizontal="right"/>
    </xf>
    <xf numFmtId="1" fontId="6" fillId="2" borderId="1" xfId="4" applyNumberFormat="1" applyFont="1" applyFill="1" applyBorder="1" applyAlignment="1">
      <alignment horizontal="right"/>
    </xf>
    <xf numFmtId="1" fontId="6" fillId="0" borderId="1" xfId="4" applyNumberFormat="1" applyFont="1" applyFill="1" applyBorder="1" applyAlignment="1">
      <alignment horizontal="right"/>
    </xf>
    <xf numFmtId="1" fontId="6" fillId="0" borderId="0" xfId="4" applyNumberFormat="1" applyFont="1" applyFill="1" applyBorder="1" applyAlignment="1">
      <alignment horizontal="right"/>
    </xf>
    <xf numFmtId="166" fontId="3" fillId="6" borderId="1" xfId="4" applyNumberFormat="1" applyFont="1" applyFill="1" applyBorder="1" applyAlignment="1">
      <alignment horizontal="right"/>
    </xf>
    <xf numFmtId="164" fontId="3" fillId="6" borderId="1" xfId="1" applyFont="1" applyFill="1" applyBorder="1" applyAlignment="1">
      <alignment horizontal="right"/>
    </xf>
    <xf numFmtId="165" fontId="3" fillId="6" borderId="1" xfId="4" applyNumberFormat="1" applyFont="1" applyFill="1" applyBorder="1" applyAlignment="1">
      <alignment horizontal="right"/>
    </xf>
    <xf numFmtId="165" fontId="3" fillId="0" borderId="1" xfId="4" applyNumberFormat="1" applyFont="1" applyFill="1" applyBorder="1" applyAlignment="1">
      <alignment horizontal="right"/>
    </xf>
    <xf numFmtId="165" fontId="3" fillId="0" borderId="0" xfId="4" applyNumberFormat="1" applyFont="1" applyFill="1" applyBorder="1" applyAlignment="1">
      <alignment horizontal="right"/>
    </xf>
    <xf numFmtId="164" fontId="3" fillId="5" borderId="0" xfId="1" applyFont="1" applyFill="1"/>
    <xf numFmtId="165" fontId="3" fillId="5" borderId="1" xfId="4" applyNumberFormat="1" applyFont="1" applyFill="1" applyBorder="1" applyAlignment="1">
      <alignment horizontal="right"/>
    </xf>
    <xf numFmtId="164" fontId="3" fillId="5" borderId="0" xfId="3" applyFont="1" applyFill="1"/>
    <xf numFmtId="164" fontId="3" fillId="5" borderId="1" xfId="1" applyFont="1" applyFill="1" applyBorder="1" applyAlignment="1">
      <alignment horizontal="right"/>
    </xf>
    <xf numFmtId="165" fontId="6" fillId="2" borderId="0" xfId="4" applyNumberFormat="1" applyFont="1" applyFill="1" applyBorder="1" applyAlignment="1">
      <alignment horizontal="right"/>
    </xf>
    <xf numFmtId="1" fontId="3" fillId="5" borderId="1" xfId="4" applyNumberFormat="1" applyFont="1" applyFill="1" applyBorder="1" applyAlignment="1">
      <alignment horizontal="right"/>
    </xf>
    <xf numFmtId="1" fontId="3" fillId="6" borderId="1" xfId="4" applyNumberFormat="1" applyFont="1" applyFill="1" applyBorder="1" applyAlignment="1">
      <alignment horizontal="right"/>
    </xf>
    <xf numFmtId="1" fontId="3" fillId="0" borderId="1" xfId="4" applyNumberFormat="1" applyFont="1" applyFill="1" applyBorder="1" applyAlignment="1">
      <alignment horizontal="right"/>
    </xf>
    <xf numFmtId="1" fontId="3" fillId="9" borderId="1" xfId="4" applyNumberFormat="1" applyFont="1" applyFill="1" applyBorder="1" applyAlignment="1">
      <alignment horizontal="right"/>
    </xf>
    <xf numFmtId="9" fontId="3" fillId="0" borderId="0" xfId="4" applyFont="1" applyFill="1" applyBorder="1" applyAlignment="1">
      <alignment horizontal="right"/>
    </xf>
    <xf numFmtId="1" fontId="3" fillId="0" borderId="0" xfId="4" applyNumberFormat="1" applyFont="1" applyFill="1" applyBorder="1" applyAlignment="1">
      <alignment horizontal="right"/>
    </xf>
    <xf numFmtId="1" fontId="3" fillId="10" borderId="1" xfId="4" applyNumberFormat="1" applyFont="1" applyFill="1" applyBorder="1" applyAlignment="1">
      <alignment horizontal="right"/>
    </xf>
    <xf numFmtId="168" fontId="6" fillId="2" borderId="0" xfId="5" applyNumberFormat="1" applyFont="1" applyFill="1" applyBorder="1" applyAlignment="1">
      <alignment horizontal="right"/>
    </xf>
    <xf numFmtId="4" fontId="6" fillId="0" borderId="0" xfId="4" applyNumberFormat="1" applyFont="1" applyFill="1" applyBorder="1" applyAlignment="1">
      <alignment horizontal="right"/>
    </xf>
    <xf numFmtId="168" fontId="6" fillId="0" borderId="0" xfId="5" applyNumberFormat="1" applyFont="1" applyFill="1"/>
    <xf numFmtId="9" fontId="6" fillId="0" borderId="0" xfId="4" applyFont="1" applyFill="1"/>
    <xf numFmtId="164" fontId="6" fillId="0" borderId="0" xfId="1" applyFont="1" applyAlignment="1">
      <alignment horizontal="right"/>
    </xf>
    <xf numFmtId="168" fontId="6" fillId="0" borderId="0" xfId="5" applyNumberFormat="1" applyFont="1" applyFill="1" applyBorder="1" applyAlignment="1">
      <alignment horizontal="right"/>
    </xf>
    <xf numFmtId="3" fontId="6" fillId="2" borderId="1" xfId="4" applyNumberFormat="1" applyFont="1" applyFill="1" applyBorder="1" applyAlignment="1">
      <alignment horizontal="right"/>
    </xf>
    <xf numFmtId="3" fontId="6" fillId="0" borderId="1" xfId="4" applyNumberFormat="1" applyFont="1" applyFill="1" applyBorder="1" applyAlignment="1">
      <alignment horizontal="right"/>
    </xf>
    <xf numFmtId="166" fontId="6" fillId="2" borderId="0" xfId="4" applyNumberFormat="1" applyFont="1" applyFill="1" applyBorder="1" applyAlignment="1">
      <alignment horizontal="right"/>
    </xf>
    <xf numFmtId="4" fontId="3" fillId="0" borderId="0" xfId="4" applyNumberFormat="1" applyFont="1" applyFill="1" applyBorder="1" applyAlignment="1">
      <alignment horizontal="right"/>
    </xf>
    <xf numFmtId="9" fontId="3" fillId="0" borderId="0" xfId="4" applyFont="1"/>
    <xf numFmtId="165" fontId="3" fillId="2" borderId="0" xfId="4" applyNumberFormat="1" applyFont="1" applyFill="1" applyBorder="1" applyAlignment="1">
      <alignment horizontal="right"/>
    </xf>
    <xf numFmtId="166" fontId="3" fillId="2" borderId="0" xfId="4" applyNumberFormat="1" applyFont="1" applyFill="1" applyBorder="1" applyAlignment="1">
      <alignment horizontal="right"/>
    </xf>
    <xf numFmtId="168" fontId="3" fillId="2" borderId="0" xfId="5" applyNumberFormat="1" applyFont="1" applyFill="1" applyBorder="1" applyAlignment="1">
      <alignment horizontal="right"/>
    </xf>
    <xf numFmtId="168" fontId="3" fillId="0" borderId="0" xfId="5" applyNumberFormat="1" applyFont="1" applyFill="1"/>
    <xf numFmtId="9" fontId="3" fillId="0" borderId="0" xfId="4" applyFont="1" applyFill="1"/>
    <xf numFmtId="168" fontId="3" fillId="0" borderId="0" xfId="5" applyNumberFormat="1" applyFont="1" applyFill="1" applyBorder="1" applyAlignment="1">
      <alignment horizontal="right"/>
    </xf>
    <xf numFmtId="173" fontId="6" fillId="2" borderId="1" xfId="4" applyNumberFormat="1" applyFont="1" applyFill="1" applyBorder="1" applyAlignment="1">
      <alignment horizontal="right"/>
    </xf>
    <xf numFmtId="3" fontId="3" fillId="2" borderId="1" xfId="4" applyNumberFormat="1" applyFont="1" applyFill="1" applyBorder="1" applyAlignment="1">
      <alignment horizontal="right"/>
    </xf>
    <xf numFmtId="3" fontId="3" fillId="9" borderId="1" xfId="4" applyNumberFormat="1" applyFont="1" applyFill="1" applyBorder="1" applyAlignment="1">
      <alignment horizontal="right"/>
    </xf>
    <xf numFmtId="164" fontId="6" fillId="6" borderId="1" xfId="1" applyFont="1" applyFill="1" applyBorder="1"/>
    <xf numFmtId="9" fontId="6" fillId="6" borderId="1" xfId="1" applyNumberFormat="1" applyFont="1" applyFill="1" applyBorder="1"/>
    <xf numFmtId="173" fontId="6" fillId="6" borderId="1" xfId="1" applyNumberFormat="1" applyFont="1" applyFill="1" applyBorder="1"/>
    <xf numFmtId="4" fontId="6" fillId="6" borderId="1" xfId="1" applyNumberFormat="1" applyFont="1" applyFill="1" applyBorder="1"/>
    <xf numFmtId="168" fontId="3" fillId="0" borderId="0" xfId="5" applyNumberFormat="1" applyFont="1" applyBorder="1" applyAlignment="1">
      <alignment horizontal="right"/>
    </xf>
    <xf numFmtId="165" fontId="3" fillId="5" borderId="0" xfId="4" applyNumberFormat="1" applyFont="1" applyFill="1" applyBorder="1" applyAlignment="1">
      <alignment horizontal="right"/>
    </xf>
    <xf numFmtId="168" fontId="6" fillId="0" borderId="0" xfId="5" applyNumberFormat="1" applyFont="1" applyBorder="1" applyAlignment="1">
      <alignment horizontal="right"/>
    </xf>
    <xf numFmtId="9" fontId="6" fillId="2" borderId="0" xfId="5" applyNumberFormat="1" applyFont="1" applyFill="1" applyBorder="1" applyAlignment="1">
      <alignment horizontal="right"/>
    </xf>
    <xf numFmtId="165" fontId="6" fillId="5" borderId="0" xfId="4" applyNumberFormat="1" applyFont="1" applyFill="1" applyBorder="1" applyAlignment="1">
      <alignment horizontal="right"/>
    </xf>
    <xf numFmtId="9" fontId="6" fillId="2" borderId="0" xfId="4" applyFont="1" applyFill="1" applyBorder="1" applyAlignment="1">
      <alignment horizontal="right"/>
    </xf>
    <xf numFmtId="9" fontId="6" fillId="0" borderId="0" xfId="4" applyFont="1" applyBorder="1" applyAlignment="1">
      <alignment horizontal="right"/>
    </xf>
    <xf numFmtId="168" fontId="6" fillId="0" borderId="0" xfId="1" applyNumberFormat="1" applyFont="1"/>
    <xf numFmtId="167" fontId="6" fillId="0" borderId="0" xfId="5" applyFont="1" applyAlignment="1">
      <alignment horizontal="right"/>
    </xf>
    <xf numFmtId="167" fontId="6" fillId="0" borderId="0" xfId="5" applyFont="1" applyFill="1" applyAlignment="1">
      <alignment horizontal="right"/>
    </xf>
    <xf numFmtId="9" fontId="6" fillId="0" borderId="0" xfId="4" applyFont="1" applyAlignment="1">
      <alignment horizontal="right"/>
    </xf>
    <xf numFmtId="166" fontId="6" fillId="0" borderId="0" xfId="4" applyNumberFormat="1" applyFont="1" applyAlignment="1">
      <alignment horizontal="right"/>
    </xf>
    <xf numFmtId="168" fontId="6" fillId="0" borderId="0" xfId="5" applyNumberFormat="1" applyFont="1" applyAlignment="1">
      <alignment horizontal="right"/>
    </xf>
    <xf numFmtId="9" fontId="3" fillId="2" borderId="0" xfId="4" applyFont="1" applyFill="1" applyBorder="1" applyAlignment="1">
      <alignment horizontal="right"/>
    </xf>
    <xf numFmtId="9" fontId="6" fillId="5" borderId="0" xfId="4" applyFont="1" applyFill="1" applyBorder="1" applyAlignment="1">
      <alignment horizontal="right"/>
    </xf>
    <xf numFmtId="9" fontId="3" fillId="0" borderId="0" xfId="4" applyFont="1" applyBorder="1" applyAlignment="1">
      <alignment horizontal="right"/>
    </xf>
    <xf numFmtId="9" fontId="6" fillId="0" borderId="0" xfId="1" applyNumberFormat="1" applyFont="1" applyAlignment="1">
      <alignment horizontal="right"/>
    </xf>
    <xf numFmtId="164" fontId="6" fillId="0" borderId="0" xfId="1" applyFont="1" applyAlignment="1">
      <alignment horizontal="left"/>
    </xf>
    <xf numFmtId="164" fontId="5" fillId="0" borderId="0" xfId="2" quotePrefix="1" applyFont="1" applyAlignment="1" applyProtection="1">
      <alignment horizontal="right"/>
    </xf>
    <xf numFmtId="164" fontId="5" fillId="0" borderId="0" xfId="2" quotePrefix="1" applyFont="1" applyFill="1" applyAlignment="1" applyProtection="1">
      <alignment horizontal="right"/>
    </xf>
    <xf numFmtId="166" fontId="6" fillId="0" borderId="0" xfId="4" applyNumberFormat="1" applyFont="1" applyBorder="1" applyAlignment="1">
      <alignment horizontal="right"/>
    </xf>
    <xf numFmtId="168" fontId="5" fillId="0" borderId="0" xfId="5" quotePrefix="1" applyNumberFormat="1" applyFont="1" applyAlignment="1" applyProtection="1">
      <alignment horizontal="right"/>
    </xf>
    <xf numFmtId="166" fontId="5" fillId="0" borderId="0" xfId="4" quotePrefix="1" applyNumberFormat="1" applyFont="1" applyAlignment="1" applyProtection="1">
      <alignment horizontal="right"/>
    </xf>
    <xf numFmtId="167" fontId="5" fillId="0" borderId="0" xfId="5" quotePrefix="1" applyFont="1" applyAlignment="1" applyProtection="1">
      <alignment horizontal="right"/>
    </xf>
    <xf numFmtId="9" fontId="5" fillId="0" borderId="0" xfId="4" quotePrefix="1" applyFont="1" applyAlignment="1" applyProtection="1">
      <alignment horizontal="right"/>
    </xf>
    <xf numFmtId="168" fontId="6" fillId="5" borderId="0" xfId="5" applyNumberFormat="1" applyFont="1" applyFill="1" applyBorder="1" applyAlignment="1">
      <alignment horizontal="right"/>
    </xf>
    <xf numFmtId="168" fontId="6" fillId="6" borderId="0" xfId="5" applyNumberFormat="1" applyFont="1" applyFill="1" applyBorder="1" applyAlignment="1">
      <alignment horizontal="right"/>
    </xf>
    <xf numFmtId="168" fontId="3" fillId="5" borderId="0" xfId="5" applyNumberFormat="1" applyFont="1" applyFill="1" applyBorder="1" applyAlignment="1">
      <alignment horizontal="right"/>
    </xf>
    <xf numFmtId="9" fontId="6" fillId="0" borderId="0" xfId="3" applyNumberFormat="1" applyFont="1"/>
    <xf numFmtId="168" fontId="6" fillId="0" borderId="0" xfId="5" applyNumberFormat="1" applyFont="1" applyFill="1" applyAlignment="1">
      <alignment horizontal="right"/>
    </xf>
    <xf numFmtId="168" fontId="1" fillId="0" borderId="0" xfId="5" applyNumberFormat="1" applyFont="1"/>
    <xf numFmtId="9" fontId="1" fillId="0" borderId="0" xfId="4" applyFont="1"/>
    <xf numFmtId="9" fontId="1" fillId="0" borderId="0" xfId="4" applyFont="1" applyFill="1"/>
    <xf numFmtId="164" fontId="10" fillId="0" borderId="0" xfId="1" applyFont="1"/>
    <xf numFmtId="165" fontId="10" fillId="0" borderId="0" xfId="1" applyNumberFormat="1" applyFont="1" applyAlignment="1">
      <alignment horizontal="right"/>
    </xf>
    <xf numFmtId="9" fontId="10" fillId="0" borderId="0" xfId="4" applyFont="1" applyAlignment="1">
      <alignment horizontal="right"/>
    </xf>
    <xf numFmtId="168" fontId="10" fillId="0" borderId="0" xfId="5" applyNumberFormat="1" applyFont="1" applyAlignment="1">
      <alignment horizontal="right"/>
    </xf>
    <xf numFmtId="168" fontId="10" fillId="0" borderId="0" xfId="5" applyNumberFormat="1" applyFont="1" applyFill="1" applyAlignment="1">
      <alignment horizontal="right"/>
    </xf>
    <xf numFmtId="164" fontId="10" fillId="0" borderId="0" xfId="3" applyFont="1"/>
    <xf numFmtId="164" fontId="6" fillId="11" borderId="0" xfId="3" applyFont="1" applyFill="1"/>
    <xf numFmtId="168" fontId="3" fillId="0" borderId="1" xfId="5" applyNumberFormat="1" applyFont="1" applyFill="1" applyBorder="1" applyAlignment="1">
      <alignment horizontal="right"/>
    </xf>
    <xf numFmtId="168" fontId="6" fillId="2" borderId="1" xfId="5" applyNumberFormat="1" applyFont="1" applyFill="1" applyBorder="1" applyAlignment="1">
      <alignment horizontal="right"/>
    </xf>
    <xf numFmtId="168" fontId="6" fillId="0" borderId="1" xfId="5" applyNumberFormat="1" applyFont="1" applyBorder="1" applyAlignment="1">
      <alignment horizontal="right"/>
    </xf>
    <xf numFmtId="168" fontId="6" fillId="0" borderId="1" xfId="5" applyNumberFormat="1" applyFont="1" applyFill="1" applyBorder="1" applyAlignment="1">
      <alignment horizontal="right"/>
    </xf>
    <xf numFmtId="166" fontId="6" fillId="0" borderId="0" xfId="5" applyNumberFormat="1" applyFont="1" applyFill="1" applyBorder="1" applyAlignment="1">
      <alignment horizontal="right"/>
    </xf>
    <xf numFmtId="9" fontId="6" fillId="0" borderId="0" xfId="5" applyNumberFormat="1" applyFont="1" applyFill="1" applyBorder="1" applyAlignment="1">
      <alignment horizontal="right"/>
    </xf>
    <xf numFmtId="168" fontId="6" fillId="5" borderId="1" xfId="5" applyNumberFormat="1" applyFont="1" applyFill="1" applyBorder="1" applyAlignment="1">
      <alignment horizontal="right"/>
    </xf>
    <xf numFmtId="164" fontId="3" fillId="0" borderId="1" xfId="3" applyFont="1" applyBorder="1"/>
    <xf numFmtId="168" fontId="6" fillId="0" borderId="1" xfId="1" applyNumberFormat="1" applyFont="1" applyBorder="1"/>
    <xf numFmtId="9" fontId="6" fillId="0" borderId="1" xfId="1" applyNumberFormat="1" applyFont="1" applyBorder="1"/>
    <xf numFmtId="9" fontId="3" fillId="2" borderId="1" xfId="4" applyFont="1" applyFill="1" applyBorder="1" applyAlignment="1">
      <alignment horizontal="right"/>
    </xf>
    <xf numFmtId="9" fontId="6" fillId="0" borderId="1" xfId="4" applyFont="1" applyFill="1" applyBorder="1" applyAlignment="1">
      <alignment horizontal="right"/>
    </xf>
    <xf numFmtId="9" fontId="6" fillId="5" borderId="1" xfId="4" applyFont="1" applyFill="1" applyBorder="1" applyAlignment="1">
      <alignment horizontal="right"/>
    </xf>
    <xf numFmtId="9" fontId="3" fillId="0" borderId="1" xfId="4" applyFont="1" applyFill="1" applyBorder="1" applyAlignment="1">
      <alignment horizontal="right"/>
    </xf>
    <xf numFmtId="9" fontId="6" fillId="0" borderId="1" xfId="1" applyNumberFormat="1" applyFont="1" applyBorder="1" applyAlignment="1">
      <alignment horizontal="right"/>
    </xf>
    <xf numFmtId="164" fontId="6" fillId="0" borderId="1" xfId="1" applyFont="1" applyBorder="1" applyAlignment="1">
      <alignment horizontal="left"/>
    </xf>
    <xf numFmtId="164" fontId="5" fillId="0" borderId="1" xfId="2" quotePrefix="1" applyFont="1" applyBorder="1" applyAlignment="1" applyProtection="1">
      <alignment horizontal="right"/>
    </xf>
    <xf numFmtId="164" fontId="6" fillId="0" borderId="1" xfId="3" applyFont="1" applyBorder="1"/>
    <xf numFmtId="9" fontId="6" fillId="0" borderId="1" xfId="3" applyNumberFormat="1" applyFont="1" applyBorder="1"/>
    <xf numFmtId="168" fontId="1" fillId="0" borderId="1" xfId="5" applyNumberFormat="1" applyFont="1" applyBorder="1"/>
    <xf numFmtId="9" fontId="1" fillId="0" borderId="1" xfId="4" applyFont="1" applyBorder="1"/>
    <xf numFmtId="166" fontId="3" fillId="2" borderId="1" xfId="5" applyNumberFormat="1" applyFont="1" applyFill="1" applyBorder="1" applyAlignment="1">
      <alignment horizontal="right"/>
    </xf>
    <xf numFmtId="166" fontId="3" fillId="0" borderId="1" xfId="5" applyNumberFormat="1" applyFont="1" applyFill="1" applyBorder="1" applyAlignment="1">
      <alignment horizontal="right"/>
    </xf>
    <xf numFmtId="168" fontId="3" fillId="6" borderId="1" xfId="5" applyNumberFormat="1" applyFont="1" applyFill="1" applyBorder="1" applyAlignment="1">
      <alignment horizontal="right"/>
    </xf>
    <xf numFmtId="4" fontId="6" fillId="0" borderId="0" xfId="6" applyNumberFormat="1" applyFont="1" applyFill="1" applyBorder="1" applyAlignment="1">
      <alignment horizontal="right"/>
    </xf>
    <xf numFmtId="164" fontId="9" fillId="4" borderId="1" xfId="1" applyFont="1" applyFill="1" applyBorder="1"/>
    <xf numFmtId="166" fontId="9" fillId="4" borderId="1" xfId="4" applyNumberFormat="1" applyFont="1" applyFill="1" applyBorder="1" applyAlignment="1">
      <alignment horizontal="right"/>
    </xf>
    <xf numFmtId="166" fontId="9" fillId="0" borderId="0" xfId="4" applyNumberFormat="1" applyFont="1" applyFill="1" applyBorder="1" applyAlignment="1">
      <alignment horizontal="right"/>
    </xf>
    <xf numFmtId="166" fontId="9" fillId="5" borderId="1" xfId="4" applyNumberFormat="1" applyFont="1" applyFill="1" applyBorder="1" applyAlignment="1">
      <alignment horizontal="right"/>
    </xf>
    <xf numFmtId="4" fontId="6" fillId="0" borderId="0" xfId="1" applyNumberFormat="1" applyFont="1"/>
    <xf numFmtId="0" fontId="6" fillId="0" borderId="0" xfId="3" applyNumberFormat="1" applyFont="1"/>
    <xf numFmtId="0" fontId="6" fillId="5" borderId="0" xfId="3" applyNumberFormat="1" applyFont="1" applyFill="1"/>
    <xf numFmtId="0" fontId="3" fillId="0" borderId="0" xfId="3" applyNumberFormat="1" applyFont="1"/>
    <xf numFmtId="0" fontId="3" fillId="5" borderId="0" xfId="3" applyNumberFormat="1" applyFont="1" applyFill="1"/>
    <xf numFmtId="0" fontId="6" fillId="2" borderId="1" xfId="5" applyNumberFormat="1" applyFont="1" applyFill="1" applyBorder="1" applyAlignment="1">
      <alignment horizontal="right"/>
    </xf>
  </cellXfs>
  <cellStyles count="8">
    <cellStyle name="Comma 10" xfId="5" xr:uid="{A7A503CE-AA15-46B8-9A9A-AF9DF61AAA33}"/>
    <cellStyle name="Comma 2" xfId="6" xr:uid="{28FD4DB3-93FA-46AF-A472-D82D0D0FD503}"/>
    <cellStyle name="Hyperlink 3" xfId="2" xr:uid="{0293E8C8-B47F-4D4E-8642-B27E4FA6191C}"/>
    <cellStyle name="Normal" xfId="0" builtinId="0"/>
    <cellStyle name="Normal 2 2" xfId="1" xr:uid="{FB893444-8FD5-4AEF-B31A-3C357DE1A439}"/>
    <cellStyle name="Normal 5" xfId="3" xr:uid="{25FC1F89-CDEB-4633-A1E2-C7C2BF361982}"/>
    <cellStyle name="Percent 2 10" xfId="4" xr:uid="{1AEB70FF-FC96-4703-A947-E740F98DB388}"/>
    <cellStyle name="Percent 6" xfId="7" xr:uid="{90F9EA49-9598-4DEF-9F6A-94BA599BA2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bhay\c\USERS\NEELESH\TELECOM\VSNL\VSN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24.31\Public\SUNIL\office_data\Projects\Revenue%20model\FY%2003-04\Business%20Plan\office_data\Projects\Revenue%20model\FY%2003-04\Rev%20model%20main%20-%2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oslnp\Inquire%20Research\ar\fmcg\company%20itc\ITC%20mode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rcdataserver\e%20drive\RESEARCH%20DATA\DATA\RESEARCH\TradeGui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24.31\Public\TEMP\hll%20askrj.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24.31\Public\RESEARCH\PETROCHM\REL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Public\Research\fmcg\company%20hll\hll%20mode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t4\G\FMCG\company%20sb\sb%20askrj.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4.31\Public\SUNIL\office_data\Projects\Revenue%20model\FY%2003-04\Business%20Plan\office_data\Projects\Samho%20Hull%20S-150\Proposal%20Analysi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atisht\d\My%20Documents\sski\general\fmcg%20marke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RESEARCH\PXARSH\BANKS\TPBANK.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RESEARCH\EVERYONE\COMPENDI\QRST\TPBANK.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Library" Target="DDIC.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oslnp\Inquire%20Research\ar\fmcg\company%20colgate\cp%20mode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atisht\D\ar\fmcg\company%20itc\ITC%20mod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92.168.24.31\Public\manishk\karwa\banking\financials\new%20model\utibank.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nand\c\SCI\Latest%20Files_May18\Latest%20Internal\SCI_Char.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manishk\karwa\banking\financials\new%20model\bankofbarod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cmd\mandar\banks\utibank\utibank-financials-t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GROUP\Publications\EDM%20Project\RNetTemplateTools\ResNetUpdate%201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tisht\D\ar\fmcg\company%20hll\hll%20model.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atisht\D\ar\fmcg\company%20britannia\brit%20mode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2.168.24.31\Public\sat\UTI\fmcg\company%20itc\industry%20data.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H:\Equity\Building%20Materials\Plastic%20Pipes\Plastic%20Pipes.xlsx" TargetMode="External"/><Relationship Id="rId1" Type="http://schemas.openxmlformats.org/officeDocument/2006/relationships/externalLinkPath" Target="file:///H:\Equity\Building%20Materials\Plastic%20Pipes\Plastic%20Pi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 val="Financials"/>
      <sheetName val="Template"/>
      <sheetName val="Operating Statistics"/>
      <sheetName val="Qtrly-Format"/>
      <sheetName val="Sheet2"/>
      <sheetName val="Old"/>
      <sheetName val="Introduction"/>
      <sheetName val="Sheet3"/>
      <sheetName val="#REF"/>
      <sheetName val="E"/>
      <sheetName val="pl"/>
      <sheetName val="Inc-Yr Summary"/>
      <sheetName val="Balance"/>
      <sheetName val="VSNL"/>
      <sheetName val="Bajaj Allianz"/>
      <sheetName val="bus_val (2)"/>
      <sheetName val="Target_price"/>
      <sheetName val="UploadCheck"/>
      <sheetName val="EVA"/>
      <sheetName val="Stress"/>
      <sheetName val="AML_keyfin"/>
      <sheetName val="Key Fin"/>
      <sheetName val="Key earnings drivers"/>
      <sheetName val="bs_model"/>
      <sheetName val="qtr-charts"/>
      <sheetName val="DCF"/>
      <sheetName val="revenue"/>
      <sheetName val="RSA"/>
      <sheetName val="trans&amp; network_cost"/>
      <sheetName val="earn_model"/>
      <sheetName val="Database"/>
      <sheetName val="Quarterly"/>
      <sheetName val="Std "/>
      <sheetName val="roce_anal"/>
      <sheetName val="bus_val"/>
      <sheetName val="other_bus_val"/>
      <sheetName val="Assumptions"/>
      <sheetName val="intelsat"/>
      <sheetName val="fundsflo"/>
      <sheetName val="traffic"/>
      <sheetName val="Tax Cover"/>
      <sheetName val="mainsheet"/>
      <sheetName val="Cap_hist"/>
      <sheetName val="Sheet1"/>
      <sheetName val="Module1"/>
      <sheetName val="Teleglobe_PL"/>
      <sheetName val="Teleglobe_BS"/>
      <sheetName val="Teleglobe_Qtr"/>
      <sheetName val="Teleglobe_FY04"/>
      <sheetName val="Con P&amp;L"/>
      <sheetName val="segmental"/>
      <sheetName val="GEMiUploadCheck"/>
      <sheetName val="guide"/>
      <sheetName val="Quarter"/>
      <sheetName val="Stress Test"/>
      <sheetName val="Info"/>
      <sheetName val="Annual"/>
      <sheetName val="Valuation"/>
      <sheetName val="Outputs"/>
      <sheetName val="UPLOADREPORT"/>
      <sheetName val="Hidden"/>
      <sheetName val="CAPI_01-02"/>
      <sheetName val="madhu"/>
      <sheetName val="Cash Flow Working"/>
      <sheetName val="BBH"/>
      <sheetName val="raw"/>
      <sheetName val="FitOutConfCentre"/>
      <sheetName val="매크로"/>
      <sheetName val="sdrs_mar"/>
      <sheetName val="Design"/>
      <sheetName val="SHIVAJI"/>
      <sheetName val="Table 5"/>
      <sheetName val="Check_Sums"/>
      <sheetName val="Please_complete"/>
      <sheetName val="Page_One"/>
      <sheetName val="PER_rel"/>
      <sheetName val="Rev_Anal"/>
      <sheetName val="Int,_Depr,Tax"/>
      <sheetName val="Ratings_&amp;_Forecast"/>
      <sheetName val="HY_Results"/>
      <sheetName val="LABOUR"/>
      <sheetName val="BS, PL, Sch 5 to 9"/>
      <sheetName val="Check_Sums1"/>
      <sheetName val="Please_complete1"/>
      <sheetName val="Page_One1"/>
      <sheetName val="PER_rel1"/>
      <sheetName val="Rev_Anal1"/>
      <sheetName val="Int,_Depr,Tax1"/>
      <sheetName val="Ratings_&amp;_Forecast1"/>
      <sheetName val="HY_Results1"/>
      <sheetName val="Operating_Statistics"/>
      <sheetName val="Table_5"/>
      <sheetName val="Cash_Flow_Working"/>
      <sheetName val="All-in-ONE"/>
      <sheetName val="ABN AMRO"/>
      <sheetName val="Alchemy"/>
      <sheetName val="B&amp;K"/>
      <sheetName val="Citi"/>
      <sheetName val="CLSA"/>
      <sheetName val="Credit Suisse"/>
      <sheetName val="DB"/>
      <sheetName val="Edelweiss"/>
      <sheetName val="ENAM"/>
      <sheetName val="HSBC"/>
      <sheetName val="India Infoline"/>
      <sheetName val="J P Morgan"/>
      <sheetName val="Kotak"/>
      <sheetName val="Lehman"/>
      <sheetName val="Macquarie"/>
      <sheetName val="Merrill Lynch"/>
      <sheetName val="Morgan Stanley"/>
      <sheetName val="Motilal Oswal"/>
      <sheetName val="Spark Capital"/>
      <sheetName val="SSKI"/>
      <sheetName val="UBS"/>
      <sheetName val="cht 20 a trend in investments"/>
      <sheetName val="NOPAT_VDF"/>
      <sheetName val="Invested capital_VDF"/>
      <sheetName val="Input"/>
      <sheetName val="Ann-1"/>
      <sheetName val="MASTER DATA"/>
      <sheetName val="個人資料"/>
      <sheetName val="Ratio"/>
      <sheetName val="S &amp; A"/>
      <sheetName val="CASHFLOWS"/>
      <sheetName val="Deferred Tax"/>
      <sheetName val="office"/>
      <sheetName val="Lab"/>
      <sheetName val="Material&amp;equipment"/>
      <sheetName val="Check_Sums2"/>
      <sheetName val="Please_complete2"/>
      <sheetName val="Page_One2"/>
      <sheetName val="PER_rel2"/>
      <sheetName val="Rev_Anal2"/>
      <sheetName val="Int,_Depr,Tax2"/>
      <sheetName val="Ratings_&amp;_Forecast2"/>
      <sheetName val="HY_Results2"/>
      <sheetName val="Operating_Statistics1"/>
      <sheetName val="Table_51"/>
      <sheetName val="Cash_Flow_Working1"/>
      <sheetName val="BS,_PL,_Sch_5_to_9"/>
      <sheetName val="DGP-2002"/>
      <sheetName val="VCH-SLC"/>
      <sheetName val="Supplier"/>
      <sheetName val="India F&amp;S Template"/>
      <sheetName val="Sum"/>
      <sheetName val="Code"/>
      <sheetName val="pricing"/>
      <sheetName val="sof"/>
      <sheetName val="S_&amp;_A"/>
      <sheetName val="Deferred_Tax"/>
      <sheetName val="YEAR"/>
      <sheetName val="BillofMaterials"/>
      <sheetName val="Anx-IV"/>
      <sheetName val="EcoGraph"/>
      <sheetName val="Statement of Profit and Loss"/>
      <sheetName val="cash budget"/>
      <sheetName val="Back-up"/>
      <sheetName val="COMICRO"/>
      <sheetName val="Balance sheet"/>
      <sheetName val="Sch 1,2,3"/>
      <sheetName val="Sch 14,15,16"/>
      <sheetName val="profit &amp; loss account"/>
      <sheetName val="beam-reinft-machine rm"/>
      <sheetName val="Cus Count Backup"/>
      <sheetName val="cdr-Q1"/>
      <sheetName val="BS01"/>
      <sheetName val="Check_Sums3"/>
      <sheetName val="Please_complete3"/>
      <sheetName val="Page_One3"/>
      <sheetName val="PER_rel3"/>
      <sheetName val="Rev_Anal3"/>
      <sheetName val="Int,_Depr,Tax3"/>
      <sheetName val="Ratings_&amp;_Forecast3"/>
      <sheetName val="HY_Results3"/>
      <sheetName val="Operating_Statistics2"/>
      <sheetName val="Table_52"/>
      <sheetName val="Cash_Flow_Working2"/>
      <sheetName val="BS,_PL,_Sch_5_to_91"/>
      <sheetName val="MASTER_DATA"/>
      <sheetName val="S_&amp;_A1"/>
      <sheetName val="Deferred_Tax1"/>
      <sheetName val="India_F&amp;S_Template"/>
      <sheetName val="SR"/>
      <sheetName val="ADDITION-FA"/>
      <sheetName val="CMA"/>
      <sheetName val="Quantity"/>
      <sheetName val="GROUP"/>
      <sheetName val="LEGAL GUJ"/>
      <sheetName val="MAN SHIFT PER TRACTOR"/>
      <sheetName val="MISC"/>
      <sheetName val="TEP "/>
      <sheetName val="Sacrifice backup"/>
      <sheetName val="Debt 31.03.10"/>
      <sheetName val="Debt profile"/>
      <sheetName val="chart"/>
      <sheetName val="wsts1292"/>
      <sheetName val="FY 11 Annual Report Analysis"/>
      <sheetName val="Income-Segment"/>
      <sheetName val="FS1"/>
      <sheetName val="FS2"/>
      <sheetName val="eva summary"/>
      <sheetName val="Financials "/>
      <sheetName val="opstats"/>
      <sheetName val="Inc-Yr_Summary"/>
      <sheetName val="Bajaj_Allianz"/>
      <sheetName val="Check_Sums4"/>
      <sheetName val="Please_complete4"/>
      <sheetName val="Page_One4"/>
      <sheetName val="PER_rel4"/>
      <sheetName val="Rev_Anal4"/>
      <sheetName val="Int,_Depr,Tax4"/>
      <sheetName val="Ratings_&amp;_Forecast4"/>
      <sheetName val="HY_Results4"/>
      <sheetName val="Operating_Statistics3"/>
      <sheetName val="Table_53"/>
      <sheetName val="Cash_Flow_Working3"/>
      <sheetName val="BS,_PL,_Sch_5_to_92"/>
      <sheetName val="S_&amp;_A2"/>
      <sheetName val="Deferred_Tax2"/>
      <sheetName val="MASTER_DATA1"/>
      <sheetName val="India_F&amp;S_Template1"/>
      <sheetName val="Statement_of_Profit_and_Loss"/>
      <sheetName val="cash_budget"/>
      <sheetName val="beam-reinft-machine_rm"/>
      <sheetName val="Cus_Count_Backup"/>
      <sheetName val="Balance_sheet"/>
      <sheetName val="Sch_1,2,3"/>
      <sheetName val="Sch_14,15,16"/>
      <sheetName val="profit_&amp;_loss_account"/>
      <sheetName val="jan'04"/>
      <sheetName val="Classification"/>
      <sheetName val="Balance Sheet_US$"/>
      <sheetName val="BS "/>
      <sheetName val="MN T.B."/>
      <sheetName val="pcQueryData"/>
      <sheetName val="TTL"/>
      <sheetName val="AA- SR"/>
      <sheetName val="petroleum"/>
      <sheetName val="TRIAL BALANCE"/>
      <sheetName val="summary"/>
      <sheetName val="BHANDUP"/>
      <sheetName val="pc"/>
      <sheetName val="finstats"/>
      <sheetName val="inventories"/>
      <sheetName val="MARCH04"/>
      <sheetName val="test"/>
      <sheetName val="Len_depr"/>
      <sheetName val="PROJV"/>
      <sheetName val="Title Page"/>
      <sheetName val="INCOME"/>
      <sheetName val="Output"/>
      <sheetName val="DSCR-IRR"/>
      <sheetName val="Fundflow"/>
      <sheetName val="PCost"/>
      <sheetName val="sheet6"/>
      <sheetName val="Inputs"/>
      <sheetName val="Share price performance"/>
      <sheetName val="Fixed Assets-Last year"/>
      <sheetName val="BS Schdl- 1 &amp; 2"/>
      <sheetName val="Annual Temp"/>
      <sheetName val="JE10310X"/>
      <sheetName val="EXPENSES"/>
      <sheetName val="Check_Sums5"/>
      <sheetName val="Please_complete5"/>
      <sheetName val="Page_One5"/>
      <sheetName val="PER_rel5"/>
      <sheetName val="Rev_Anal5"/>
      <sheetName val="Int,_Depr,Tax5"/>
      <sheetName val="Ratings_&amp;_Forecast5"/>
      <sheetName val="HY_Results5"/>
      <sheetName val="Operating_Statistics4"/>
      <sheetName val="Table_54"/>
      <sheetName val="Cash_Flow_Working4"/>
      <sheetName val="BS,_PL,_Sch_5_to_93"/>
      <sheetName val="MASTER_DATA2"/>
      <sheetName val="S_&amp;_A3"/>
      <sheetName val="Deferred_Tax3"/>
      <sheetName val="India_F&amp;S_Template2"/>
      <sheetName val="Statement_of_Profit_and_Loss1"/>
      <sheetName val="cash_budget1"/>
      <sheetName val="beam-reinft-machine_rm1"/>
      <sheetName val="Cus_Count_Backup1"/>
      <sheetName val="Balance_sheet1"/>
      <sheetName val="Sch_1,2,31"/>
      <sheetName val="Sch_14,15,161"/>
      <sheetName val="profit_&amp;_loss_account1"/>
      <sheetName val="Balance_Sheet_US$"/>
      <sheetName val="BS_"/>
      <sheetName val="MN_T_B_"/>
      <sheetName val="Annexure 1"/>
      <sheetName val="IT_DDTP"/>
      <sheetName val="SI"/>
      <sheetName val="Calculator"/>
      <sheetName val="GENERAL"/>
      <sheetName val="10A"/>
      <sheetName val="CG_OS"/>
      <sheetName val="CFL"/>
      <sheetName val="CYLA BFLA"/>
      <sheetName val="DDT_TDS_TCS"/>
      <sheetName val="HOUSE_PROPERTY"/>
      <sheetName val="NATUREOFBUSINESS"/>
      <sheetName val="OTHER_INFORMATION"/>
      <sheetName val="GENERAL2"/>
      <sheetName val="SUBSIDIARY DETAILS"/>
      <sheetName val="80G"/>
      <sheetName val="QUANTITATIVE_DETAILS"/>
      <sheetName val="DEP_DCG"/>
      <sheetName val="DPM_DOA"/>
      <sheetName val="80_"/>
      <sheetName val="PART_C"/>
      <sheetName val="PROFIT_LOSS"/>
      <sheetName val="PART_B"/>
      <sheetName val="Financials(O)"/>
      <sheetName val="Cost Of Sales"/>
      <sheetName val="Company Report"/>
      <sheetName val="pacific forms"/>
      <sheetName val="pactbformat"/>
      <sheetName val="costing"/>
      <sheetName val="M-Book for Conc"/>
      <sheetName val="M-Book for FW"/>
      <sheetName val="SP Break Up"/>
      <sheetName val="Estimates"/>
      <sheetName val="rec 1996"/>
      <sheetName val="Sales &amp; Prod"/>
      <sheetName val="Inc-Yr_Summary1"/>
      <sheetName val="Bajaj_Allianz1"/>
      <sheetName val="Balance_Sheet_US$1"/>
      <sheetName val="BS_1"/>
      <sheetName val="MN_T_B_1"/>
      <sheetName val="Title_Page"/>
      <sheetName val="Share_price_performance"/>
      <sheetName val="AA-_SR"/>
      <sheetName val="LEGAL_GUJ"/>
      <sheetName val="MAN_SHIFT_PER_TRACTOR"/>
      <sheetName val="TRIAL_BALANCE"/>
      <sheetName val="TEP_"/>
      <sheetName val="Sacrifice_backup"/>
      <sheetName val="Debt_31_03_10"/>
      <sheetName val="Debt_profile"/>
      <sheetName val="Fixed_Assets-Last_year"/>
      <sheetName val="BS_Schdl-_1_&amp;_2"/>
      <sheetName val="B_Sheet"/>
      <sheetName val="PriceSummary"/>
      <sheetName val="Wag&amp;Sal"/>
      <sheetName val="Sheet3 (2)"/>
      <sheetName val="XWR"/>
      <sheetName val="OTR POWER"/>
      <sheetName val="BUDGET"/>
      <sheetName val="P&amp;L 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1">
          <cell r="A1" t="str">
            <v>Company : Videsh Sanchar Nigam Ltd.</v>
          </cell>
        </row>
      </sheetData>
      <sheetData sheetId="47">
        <row r="1">
          <cell r="A1" t="str">
            <v>Company : Videsh Sanchar Nigam Ltd.</v>
          </cell>
        </row>
      </sheetData>
      <sheetData sheetId="48">
        <row r="1">
          <cell r="A1" t="str">
            <v>Company : Videsh Sanchar Nigam Ltd.</v>
          </cell>
        </row>
      </sheetData>
      <sheetData sheetId="49" refreshError="1"/>
      <sheetData sheetId="50">
        <row r="1">
          <cell r="A1" t="str">
            <v>Company : Videsh Sanchar Nigam Ltd.</v>
          </cell>
        </row>
      </sheetData>
      <sheetData sheetId="51">
        <row r="1">
          <cell r="A1" t="str">
            <v>Company : Videsh Sanchar Nigam Ltd.</v>
          </cell>
        </row>
      </sheetData>
      <sheetData sheetId="52">
        <row r="1">
          <cell r="A1" t="str">
            <v>Company : Videsh Sanchar Nigam Ltd.</v>
          </cell>
        </row>
      </sheetData>
      <sheetData sheetId="53">
        <row r="1">
          <cell r="A1" t="str">
            <v>Company : Videsh Sanchar Nigam Ltd.</v>
          </cell>
        </row>
      </sheetData>
      <sheetData sheetId="54">
        <row r="1">
          <cell r="A1" t="str">
            <v>Company : Videsh Sanchar Nigam Ltd.</v>
          </cell>
        </row>
      </sheetData>
      <sheetData sheetId="55">
        <row r="1">
          <cell r="A1" t="str">
            <v>Company : Videsh Sanchar Nigam Ltd.</v>
          </cell>
        </row>
      </sheetData>
      <sheetData sheetId="56">
        <row r="1">
          <cell r="A1" t="str">
            <v>Company : Videsh Sanchar Nigam Ltd.</v>
          </cell>
        </row>
      </sheetData>
      <sheetData sheetId="57">
        <row r="1">
          <cell r="A1" t="str">
            <v>Company : Videsh Sanchar Nigam Ltd.</v>
          </cell>
        </row>
      </sheetData>
      <sheetData sheetId="58">
        <row r="1">
          <cell r="A1" t="str">
            <v>Company : Videsh Sanchar Nigam Ltd.</v>
          </cell>
        </row>
      </sheetData>
      <sheetData sheetId="59">
        <row r="1">
          <cell r="A1" t="str">
            <v>Company : Videsh Sanchar Nigam Ltd.</v>
          </cell>
        </row>
      </sheetData>
      <sheetData sheetId="60">
        <row r="1">
          <cell r="A1" t="str">
            <v>Company : Videsh Sanchar Nigam Ltd.</v>
          </cell>
        </row>
      </sheetData>
      <sheetData sheetId="61">
        <row r="1">
          <cell r="A1" t="str">
            <v>Company : Videsh Sanchar Nigam Ltd.</v>
          </cell>
        </row>
      </sheetData>
      <sheetData sheetId="62">
        <row r="1">
          <cell r="A1" t="str">
            <v>Company : Videsh Sanchar Nigam Ltd.</v>
          </cell>
        </row>
      </sheetData>
      <sheetData sheetId="63">
        <row r="1">
          <cell r="A1" t="str">
            <v>Company : Videsh Sanchar Nigam Ltd.</v>
          </cell>
        </row>
      </sheetData>
      <sheetData sheetId="64">
        <row r="1">
          <cell r="A1" t="str">
            <v>Company : Videsh Sanchar Nigam Ltd.</v>
          </cell>
        </row>
      </sheetData>
      <sheetData sheetId="65">
        <row r="1">
          <cell r="A1" t="str">
            <v>Company : Videsh Sanchar Nigam Ltd.</v>
          </cell>
        </row>
      </sheetData>
      <sheetData sheetId="66">
        <row r="1">
          <cell r="A1" t="str">
            <v>Company : Videsh Sanchar Nigam Ltd.</v>
          </cell>
        </row>
      </sheetData>
      <sheetData sheetId="67">
        <row r="1">
          <cell r="A1" t="str">
            <v>Company : Videsh Sanchar Nigam Ltd.</v>
          </cell>
        </row>
      </sheetData>
      <sheetData sheetId="68">
        <row r="1">
          <cell r="A1" t="str">
            <v>Company : Videsh Sanchar Nigam Ltd.</v>
          </cell>
        </row>
      </sheetData>
      <sheetData sheetId="69">
        <row r="1">
          <cell r="A1" t="str">
            <v>Company : Videsh Sanchar Nigam Ltd.</v>
          </cell>
        </row>
      </sheetData>
      <sheetData sheetId="70">
        <row r="1">
          <cell r="A1" t="str">
            <v>Company : Videsh Sanchar Nigam Ltd.</v>
          </cell>
        </row>
      </sheetData>
      <sheetData sheetId="71">
        <row r="1">
          <cell r="A1" t="str">
            <v>Company : Videsh Sanchar Nigam Ltd.</v>
          </cell>
        </row>
      </sheetData>
      <sheetData sheetId="72">
        <row r="1">
          <cell r="A1" t="str">
            <v>Company : Videsh Sanchar Nigam Ltd.</v>
          </cell>
        </row>
      </sheetData>
      <sheetData sheetId="73">
        <row r="1">
          <cell r="A1" t="str">
            <v>Company : Videsh Sanchar Nigam Ltd.</v>
          </cell>
        </row>
      </sheetData>
      <sheetData sheetId="74">
        <row r="1">
          <cell r="A1" t="str">
            <v>Company : Videsh Sanchar Nigam Ltd.</v>
          </cell>
        </row>
      </sheetData>
      <sheetData sheetId="75" refreshError="1"/>
      <sheetData sheetId="76">
        <row r="1">
          <cell r="A1" t="str">
            <v>Company : Videsh Sanchar Nigam Ltd.</v>
          </cell>
        </row>
      </sheetData>
      <sheetData sheetId="77">
        <row r="1">
          <cell r="A1" t="str">
            <v>Company : Videsh Sanchar Nigam Ltd.</v>
          </cell>
        </row>
      </sheetData>
      <sheetData sheetId="78">
        <row r="1">
          <cell r="A1" t="str">
            <v>Company : Videsh Sanchar Nigam Ltd.</v>
          </cell>
        </row>
      </sheetData>
      <sheetData sheetId="79">
        <row r="1">
          <cell r="A1" t="str">
            <v>Company : Videsh Sanchar Nigam Ltd.</v>
          </cell>
        </row>
      </sheetData>
      <sheetData sheetId="80">
        <row r="1">
          <cell r="A1" t="str">
            <v>Company : Videsh Sanchar Nigam Ltd.</v>
          </cell>
        </row>
      </sheetData>
      <sheetData sheetId="81">
        <row r="1">
          <cell r="A1" t="str">
            <v>Company : Videsh Sanchar Nigam Ltd.</v>
          </cell>
        </row>
      </sheetData>
      <sheetData sheetId="82" refreshError="1"/>
      <sheetData sheetId="83" refreshError="1"/>
      <sheetData sheetId="84" refreshError="1"/>
      <sheetData sheetId="85" refreshError="1"/>
      <sheetData sheetId="86">
        <row r="1">
          <cell r="A1" t="str">
            <v>Company : Videsh Sanchar Nigam Ltd.</v>
          </cell>
        </row>
      </sheetData>
      <sheetData sheetId="87">
        <row r="1">
          <cell r="A1" t="str">
            <v>Company : Videsh Sanchar Nigam Ltd.</v>
          </cell>
        </row>
      </sheetData>
      <sheetData sheetId="88">
        <row r="1">
          <cell r="A1" t="str">
            <v>Company : Videsh Sanchar Nigam Ltd.</v>
          </cell>
        </row>
      </sheetData>
      <sheetData sheetId="89">
        <row r="1">
          <cell r="A1" t="str">
            <v>Company : Videsh Sanchar Nigam Ltd.</v>
          </cell>
        </row>
      </sheetData>
      <sheetData sheetId="90">
        <row r="1">
          <cell r="A1" t="str">
            <v>Company : Videsh Sanchar Nigam Ltd.</v>
          </cell>
        </row>
      </sheetData>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 val="Sheet1"/>
      <sheetName val="Financials"/>
      <sheetName val="Qtrly-Format"/>
      <sheetName val="charts (2)"/>
      <sheetName val="Sheet3 (2)"/>
      <sheetName val="Input"/>
      <sheetName val="Debt"/>
      <sheetName val="Profile"/>
      <sheetName val="Charts"/>
      <sheetName val="test"/>
      <sheetName val="GRM-Mumbai"/>
      <sheetName val="Internet"/>
      <sheetName val="Uploader"/>
      <sheetName val="Qtr"/>
      <sheetName val="mna"/>
      <sheetName val="Old"/>
      <sheetName val="Black-Scholes"/>
      <sheetName val="dcf"/>
      <sheetName val="Operating Statistics"/>
      <sheetName val="Earnings model"/>
      <sheetName val="RMF Annual"/>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 val="Backpage"/>
      <sheetName val="Earning_Assum"/>
      <sheetName val="Sheet3"/>
      <sheetName val="Sheet5"/>
      <sheetName val="Sheet2"/>
      <sheetName val="bp"/>
      <sheetName val="acctmod"/>
      <sheetName val="quant"/>
      <sheetName val="Mar97"/>
      <sheetName val="Schedules"/>
      <sheetName val="Main Sheet"/>
      <sheetName val="Assumptions"/>
      <sheetName val="shareholding"/>
      <sheetName val="res_2002"/>
      <sheetName val="seg_model"/>
      <sheetName val="Inc_Mod_cigs"/>
      <sheetName val="Inc_model_hot"/>
      <sheetName val="tobacco_DCF"/>
      <sheetName val="res_01"/>
      <sheetName val="res_98"/>
      <sheetName val="res_99"/>
      <sheetName val="res_00"/>
      <sheetName val="share_holding"/>
      <sheetName val="excise_case"/>
      <sheetName val="Lux_tax_effect"/>
      <sheetName val="Template"/>
      <sheetName val="ITC model"/>
      <sheetName val="Master"/>
      <sheetName val="Inc-Yr Summary"/>
      <sheetName val="res_20021"/>
      <sheetName val="Lux_tax_effect1"/>
      <sheetName val="seg_model1"/>
      <sheetName val="Inc_Mod_cigs1"/>
      <sheetName val="Inc_model_hot1"/>
      <sheetName val="tobacco_DCF1"/>
      <sheetName val="res_011"/>
      <sheetName val="res_981"/>
      <sheetName val="res_991"/>
      <sheetName val="res_001"/>
      <sheetName val="share_holding1"/>
      <sheetName val="excise_case1"/>
      <sheetName val="Main_Sheet"/>
      <sheetName val="ITC_model"/>
      <sheetName val="Inc-Yr_Summary"/>
      <sheetName val="res_20022"/>
      <sheetName val="Lux_tax_effect2"/>
      <sheetName val="seg_model2"/>
      <sheetName val="Inc_Mod_cigs2"/>
      <sheetName val="Inc_model_hot2"/>
      <sheetName val="tobacco_DCF2"/>
      <sheetName val="res_012"/>
      <sheetName val="res_982"/>
      <sheetName val="res_992"/>
      <sheetName val="res_002"/>
      <sheetName val="share_holding2"/>
      <sheetName val="excise_case2"/>
      <sheetName val="Main_Sheet1"/>
      <sheetName val="ITC_model1"/>
      <sheetName val="Inc-Yr_Summary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
          <cell r="J5">
            <v>0.8</v>
          </cell>
        </row>
        <row r="10">
          <cell r="A10" t="str">
            <v>All figures in Rs million</v>
          </cell>
        </row>
        <row r="11">
          <cell r="A11" t="str">
            <v>STANDALONE</v>
          </cell>
          <cell r="B11">
            <v>0</v>
          </cell>
          <cell r="C11" t="str">
            <v>Enter values as</v>
          </cell>
          <cell r="D11">
            <v>1995</v>
          </cell>
          <cell r="E11">
            <v>1996</v>
          </cell>
          <cell r="F11">
            <v>1997</v>
          </cell>
          <cell r="G11">
            <v>1998</v>
          </cell>
          <cell r="H11">
            <v>1999</v>
          </cell>
          <cell r="I11">
            <v>2000</v>
          </cell>
          <cell r="J11">
            <v>2001</v>
          </cell>
        </row>
        <row r="12">
          <cell r="A12" t="str">
            <v>INCOME STATEMENT</v>
          </cell>
          <cell r="B12">
            <v>0</v>
          </cell>
          <cell r="C12">
            <v>0</v>
          </cell>
          <cell r="D12">
            <v>34789</v>
          </cell>
          <cell r="E12">
            <v>35155</v>
          </cell>
          <cell r="F12">
            <v>35520</v>
          </cell>
          <cell r="G12">
            <v>35885</v>
          </cell>
          <cell r="H12">
            <v>36250</v>
          </cell>
          <cell r="I12">
            <v>36616</v>
          </cell>
          <cell r="J12">
            <v>36981</v>
          </cell>
        </row>
        <row r="13">
          <cell r="B13" t="str">
            <v>Gross Sales or Revenues</v>
          </cell>
          <cell r="C13" t="str">
            <v>positive</v>
          </cell>
          <cell r="D13">
            <v>45534.100000000006</v>
          </cell>
          <cell r="E13">
            <v>51153.5</v>
          </cell>
          <cell r="F13">
            <v>58627.69999999999</v>
          </cell>
          <cell r="G13">
            <v>68341.600000000006</v>
          </cell>
          <cell r="H13">
            <v>75791.700000000012</v>
          </cell>
          <cell r="I13">
            <v>79530.599999999977</v>
          </cell>
          <cell r="J13">
            <v>86098.323624956596</v>
          </cell>
        </row>
        <row r="14">
          <cell r="B14" t="str">
            <v>Excise Duties &amp; Taxes</v>
          </cell>
          <cell r="C14" t="str">
            <v>negative</v>
          </cell>
          <cell r="D14">
            <v>-21838.899999999998</v>
          </cell>
          <cell r="E14">
            <v>-26041.200000000001</v>
          </cell>
          <cell r="F14">
            <v>-30613</v>
          </cell>
          <cell r="G14">
            <v>-37714.1</v>
          </cell>
          <cell r="H14">
            <v>-40725.800000000003</v>
          </cell>
          <cell r="I14">
            <v>-41454.400000000001</v>
          </cell>
          <cell r="J14">
            <v>-44873</v>
          </cell>
        </row>
        <row r="15">
          <cell r="B15" t="str">
            <v>Net Sales or Revenues</v>
          </cell>
          <cell r="C15">
            <v>0</v>
          </cell>
          <cell r="D15">
            <v>23695.200000000008</v>
          </cell>
          <cell r="E15">
            <v>25112.3</v>
          </cell>
          <cell r="F15">
            <v>28014.69999999999</v>
          </cell>
          <cell r="G15">
            <v>30627.500000000007</v>
          </cell>
          <cell r="H15">
            <v>35065.900000000009</v>
          </cell>
          <cell r="I15">
            <v>38076.199999999975</v>
          </cell>
          <cell r="J15">
            <v>41225.323624956596</v>
          </cell>
        </row>
        <row r="16">
          <cell r="B16" t="str">
            <v>Raw Materials</v>
          </cell>
          <cell r="C16" t="str">
            <v>negative</v>
          </cell>
          <cell r="D16">
            <v>-14129.2</v>
          </cell>
          <cell r="E16">
            <v>-12881.400000000001</v>
          </cell>
          <cell r="F16">
            <v>-12786.2</v>
          </cell>
          <cell r="G16">
            <v>-14084.4</v>
          </cell>
          <cell r="H16">
            <v>-15468.799999999997</v>
          </cell>
          <cell r="I16">
            <v>-15159.500000000002</v>
          </cell>
          <cell r="J16">
            <v>-15128</v>
          </cell>
        </row>
        <row r="17">
          <cell r="B17" t="str">
            <v>Change in Stocks</v>
          </cell>
          <cell r="C17" t="str">
            <v>negative</v>
          </cell>
          <cell r="D17">
            <v>141.5</v>
          </cell>
          <cell r="E17">
            <v>545.10000000000014</v>
          </cell>
          <cell r="F17">
            <v>-446.5</v>
          </cell>
          <cell r="G17">
            <v>905.09999999999991</v>
          </cell>
          <cell r="H17">
            <v>-20.099999999999817</v>
          </cell>
          <cell r="I17">
            <v>-72.200000000000045</v>
          </cell>
          <cell r="J17">
            <v>203.69999999999982</v>
          </cell>
        </row>
        <row r="18">
          <cell r="B18" t="str">
            <v>Power &amp; Fuel</v>
          </cell>
          <cell r="C18" t="str">
            <v>negative</v>
          </cell>
          <cell r="D18">
            <v>-320.2</v>
          </cell>
          <cell r="E18">
            <v>-345.9</v>
          </cell>
          <cell r="F18">
            <v>-443.3</v>
          </cell>
          <cell r="G18">
            <v>-496.4</v>
          </cell>
          <cell r="H18">
            <v>-533</v>
          </cell>
          <cell r="I18">
            <v>-624.29999999999995</v>
          </cell>
          <cell r="J18">
            <v>-742</v>
          </cell>
        </row>
        <row r="19">
          <cell r="B19" t="str">
            <v>Manufacturing Expenses</v>
          </cell>
          <cell r="C19" t="str">
            <v>negative</v>
          </cell>
          <cell r="D19">
            <v>-828.49999999999989</v>
          </cell>
          <cell r="E19">
            <v>-920.69999999999993</v>
          </cell>
          <cell r="F19">
            <v>-1082</v>
          </cell>
          <cell r="G19">
            <v>-1098.8</v>
          </cell>
          <cell r="H19">
            <v>-1124.8000000000002</v>
          </cell>
          <cell r="I19">
            <v>-1266.1000000000001</v>
          </cell>
          <cell r="J19">
            <v>-1334</v>
          </cell>
        </row>
        <row r="20">
          <cell r="B20" t="str">
            <v>Manpower expenses</v>
          </cell>
          <cell r="C20" t="str">
            <v>negative</v>
          </cell>
          <cell r="D20">
            <v>-1286.5</v>
          </cell>
          <cell r="E20">
            <v>-1500.1999999999998</v>
          </cell>
          <cell r="F20">
            <v>-1733.1</v>
          </cell>
          <cell r="G20">
            <v>-2061.3000000000002</v>
          </cell>
          <cell r="H20">
            <v>-2030.6000000000001</v>
          </cell>
          <cell r="I20">
            <v>-2502.5</v>
          </cell>
          <cell r="J20">
            <v>-2746</v>
          </cell>
        </row>
        <row r="21">
          <cell r="B21" t="str">
            <v>Other Operating Expenses</v>
          </cell>
          <cell r="C21" t="str">
            <v>negative</v>
          </cell>
        </row>
        <row r="22">
          <cell r="B22" t="str">
            <v>Cost of Goods Sold</v>
          </cell>
          <cell r="C22">
            <v>0</v>
          </cell>
          <cell r="D22">
            <v>-16422.900000000001</v>
          </cell>
          <cell r="E22">
            <v>-15103.100000000002</v>
          </cell>
          <cell r="F22">
            <v>-16491.099999999999</v>
          </cell>
          <cell r="G22">
            <v>-16835.8</v>
          </cell>
          <cell r="H22">
            <v>-19177.299999999996</v>
          </cell>
          <cell r="I22">
            <v>-19624.600000000002</v>
          </cell>
          <cell r="J22">
            <v>-19746.3</v>
          </cell>
        </row>
        <row r="23">
          <cell r="B23" t="str">
            <v>Selling, General &amp; Administrative Expenses</v>
          </cell>
          <cell r="C23" t="str">
            <v>negative</v>
          </cell>
          <cell r="D23">
            <v>-2427.4999999999995</v>
          </cell>
          <cell r="E23">
            <v>-3001.2</v>
          </cell>
          <cell r="F23">
            <v>-3018.1000000000004</v>
          </cell>
          <cell r="G23">
            <v>-2696.7</v>
          </cell>
          <cell r="H23">
            <v>-2811.8</v>
          </cell>
          <cell r="I23">
            <v>-3060.3</v>
          </cell>
          <cell r="J23">
            <v>-3388.3</v>
          </cell>
        </row>
        <row r="24">
          <cell r="B24" t="str">
            <v>Advertising expenses</v>
          </cell>
          <cell r="C24" t="str">
            <v>negative</v>
          </cell>
          <cell r="D24">
            <v>-1076.7</v>
          </cell>
          <cell r="E24">
            <v>-1643.6</v>
          </cell>
          <cell r="F24">
            <v>-1501</v>
          </cell>
          <cell r="G24">
            <v>-1715.6</v>
          </cell>
          <cell r="H24">
            <v>-1662.4</v>
          </cell>
          <cell r="I24">
            <v>-1850.9</v>
          </cell>
          <cell r="J24">
            <v>-1833</v>
          </cell>
        </row>
        <row r="25">
          <cell r="B25" t="str">
            <v>EBITDA</v>
          </cell>
          <cell r="C25">
            <v>0</v>
          </cell>
          <cell r="D25">
            <v>3768.1000000000058</v>
          </cell>
          <cell r="E25">
            <v>5364.3999999999978</v>
          </cell>
          <cell r="F25">
            <v>7004.4999999999927</v>
          </cell>
          <cell r="G25">
            <v>9379.4000000000087</v>
          </cell>
          <cell r="H25">
            <v>11414.400000000012</v>
          </cell>
          <cell r="I25">
            <v>13540.399999999972</v>
          </cell>
          <cell r="J25">
            <v>16257.723624956598</v>
          </cell>
        </row>
        <row r="26">
          <cell r="B26" t="str">
            <v>Depreciation, Depletion &amp; Amortisation</v>
          </cell>
          <cell r="C26" t="str">
            <v>negative</v>
          </cell>
          <cell r="D26">
            <v>-377.5</v>
          </cell>
          <cell r="E26">
            <v>-477.4</v>
          </cell>
          <cell r="F26">
            <v>-630.29999999999995</v>
          </cell>
          <cell r="G26">
            <v>-858.5</v>
          </cell>
          <cell r="H26">
            <v>-1022.9</v>
          </cell>
          <cell r="I26">
            <v>-1185.3</v>
          </cell>
          <cell r="J26">
            <v>-1399.4</v>
          </cell>
        </row>
        <row r="27">
          <cell r="B27" t="str">
            <v>Lease rentals</v>
          </cell>
          <cell r="C27" t="str">
            <v>negative</v>
          </cell>
          <cell r="D27">
            <v>0</v>
          </cell>
          <cell r="E27">
            <v>0</v>
          </cell>
          <cell r="F27">
            <v>0</v>
          </cell>
          <cell r="G27">
            <v>0</v>
          </cell>
          <cell r="H27">
            <v>0</v>
          </cell>
          <cell r="I27">
            <v>0</v>
          </cell>
          <cell r="J27">
            <v>0</v>
          </cell>
        </row>
        <row r="28">
          <cell r="B28" t="str">
            <v>EBIT</v>
          </cell>
          <cell r="C28">
            <v>0</v>
          </cell>
          <cell r="D28">
            <v>3390.6000000000058</v>
          </cell>
          <cell r="E28">
            <v>4886.9999999999982</v>
          </cell>
          <cell r="F28">
            <v>6374.1999999999925</v>
          </cell>
          <cell r="G28">
            <v>8520.9000000000087</v>
          </cell>
          <cell r="H28">
            <v>10391.500000000013</v>
          </cell>
          <cell r="I28">
            <v>12355.099999999973</v>
          </cell>
          <cell r="J28">
            <v>14858.323624956598</v>
          </cell>
        </row>
        <row r="29">
          <cell r="B29" t="str">
            <v>Interest Income</v>
          </cell>
          <cell r="C29" t="str">
            <v>positive</v>
          </cell>
          <cell r="D29">
            <v>384.2</v>
          </cell>
          <cell r="E29">
            <v>471.5</v>
          </cell>
          <cell r="F29">
            <v>490.2</v>
          </cell>
          <cell r="G29">
            <v>947.2</v>
          </cell>
          <cell r="H29">
            <v>922.2</v>
          </cell>
          <cell r="I29">
            <v>760.9</v>
          </cell>
          <cell r="J29">
            <v>474</v>
          </cell>
        </row>
        <row r="30">
          <cell r="B30" t="str">
            <v>Interest Expense</v>
          </cell>
          <cell r="C30" t="str">
            <v>negative</v>
          </cell>
          <cell r="D30">
            <v>-1280.1000000000001</v>
          </cell>
          <cell r="E30">
            <v>-1231.8000000000002</v>
          </cell>
          <cell r="F30">
            <v>-1643.6</v>
          </cell>
          <cell r="G30">
            <v>-1559.8</v>
          </cell>
          <cell r="H30">
            <v>-2089.6</v>
          </cell>
          <cell r="I30">
            <v>-1725.9</v>
          </cell>
          <cell r="J30">
            <v>-1015</v>
          </cell>
        </row>
        <row r="31">
          <cell r="B31" t="str">
            <v>Other Recurring Income/(Loss)</v>
          </cell>
          <cell r="C31" t="str">
            <v>positive/negative</v>
          </cell>
          <cell r="D31">
            <v>806.1</v>
          </cell>
          <cell r="E31">
            <v>505.4</v>
          </cell>
          <cell r="F31">
            <v>869.3</v>
          </cell>
          <cell r="G31">
            <v>540.4</v>
          </cell>
          <cell r="H31">
            <v>535.1</v>
          </cell>
          <cell r="I31">
            <v>899.40000000000009</v>
          </cell>
          <cell r="J31">
            <v>993</v>
          </cell>
        </row>
        <row r="32">
          <cell r="B32" t="str">
            <v>Pre-Tax Income/(Loss)</v>
          </cell>
          <cell r="C32">
            <v>0</v>
          </cell>
          <cell r="D32">
            <v>3300.8000000000052</v>
          </cell>
          <cell r="E32">
            <v>4632.0999999999976</v>
          </cell>
          <cell r="F32">
            <v>6090.0999999999922</v>
          </cell>
          <cell r="G32">
            <v>8448.7000000000098</v>
          </cell>
          <cell r="H32">
            <v>9759.2000000000135</v>
          </cell>
          <cell r="I32">
            <v>12289.499999999973</v>
          </cell>
          <cell r="J32">
            <v>15310.323624956598</v>
          </cell>
        </row>
        <row r="33">
          <cell r="B33" t="str">
            <v>Taxation</v>
          </cell>
          <cell r="C33" t="str">
            <v>negative</v>
          </cell>
          <cell r="D33">
            <v>-1401.2</v>
          </cell>
          <cell r="E33">
            <v>-1911.5</v>
          </cell>
          <cell r="F33">
            <v>-2397.5</v>
          </cell>
          <cell r="G33">
            <v>-2652.8</v>
          </cell>
          <cell r="H33">
            <v>-3146</v>
          </cell>
          <cell r="I33">
            <v>-4916.3</v>
          </cell>
          <cell r="J33">
            <v>-6356.5999999999995</v>
          </cell>
        </row>
        <row r="34">
          <cell r="B34" t="str">
            <v>Deferred tax</v>
          </cell>
        </row>
        <row r="35">
          <cell r="B35" t="str">
            <v>Tax adjustment of previous years</v>
          </cell>
          <cell r="C35">
            <v>0</v>
          </cell>
          <cell r="D35">
            <v>0</v>
          </cell>
          <cell r="E35">
            <v>0</v>
          </cell>
          <cell r="F35">
            <v>0</v>
          </cell>
          <cell r="G35">
            <v>0</v>
          </cell>
          <cell r="H35">
            <v>0</v>
          </cell>
          <cell r="I35">
            <v>551.20000000000005</v>
          </cell>
          <cell r="J35">
            <v>416.2</v>
          </cell>
        </row>
        <row r="36">
          <cell r="B36" t="str">
            <v>Post-Tax Income/(Loss)</v>
          </cell>
          <cell r="C36">
            <v>0</v>
          </cell>
          <cell r="D36">
            <v>1899.6000000000051</v>
          </cell>
          <cell r="E36">
            <v>2720.5999999999976</v>
          </cell>
          <cell r="F36">
            <v>3692.5999999999922</v>
          </cell>
          <cell r="G36">
            <v>5795.9000000000096</v>
          </cell>
          <cell r="H36">
            <v>6613.2000000000135</v>
          </cell>
          <cell r="I36">
            <v>7924.3999999999724</v>
          </cell>
          <cell r="J36">
            <v>9369.9236249565984</v>
          </cell>
        </row>
        <row r="37">
          <cell r="B37" t="str">
            <v>Exceptional Gain/(Loss)</v>
          </cell>
          <cell r="C37" t="str">
            <v>positive/negative</v>
          </cell>
          <cell r="D37">
            <v>714.8</v>
          </cell>
          <cell r="E37">
            <v>-167.4</v>
          </cell>
          <cell r="F37">
            <v>-225</v>
          </cell>
          <cell r="G37">
            <v>-534.20000000000005</v>
          </cell>
          <cell r="H37">
            <v>-364</v>
          </cell>
        </row>
        <row r="38">
          <cell r="B38" t="str">
            <v>Deferred revenue expenditure</v>
          </cell>
          <cell r="C38" t="str">
            <v>negative</v>
          </cell>
        </row>
        <row r="39">
          <cell r="B39" t="str">
            <v>Capitalised Interest</v>
          </cell>
          <cell r="C39" t="str">
            <v>negative</v>
          </cell>
        </row>
        <row r="40">
          <cell r="B40" t="str">
            <v>Minority Interest</v>
          </cell>
          <cell r="C40" t="str">
            <v>Positive</v>
          </cell>
        </row>
        <row r="41">
          <cell r="B41" t="str">
            <v>Dividends from subsidiaries</v>
          </cell>
          <cell r="C41" t="str">
            <v>negative</v>
          </cell>
        </row>
        <row r="42">
          <cell r="B42" t="str">
            <v>Adj. Net Profit after Tax</v>
          </cell>
          <cell r="C42">
            <v>0</v>
          </cell>
          <cell r="D42">
            <v>2614.4000000000051</v>
          </cell>
          <cell r="E42">
            <v>2553.1999999999975</v>
          </cell>
          <cell r="F42">
            <v>3467.5999999999922</v>
          </cell>
          <cell r="G42">
            <v>5261.7000000000098</v>
          </cell>
          <cell r="H42">
            <v>6249.2000000000135</v>
          </cell>
          <cell r="I42">
            <v>7924.3999999999724</v>
          </cell>
          <cell r="J42">
            <v>9369.9236249565984</v>
          </cell>
        </row>
        <row r="86">
          <cell r="A86" t="str">
            <v>CASH FLOW STATEMENT</v>
          </cell>
          <cell r="B86">
            <v>0</v>
          </cell>
          <cell r="C86">
            <v>0</v>
          </cell>
          <cell r="D86">
            <v>1995</v>
          </cell>
          <cell r="E86">
            <v>1996</v>
          </cell>
          <cell r="F86">
            <v>1997</v>
          </cell>
          <cell r="G86">
            <v>1998</v>
          </cell>
          <cell r="H86">
            <v>1999</v>
          </cell>
          <cell r="I86">
            <v>2000</v>
          </cell>
          <cell r="J86">
            <v>2001</v>
          </cell>
        </row>
        <row r="87">
          <cell r="D87">
            <v>34789</v>
          </cell>
          <cell r="E87">
            <v>35155</v>
          </cell>
          <cell r="F87">
            <v>35520</v>
          </cell>
          <cell r="G87">
            <v>35885</v>
          </cell>
          <cell r="H87">
            <v>36250</v>
          </cell>
          <cell r="I87">
            <v>36616</v>
          </cell>
          <cell r="J87">
            <v>36981</v>
          </cell>
        </row>
        <row r="88">
          <cell r="B88" t="str">
            <v>Operating Profit</v>
          </cell>
          <cell r="C88">
            <v>0</v>
          </cell>
          <cell r="D88">
            <v>3768.1000000000058</v>
          </cell>
          <cell r="E88">
            <v>5364.3999999999978</v>
          </cell>
          <cell r="F88">
            <v>7004.4999999999927</v>
          </cell>
          <cell r="G88">
            <v>9379.4000000000087</v>
          </cell>
          <cell r="H88">
            <v>11414.400000000012</v>
          </cell>
          <cell r="I88">
            <v>13540.399999999972</v>
          </cell>
          <cell r="J88">
            <v>16257.723624956598</v>
          </cell>
        </row>
        <row r="89">
          <cell r="B89" t="str">
            <v>Interest paid</v>
          </cell>
          <cell r="C89">
            <v>0</v>
          </cell>
          <cell r="D89">
            <v>-1280.1000000000001</v>
          </cell>
          <cell r="E89">
            <v>-1231.8000000000002</v>
          </cell>
          <cell r="F89">
            <v>-1643.6</v>
          </cell>
          <cell r="G89">
            <v>-1559.8</v>
          </cell>
          <cell r="H89">
            <v>-2089.6</v>
          </cell>
          <cell r="I89">
            <v>-1725.9</v>
          </cell>
          <cell r="J89">
            <v>-1015</v>
          </cell>
        </row>
        <row r="90">
          <cell r="B90" t="str">
            <v>Other Income</v>
          </cell>
          <cell r="C90">
            <v>0</v>
          </cell>
          <cell r="D90">
            <v>1905.1</v>
          </cell>
          <cell r="E90">
            <v>809.5</v>
          </cell>
          <cell r="F90">
            <v>1134.5</v>
          </cell>
          <cell r="G90">
            <v>953.39999999999986</v>
          </cell>
          <cell r="H90">
            <v>1093.3000000000002</v>
          </cell>
          <cell r="I90">
            <v>1660.3000000000002</v>
          </cell>
          <cell r="J90">
            <v>1467</v>
          </cell>
        </row>
        <row r="91">
          <cell r="B91" t="str">
            <v>Tax Paid</v>
          </cell>
          <cell r="C91">
            <v>0</v>
          </cell>
          <cell r="D91">
            <v>-1401.2</v>
          </cell>
          <cell r="E91">
            <v>-700.2</v>
          </cell>
          <cell r="F91">
            <v>-2018.8</v>
          </cell>
          <cell r="G91">
            <v>-2551.8000000000002</v>
          </cell>
          <cell r="H91">
            <v>-3189</v>
          </cell>
          <cell r="I91">
            <v>-4866.5000000000009</v>
          </cell>
          <cell r="J91">
            <v>-6473.9999999999991</v>
          </cell>
        </row>
        <row r="92">
          <cell r="B92" t="str">
            <v>(Inc)/Dec in Working Capital</v>
          </cell>
          <cell r="C92">
            <v>0</v>
          </cell>
          <cell r="D92">
            <v>0</v>
          </cell>
          <cell r="E92">
            <v>3.0999999999989996</v>
          </cell>
          <cell r="F92">
            <v>2433.8000000000015</v>
          </cell>
          <cell r="G92">
            <v>1708.1999999999998</v>
          </cell>
          <cell r="H92">
            <v>-679.40000000000043</v>
          </cell>
          <cell r="I92">
            <v>1628.8000000000002</v>
          </cell>
          <cell r="J92">
            <v>-1169.1999999999982</v>
          </cell>
        </row>
        <row r="93">
          <cell r="B93" t="str">
            <v>Net Cash Flow from Operations</v>
          </cell>
          <cell r="C93">
            <v>0</v>
          </cell>
          <cell r="D93">
            <v>2991.900000000006</v>
          </cell>
          <cell r="E93">
            <v>4244.9999999999964</v>
          </cell>
          <cell r="F93">
            <v>6910.3999999999942</v>
          </cell>
          <cell r="G93">
            <v>7929.4000000000087</v>
          </cell>
          <cell r="H93">
            <v>6549.7000000000126</v>
          </cell>
          <cell r="I93">
            <v>10237.099999999973</v>
          </cell>
          <cell r="J93">
            <v>9066.5236249565987</v>
          </cell>
        </row>
        <row r="95">
          <cell r="B95" t="str">
            <v>Capital Expenditure</v>
          </cell>
          <cell r="C95">
            <v>0</v>
          </cell>
          <cell r="D95">
            <v>0</v>
          </cell>
          <cell r="E95">
            <v>-1138.5000000000018</v>
          </cell>
          <cell r="F95">
            <v>-3249.3999999999978</v>
          </cell>
          <cell r="G95">
            <v>-1700.5</v>
          </cell>
          <cell r="H95">
            <v>-2796.8000000000011</v>
          </cell>
          <cell r="I95">
            <v>-4696.7999999999993</v>
          </cell>
          <cell r="J95">
            <v>-4501.9999999999964</v>
          </cell>
        </row>
        <row r="96">
          <cell r="B96" t="str">
            <v>Investments</v>
          </cell>
          <cell r="C96">
            <v>0</v>
          </cell>
          <cell r="D96">
            <v>0</v>
          </cell>
          <cell r="E96">
            <v>-612</v>
          </cell>
          <cell r="F96">
            <v>151</v>
          </cell>
          <cell r="G96">
            <v>-4988.5</v>
          </cell>
          <cell r="H96">
            <v>-2588</v>
          </cell>
          <cell r="I96">
            <v>914.89999999999964</v>
          </cell>
          <cell r="J96">
            <v>-173.39999999999964</v>
          </cell>
        </row>
        <row r="97">
          <cell r="B97" t="str">
            <v>Deposit towards propert options</v>
          </cell>
          <cell r="C97">
            <v>0</v>
          </cell>
          <cell r="D97">
            <v>0</v>
          </cell>
          <cell r="E97">
            <v>0</v>
          </cell>
          <cell r="F97">
            <v>0</v>
          </cell>
          <cell r="G97">
            <v>0</v>
          </cell>
          <cell r="H97">
            <v>0</v>
          </cell>
          <cell r="I97">
            <v>-250</v>
          </cell>
        </row>
        <row r="98">
          <cell r="B98" t="str">
            <v>Loans (given)/realised</v>
          </cell>
          <cell r="C98">
            <v>0</v>
          </cell>
          <cell r="D98">
            <v>0</v>
          </cell>
          <cell r="E98">
            <v>0</v>
          </cell>
          <cell r="F98">
            <v>0</v>
          </cell>
          <cell r="G98">
            <v>0</v>
          </cell>
          <cell r="H98">
            <v>0</v>
          </cell>
          <cell r="I98">
            <v>-32.200000000000728</v>
          </cell>
          <cell r="J98">
            <v>-4458</v>
          </cell>
        </row>
        <row r="99">
          <cell r="B99" t="str">
            <v>Net Cash Flow from Investing</v>
          </cell>
          <cell r="C99">
            <v>0</v>
          </cell>
          <cell r="D99">
            <v>0</v>
          </cell>
          <cell r="E99">
            <v>-1750.5000000000018</v>
          </cell>
          <cell r="F99">
            <v>-3098.3999999999978</v>
          </cell>
          <cell r="G99">
            <v>-6689</v>
          </cell>
          <cell r="H99">
            <v>-5384.8000000000011</v>
          </cell>
          <cell r="I99">
            <v>-4064.1000000000004</v>
          </cell>
          <cell r="J99">
            <v>-9133.399999999996</v>
          </cell>
        </row>
        <row r="101">
          <cell r="B101" t="str">
            <v>Inc/Dec in Total Debt</v>
          </cell>
          <cell r="C101">
            <v>0</v>
          </cell>
          <cell r="D101">
            <v>0</v>
          </cell>
          <cell r="E101">
            <v>-494.80000000000018</v>
          </cell>
          <cell r="F101">
            <v>-100.99999999999909</v>
          </cell>
          <cell r="G101">
            <v>5732.9999999999991</v>
          </cell>
          <cell r="H101">
            <v>-468.19999999999891</v>
          </cell>
          <cell r="I101">
            <v>-5993.5000000000009</v>
          </cell>
          <cell r="J101">
            <v>2060.3000000000002</v>
          </cell>
        </row>
        <row r="102">
          <cell r="B102" t="str">
            <v>Issue of Equity</v>
          </cell>
          <cell r="C102">
            <v>0</v>
          </cell>
          <cell r="D102">
            <v>0</v>
          </cell>
          <cell r="E102">
            <v>681.28150000000096</v>
          </cell>
          <cell r="F102">
            <v>0</v>
          </cell>
          <cell r="G102">
            <v>0</v>
          </cell>
          <cell r="H102">
            <v>0</v>
          </cell>
          <cell r="I102">
            <v>0</v>
          </cell>
          <cell r="J102">
            <v>0</v>
          </cell>
        </row>
        <row r="103">
          <cell r="B103" t="str">
            <v>Dividends paid</v>
          </cell>
          <cell r="C103" t="str">
            <v>negative</v>
          </cell>
          <cell r="D103">
            <v>0</v>
          </cell>
          <cell r="E103">
            <v>-1335.6000000000001</v>
          </cell>
          <cell r="F103">
            <v>-711.66548</v>
          </cell>
          <cell r="G103">
            <v>-1092.0909649999999</v>
          </cell>
          <cell r="H103">
            <v>-1239.3391849999998</v>
          </cell>
          <cell r="I103">
            <v>-1414.7079549999999</v>
          </cell>
          <cell r="J103">
            <v>-2310.9027499999997</v>
          </cell>
        </row>
        <row r="104">
          <cell r="B104" t="str">
            <v>Other Item</v>
          </cell>
          <cell r="C104">
            <v>0</v>
          </cell>
          <cell r="D104">
            <v>0</v>
          </cell>
          <cell r="E104">
            <v>-1338</v>
          </cell>
          <cell r="F104">
            <v>-2454</v>
          </cell>
          <cell r="G104">
            <v>-2039</v>
          </cell>
          <cell r="H104">
            <v>-2425</v>
          </cell>
          <cell r="I104">
            <v>-195</v>
          </cell>
          <cell r="J104">
            <v>-290</v>
          </cell>
        </row>
        <row r="105">
          <cell r="B105" t="str">
            <v>Net Cash Flow from Financing</v>
          </cell>
          <cell r="C105">
            <v>0</v>
          </cell>
          <cell r="D105">
            <v>0</v>
          </cell>
          <cell r="E105">
            <v>-2487.1184999999996</v>
          </cell>
          <cell r="F105">
            <v>-3266.6654799999992</v>
          </cell>
          <cell r="G105">
            <v>2601.9090349999988</v>
          </cell>
          <cell r="H105">
            <v>-4132.5391849999987</v>
          </cell>
          <cell r="I105">
            <v>-7603.2079550000008</v>
          </cell>
          <cell r="J105">
            <v>-540.60274999999956</v>
          </cell>
        </row>
        <row r="107">
          <cell r="B107" t="str">
            <v>(Dec)/Inc in Cash</v>
          </cell>
          <cell r="C107">
            <v>0</v>
          </cell>
          <cell r="D107">
            <v>0</v>
          </cell>
          <cell r="E107">
            <v>7.3814999999949578</v>
          </cell>
          <cell r="F107">
            <v>545.33451999999716</v>
          </cell>
          <cell r="G107">
            <v>3842.3090350000075</v>
          </cell>
          <cell r="H107">
            <v>-2967.6391849999873</v>
          </cell>
          <cell r="I107">
            <v>-1430.2079550000281</v>
          </cell>
          <cell r="J107">
            <v>-607.47912504339683</v>
          </cell>
        </row>
        <row r="108">
          <cell r="E108">
            <v>6.7999999999999545</v>
          </cell>
          <cell r="F108">
            <v>545.20000000000005</v>
          </cell>
          <cell r="G108">
            <v>3842.2999999999997</v>
          </cell>
          <cell r="H108">
            <v>-2967.5999999999995</v>
          </cell>
          <cell r="I108">
            <v>-1429.5</v>
          </cell>
          <cell r="J108">
            <v>82.800000000000011</v>
          </cell>
        </row>
        <row r="110">
          <cell r="B110" t="str">
            <v>Cash Flow from Operations</v>
          </cell>
          <cell r="C110">
            <v>0</v>
          </cell>
          <cell r="D110">
            <v>0</v>
          </cell>
          <cell r="E110">
            <v>4244.9999999999964</v>
          </cell>
          <cell r="F110">
            <v>6910.3999999999942</v>
          </cell>
          <cell r="G110">
            <v>7929.4000000000087</v>
          </cell>
          <cell r="H110">
            <v>6549.7000000000126</v>
          </cell>
          <cell r="I110">
            <v>10237.099999999973</v>
          </cell>
          <cell r="J110">
            <v>9066.5236249565987</v>
          </cell>
        </row>
        <row r="111">
          <cell r="B111" t="str">
            <v>(Inc)/Dec in Capital Expenditure</v>
          </cell>
          <cell r="C111">
            <v>0</v>
          </cell>
          <cell r="D111">
            <v>0</v>
          </cell>
          <cell r="E111">
            <v>-1138.5000000000018</v>
          </cell>
          <cell r="F111">
            <v>-3249.3999999999978</v>
          </cell>
          <cell r="G111">
            <v>-1700.5</v>
          </cell>
          <cell r="H111">
            <v>-2796.8000000000011</v>
          </cell>
          <cell r="I111">
            <v>-4696.7999999999993</v>
          </cell>
          <cell r="J111">
            <v>-4501.9999999999964</v>
          </cell>
        </row>
        <row r="112">
          <cell r="B112" t="str">
            <v>Dividends</v>
          </cell>
          <cell r="C112" t="str">
            <v>negative</v>
          </cell>
          <cell r="D112">
            <v>0</v>
          </cell>
          <cell r="E112">
            <v>-1335.6000000000001</v>
          </cell>
          <cell r="F112">
            <v>-711.66548</v>
          </cell>
          <cell r="G112">
            <v>-1092.0909649999999</v>
          </cell>
          <cell r="H112">
            <v>-1239.3391849999998</v>
          </cell>
          <cell r="I112">
            <v>-1414.7079549999999</v>
          </cell>
          <cell r="J112">
            <v>-2310.9027499999997</v>
          </cell>
        </row>
        <row r="113">
          <cell r="B113" t="str">
            <v>Free Cash Flow</v>
          </cell>
          <cell r="C113">
            <v>0</v>
          </cell>
          <cell r="D113">
            <v>0</v>
          </cell>
          <cell r="E113">
            <v>1770.8999999999944</v>
          </cell>
          <cell r="F113">
            <v>2949.3345199999962</v>
          </cell>
          <cell r="G113">
            <v>5136.8090350000093</v>
          </cell>
          <cell r="H113">
            <v>2513.5608150000116</v>
          </cell>
          <cell r="I113">
            <v>4125.592044999974</v>
          </cell>
          <cell r="J113">
            <v>2253.6208749566026</v>
          </cell>
        </row>
        <row r="115">
          <cell r="A115" t="str">
            <v>Balance Sheet Reconciliation</v>
          </cell>
        </row>
        <row r="117">
          <cell r="B117" t="str">
            <v>Net Working Capital  (NWC)</v>
          </cell>
          <cell r="C117">
            <v>0</v>
          </cell>
          <cell r="D117">
            <v>5503.2999999999993</v>
          </cell>
          <cell r="E117">
            <v>5467.3999999999978</v>
          </cell>
          <cell r="F117">
            <v>5678.4797199999975</v>
          </cell>
          <cell r="G117">
            <v>12303.502185000005</v>
          </cell>
          <cell r="H117">
            <v>11329.524649999999</v>
          </cell>
          <cell r="I117">
            <v>7733.5646450000022</v>
          </cell>
          <cell r="J117">
            <v>8168.2630000000026</v>
          </cell>
        </row>
        <row r="118">
          <cell r="B118" t="str">
            <v>LT Investments</v>
          </cell>
          <cell r="C118">
            <v>0</v>
          </cell>
          <cell r="D118">
            <v>1792.6000000000001</v>
          </cell>
          <cell r="E118">
            <v>2660.9000000000005</v>
          </cell>
          <cell r="F118">
            <v>2992.9000000000005</v>
          </cell>
          <cell r="G118">
            <v>7057.0999999999995</v>
          </cell>
          <cell r="H118">
            <v>9495.4</v>
          </cell>
          <cell r="I118">
            <v>9798.2999999999993</v>
          </cell>
          <cell r="J118">
            <v>9995.2999999999993</v>
          </cell>
        </row>
        <row r="119">
          <cell r="B119" t="str">
            <v>Net Fixed Assets + Capital WIP (LT Assets)</v>
          </cell>
          <cell r="C119">
            <v>0</v>
          </cell>
          <cell r="D119">
            <v>6134.1</v>
          </cell>
          <cell r="E119">
            <v>6840.9000000000005</v>
          </cell>
          <cell r="F119">
            <v>9519.6</v>
          </cell>
          <cell r="G119">
            <v>10477.799999999999</v>
          </cell>
          <cell r="H119">
            <v>12334.7</v>
          </cell>
          <cell r="I119">
            <v>15532.95</v>
          </cell>
          <cell r="J119">
            <v>19606.799999999996</v>
          </cell>
        </row>
        <row r="120">
          <cell r="B120" t="str">
            <v>LT Assets + LT Investments + NWC</v>
          </cell>
          <cell r="C120">
            <v>0</v>
          </cell>
          <cell r="D120">
            <v>13430</v>
          </cell>
          <cell r="E120">
            <v>15192.199999999999</v>
          </cell>
          <cell r="F120">
            <v>18190.979719999996</v>
          </cell>
          <cell r="G120">
            <v>29838.402185000003</v>
          </cell>
          <cell r="H120">
            <v>33159.624649999998</v>
          </cell>
          <cell r="I120">
            <v>33064.814645000006</v>
          </cell>
          <cell r="J120">
            <v>37770.362999999998</v>
          </cell>
        </row>
        <row r="121">
          <cell r="B121" t="str">
            <v>Shareholder's funds + LT Debt</v>
          </cell>
          <cell r="C121">
            <v>0</v>
          </cell>
          <cell r="D121">
            <v>13429.355499999998</v>
          </cell>
          <cell r="E121">
            <v>15192.537</v>
          </cell>
          <cell r="F121">
            <v>18190.837</v>
          </cell>
          <cell r="G121">
            <v>29838.136999999999</v>
          </cell>
          <cell r="H121">
            <v>33159.536999999997</v>
          </cell>
          <cell r="I121">
            <v>33064.837</v>
          </cell>
          <cell r="J121">
            <v>37770.137000000002</v>
          </cell>
        </row>
        <row r="164">
          <cell r="D164">
            <v>1995</v>
          </cell>
          <cell r="E164">
            <v>1996</v>
          </cell>
          <cell r="F164">
            <v>1997</v>
          </cell>
          <cell r="G164">
            <v>1998</v>
          </cell>
          <cell r="H164">
            <v>1999</v>
          </cell>
          <cell r="I164">
            <v>2000</v>
          </cell>
          <cell r="J164">
            <v>2001</v>
          </cell>
          <cell r="K164">
            <v>2002</v>
          </cell>
          <cell r="L164">
            <v>2003</v>
          </cell>
          <cell r="M164">
            <v>2004</v>
          </cell>
          <cell r="N164">
            <v>2005</v>
          </cell>
          <cell r="O164">
            <v>2006</v>
          </cell>
        </row>
        <row r="165">
          <cell r="D165">
            <v>34789</v>
          </cell>
          <cell r="E165">
            <v>35155</v>
          </cell>
          <cell r="F165">
            <v>35520</v>
          </cell>
          <cell r="G165">
            <v>35885</v>
          </cell>
          <cell r="H165">
            <v>36250</v>
          </cell>
          <cell r="I165">
            <v>36616</v>
          </cell>
          <cell r="J165">
            <v>36981</v>
          </cell>
          <cell r="K165">
            <v>37346</v>
          </cell>
          <cell r="L165">
            <v>37711</v>
          </cell>
          <cell r="M165">
            <v>38077</v>
          </cell>
          <cell r="N165">
            <v>38442</v>
          </cell>
          <cell r="O165">
            <v>38807</v>
          </cell>
        </row>
        <row r="166">
          <cell r="B166" t="str">
            <v>Gross sales</v>
          </cell>
          <cell r="D166">
            <v>45534.100000000006</v>
          </cell>
          <cell r="E166">
            <v>51153.5</v>
          </cell>
          <cell r="F166">
            <v>58627.69999999999</v>
          </cell>
          <cell r="G166">
            <v>68341.600000000006</v>
          </cell>
          <cell r="H166">
            <v>75791.700000000012</v>
          </cell>
          <cell r="I166">
            <v>79530.599999999977</v>
          </cell>
          <cell r="J166">
            <v>86098.323624956596</v>
          </cell>
          <cell r="K166">
            <v>97695.095018578373</v>
          </cell>
          <cell r="L166">
            <v>110248.06551423925</v>
          </cell>
          <cell r="M166">
            <v>118150.60778262782</v>
          </cell>
          <cell r="N166">
            <v>134947.67580023842</v>
          </cell>
          <cell r="O166">
            <v>147640.00656379072</v>
          </cell>
        </row>
        <row r="167">
          <cell r="B167" t="str">
            <v>Net sales</v>
          </cell>
          <cell r="D167">
            <v>23695.200000000008</v>
          </cell>
          <cell r="E167">
            <v>25112.3</v>
          </cell>
          <cell r="F167">
            <v>28014.69999999999</v>
          </cell>
          <cell r="G167">
            <v>30627.500000000007</v>
          </cell>
          <cell r="H167">
            <v>35065.900000000009</v>
          </cell>
          <cell r="I167">
            <v>38076.199999999975</v>
          </cell>
          <cell r="J167">
            <v>41225.323624956596</v>
          </cell>
          <cell r="K167">
            <v>49687.095018578373</v>
          </cell>
          <cell r="L167">
            <v>58479.365514239253</v>
          </cell>
          <cell r="M167">
            <v>64465.407782627823</v>
          </cell>
          <cell r="N167">
            <v>74522.639019042806</v>
          </cell>
          <cell r="O167">
            <v>83413.379565583091</v>
          </cell>
        </row>
        <row r="168">
          <cell r="B168" t="str">
            <v>Net profits</v>
          </cell>
          <cell r="D168">
            <v>1899.6000000000051</v>
          </cell>
          <cell r="E168">
            <v>2720.5999999999976</v>
          </cell>
          <cell r="F168">
            <v>3692.5999999999922</v>
          </cell>
          <cell r="G168">
            <v>5795.9000000000096</v>
          </cell>
          <cell r="H168">
            <v>6613.2000000000135</v>
          </cell>
          <cell r="I168">
            <v>7924.3999999999724</v>
          </cell>
          <cell r="J168">
            <v>9369.9236249565984</v>
          </cell>
          <cell r="K168">
            <v>11192.79501857837</v>
          </cell>
          <cell r="L168">
            <v>13712.665514239245</v>
          </cell>
          <cell r="M168">
            <v>15926.027782627816</v>
          </cell>
          <cell r="N168">
            <v>18394.890749398692</v>
          </cell>
          <cell r="O168">
            <v>21641.507701702561</v>
          </cell>
        </row>
        <row r="169">
          <cell r="B169" t="str">
            <v>Number of shares - mn</v>
          </cell>
          <cell r="D169">
            <v>242.83554999999996</v>
          </cell>
          <cell r="E169">
            <v>245.41369999999998</v>
          </cell>
          <cell r="F169">
            <v>245.41369999999998</v>
          </cell>
          <cell r="G169">
            <v>245.41369999999998</v>
          </cell>
          <cell r="H169">
            <v>245.41369999999998</v>
          </cell>
          <cell r="I169">
            <v>245.41369999999998</v>
          </cell>
          <cell r="J169">
            <v>245.41369999999998</v>
          </cell>
          <cell r="K169">
            <v>247.51069999999996</v>
          </cell>
          <cell r="L169">
            <v>247.51069999999996</v>
          </cell>
          <cell r="M169">
            <v>247.6788</v>
          </cell>
          <cell r="N169">
            <v>247.6788</v>
          </cell>
          <cell r="O169">
            <v>247.6788</v>
          </cell>
        </row>
        <row r="170">
          <cell r="B170" t="str">
            <v>Market cap Rs. Mn</v>
          </cell>
        </row>
        <row r="171">
          <cell r="B171" t="str">
            <v>Growth %</v>
          </cell>
        </row>
        <row r="172">
          <cell r="B172" t="str">
            <v>Gross sales</v>
          </cell>
          <cell r="E172">
            <v>0.12341080640662705</v>
          </cell>
          <cell r="F172">
            <v>0.1461131691868589</v>
          </cell>
          <cell r="G172">
            <v>0.16568789155979191</v>
          </cell>
          <cell r="H172">
            <v>0.10901266578482227</v>
          </cell>
          <cell r="I172">
            <v>4.9331259227592961E-2</v>
          </cell>
          <cell r="J172">
            <v>8.2581089856691881E-2</v>
          </cell>
          <cell r="K172">
            <v>0.13469218569384922</v>
          </cell>
          <cell r="L172">
            <v>0.12849130750396132</v>
          </cell>
          <cell r="M172">
            <v>7.1679645638479839E-2</v>
          </cell>
          <cell r="N172">
            <v>0.1421665815593065</v>
          </cell>
          <cell r="O172">
            <v>9.405371888242553E-2</v>
          </cell>
        </row>
        <row r="173">
          <cell r="B173" t="str">
            <v>Net sales</v>
          </cell>
          <cell r="E173">
            <v>5.9805361423410197E-2</v>
          </cell>
          <cell r="F173">
            <v>0.11557682888464971</v>
          </cell>
          <cell r="G173">
            <v>9.3265321420540559E-2</v>
          </cell>
          <cell r="H173">
            <v>0.14491551710064488</v>
          </cell>
          <cell r="I173">
            <v>8.5846933915854517E-2</v>
          </cell>
          <cell r="J173">
            <v>8.2705827392350661E-2</v>
          </cell>
          <cell r="K173">
            <v>0.20525663959856155</v>
          </cell>
          <cell r="L173">
            <v>0.17695279815359277</v>
          </cell>
          <cell r="M173">
            <v>0.10236161449000369</v>
          </cell>
          <cell r="N173">
            <v>0.15600973580012334</v>
          </cell>
          <cell r="O173">
            <v>0.11930254569042331</v>
          </cell>
        </row>
        <row r="174">
          <cell r="B174" t="str">
            <v>Net profits</v>
          </cell>
          <cell r="E174">
            <v>0.432196251842488</v>
          </cell>
          <cell r="F174">
            <v>0.35727413070646019</v>
          </cell>
          <cell r="G174">
            <v>0.56959865677301136</v>
          </cell>
          <cell r="H174">
            <v>0.14101347504270301</v>
          </cell>
          <cell r="I174">
            <v>0.19827012641383246</v>
          </cell>
          <cell r="J174">
            <v>0.18241426795172266</v>
          </cell>
          <cell r="K174">
            <v>0.19454495752415646</v>
          </cell>
          <cell r="L174">
            <v>0.22513326577305004</v>
          </cell>
          <cell r="M174">
            <v>0.16141006765535226</v>
          </cell>
          <cell r="N174">
            <v>0.15502063668782018</v>
          </cell>
          <cell r="O174">
            <v>0.176495582199095</v>
          </cell>
        </row>
        <row r="175">
          <cell r="B175" t="str">
            <v>EBITDA</v>
          </cell>
          <cell r="E175">
            <v>0.42363525384145584</v>
          </cell>
          <cell r="F175">
            <v>0.30573782715681075</v>
          </cell>
          <cell r="G175">
            <v>0.33905346562924099</v>
          </cell>
          <cell r="H175">
            <v>0.21696483783610909</v>
          </cell>
          <cell r="I175">
            <v>0.18625595738715628</v>
          </cell>
          <cell r="J175">
            <v>0.2006826700065456</v>
          </cell>
          <cell r="K175">
            <v>0.13215081294184006</v>
          </cell>
          <cell r="L175">
            <v>0.17294017000514916</v>
          </cell>
          <cell r="M175">
            <v>9.5711116059697066E-2</v>
          </cell>
          <cell r="N175">
            <v>0.14080824865806951</v>
          </cell>
          <cell r="O175">
            <v>0.18322032023921775</v>
          </cell>
        </row>
        <row r="176">
          <cell r="B176" t="str">
            <v>Per share</v>
          </cell>
        </row>
        <row r="177">
          <cell r="B177" t="str">
            <v>Earnings</v>
          </cell>
          <cell r="D177">
            <v>7.8225778721443611</v>
          </cell>
          <cell r="E177">
            <v>11.085770680283938</v>
          </cell>
          <cell r="F177">
            <v>15.046429763293542</v>
          </cell>
          <cell r="G177">
            <v>23.616855945695004</v>
          </cell>
          <cell r="H177">
            <v>26.94715087218038</v>
          </cell>
          <cell r="I177">
            <v>32.289965882100198</v>
          </cell>
          <cell r="J177">
            <v>38.180116370669609</v>
          </cell>
          <cell r="K177">
            <v>45.221459187737629</v>
          </cell>
          <cell r="L177">
            <v>55.402313977695705</v>
          </cell>
          <cell r="M177">
            <v>64.301134302281085</v>
          </cell>
          <cell r="N177">
            <v>74.269137081569724</v>
          </cell>
          <cell r="O177">
            <v>87.377311670205771</v>
          </cell>
        </row>
        <row r="178">
          <cell r="B178" t="str">
            <v>Dividends</v>
          </cell>
          <cell r="D178">
            <v>5.5000184281090645</v>
          </cell>
          <cell r="E178">
            <v>2.499860439739102</v>
          </cell>
          <cell r="F178">
            <v>4</v>
          </cell>
          <cell r="G178">
            <v>4.5</v>
          </cell>
          <cell r="H178">
            <v>5.5</v>
          </cell>
          <cell r="I178">
            <v>7.4999999999999991</v>
          </cell>
          <cell r="J178">
            <v>10</v>
          </cell>
          <cell r="K178">
            <v>13.499999999999998</v>
          </cell>
          <cell r="L178">
            <v>15.000159589060191</v>
          </cell>
          <cell r="M178">
            <v>20</v>
          </cell>
          <cell r="N178">
            <v>24.999999999999996</v>
          </cell>
          <cell r="O178">
            <v>35</v>
          </cell>
        </row>
        <row r="179">
          <cell r="B179" t="str">
            <v>Book value</v>
          </cell>
          <cell r="D179">
            <v>35.202240775701902</v>
          </cell>
          <cell r="E179">
            <v>45.69238392151702</v>
          </cell>
          <cell r="F179">
            <v>55.385811794533069</v>
          </cell>
          <cell r="G179">
            <v>71.802580703522267</v>
          </cell>
          <cell r="H179">
            <v>91.038263145048546</v>
          </cell>
          <cell r="I179">
            <v>114.0659099308637</v>
          </cell>
          <cell r="J179">
            <v>144.02267273587418</v>
          </cell>
          <cell r="K179">
            <v>178.33656080322996</v>
          </cell>
          <cell r="L179">
            <v>216.78338350624847</v>
          </cell>
          <cell r="M179">
            <v>258.80592033968117</v>
          </cell>
          <cell r="N179">
            <v>304.9500574212509</v>
          </cell>
          <cell r="O179">
            <v>352.95236909145666</v>
          </cell>
        </row>
        <row r="180">
          <cell r="B180" t="str">
            <v>Cash flow</v>
          </cell>
          <cell r="D180">
            <v>9.3771278546325085</v>
          </cell>
          <cell r="E180">
            <v>13.031057353358831</v>
          </cell>
          <cell r="F180">
            <v>17.614746039035282</v>
          </cell>
          <cell r="G180">
            <v>27.115030660472542</v>
          </cell>
          <cell r="H180">
            <v>31.115214839269424</v>
          </cell>
          <cell r="I180">
            <v>37.119769597214713</v>
          </cell>
          <cell r="J180">
            <v>43.882324519603422</v>
          </cell>
          <cell r="K180">
            <v>53.242526559774475</v>
          </cell>
          <cell r="L180">
            <v>64.991394368967676</v>
          </cell>
          <cell r="M180">
            <v>74.066120243750447</v>
          </cell>
          <cell r="N180">
            <v>85.513539105481328</v>
          </cell>
          <cell r="O180">
            <v>99.10621216552471</v>
          </cell>
        </row>
        <row r="181">
          <cell r="B181" t="str">
            <v>Margins %</v>
          </cell>
        </row>
        <row r="182">
          <cell r="B182" t="str">
            <v>Gross Margins</v>
          </cell>
          <cell r="D182">
            <v>0.40968212971403506</v>
          </cell>
          <cell r="E182">
            <v>0.50875467400437224</v>
          </cell>
          <cell r="F182">
            <v>0.52765155436253086</v>
          </cell>
          <cell r="G182">
            <v>0.56969063749897986</v>
          </cell>
          <cell r="H182">
            <v>0.55829167367727639</v>
          </cell>
          <cell r="I182">
            <v>0.59996795898750366</v>
          </cell>
          <cell r="J182">
            <v>0.63798222335930266</v>
          </cell>
          <cell r="K182">
            <v>0.61955111296138599</v>
          </cell>
          <cell r="L182">
            <v>0.61551908434223213</v>
          </cell>
          <cell r="M182">
            <v>0.63029319413655194</v>
          </cell>
          <cell r="N182">
            <v>0.61939798662352308</v>
          </cell>
          <cell r="O182">
            <v>0.63083740344727324</v>
          </cell>
        </row>
        <row r="183">
          <cell r="B183" t="str">
            <v>EBITDA</v>
          </cell>
          <cell r="D183">
            <v>0.15902376852695924</v>
          </cell>
          <cell r="E183">
            <v>0.21361643497409627</v>
          </cell>
          <cell r="F183">
            <v>0.25002944882508094</v>
          </cell>
          <cell r="G183">
            <v>0.30624112317361868</v>
          </cell>
          <cell r="H183">
            <v>0.32551282014720884</v>
          </cell>
          <cell r="I183">
            <v>0.35561321770554788</v>
          </cell>
          <cell r="J183">
            <v>0.39436254698349171</v>
          </cell>
          <cell r="K183">
            <v>0.37044216434259558</v>
          </cell>
          <cell r="L183">
            <v>0.36917920234586693</v>
          </cell>
          <cell r="M183">
            <v>0.36695196069173974</v>
          </cell>
          <cell r="N183">
            <v>0.36212655538635447</v>
          </cell>
          <cell r="O183">
            <v>0.38280579319782487</v>
          </cell>
        </row>
        <row r="184">
          <cell r="B184" t="str">
            <v>PAT</v>
          </cell>
          <cell r="D184">
            <v>8.0168135318545719E-2</v>
          </cell>
          <cell r="E184">
            <v>0.10833734862995416</v>
          </cell>
          <cell r="F184">
            <v>0.13180937150852923</v>
          </cell>
          <cell r="G184">
            <v>0.18923842951595815</v>
          </cell>
          <cell r="H184">
            <v>0.18859347685358174</v>
          </cell>
          <cell r="I184">
            <v>0.20811950772398446</v>
          </cell>
          <cell r="J184">
            <v>0.22728562934274513</v>
          </cell>
          <cell r="K184">
            <v>0.22526563515925616</v>
          </cell>
          <cell r="L184">
            <v>0.23448724851332939</v>
          </cell>
          <cell r="M184">
            <v>0.24704765439984655</v>
          </cell>
          <cell r="N184">
            <v>0.24683627675474881</v>
          </cell>
          <cell r="O184">
            <v>0.25944887755911034</v>
          </cell>
        </row>
        <row r="185">
          <cell r="B185" t="str">
            <v>Returns %</v>
          </cell>
        </row>
        <row r="186">
          <cell r="B186" t="str">
            <v>ROCE (post tax)</v>
          </cell>
          <cell r="E186">
            <v>0.18404636025412668</v>
          </cell>
          <cell r="F186">
            <v>0.22345275481514315</v>
          </cell>
          <cell r="G186">
            <v>0.24389343396298019</v>
          </cell>
          <cell r="H186">
            <v>0.23237348099625108</v>
          </cell>
          <cell r="I186">
            <v>0.26074998637338487</v>
          </cell>
          <cell r="J186">
            <v>0.25567582800957384</v>
          </cell>
          <cell r="K186">
            <v>0.27577497399417156</v>
          </cell>
          <cell r="L186">
            <v>0.2568408455687432</v>
          </cell>
          <cell r="M186">
            <v>0.24759424367001739</v>
          </cell>
          <cell r="N186">
            <v>0.25054580710674956</v>
          </cell>
          <cell r="O186">
            <v>0.26005498214816591</v>
          </cell>
        </row>
        <row r="187">
          <cell r="B187" t="str">
            <v>ROCE</v>
          </cell>
          <cell r="E187">
            <v>0.33533396757558592</v>
          </cell>
          <cell r="F187">
            <v>0.39235677217367199</v>
          </cell>
          <cell r="G187">
            <v>0.38896983601784152</v>
          </cell>
          <cell r="H187">
            <v>0.36192817841854524</v>
          </cell>
          <cell r="I187">
            <v>0.40398191723048782</v>
          </cell>
          <cell r="J187">
            <v>0.41616415363197801</v>
          </cell>
          <cell r="K187">
            <v>0.39322581063533063</v>
          </cell>
          <cell r="L187">
            <v>0.41181088660944409</v>
          </cell>
          <cell r="M187">
            <v>0.39172396799088882</v>
          </cell>
          <cell r="N187">
            <v>0.3741977791325205</v>
          </cell>
          <cell r="O187">
            <v>0.38818877801382934</v>
          </cell>
        </row>
        <row r="188">
          <cell r="B188" t="str">
            <v>ROE</v>
          </cell>
          <cell r="E188">
            <v>0.27533800216755538</v>
          </cell>
          <cell r="F188">
            <v>0.29771860600998712</v>
          </cell>
          <cell r="G188">
            <v>0.37136810178737184</v>
          </cell>
          <cell r="H188">
            <v>0.33096304631335755</v>
          </cell>
          <cell r="I188">
            <v>0.31486405564404757</v>
          </cell>
          <cell r="J188">
            <v>0.29586830983508067</v>
          </cell>
          <cell r="K188">
            <v>0.28163166831305064</v>
          </cell>
          <cell r="L188">
            <v>0.28043289019246137</v>
          </cell>
          <cell r="M188">
            <v>0.2704898219215261</v>
          </cell>
          <cell r="N188">
            <v>0.26347973240672062</v>
          </cell>
          <cell r="O188">
            <v>0.26562392278551067</v>
          </cell>
        </row>
        <row r="189">
          <cell r="B189" t="str">
            <v>EVA</v>
          </cell>
          <cell r="E189">
            <v>3.2416896632806655E-2</v>
          </cell>
          <cell r="F189">
            <v>5.2878876798892589E-2</v>
          </cell>
          <cell r="G189">
            <v>7.1723710483988859E-2</v>
          </cell>
          <cell r="H189">
            <v>6.7739487945771323E-2</v>
          </cell>
          <cell r="I189">
            <v>9.0202263035636401E-2</v>
          </cell>
          <cell r="J189">
            <v>7.4097160186772273E-2</v>
          </cell>
          <cell r="K189">
            <v>7.5334325266424057E-2</v>
          </cell>
          <cell r="L189">
            <v>8.0081939876439384E-2</v>
          </cell>
          <cell r="M189">
            <v>9.8777467266046456E-2</v>
          </cell>
          <cell r="N189">
            <v>9.4310575492276352E-2</v>
          </cell>
          <cell r="O189">
            <v>9.8709878807596491E-2</v>
          </cell>
        </row>
        <row r="190">
          <cell r="B190" t="str">
            <v>Valuations</v>
          </cell>
        </row>
        <row r="191">
          <cell r="B191" t="str">
            <v>PE</v>
          </cell>
          <cell r="D191">
            <v>176.21428927010899</v>
          </cell>
          <cell r="E191">
            <v>124.34408393920468</v>
          </cell>
          <cell r="F191">
            <v>91.613095045496593</v>
          </cell>
          <cell r="G191">
            <v>58.367210401318076</v>
          </cell>
          <cell r="H191">
            <v>51.153830938879707</v>
          </cell>
          <cell r="I191">
            <v>42.689732316011451</v>
          </cell>
          <cell r="J191">
            <v>36.103871099223277</v>
          </cell>
          <cell r="K191">
            <v>30.482209657971058</v>
          </cell>
          <cell r="L191">
            <v>24.880729721053658</v>
          </cell>
          <cell r="M191">
            <v>21.437413429129812</v>
          </cell>
          <cell r="N191">
            <v>18.560199487521306</v>
          </cell>
          <cell r="O191">
            <v>15.775834408854088</v>
          </cell>
        </row>
        <row r="192">
          <cell r="B192" t="str">
            <v>P/BV</v>
          </cell>
          <cell r="D192">
            <v>39.573753661157404</v>
          </cell>
          <cell r="E192">
            <v>30.168047313260747</v>
          </cell>
          <cell r="F192">
            <v>24.888142925731419</v>
          </cell>
          <cell r="G192">
            <v>19.197777941878076</v>
          </cell>
          <cell r="H192">
            <v>15.141435615964651</v>
          </cell>
          <cell r="I192">
            <v>12.084679820951678</v>
          </cell>
          <cell r="J192">
            <v>9.5710624849183628</v>
          </cell>
          <cell r="K192">
            <v>7.6639992822190424</v>
          </cell>
          <cell r="L192">
            <v>6.304778769863475</v>
          </cell>
          <cell r="M192">
            <v>5.2774822242641477</v>
          </cell>
          <cell r="N192">
            <v>4.4789092865794933</v>
          </cell>
          <cell r="O192">
            <v>3.8697676053084495</v>
          </cell>
        </row>
        <row r="193">
          <cell r="B193" t="str">
            <v>P/CF</v>
          </cell>
          <cell r="D193">
            <v>147.00130161060088</v>
          </cell>
          <cell r="E193">
            <v>105.78189955128212</v>
          </cell>
          <cell r="F193">
            <v>78.255456930532873</v>
          </cell>
          <cell r="G193">
            <v>50.83711751097011</v>
          </cell>
          <cell r="H193">
            <v>44.301477817865056</v>
          </cell>
          <cell r="I193">
            <v>37.135198169533687</v>
          </cell>
          <cell r="J193">
            <v>31.412419808896157</v>
          </cell>
          <cell r="K193">
            <v>25.890018544714209</v>
          </cell>
          <cell r="L193">
            <v>21.209731124928553</v>
          </cell>
          <cell r="M193">
            <v>18.611073395819069</v>
          </cell>
          <cell r="N193">
            <v>16.119669638508071</v>
          </cell>
          <cell r="O193">
            <v>13.90881529906266</v>
          </cell>
        </row>
        <row r="194">
          <cell r="B194" t="str">
            <v>EV</v>
          </cell>
          <cell r="D194">
            <v>345099.21476499998</v>
          </cell>
          <cell r="E194">
            <v>344853.91476499999</v>
          </cell>
          <cell r="F194">
            <v>344690.71476500004</v>
          </cell>
          <cell r="G194">
            <v>345657.11476499989</v>
          </cell>
          <cell r="H194">
            <v>348006.81476500002</v>
          </cell>
          <cell r="I194">
            <v>344470.61476500001</v>
          </cell>
          <cell r="J194">
            <v>346448.71476499998</v>
          </cell>
          <cell r="K194">
            <v>340074.21476499998</v>
          </cell>
          <cell r="L194">
            <v>327286.71476499992</v>
          </cell>
          <cell r="M194">
            <v>317359.01476499997</v>
          </cell>
          <cell r="N194">
            <v>303911.01476499997</v>
          </cell>
          <cell r="O194">
            <v>287434.51476499997</v>
          </cell>
        </row>
        <row r="195">
          <cell r="B195" t="str">
            <v>EV/EBITDA</v>
          </cell>
          <cell r="D195">
            <v>91.58440985244539</v>
          </cell>
          <cell r="E195">
            <v>64.285645135523097</v>
          </cell>
          <cell r="F195">
            <v>49.209895747733654</v>
          </cell>
          <cell r="G195">
            <v>36.852795996012489</v>
          </cell>
          <cell r="H195">
            <v>30.488401910306248</v>
          </cell>
          <cell r="I195">
            <v>25.440209651487454</v>
          </cell>
          <cell r="J195">
            <v>21.30979236436152</v>
          </cell>
          <cell r="K195">
            <v>18.47607364921129</v>
          </cell>
          <cell r="L195">
            <v>15.159626370174625</v>
          </cell>
          <cell r="M195">
            <v>13.415748016555259</v>
          </cell>
          <cell r="N195">
            <v>11.261541490513263</v>
          </cell>
          <cell r="O195">
            <v>9.0017033666647919</v>
          </cell>
        </row>
        <row r="196">
          <cell r="B196" t="str">
            <v>EV/Net sales</v>
          </cell>
          <cell r="D196">
            <v>14.564097993053439</v>
          </cell>
          <cell r="E196">
            <v>13.7324703338603</v>
          </cell>
          <cell r="F196">
            <v>12.303923110545542</v>
          </cell>
          <cell r="G196">
            <v>11.285841637907103</v>
          </cell>
          <cell r="H196">
            <v>9.9243656876053361</v>
          </cell>
          <cell r="I196">
            <v>9.0468748132691879</v>
          </cell>
          <cell r="J196">
            <v>8.4037839924989726</v>
          </cell>
          <cell r="K196">
            <v>6.8443167111670284</v>
          </cell>
          <cell r="L196">
            <v>5.5966187712024382</v>
          </cell>
          <cell r="M196">
            <v>4.9229350388212714</v>
          </cell>
          <cell r="N196">
            <v>4.0781032283000798</v>
          </cell>
          <cell r="O196">
            <v>3.4459041974076463</v>
          </cell>
        </row>
        <row r="197">
          <cell r="B197" t="str">
            <v>EV/Capital Employed</v>
          </cell>
          <cell r="D197">
            <v>21.040639393318518</v>
          </cell>
          <cell r="E197">
            <v>18.568548599157968</v>
          </cell>
          <cell r="F197">
            <v>16.532058009134559</v>
          </cell>
          <cell r="G197">
            <v>11.291653092570339</v>
          </cell>
          <cell r="H197">
            <v>9.9817705680752482</v>
          </cell>
          <cell r="I197">
            <v>9.9782818367583594</v>
          </cell>
          <cell r="J197">
            <v>7.8856383309634595</v>
          </cell>
          <cell r="K197">
            <v>7.2378380631541051</v>
          </cell>
          <cell r="L197">
            <v>5.9695522740694917</v>
          </cell>
          <cell r="M197">
            <v>4.8593279575950152</v>
          </cell>
          <cell r="N197">
            <v>3.9603633681941166</v>
          </cell>
          <cell r="O197">
            <v>3.2581995232044996</v>
          </cell>
        </row>
        <row r="198">
          <cell r="B198" t="str">
            <v>PE/Growth</v>
          </cell>
          <cell r="I198">
            <v>2.2430997952603717</v>
          </cell>
        </row>
        <row r="199">
          <cell r="B199" t="str">
            <v>Profit and Loss</v>
          </cell>
        </row>
        <row r="200">
          <cell r="B200" t="str">
            <v>Excise/Sales</v>
          </cell>
          <cell r="D200">
            <v>0.47961637541974028</v>
          </cell>
          <cell r="E200">
            <v>0.50907953512467374</v>
          </cell>
          <cell r="F200">
            <v>0.52215932059419023</v>
          </cell>
          <cell r="G200">
            <v>0.55184689852154467</v>
          </cell>
          <cell r="H200">
            <v>0.53733852123649417</v>
          </cell>
          <cell r="I200">
            <v>0.5212383661131692</v>
          </cell>
          <cell r="J200">
            <v>0.52118320207332169</v>
          </cell>
          <cell r="K200">
            <v>0.49140645178624853</v>
          </cell>
          <cell r="L200">
            <v>0.4695656087798995</v>
          </cell>
          <cell r="M200">
            <v>0.45437938075417633</v>
          </cell>
          <cell r="N200">
            <v>0.44776641333669304</v>
          </cell>
          <cell r="O200">
            <v>0.43502183786789034</v>
          </cell>
        </row>
        <row r="201">
          <cell r="B201" t="str">
            <v>Tax rate</v>
          </cell>
          <cell r="D201">
            <v>0.42450315075133238</v>
          </cell>
          <cell r="E201">
            <v>0.41266380259493557</v>
          </cell>
          <cell r="F201">
            <v>0.39367169668806801</v>
          </cell>
          <cell r="G201">
            <v>0.31398913442304699</v>
          </cell>
          <cell r="H201">
            <v>0.32236248872858386</v>
          </cell>
          <cell r="I201">
            <v>0.40004068513772012</v>
          </cell>
          <cell r="J201">
            <v>0.41518390830344182</v>
          </cell>
          <cell r="K201">
            <v>0.30319344428204359</v>
          </cell>
          <cell r="L201">
            <v>0.37682872002106327</v>
          </cell>
          <cell r="M201">
            <v>0.36820135200378107</v>
          </cell>
          <cell r="N201">
            <v>0.33</v>
          </cell>
          <cell r="O201">
            <v>0.33</v>
          </cell>
        </row>
        <row r="202">
          <cell r="B202" t="str">
            <v>Advertising/net sales</v>
          </cell>
          <cell r="D202">
            <v>2.364601474499331E-2</v>
          </cell>
          <cell r="E202">
            <v>3.2130743741874947E-2</v>
          </cell>
          <cell r="F202">
            <v>2.5602232391855731E-2</v>
          </cell>
          <cell r="G202">
            <v>2.5103304575836677E-2</v>
          </cell>
          <cell r="H202">
            <v>2.1933800139065356E-2</v>
          </cell>
          <cell r="I202">
            <v>2.327280317261533E-2</v>
          </cell>
          <cell r="J202">
            <v>2.1289613117028029E-2</v>
          </cell>
          <cell r="K202">
            <v>1.8424671163457078E-2</v>
          </cell>
          <cell r="L202">
            <v>1.9926880256381969E-2</v>
          </cell>
          <cell r="M202">
            <v>2.2583887210373976E-2</v>
          </cell>
          <cell r="N202">
            <v>2.4824436435340828E-2</v>
          </cell>
          <cell r="O202">
            <v>2.3824843156452963E-2</v>
          </cell>
        </row>
        <row r="203">
          <cell r="B203" t="str">
            <v>Dividend payout</v>
          </cell>
          <cell r="D203">
            <v>-0.70309538850284092</v>
          </cell>
          <cell r="E203">
            <v>-0.22550172756009723</v>
          </cell>
          <cell r="F203">
            <v>-0.26584379569950767</v>
          </cell>
          <cell r="G203">
            <v>-0.19054187442847495</v>
          </cell>
          <cell r="H203">
            <v>-0.20410321024617389</v>
          </cell>
          <cell r="I203">
            <v>-0.23227029806673136</v>
          </cell>
          <cell r="J203">
            <v>-0.26191643584622787</v>
          </cell>
          <cell r="K203">
            <v>-0.29853083563611971</v>
          </cell>
          <cell r="L203">
            <v>-0.27074969459035725</v>
          </cell>
          <cell r="M203">
            <v>-0.31103650374159109</v>
          </cell>
          <cell r="N203">
            <v>-0.33661357843086986</v>
          </cell>
          <cell r="O203">
            <v>-0.40056164845289494</v>
          </cell>
        </row>
        <row r="204">
          <cell r="B204" t="str">
            <v>Non-recurring Income/Pre-tax Profit</v>
          </cell>
          <cell r="D204">
            <v>0.21655356277266083</v>
          </cell>
          <cell r="E204">
            <v>-3.6139116167612978E-2</v>
          </cell>
          <cell r="F204">
            <v>-3.6945206154250392E-2</v>
          </cell>
          <cell r="G204">
            <v>-6.322866239776527E-2</v>
          </cell>
          <cell r="H204">
            <v>-3.7298139191736975E-2</v>
          </cell>
          <cell r="I204">
            <v>4.485129582163646E-2</v>
          </cell>
          <cell r="J204">
            <v>2.7184271880548172E-2</v>
          </cell>
          <cell r="K204">
            <v>6.8429075966433446E-3</v>
          </cell>
          <cell r="L204">
            <v>0</v>
          </cell>
          <cell r="M204">
            <v>0</v>
          </cell>
          <cell r="N204">
            <v>0</v>
          </cell>
          <cell r="O204">
            <v>0</v>
          </cell>
        </row>
        <row r="205">
          <cell r="B205" t="str">
            <v>Balance sheet</v>
          </cell>
        </row>
        <row r="206">
          <cell r="B206" t="str">
            <v>Debt/Equity</v>
          </cell>
          <cell r="C206" t="str">
            <v>Year-end figures</v>
          </cell>
          <cell r="D206">
            <v>0.91867962206298059</v>
          </cell>
          <cell r="E206">
            <v>0.65620686853755417</v>
          </cell>
          <cell r="F206">
            <v>0.53392927258003853</v>
          </cell>
          <cell r="G206">
            <v>0.73719718316493232</v>
          </cell>
          <cell r="H206">
            <v>0.56047709526217337</v>
          </cell>
          <cell r="I206">
            <v>0.23322335597217295</v>
          </cell>
          <cell r="J206">
            <v>0.24300372636835441</v>
          </cell>
          <cell r="K206">
            <v>6.4462769737350795E-2</v>
          </cell>
          <cell r="L206">
            <v>2.1801764705432866E-2</v>
          </cell>
          <cell r="M206">
            <v>1.8853136548784732E-2</v>
          </cell>
          <cell r="N206">
            <v>1.6000335914210885E-2</v>
          </cell>
          <cell r="O206">
            <v>9.1513475818183268E-3</v>
          </cell>
        </row>
        <row r="207">
          <cell r="B207" t="str">
            <v>Net Debt/Equity</v>
          </cell>
          <cell r="C207" t="str">
            <v>Year-end figures</v>
          </cell>
          <cell r="D207">
            <v>0.88626403054950176</v>
          </cell>
          <cell r="E207">
            <v>0.63088925465711665</v>
          </cell>
          <cell r="F207">
            <v>0.47293211658807027</v>
          </cell>
          <cell r="G207">
            <v>0.47209811605101248</v>
          </cell>
          <cell r="H207">
            <v>0.4842172627321315</v>
          </cell>
          <cell r="I207">
            <v>0.22342459564574241</v>
          </cell>
          <cell r="J207">
            <v>0.23290049774032562</v>
          </cell>
          <cell r="K207">
            <v>5.4449223584293556E-2</v>
          </cell>
          <cell r="L207">
            <v>-4.8803300613477957E-2</v>
          </cell>
          <cell r="M207">
            <v>1.3542745418287155E-2</v>
          </cell>
          <cell r="N207">
            <v>1.1493497399359925E-2</v>
          </cell>
          <cell r="O207">
            <v>5.2574491857546295E-3</v>
          </cell>
        </row>
        <row r="208">
          <cell r="B208" t="str">
            <v>Net CA/Net sales</v>
          </cell>
          <cell r="D208">
            <v>0.2322537897970896</v>
          </cell>
          <cell r="E208">
            <v>0.2177180106959537</v>
          </cell>
          <cell r="F208">
            <v>0.20269643151631106</v>
          </cell>
          <cell r="G208">
            <v>0.40171421712513272</v>
          </cell>
          <cell r="H208">
            <v>0.32309236751373832</v>
          </cell>
          <cell r="I208">
            <v>0.20310757494182738</v>
          </cell>
          <cell r="J208">
            <v>0.19813702554066009</v>
          </cell>
          <cell r="K208">
            <v>0.19576120411875705</v>
          </cell>
          <cell r="L208">
            <v>0.26591430777773351</v>
          </cell>
          <cell r="M208">
            <v>0.31207744885190158</v>
          </cell>
          <cell r="N208">
            <v>0.40299382455442789</v>
          </cell>
          <cell r="O208">
            <v>0.50382916492049568</v>
          </cell>
        </row>
        <row r="209">
          <cell r="B209" t="str">
            <v>Interest coverage</v>
          </cell>
          <cell r="D209">
            <v>4.1369424263729444</v>
          </cell>
          <cell r="E209">
            <v>4.6245332034421152</v>
          </cell>
          <cell r="F209">
            <v>4.5684473107812078</v>
          </cell>
          <cell r="G209">
            <v>6.074047954866014</v>
          </cell>
          <cell r="H209">
            <v>5.4961715160796389</v>
          </cell>
          <cell r="I209">
            <v>8.4400023176313645</v>
          </cell>
          <cell r="J209">
            <v>16.494111945770047</v>
          </cell>
          <cell r="K209">
            <v>23.127242954470915</v>
          </cell>
          <cell r="L209">
            <v>52.083392581960858</v>
          </cell>
          <cell r="M209">
            <v>68.841216450052116</v>
          </cell>
          <cell r="N209">
            <v>44.893431699774844</v>
          </cell>
          <cell r="O209">
            <v>246.47594247816988</v>
          </cell>
        </row>
        <row r="210">
          <cell r="B210" t="str">
            <v>Inventory turnover (days)</v>
          </cell>
          <cell r="E210">
            <v>171.89300540948545</v>
          </cell>
          <cell r="F210">
            <v>169.60965308560375</v>
          </cell>
          <cell r="G210">
            <v>178.54231756138702</v>
          </cell>
          <cell r="H210">
            <v>173.94089626798356</v>
          </cell>
          <cell r="I210">
            <v>171.90315980962666</v>
          </cell>
          <cell r="J210">
            <v>191.96312726941247</v>
          </cell>
          <cell r="K210">
            <v>169.06379256756213</v>
          </cell>
          <cell r="L210">
            <v>151.81672212665393</v>
          </cell>
          <cell r="M210">
            <v>160.95965087202862</v>
          </cell>
          <cell r="N210">
            <v>152.14786549208489</v>
          </cell>
          <cell r="O210">
            <v>141.71877689721003</v>
          </cell>
        </row>
        <row r="211">
          <cell r="B211" t="str">
            <v>Avg. collection period (days)</v>
          </cell>
          <cell r="E211">
            <v>-45.857010309688881</v>
          </cell>
          <cell r="F211">
            <v>-33.062105024231151</v>
          </cell>
          <cell r="G211">
            <v>-20.077495029395291</v>
          </cell>
          <cell r="H211">
            <v>-12.942290425271404</v>
          </cell>
          <cell r="I211">
            <v>-12.454335978828432</v>
          </cell>
          <cell r="J211">
            <v>-10.445908467756766</v>
          </cell>
          <cell r="K211">
            <v>-12.710931144341059</v>
          </cell>
          <cell r="L211">
            <v>-14.362844109384172</v>
          </cell>
          <cell r="M211">
            <v>-13.634283528706513</v>
          </cell>
          <cell r="N211">
            <v>-13.957265945561719</v>
          </cell>
          <cell r="O211">
            <v>-13.480403433283714</v>
          </cell>
        </row>
        <row r="212">
          <cell r="B212" t="str">
            <v>Avg. payment period (days)</v>
          </cell>
          <cell r="E212">
            <v>115.07017870728336</v>
          </cell>
          <cell r="F212">
            <v>141.29469662604993</v>
          </cell>
          <cell r="G212">
            <v>177.75622319729629</v>
          </cell>
          <cell r="H212">
            <v>184.57053876189494</v>
          </cell>
          <cell r="I212">
            <v>221.69063953296614</v>
          </cell>
          <cell r="J212">
            <v>275.27002908514015</v>
          </cell>
          <cell r="K212">
            <v>255.18251294685504</v>
          </cell>
          <cell r="L212">
            <v>294.68927862048076</v>
          </cell>
          <cell r="M212">
            <v>344.41538918990352</v>
          </cell>
          <cell r="N212">
            <v>378.2426938199078</v>
          </cell>
          <cell r="O212">
            <v>376.78856010005768</v>
          </cell>
        </row>
      </sheetData>
      <sheetData sheetId="8" refreshError="1"/>
      <sheetData sheetId="9" refreshError="1"/>
      <sheetData sheetId="10" refreshError="1"/>
      <sheetData sheetId="11" refreshError="1"/>
      <sheetData sheetId="12" refreshError="1">
        <row r="4">
          <cell r="B4" t="str">
            <v>Q1 01</v>
          </cell>
          <cell r="C4" t="str">
            <v>Q1 02</v>
          </cell>
          <cell r="D4" t="str">
            <v>Growth</v>
          </cell>
          <cell r="E4" t="str">
            <v>Q1 02E</v>
          </cell>
          <cell r="F4" t="str">
            <v>Var %</v>
          </cell>
          <cell r="G4" t="str">
            <v>Growth</v>
          </cell>
          <cell r="H4" t="str">
            <v>Q2 2001</v>
          </cell>
          <cell r="I4" t="str">
            <v>Q2 2002</v>
          </cell>
          <cell r="J4" t="str">
            <v>Growth</v>
          </cell>
          <cell r="K4" t="str">
            <v>Q2 2002E</v>
          </cell>
          <cell r="L4" t="str">
            <v>Var</v>
          </cell>
          <cell r="M4" t="str">
            <v>Growth</v>
          </cell>
        </row>
        <row r="5">
          <cell r="A5" t="str">
            <v>Cigarette volume : yoy growth %</v>
          </cell>
          <cell r="B5">
            <v>0</v>
          </cell>
          <cell r="C5">
            <v>0</v>
          </cell>
          <cell r="D5">
            <v>-9.5000000000000001E-2</v>
          </cell>
          <cell r="E5">
            <v>0</v>
          </cell>
          <cell r="F5">
            <v>0</v>
          </cell>
          <cell r="G5">
            <v>0</v>
          </cell>
          <cell r="H5">
            <v>0</v>
          </cell>
          <cell r="I5">
            <v>0</v>
          </cell>
          <cell r="J5">
            <v>-0.09</v>
          </cell>
        </row>
        <row r="6">
          <cell r="A6" t="str">
            <v>Cigarette realisation growth</v>
          </cell>
        </row>
        <row r="7">
          <cell r="A7" t="str">
            <v>Cigarrete sales yoy growth %</v>
          </cell>
        </row>
        <row r="8">
          <cell r="A8" t="str">
            <v>Gross sales</v>
          </cell>
          <cell r="B8">
            <v>21259.7</v>
          </cell>
          <cell r="C8">
            <v>22260</v>
          </cell>
          <cell r="D8">
            <v>4.7051463567218788E-2</v>
          </cell>
          <cell r="E8">
            <v>22858.429440000004</v>
          </cell>
          <cell r="F8">
            <v>-2.6179814390607681E-2</v>
          </cell>
          <cell r="G8">
            <v>7.5200000000000156E-2</v>
          </cell>
          <cell r="H8">
            <v>21230.9</v>
          </cell>
          <cell r="I8">
            <v>22831.9</v>
          </cell>
          <cell r="J8">
            <v>7.5408955814402656E-2</v>
          </cell>
          <cell r="K8">
            <v>22589.677600000003</v>
          </cell>
          <cell r="L8">
            <v>1.0722702833085185E-2</v>
          </cell>
          <cell r="M8">
            <v>6.4000000000000057E-2</v>
          </cell>
        </row>
        <row r="9">
          <cell r="A9" t="str">
            <v>Excise duty</v>
          </cell>
          <cell r="B9">
            <v>-11199.800000000001</v>
          </cell>
          <cell r="C9">
            <v>-11781.1</v>
          </cell>
          <cell r="D9">
            <v>5.1902712548438368E-2</v>
          </cell>
          <cell r="E9">
            <v>-12117.287616</v>
          </cell>
          <cell r="F9">
            <v>-2.7744461190810421E-2</v>
          </cell>
          <cell r="G9">
            <v>8.1919999999999771E-2</v>
          </cell>
          <cell r="H9">
            <v>-11202</v>
          </cell>
          <cell r="I9">
            <v>-11807.7</v>
          </cell>
          <cell r="J9">
            <v>5.407070166041783E-2</v>
          </cell>
          <cell r="K9">
            <v>-11904.760095200001</v>
          </cell>
          <cell r="L9">
            <v>-8.1530492360896156E-3</v>
          </cell>
          <cell r="M9">
            <v>6.2735234351008806E-2</v>
          </cell>
        </row>
        <row r="10">
          <cell r="A10" t="str">
            <v>Net sales</v>
          </cell>
          <cell r="B10">
            <v>10059.9</v>
          </cell>
          <cell r="C10">
            <v>10478.9</v>
          </cell>
          <cell r="D10">
            <v>4.165051342458681E-2</v>
          </cell>
          <cell r="E10">
            <v>10741.141824000004</v>
          </cell>
          <cell r="F10">
            <v>-2.4414706396861052E-2</v>
          </cell>
          <cell r="G10">
            <v>6.7718548295709224E-2</v>
          </cell>
          <cell r="H10">
            <v>10043.9</v>
          </cell>
          <cell r="I10">
            <v>11024.2</v>
          </cell>
          <cell r="J10">
            <v>9.7601529286432731E-2</v>
          </cell>
          <cell r="K10">
            <v>10684.917504800002</v>
          </cell>
          <cell r="L10">
            <v>3.1753403341446829E-2</v>
          </cell>
          <cell r="M10">
            <v>6.3821573771144946E-2</v>
          </cell>
        </row>
        <row r="11">
          <cell r="A11" t="str">
            <v>(inc)/dec in stock in trade</v>
          </cell>
          <cell r="B11">
            <v>-145.80000000000001</v>
          </cell>
          <cell r="C11">
            <v>-173.1</v>
          </cell>
          <cell r="D11">
            <v>0</v>
          </cell>
          <cell r="E11">
            <v>0</v>
          </cell>
          <cell r="F11" t="e">
            <v>#DIV/0!</v>
          </cell>
          <cell r="G11">
            <v>-1</v>
          </cell>
          <cell r="H11">
            <v>8.9</v>
          </cell>
          <cell r="I11">
            <v>-533.70000000000005</v>
          </cell>
        </row>
        <row r="12">
          <cell r="A12" t="str">
            <v>consumption of raw material</v>
          </cell>
          <cell r="B12">
            <v>3708.7</v>
          </cell>
          <cell r="C12">
            <v>3491.2</v>
          </cell>
          <cell r="D12">
            <v>-6.8708074882820158E-2</v>
          </cell>
          <cell r="E12">
            <v>3437.1653836800015</v>
          </cell>
          <cell r="F12">
            <v>1.5720691409427001E-2</v>
          </cell>
          <cell r="G12">
            <v>-7.3215578590880459E-2</v>
          </cell>
          <cell r="H12">
            <v>3247.2</v>
          </cell>
          <cell r="I12">
            <v>4204.6000000000004</v>
          </cell>
          <cell r="J12">
            <v>0.12739166487515763</v>
          </cell>
          <cell r="K12">
            <v>3269.5847564688006</v>
          </cell>
          <cell r="L12">
            <v>0.28597369793864269</v>
          </cell>
          <cell r="M12">
            <v>4.1413827796445979E-3</v>
          </cell>
        </row>
        <row r="13">
          <cell r="A13" t="str">
            <v>staff cost</v>
          </cell>
          <cell r="B13">
            <v>631.9</v>
          </cell>
          <cell r="C13">
            <v>614.70000000000005</v>
          </cell>
          <cell r="D13">
            <v>-2.7219496755815697E-2</v>
          </cell>
          <cell r="E13">
            <v>695.09</v>
          </cell>
          <cell r="F13">
            <v>-0.11565408795983256</v>
          </cell>
          <cell r="G13">
            <v>0.10000000000000009</v>
          </cell>
          <cell r="H13">
            <v>706.9</v>
          </cell>
          <cell r="I13">
            <v>599.4</v>
          </cell>
          <cell r="J13">
            <v>-0.15207242891498096</v>
          </cell>
          <cell r="K13">
            <v>713.96899999999994</v>
          </cell>
          <cell r="L13">
            <v>-0.16046775140097114</v>
          </cell>
          <cell r="M13">
            <v>1.0000000000000009E-2</v>
          </cell>
        </row>
        <row r="14">
          <cell r="A14" t="str">
            <v>other exp</v>
          </cell>
          <cell r="B14">
            <v>1476.1</v>
          </cell>
          <cell r="C14">
            <v>1582.7</v>
          </cell>
          <cell r="D14">
            <v>7.2217329449224321E-2</v>
          </cell>
          <cell r="E14">
            <v>1328.49</v>
          </cell>
          <cell r="F14">
            <v>0.19135258827691581</v>
          </cell>
          <cell r="G14">
            <v>-9.9999999999999978E-2</v>
          </cell>
          <cell r="H14">
            <v>1788.1</v>
          </cell>
          <cell r="I14">
            <v>2018</v>
          </cell>
          <cell r="J14">
            <v>0.12857222750405461</v>
          </cell>
          <cell r="K14">
            <v>1859.624</v>
          </cell>
          <cell r="L14">
            <v>8.5165603369283138E-2</v>
          </cell>
          <cell r="M14">
            <v>4.0000000000000036E-2</v>
          </cell>
        </row>
        <row r="16">
          <cell r="A16" t="str">
            <v>Expenditure</v>
          </cell>
          <cell r="B16">
            <v>5670.9</v>
          </cell>
          <cell r="C16">
            <v>5515.5</v>
          </cell>
          <cell r="D16">
            <v>-2.7403057715706391E-2</v>
          </cell>
          <cell r="E16">
            <v>5460.7453836800014</v>
          </cell>
          <cell r="F16">
            <v>1.0026949156728415E-2</v>
          </cell>
          <cell r="G16">
            <v>-3.7058423939762331E-2</v>
          </cell>
          <cell r="H16">
            <v>5751.1</v>
          </cell>
          <cell r="I16">
            <v>6288.3</v>
          </cell>
          <cell r="J16">
            <v>9.3408217558380136E-2</v>
          </cell>
          <cell r="K16">
            <v>5843.1777564688009</v>
          </cell>
          <cell r="L16">
            <v>7.6178110966831136E-2</v>
          </cell>
          <cell r="M16">
            <v>1.6010459993531789E-2</v>
          </cell>
        </row>
        <row r="17">
          <cell r="A17" t="str">
            <v>Gross profit</v>
          </cell>
          <cell r="B17">
            <v>4389</v>
          </cell>
          <cell r="C17">
            <v>4963.3999999999996</v>
          </cell>
          <cell r="D17">
            <v>0.13087263613579392</v>
          </cell>
          <cell r="E17">
            <v>5280.3964403200025</v>
          </cell>
          <cell r="F17">
            <v>-6.0032697147411995E-2</v>
          </cell>
          <cell r="G17">
            <v>0.20309784468443892</v>
          </cell>
          <cell r="H17">
            <v>4292.7999999999993</v>
          </cell>
          <cell r="I17">
            <v>4735.9000000000005</v>
          </cell>
          <cell r="J17">
            <v>0.10321934401789079</v>
          </cell>
          <cell r="K17">
            <v>4841.7397483312006</v>
          </cell>
          <cell r="L17">
            <v>-2.1859859024368267E-2</v>
          </cell>
          <cell r="M17">
            <v>0.12787452206746219</v>
          </cell>
        </row>
        <row r="18">
          <cell r="A18" t="str">
            <v>Depreciation</v>
          </cell>
          <cell r="B18">
            <v>-378.1</v>
          </cell>
          <cell r="C18">
            <v>-380.3</v>
          </cell>
          <cell r="D18">
            <v>5.8185665167944656E-3</v>
          </cell>
          <cell r="E18">
            <v>-496.32499999999999</v>
          </cell>
          <cell r="F18">
            <v>-0.23376819624238143</v>
          </cell>
          <cell r="G18">
            <v>0.31268183020364981</v>
          </cell>
          <cell r="H18">
            <v>-290.8</v>
          </cell>
          <cell r="I18">
            <v>-374.8</v>
          </cell>
          <cell r="J18">
            <v>0.28885832187070148</v>
          </cell>
          <cell r="K18">
            <v>-308.24800000000005</v>
          </cell>
          <cell r="L18">
            <v>0.21590407723651062</v>
          </cell>
          <cell r="M18">
            <v>6.0000000000000053E-2</v>
          </cell>
        </row>
        <row r="19">
          <cell r="A19" t="str">
            <v>Operational profit</v>
          </cell>
          <cell r="B19">
            <v>4010.9</v>
          </cell>
          <cell r="C19">
            <v>4583.0999999999995</v>
          </cell>
          <cell r="D19">
            <v>0.14266124809893022</v>
          </cell>
          <cell r="E19">
            <v>4784.0714403200027</v>
          </cell>
          <cell r="F19">
            <v>-4.2008453014773628E-2</v>
          </cell>
          <cell r="G19">
            <v>0.19276756845595822</v>
          </cell>
          <cell r="H19">
            <v>4001.9999999999991</v>
          </cell>
          <cell r="I19">
            <v>4361.1000000000004</v>
          </cell>
          <cell r="J19">
            <v>8.9730134932534122E-2</v>
          </cell>
          <cell r="K19">
            <v>4533.4917483312001</v>
          </cell>
          <cell r="L19">
            <v>-3.8026262735485927E-2</v>
          </cell>
          <cell r="M19">
            <v>0.13280653381589236</v>
          </cell>
        </row>
        <row r="20">
          <cell r="A20" t="str">
            <v>Net interest</v>
          </cell>
          <cell r="B20">
            <v>-231</v>
          </cell>
          <cell r="C20">
            <v>-186.2</v>
          </cell>
          <cell r="D20">
            <v>-0.19393939393939397</v>
          </cell>
          <cell r="E20">
            <v>-138.6</v>
          </cell>
          <cell r="F20">
            <v>0.34343434343434343</v>
          </cell>
          <cell r="G20">
            <v>-0.4</v>
          </cell>
          <cell r="H20">
            <v>-241.5</v>
          </cell>
          <cell r="I20">
            <v>-151.4</v>
          </cell>
          <cell r="J20">
            <v>-0.37308488612836432</v>
          </cell>
          <cell r="K20">
            <v>-193.20000000000002</v>
          </cell>
          <cell r="L20">
            <v>-0.21635610766045554</v>
          </cell>
          <cell r="M20">
            <v>-0.19999999999999996</v>
          </cell>
        </row>
        <row r="21">
          <cell r="A21" t="str">
            <v>Other income</v>
          </cell>
          <cell r="B21">
            <v>177.3</v>
          </cell>
          <cell r="C21">
            <v>264.2</v>
          </cell>
          <cell r="D21">
            <v>0.49012972363226148</v>
          </cell>
          <cell r="E21">
            <v>203.89500000000001</v>
          </cell>
          <cell r="F21">
            <v>0.29576497707153182</v>
          </cell>
          <cell r="G21">
            <v>0.14999999999999991</v>
          </cell>
          <cell r="H21">
            <v>370.8</v>
          </cell>
          <cell r="I21">
            <v>328.5</v>
          </cell>
          <cell r="J21">
            <v>-0.11407766990291268</v>
          </cell>
          <cell r="K21">
            <v>463.5</v>
          </cell>
          <cell r="L21">
            <v>-0.29126213592233008</v>
          </cell>
          <cell r="M21">
            <v>0.25</v>
          </cell>
        </row>
        <row r="22">
          <cell r="A22" t="str">
            <v>PBT</v>
          </cell>
          <cell r="B22">
            <v>3957.2000000000003</v>
          </cell>
          <cell r="C22">
            <v>4661.0999999999995</v>
          </cell>
          <cell r="D22">
            <v>0.17787829778631337</v>
          </cell>
          <cell r="E22">
            <v>4849.3664403200028</v>
          </cell>
          <cell r="F22">
            <v>-3.882289421452334E-2</v>
          </cell>
          <cell r="G22">
            <v>0.2254539675325995</v>
          </cell>
          <cell r="H22">
            <v>4131.2999999999993</v>
          </cell>
          <cell r="I22">
            <v>4538.2000000000007</v>
          </cell>
          <cell r="J22">
            <v>9.849200009682213E-2</v>
          </cell>
          <cell r="K22">
            <v>4803.7917483312003</v>
          </cell>
          <cell r="L22">
            <v>-5.528793966213541E-2</v>
          </cell>
          <cell r="M22">
            <v>0.16277969363909683</v>
          </cell>
        </row>
        <row r="23">
          <cell r="A23" t="str">
            <v>Tax - current</v>
          </cell>
          <cell r="B23">
            <v>-1535.4</v>
          </cell>
          <cell r="C23">
            <v>-1729.6</v>
          </cell>
          <cell r="D23">
            <v>0.12648169858017444</v>
          </cell>
          <cell r="E23">
            <v>-1842.7592473216012</v>
          </cell>
          <cell r="F23">
            <v>-6.1407504798076551E-2</v>
          </cell>
          <cell r="G23">
            <v>0.20018187268568521</v>
          </cell>
          <cell r="H23">
            <v>-1614.8</v>
          </cell>
          <cell r="I23">
            <v>-1709.3</v>
          </cell>
          <cell r="J23">
            <v>5.8521179093386166E-2</v>
          </cell>
          <cell r="K23">
            <v>-1777.402946882544</v>
          </cell>
          <cell r="L23">
            <v>-3.8315986255110235E-2</v>
          </cell>
          <cell r="M23">
            <v>0.10069540926588072</v>
          </cell>
        </row>
        <row r="24">
          <cell r="A24" t="str">
            <v>Tax - deferred</v>
          </cell>
          <cell r="B24">
            <v>67.900000000000006</v>
          </cell>
          <cell r="C24">
            <v>75.599999999999994</v>
          </cell>
          <cell r="D24">
            <v>0</v>
          </cell>
          <cell r="E24">
            <v>0</v>
          </cell>
          <cell r="F24">
            <v>0</v>
          </cell>
          <cell r="G24">
            <v>0</v>
          </cell>
          <cell r="H24">
            <v>69.7</v>
          </cell>
          <cell r="I24">
            <v>187.2</v>
          </cell>
          <cell r="J24">
            <v>1.6857962697274029</v>
          </cell>
          <cell r="K24">
            <v>0</v>
          </cell>
          <cell r="L24" t="e">
            <v>#DIV/0!</v>
          </cell>
        </row>
        <row r="25">
          <cell r="A25" t="str">
            <v>Tax writebacks</v>
          </cell>
        </row>
        <row r="26">
          <cell r="A26" t="str">
            <v>Net profit</v>
          </cell>
          <cell r="B26">
            <v>2489.7000000000003</v>
          </cell>
          <cell r="C26">
            <v>3007.0999999999995</v>
          </cell>
          <cell r="D26">
            <v>0.20781620275535162</v>
          </cell>
          <cell r="E26">
            <v>3006.6071929984018</v>
          </cell>
          <cell r="F26">
            <v>1.6390800991405996E-4</v>
          </cell>
          <cell r="G26">
            <v>0.20761826444888998</v>
          </cell>
          <cell r="H26">
            <v>2586.1999999999989</v>
          </cell>
          <cell r="I26">
            <v>3016.1000000000004</v>
          </cell>
          <cell r="J26">
            <v>0.1662284432758494</v>
          </cell>
          <cell r="K26">
            <v>3026.3888014486565</v>
          </cell>
          <cell r="L26">
            <v>-3.3996958499619145E-3</v>
          </cell>
          <cell r="M26">
            <v>0.17020679044492226</v>
          </cell>
        </row>
        <row r="27">
          <cell r="A27" t="str">
            <v>Extra ordinary items</v>
          </cell>
          <cell r="B27">
            <v>0</v>
          </cell>
          <cell r="C27">
            <v>0</v>
          </cell>
          <cell r="D27">
            <v>0</v>
          </cell>
          <cell r="E27">
            <v>0</v>
          </cell>
          <cell r="F27">
            <v>0</v>
          </cell>
          <cell r="G27">
            <v>0</v>
          </cell>
          <cell r="H27">
            <v>0</v>
          </cell>
          <cell r="I27">
            <v>320</v>
          </cell>
          <cell r="J27">
            <v>0</v>
          </cell>
          <cell r="K27">
            <v>0</v>
          </cell>
          <cell r="L27" t="e">
            <v>#DIV/0!</v>
          </cell>
        </row>
        <row r="28">
          <cell r="A28" t="str">
            <v>Reported profits</v>
          </cell>
          <cell r="B28">
            <v>2489.7000000000003</v>
          </cell>
          <cell r="C28">
            <v>3007.0999999999995</v>
          </cell>
          <cell r="D28">
            <v>0.20781620275535162</v>
          </cell>
          <cell r="E28">
            <v>3006.6071929984018</v>
          </cell>
          <cell r="F28">
            <v>1.6390800991405996E-4</v>
          </cell>
          <cell r="G28">
            <v>0.20761826444888998</v>
          </cell>
          <cell r="H28">
            <v>2586.1999999999989</v>
          </cell>
          <cell r="I28">
            <v>3336.1000000000004</v>
          </cell>
          <cell r="J28">
            <v>0.28996210656561816</v>
          </cell>
          <cell r="K28">
            <v>3026.3888014486565</v>
          </cell>
          <cell r="L28">
            <v>0.10233688361624016</v>
          </cell>
          <cell r="M28">
            <v>0.17020679044492226</v>
          </cell>
        </row>
        <row r="30">
          <cell r="A30" t="str">
            <v>% sales</v>
          </cell>
        </row>
        <row r="31">
          <cell r="A31" t="str">
            <v>% profits</v>
          </cell>
        </row>
        <row r="34">
          <cell r="A34" t="str">
            <v>% sales</v>
          </cell>
        </row>
        <row r="35">
          <cell r="A35" t="str">
            <v>Material</v>
          </cell>
          <cell r="B35">
            <v>0.35416853050229125</v>
          </cell>
          <cell r="C35">
            <v>0.31664583114639894</v>
          </cell>
          <cell r="D35">
            <v>-3.7522699355892308E-2</v>
          </cell>
          <cell r="E35">
            <v>0.32</v>
          </cell>
          <cell r="F35">
            <v>0</v>
          </cell>
          <cell r="G35">
            <v>0</v>
          </cell>
          <cell r="H35">
            <v>0.32418681986081105</v>
          </cell>
          <cell r="I35">
            <v>0.33298561346855104</v>
          </cell>
          <cell r="J35">
            <v>0</v>
          </cell>
          <cell r="K35">
            <v>0.30599999999999999</v>
          </cell>
        </row>
        <row r="36">
          <cell r="A36" t="str">
            <v>staff</v>
          </cell>
          <cell r="B36">
            <v>6.2813745663475778E-2</v>
          </cell>
          <cell r="C36">
            <v>5.866073729112789E-2</v>
          </cell>
          <cell r="D36">
            <v>0</v>
          </cell>
          <cell r="E36">
            <v>6.4712859339301446E-2</v>
          </cell>
          <cell r="F36">
            <v>0</v>
          </cell>
          <cell r="G36">
            <v>0</v>
          </cell>
          <cell r="H36">
            <v>7.0381027290196047E-2</v>
          </cell>
          <cell r="I36">
            <v>5.4371292247963568E-2</v>
          </cell>
          <cell r="J36">
            <v>0</v>
          </cell>
          <cell r="K36">
            <v>6.6820263205519606E-2</v>
          </cell>
        </row>
        <row r="37">
          <cell r="A37" t="str">
            <v>other expenses</v>
          </cell>
          <cell r="B37">
            <v>0.14673108082585315</v>
          </cell>
          <cell r="C37">
            <v>0.15103684547042151</v>
          </cell>
          <cell r="D37">
            <v>0</v>
          </cell>
          <cell r="E37">
            <v>0.12368238142351146</v>
          </cell>
          <cell r="F37">
            <v>0</v>
          </cell>
          <cell r="G37">
            <v>0</v>
          </cell>
          <cell r="H37">
            <v>0.17802845508218917</v>
          </cell>
          <cell r="I37">
            <v>0.18305183142540954</v>
          </cell>
          <cell r="J37">
            <v>0</v>
          </cell>
          <cell r="K37">
            <v>0.17404196140630926</v>
          </cell>
        </row>
        <row r="39">
          <cell r="A39" t="str">
            <v>Margins</v>
          </cell>
        </row>
        <row r="40">
          <cell r="A40" t="str">
            <v>EBITDA</v>
          </cell>
          <cell r="B40">
            <v>0.43628664300837983</v>
          </cell>
          <cell r="C40">
            <v>0.47365658609205163</v>
          </cell>
          <cell r="D40">
            <v>3.7369943083671808E-2</v>
          </cell>
          <cell r="E40">
            <v>0.49160475923718711</v>
          </cell>
          <cell r="F40">
            <v>0</v>
          </cell>
          <cell r="G40">
            <v>5.5318116228807279E-2</v>
          </cell>
          <cell r="H40">
            <v>0.42740369776680365</v>
          </cell>
          <cell r="I40">
            <v>0.42959126285807592</v>
          </cell>
          <cell r="J40">
            <v>2.1875650912722699E-3</v>
          </cell>
          <cell r="K40">
            <v>0.45313777538817107</v>
          </cell>
          <cell r="L40">
            <v>-5.3130551137535009E-2</v>
          </cell>
          <cell r="M40">
            <v>2.5734077621367424E-2</v>
          </cell>
        </row>
        <row r="41">
          <cell r="A41" t="str">
            <v>EBIT</v>
          </cell>
          <cell r="B41">
            <v>0.39870177635960596</v>
          </cell>
          <cell r="C41">
            <v>0.43736460888070311</v>
          </cell>
          <cell r="D41">
            <v>3.8662832521097146E-2</v>
          </cell>
          <cell r="E41">
            <v>0.44539691577579538</v>
          </cell>
          <cell r="F41">
            <v>0</v>
          </cell>
          <cell r="G41">
            <v>4.6695139416189413E-2</v>
          </cell>
          <cell r="H41">
            <v>0.39845080098368157</v>
          </cell>
          <cell r="I41">
            <v>0.3955933310353586</v>
          </cell>
          <cell r="J41">
            <v>-2.8574699483229771E-3</v>
          </cell>
          <cell r="K41">
            <v>0.42428888630114486</v>
          </cell>
          <cell r="L41">
            <v>-4.955260936451239E-2</v>
          </cell>
          <cell r="M41">
            <v>2.5838085317463289E-2</v>
          </cell>
        </row>
        <row r="42">
          <cell r="A42" t="str">
            <v>PBT</v>
          </cell>
          <cell r="B42">
            <v>0.39336375113072697</v>
          </cell>
          <cell r="C42">
            <v>0.44480813825878668</v>
          </cell>
          <cell r="D42">
            <v>5.144438712805971E-2</v>
          </cell>
          <cell r="E42">
            <v>0.45147587842891895</v>
          </cell>
          <cell r="F42">
            <v>0</v>
          </cell>
          <cell r="G42">
            <v>5.8112127298191985E-2</v>
          </cell>
          <cell r="H42">
            <v>0.41132428638277951</v>
          </cell>
          <cell r="I42">
            <v>0.41165798878830212</v>
          </cell>
          <cell r="J42">
            <v>3.3370240552260677E-4</v>
          </cell>
          <cell r="K42">
            <v>0.44958622714430746</v>
          </cell>
          <cell r="L42">
            <v>-5.7778424892669378E-2</v>
          </cell>
          <cell r="M42">
            <v>3.8261940761527946E-2</v>
          </cell>
        </row>
        <row r="43">
          <cell r="A43" t="str">
            <v>PAT</v>
          </cell>
          <cell r="B43">
            <v>0.24748754957802765</v>
          </cell>
          <cell r="C43">
            <v>0.28696714349788621</v>
          </cell>
          <cell r="D43">
            <v>3.9479593919858558E-2</v>
          </cell>
          <cell r="E43">
            <v>0.27991504462592975</v>
          </cell>
          <cell r="F43">
            <v>0</v>
          </cell>
          <cell r="G43">
            <v>3.24274950479021E-2</v>
          </cell>
          <cell r="H43">
            <v>0.25748962056571639</v>
          </cell>
          <cell r="I43">
            <v>0.27358901326173329</v>
          </cell>
          <cell r="J43">
            <v>1.6099392696016901E-2</v>
          </cell>
          <cell r="K43">
            <v>0.28323932310091371</v>
          </cell>
          <cell r="L43">
            <v>-1.6328102351885199E-2</v>
          </cell>
          <cell r="M43">
            <v>2.5749702535197316E-2</v>
          </cell>
        </row>
        <row r="45">
          <cell r="A45" t="str">
            <v>Tax rate - current</v>
          </cell>
          <cell r="B45">
            <v>0.38800161730516525</v>
          </cell>
          <cell r="C45">
            <v>0.37107120636759566</v>
          </cell>
          <cell r="D45">
            <v>0</v>
          </cell>
          <cell r="E45">
            <v>0.38</v>
          </cell>
          <cell r="F45">
            <v>0</v>
          </cell>
          <cell r="G45">
            <v>0</v>
          </cell>
          <cell r="H45">
            <v>0.39086970203083782</v>
          </cell>
          <cell r="I45">
            <v>0.37664712881759282</v>
          </cell>
          <cell r="J45">
            <v>0</v>
          </cell>
          <cell r="K45">
            <v>0.37</v>
          </cell>
        </row>
        <row r="46">
          <cell r="A46" t="str">
            <v>Tax rate - overall</v>
          </cell>
          <cell r="B46">
            <v>0.37084302031739613</v>
          </cell>
          <cell r="C46">
            <v>0.35485185900323962</v>
          </cell>
        </row>
        <row r="47">
          <cell r="A47" t="str">
            <v>Excise duty rates</v>
          </cell>
          <cell r="B47">
            <v>0.52680893897844283</v>
          </cell>
          <cell r="C47">
            <v>0.52924977538185092</v>
          </cell>
          <cell r="D47">
            <v>0</v>
          </cell>
          <cell r="E47">
            <v>0.53010149484705793</v>
          </cell>
          <cell r="F47">
            <v>0</v>
          </cell>
          <cell r="G47">
            <v>0</v>
          </cell>
          <cell r="H47">
            <v>0.52762718490502047</v>
          </cell>
          <cell r="I47">
            <v>0.51715801137881645</v>
          </cell>
          <cell r="J47">
            <v>0</v>
          </cell>
          <cell r="K47">
            <v>0.52700000000000002</v>
          </cell>
        </row>
        <row r="49">
          <cell r="C49" t="str">
            <v>Q1 2002</v>
          </cell>
          <cell r="D49">
            <v>0</v>
          </cell>
          <cell r="E49">
            <v>0</v>
          </cell>
          <cell r="F49">
            <v>0</v>
          </cell>
          <cell r="G49">
            <v>0</v>
          </cell>
          <cell r="H49">
            <v>0</v>
          </cell>
          <cell r="I49" t="str">
            <v>Q2 2002</v>
          </cell>
        </row>
        <row r="50">
          <cell r="A50" t="str">
            <v>Sales</v>
          </cell>
        </row>
        <row r="51">
          <cell r="A51" t="str">
            <v>Cigarettes</v>
          </cell>
          <cell r="B51">
            <v>0</v>
          </cell>
          <cell r="C51">
            <v>20017.3</v>
          </cell>
          <cell r="D51">
            <v>0</v>
          </cell>
          <cell r="E51">
            <v>0</v>
          </cell>
          <cell r="F51">
            <v>0</v>
          </cell>
          <cell r="G51">
            <v>0</v>
          </cell>
          <cell r="H51">
            <v>0</v>
          </cell>
          <cell r="I51">
            <v>20132.7</v>
          </cell>
        </row>
        <row r="52">
          <cell r="A52" t="str">
            <v>FMCG - Others (greeting cards, garments, packaged foods)</v>
          </cell>
          <cell r="B52">
            <v>0</v>
          </cell>
          <cell r="C52">
            <v>22.8</v>
          </cell>
          <cell r="D52">
            <v>0</v>
          </cell>
          <cell r="E52">
            <v>0</v>
          </cell>
          <cell r="F52">
            <v>0</v>
          </cell>
          <cell r="G52">
            <v>0</v>
          </cell>
          <cell r="H52">
            <v>0</v>
          </cell>
          <cell r="I52">
            <v>52</v>
          </cell>
        </row>
        <row r="53">
          <cell r="A53" t="str">
            <v>Hotels</v>
          </cell>
          <cell r="B53">
            <v>0</v>
          </cell>
          <cell r="C53">
            <v>370.9</v>
          </cell>
          <cell r="D53">
            <v>0</v>
          </cell>
          <cell r="E53">
            <v>0</v>
          </cell>
          <cell r="F53">
            <v>0</v>
          </cell>
          <cell r="G53">
            <v>0</v>
          </cell>
          <cell r="H53">
            <v>0</v>
          </cell>
          <cell r="I53">
            <v>364.9</v>
          </cell>
        </row>
        <row r="54">
          <cell r="A54" t="str">
            <v>Agri business</v>
          </cell>
          <cell r="B54">
            <v>0</v>
          </cell>
          <cell r="C54">
            <v>1883.1</v>
          </cell>
          <cell r="D54">
            <v>0</v>
          </cell>
          <cell r="E54">
            <v>0</v>
          </cell>
          <cell r="F54">
            <v>0</v>
          </cell>
          <cell r="G54">
            <v>0</v>
          </cell>
          <cell r="H54">
            <v>0</v>
          </cell>
          <cell r="I54">
            <v>2031.3</v>
          </cell>
        </row>
        <row r="55">
          <cell r="A55" t="str">
            <v>Paper and packaging</v>
          </cell>
          <cell r="B55">
            <v>0</v>
          </cell>
          <cell r="C55">
            <v>1148.5999999999999</v>
          </cell>
          <cell r="D55">
            <v>0</v>
          </cell>
          <cell r="E55">
            <v>0</v>
          </cell>
          <cell r="F55">
            <v>0</v>
          </cell>
          <cell r="G55">
            <v>0</v>
          </cell>
          <cell r="H55">
            <v>0</v>
          </cell>
          <cell r="I55">
            <v>1394.3</v>
          </cell>
        </row>
        <row r="56">
          <cell r="A56" t="str">
            <v>Total</v>
          </cell>
          <cell r="B56">
            <v>0</v>
          </cell>
          <cell r="C56">
            <v>23442.7</v>
          </cell>
          <cell r="D56">
            <v>0</v>
          </cell>
          <cell r="E56">
            <v>0</v>
          </cell>
          <cell r="F56">
            <v>0</v>
          </cell>
          <cell r="G56">
            <v>0</v>
          </cell>
          <cell r="H56">
            <v>0</v>
          </cell>
          <cell r="I56">
            <v>23975.200000000001</v>
          </cell>
        </row>
      </sheetData>
      <sheetData sheetId="13" refreshError="1"/>
      <sheetData sheetId="14" refreshError="1"/>
      <sheetData sheetId="15" refreshError="1"/>
      <sheetData sheetId="16" refreshError="1"/>
      <sheetData sheetId="17" refreshError="1">
        <row r="1">
          <cell r="A1" t="str">
            <v>Excise rates Rs/1000 cig</v>
          </cell>
        </row>
        <row r="181">
          <cell r="B181">
            <v>0.08</v>
          </cell>
        </row>
      </sheetData>
      <sheetData sheetId="18" refreshError="1"/>
      <sheetData sheetId="19" refreshError="1"/>
      <sheetData sheetId="20" refreshError="1">
        <row r="1">
          <cell r="A1" t="str">
            <v>Volume Consumed</v>
          </cell>
          <cell r="B1" t="str">
            <v>Units</v>
          </cell>
          <cell r="C1" t="str">
            <v>FY9303</v>
          </cell>
          <cell r="D1" t="str">
            <v>FY9403</v>
          </cell>
          <cell r="E1" t="str">
            <v>FY9503</v>
          </cell>
          <cell r="F1" t="str">
            <v>FY9603</v>
          </cell>
          <cell r="G1" t="str">
            <v>FY9703</v>
          </cell>
          <cell r="H1" t="str">
            <v>FY9803</v>
          </cell>
          <cell r="I1" t="str">
            <v>FY9903</v>
          </cell>
          <cell r="J1" t="str">
            <v>FY0003</v>
          </cell>
        </row>
        <row r="2">
          <cell r="A2" t="str">
            <v>Unmanufactured tobacco</v>
          </cell>
          <cell r="B2" t="str">
            <v>Sensitivity Analysis - impact on EPS</v>
          </cell>
          <cell r="C2">
            <v>82402</v>
          </cell>
          <cell r="D2">
            <v>120629</v>
          </cell>
          <cell r="E2">
            <v>94811</v>
          </cell>
          <cell r="F2">
            <v>99873</v>
          </cell>
          <cell r="G2">
            <v>104241</v>
          </cell>
          <cell r="H2">
            <v>113984</v>
          </cell>
          <cell r="I2">
            <v>92166</v>
          </cell>
          <cell r="J2">
            <v>93974</v>
          </cell>
        </row>
        <row r="3">
          <cell r="A3" t="str">
            <v>New jute cuttings</v>
          </cell>
          <cell r="C3">
            <v>7619</v>
          </cell>
          <cell r="D3">
            <v>11695</v>
          </cell>
          <cell r="E3">
            <v>14371</v>
          </cell>
          <cell r="F3">
            <v>18050</v>
          </cell>
          <cell r="G3">
            <v>4808</v>
          </cell>
          <cell r="H3">
            <v>2470</v>
          </cell>
          <cell r="I3">
            <v>4118</v>
          </cell>
          <cell r="J3">
            <v>1071</v>
          </cell>
          <cell r="V3">
            <v>1</v>
          </cell>
        </row>
        <row r="4">
          <cell r="A4" t="str">
            <v>Waste paper and Pulp</v>
          </cell>
          <cell r="C4">
            <v>7097</v>
          </cell>
          <cell r="D4">
            <v>10012</v>
          </cell>
          <cell r="E4">
            <v>10550</v>
          </cell>
          <cell r="F4">
            <v>11586</v>
          </cell>
          <cell r="G4">
            <v>13705</v>
          </cell>
          <cell r="H4">
            <v>16313</v>
          </cell>
          <cell r="I4">
            <v>14531</v>
          </cell>
          <cell r="J4">
            <v>17305</v>
          </cell>
          <cell r="V4">
            <v>0</v>
          </cell>
        </row>
        <row r="5">
          <cell r="A5" t="str">
            <v>Hardwood and bamboo</v>
          </cell>
          <cell r="B5" t="str">
            <v>Base case</v>
          </cell>
          <cell r="C5">
            <v>32.289965882100205</v>
          </cell>
          <cell r="D5">
            <v>38.180116370669602</v>
          </cell>
        </row>
        <row r="6">
          <cell r="A6" t="str">
            <v>Agri products</v>
          </cell>
          <cell r="B6" t="str">
            <v>1% increase in retail prices</v>
          </cell>
          <cell r="C6">
            <v>28.249655117738115</v>
          </cell>
          <cell r="D6">
            <v>72285</v>
          </cell>
          <cell r="E6">
            <v>81338</v>
          </cell>
          <cell r="F6">
            <v>82350</v>
          </cell>
          <cell r="G6">
            <v>95847</v>
          </cell>
          <cell r="H6">
            <v>129661</v>
          </cell>
          <cell r="I6">
            <v>174501</v>
          </cell>
          <cell r="J6">
            <v>111105</v>
          </cell>
        </row>
        <row r="7">
          <cell r="A7" t="str">
            <v>Board</v>
          </cell>
          <cell r="B7" t="str">
            <v>% change</v>
          </cell>
          <cell r="C7">
            <v>28211</v>
          </cell>
          <cell r="D7">
            <v>27557</v>
          </cell>
          <cell r="E7">
            <v>34325</v>
          </cell>
          <cell r="F7">
            <v>37161</v>
          </cell>
          <cell r="G7">
            <v>35475</v>
          </cell>
          <cell r="H7">
            <v>38520</v>
          </cell>
          <cell r="I7">
            <v>36534</v>
          </cell>
          <cell r="J7">
            <v>36690</v>
          </cell>
        </row>
        <row r="8">
          <cell r="A8" t="str">
            <v>Filter rods</v>
          </cell>
          <cell r="B8" t="str">
            <v>1% inc in excise</v>
          </cell>
          <cell r="C8">
            <v>5274</v>
          </cell>
          <cell r="D8">
            <v>5605</v>
          </cell>
          <cell r="E8">
            <v>5560</v>
          </cell>
          <cell r="F8">
            <v>6628</v>
          </cell>
          <cell r="G8">
            <v>7447</v>
          </cell>
          <cell r="H8">
            <v>7921</v>
          </cell>
          <cell r="I8">
            <v>8160</v>
          </cell>
          <cell r="J8">
            <v>8333</v>
          </cell>
        </row>
        <row r="9">
          <cell r="A9" t="str">
            <v>Alu Foil/Metalised paper</v>
          </cell>
          <cell r="B9" t="str">
            <v>% change</v>
          </cell>
          <cell r="C9">
            <v>394780</v>
          </cell>
          <cell r="D9">
            <v>384193</v>
          </cell>
          <cell r="E9">
            <v>397276</v>
          </cell>
          <cell r="F9">
            <v>449946</v>
          </cell>
          <cell r="G9">
            <v>551271</v>
          </cell>
          <cell r="H9">
            <v>577949</v>
          </cell>
          <cell r="I9">
            <v>550463</v>
          </cell>
          <cell r="J9">
            <v>525386</v>
          </cell>
        </row>
        <row r="10">
          <cell r="A10" t="str">
            <v>BOPP film</v>
          </cell>
          <cell r="B10" t="str">
            <v>1% increase in cigarette volumes</v>
          </cell>
          <cell r="C10">
            <v>792</v>
          </cell>
          <cell r="D10">
            <v>820</v>
          </cell>
          <cell r="E10">
            <v>1161</v>
          </cell>
          <cell r="F10">
            <v>1435</v>
          </cell>
          <cell r="G10">
            <v>1634</v>
          </cell>
          <cell r="H10">
            <v>1705</v>
          </cell>
          <cell r="I10">
            <v>1704</v>
          </cell>
          <cell r="J10">
            <v>1624</v>
          </cell>
        </row>
        <row r="11">
          <cell r="A11" t="str">
            <v>Misc</v>
          </cell>
          <cell r="B11" t="str">
            <v>% change</v>
          </cell>
          <cell r="C11">
            <v>-0.16576948024743823</v>
          </cell>
          <cell r="D11">
            <v>0.08</v>
          </cell>
        </row>
        <row r="12">
          <cell r="B12" t="str">
            <v>1% shift to next higher segment</v>
          </cell>
          <cell r="C12">
            <v>26.657981159913021</v>
          </cell>
          <cell r="D12">
            <v>34.528796517658286</v>
          </cell>
        </row>
        <row r="13">
          <cell r="A13" t="str">
            <v>Value</v>
          </cell>
          <cell r="B13" t="str">
            <v>% change</v>
          </cell>
          <cell r="C13" t="str">
            <v>FY9303</v>
          </cell>
          <cell r="D13" t="str">
            <v>FY9403</v>
          </cell>
          <cell r="E13" t="str">
            <v>FY9503</v>
          </cell>
          <cell r="F13" t="str">
            <v>FY9603</v>
          </cell>
          <cell r="G13" t="str">
            <v>FY9703</v>
          </cell>
          <cell r="H13" t="str">
            <v>FY9803</v>
          </cell>
          <cell r="I13" t="str">
            <v>FY9903</v>
          </cell>
          <cell r="J13" t="str">
            <v>FY0003</v>
          </cell>
        </row>
        <row r="14">
          <cell r="A14" t="str">
            <v>Unmanufactured tobacco</v>
          </cell>
          <cell r="B14" t="str">
            <v>1% increase in tobacco prices</v>
          </cell>
          <cell r="C14">
            <v>2885.1</v>
          </cell>
          <cell r="D14">
            <v>4178.7</v>
          </cell>
          <cell r="E14">
            <v>3188.3</v>
          </cell>
          <cell r="F14">
            <v>3239.1</v>
          </cell>
          <cell r="G14">
            <v>4249.7</v>
          </cell>
          <cell r="H14">
            <v>5081.7</v>
          </cell>
          <cell r="I14">
            <v>5231</v>
          </cell>
          <cell r="J14">
            <v>4778.2</v>
          </cell>
        </row>
        <row r="15">
          <cell r="A15" t="str">
            <v>New jute cuttings</v>
          </cell>
          <cell r="B15" t="str">
            <v>% change</v>
          </cell>
          <cell r="C15">
            <v>42.1</v>
          </cell>
          <cell r="D15">
            <v>81</v>
          </cell>
          <cell r="E15">
            <v>115.1</v>
          </cell>
          <cell r="F15">
            <v>188</v>
          </cell>
          <cell r="G15">
            <v>67.900000000000006</v>
          </cell>
          <cell r="H15">
            <v>20.399999999999999</v>
          </cell>
          <cell r="I15">
            <v>29.6</v>
          </cell>
          <cell r="J15">
            <v>10.1</v>
          </cell>
        </row>
        <row r="16">
          <cell r="A16" t="str">
            <v>Waste paper and Pulp</v>
          </cell>
          <cell r="C16">
            <v>116.9</v>
          </cell>
          <cell r="D16">
            <v>160.69999999999999</v>
          </cell>
          <cell r="E16">
            <v>190.2</v>
          </cell>
          <cell r="F16">
            <v>352.1</v>
          </cell>
          <cell r="G16">
            <v>321.7</v>
          </cell>
          <cell r="H16">
            <v>343.2</v>
          </cell>
          <cell r="I16">
            <v>283.3</v>
          </cell>
          <cell r="J16">
            <v>394.2</v>
          </cell>
        </row>
        <row r="17">
          <cell r="A17" t="str">
            <v>Hardwood and bamboo</v>
          </cell>
        </row>
        <row r="18">
          <cell r="A18" t="str">
            <v>Agri products</v>
          </cell>
          <cell r="D18">
            <v>467.4</v>
          </cell>
          <cell r="E18">
            <v>623.70000000000005</v>
          </cell>
          <cell r="F18">
            <v>654.5</v>
          </cell>
          <cell r="G18">
            <v>1046.7</v>
          </cell>
          <cell r="H18">
            <v>1266.5</v>
          </cell>
          <cell r="I18">
            <v>1817.3</v>
          </cell>
          <cell r="J18">
            <v>1260.5999999999999</v>
          </cell>
        </row>
        <row r="19">
          <cell r="A19" t="str">
            <v>Board</v>
          </cell>
          <cell r="C19">
            <v>817.7</v>
          </cell>
          <cell r="D19">
            <v>1008.5</v>
          </cell>
          <cell r="E19">
            <v>1024.9000000000001</v>
          </cell>
          <cell r="F19">
            <v>1574.3</v>
          </cell>
          <cell r="G19">
            <v>1831.5</v>
          </cell>
          <cell r="H19">
            <v>1659.7</v>
          </cell>
          <cell r="I19">
            <v>2013.9</v>
          </cell>
          <cell r="J19">
            <v>1779.9</v>
          </cell>
        </row>
        <row r="20">
          <cell r="A20" t="str">
            <v>Filter rods</v>
          </cell>
          <cell r="C20">
            <v>410.8</v>
          </cell>
          <cell r="D20">
            <v>465.2</v>
          </cell>
          <cell r="E20">
            <v>486.3</v>
          </cell>
          <cell r="F20">
            <v>617.79999999999995</v>
          </cell>
          <cell r="G20">
            <v>737</v>
          </cell>
          <cell r="H20">
            <v>796.1</v>
          </cell>
          <cell r="I20">
            <v>868.5</v>
          </cell>
          <cell r="J20">
            <v>961.3</v>
          </cell>
        </row>
        <row r="21">
          <cell r="A21" t="str">
            <v>Alu Foil/Metalised paper</v>
          </cell>
          <cell r="C21">
            <v>234.7</v>
          </cell>
          <cell r="D21">
            <v>228.3</v>
          </cell>
          <cell r="E21">
            <v>287.60000000000002</v>
          </cell>
          <cell r="F21">
            <v>368.5</v>
          </cell>
          <cell r="G21">
            <v>468.7</v>
          </cell>
          <cell r="H21">
            <v>503.1</v>
          </cell>
          <cell r="I21">
            <v>513.4</v>
          </cell>
          <cell r="J21">
            <v>508.5</v>
          </cell>
        </row>
        <row r="22">
          <cell r="A22" t="str">
            <v>BOPP film</v>
          </cell>
          <cell r="C22">
            <v>114.9</v>
          </cell>
          <cell r="D22">
            <v>124.1</v>
          </cell>
          <cell r="E22">
            <v>180.7</v>
          </cell>
          <cell r="F22">
            <v>240.7</v>
          </cell>
          <cell r="G22">
            <v>324.89999999999998</v>
          </cell>
          <cell r="H22">
            <v>340.6</v>
          </cell>
          <cell r="I22">
            <v>316.8</v>
          </cell>
          <cell r="J22">
            <v>287.60000000000002</v>
          </cell>
        </row>
        <row r="23">
          <cell r="A23" t="str">
            <v>Chemicals for paperboard and paper</v>
          </cell>
        </row>
        <row r="24">
          <cell r="A24" t="str">
            <v>Misc</v>
          </cell>
          <cell r="C24">
            <v>1571.1</v>
          </cell>
          <cell r="D24">
            <v>1359.8</v>
          </cell>
          <cell r="E24">
            <v>1796.2</v>
          </cell>
          <cell r="F24">
            <v>1813.9</v>
          </cell>
          <cell r="G24">
            <v>1591.3</v>
          </cell>
          <cell r="H24">
            <v>1733.5</v>
          </cell>
          <cell r="I24">
            <v>1710.1</v>
          </cell>
          <cell r="J24">
            <v>2020</v>
          </cell>
        </row>
        <row r="26">
          <cell r="A26" t="str">
            <v>Total</v>
          </cell>
          <cell r="C26">
            <v>6193.2999999999993</v>
          </cell>
          <cell r="D26">
            <v>8073.7</v>
          </cell>
          <cell r="E26">
            <v>7893.0000000000009</v>
          </cell>
          <cell r="F26">
            <v>9048.9</v>
          </cell>
          <cell r="G26">
            <v>10639.4</v>
          </cell>
          <cell r="H26">
            <v>11744.800000000001</v>
          </cell>
          <cell r="I26">
            <v>12783.9</v>
          </cell>
          <cell r="J26">
            <v>12000.4</v>
          </cell>
        </row>
        <row r="27">
          <cell r="A27" t="str">
            <v>Modvat savings</v>
          </cell>
        </row>
        <row r="29">
          <cell r="A29" t="str">
            <v>Cost/ unit</v>
          </cell>
          <cell r="C29" t="str">
            <v>FY9303</v>
          </cell>
          <cell r="D29" t="str">
            <v>FY9403</v>
          </cell>
          <cell r="E29" t="str">
            <v>FY9503</v>
          </cell>
          <cell r="F29" t="str">
            <v>FY9603</v>
          </cell>
          <cell r="G29" t="str">
            <v>FY9703</v>
          </cell>
          <cell r="H29" t="str">
            <v>FY9803</v>
          </cell>
          <cell r="I29" t="str">
            <v>FY9903</v>
          </cell>
          <cell r="J29" t="str">
            <v>FY0003</v>
          </cell>
        </row>
        <row r="30">
          <cell r="A30" t="str">
            <v>Unmanufactured tobacco</v>
          </cell>
          <cell r="C30">
            <v>35.012499696609311</v>
          </cell>
          <cell r="D30">
            <v>34.64092382428769</v>
          </cell>
          <cell r="E30">
            <v>33.627954562234343</v>
          </cell>
          <cell r="F30">
            <v>32.432188879877444</v>
          </cell>
          <cell r="G30">
            <v>40.768027935265394</v>
          </cell>
          <cell r="H30">
            <v>44.582572992700726</v>
          </cell>
          <cell r="I30">
            <v>56.756287568083671</v>
          </cell>
          <cell r="J30">
            <v>50.84597867495264</v>
          </cell>
        </row>
        <row r="31">
          <cell r="A31" t="str">
            <v>New jute cuttings</v>
          </cell>
          <cell r="C31">
            <v>5.5256595353720961</v>
          </cell>
          <cell r="D31">
            <v>6.9260367678495083</v>
          </cell>
          <cell r="E31">
            <v>8.0091851645675316</v>
          </cell>
          <cell r="F31">
            <v>10.415512465373961</v>
          </cell>
          <cell r="G31">
            <v>14.122296173044926</v>
          </cell>
          <cell r="H31">
            <v>8.2591093117408914</v>
          </cell>
          <cell r="I31">
            <v>7.1879553181155904</v>
          </cell>
          <cell r="J31">
            <v>9.4304388422035483</v>
          </cell>
        </row>
        <row r="32">
          <cell r="A32" t="str">
            <v>Wood pulp</v>
          </cell>
          <cell r="C32">
            <v>16.471748626180077</v>
          </cell>
          <cell r="D32">
            <v>16.050739113064324</v>
          </cell>
          <cell r="E32">
            <v>18.028436018957343</v>
          </cell>
          <cell r="F32">
            <v>30.390126014155019</v>
          </cell>
          <cell r="G32">
            <v>23.473184968989418</v>
          </cell>
          <cell r="H32">
            <v>21.038435603506407</v>
          </cell>
          <cell r="I32">
            <v>19.496249397839101</v>
          </cell>
          <cell r="J32">
            <v>22.779543484542039</v>
          </cell>
        </row>
        <row r="33">
          <cell r="A33" t="str">
            <v>Hardwood and bamboo</v>
          </cell>
        </row>
        <row r="34">
          <cell r="A34" t="str">
            <v>Agri products</v>
          </cell>
          <cell r="D34">
            <v>6.4660717991284491</v>
          </cell>
          <cell r="E34">
            <v>7.6680026555853358</v>
          </cell>
          <cell r="F34">
            <v>7.9477838494231934</v>
          </cell>
          <cell r="G34">
            <v>10.920529594040502</v>
          </cell>
          <cell r="H34">
            <v>9.7677790546116405</v>
          </cell>
          <cell r="I34">
            <v>10.414266966951478</v>
          </cell>
          <cell r="J34">
            <v>11.346024031321722</v>
          </cell>
        </row>
        <row r="35">
          <cell r="A35" t="str">
            <v>Board</v>
          </cell>
          <cell r="C35">
            <v>28.985147637446385</v>
          </cell>
          <cell r="D35">
            <v>36.596871938164526</v>
          </cell>
          <cell r="E35">
            <v>29.858703568827387</v>
          </cell>
          <cell r="F35">
            <v>42.36430666559027</v>
          </cell>
          <cell r="G35">
            <v>51.627906976744185</v>
          </cell>
          <cell r="H35">
            <v>43.086708203530634</v>
          </cell>
          <cell r="I35">
            <v>55.123994087699138</v>
          </cell>
          <cell r="J35">
            <v>48.511856091578089</v>
          </cell>
        </row>
        <row r="36">
          <cell r="A36" t="str">
            <v>Filter rods</v>
          </cell>
          <cell r="C36">
            <v>77.89154342055366</v>
          </cell>
          <cell r="D36">
            <v>82.997323818019623</v>
          </cell>
          <cell r="E36">
            <v>87.464028776978424</v>
          </cell>
          <cell r="F36">
            <v>93.210621605310791</v>
          </cell>
          <cell r="G36">
            <v>98.96602658788774</v>
          </cell>
          <cell r="H36">
            <v>100.50498674409796</v>
          </cell>
          <cell r="I36">
            <v>106.43382352941177</v>
          </cell>
          <cell r="J36">
            <v>115.36061442457697</v>
          </cell>
        </row>
        <row r="37">
          <cell r="A37" t="str">
            <v>Alu Foil/Metalised paper</v>
          </cell>
          <cell r="C37">
            <v>0.59450833375550938</v>
          </cell>
          <cell r="D37">
            <v>0.59423258622619368</v>
          </cell>
          <cell r="E37">
            <v>0.72392996304835933</v>
          </cell>
          <cell r="F37">
            <v>0.81898716734897081</v>
          </cell>
          <cell r="G37">
            <v>0.85021704388585639</v>
          </cell>
          <cell r="H37">
            <v>0.87049203303405664</v>
          </cell>
          <cell r="I37">
            <v>0.9326694073897791</v>
          </cell>
          <cell r="J37">
            <v>0.96785982116006131</v>
          </cell>
        </row>
        <row r="38">
          <cell r="A38" t="str">
            <v>BOPP film</v>
          </cell>
          <cell r="C38">
            <v>145.07575757575759</v>
          </cell>
          <cell r="D38">
            <v>151.34146341463415</v>
          </cell>
          <cell r="E38">
            <v>155.64168819982774</v>
          </cell>
          <cell r="F38">
            <v>167.73519163763063</v>
          </cell>
          <cell r="G38">
            <v>198.83720930232556</v>
          </cell>
          <cell r="H38">
            <v>199.76539589442817</v>
          </cell>
          <cell r="I38">
            <v>185.91549295774649</v>
          </cell>
          <cell r="J38">
            <v>177.09359605911331</v>
          </cell>
        </row>
        <row r="39">
          <cell r="A39" t="str">
            <v>Misc</v>
          </cell>
        </row>
        <row r="41">
          <cell r="A41" t="str">
            <v>% increase</v>
          </cell>
          <cell r="C41" t="str">
            <v>FY9303</v>
          </cell>
          <cell r="D41" t="str">
            <v>FY9403</v>
          </cell>
          <cell r="E41" t="str">
            <v>FY9503</v>
          </cell>
          <cell r="F41" t="str">
            <v>FY9603</v>
          </cell>
          <cell r="G41" t="str">
            <v>FY9703</v>
          </cell>
          <cell r="H41" t="str">
            <v>FY9803</v>
          </cell>
          <cell r="I41" t="str">
            <v>FY9903</v>
          </cell>
          <cell r="J41" t="str">
            <v>FY0003</v>
          </cell>
        </row>
        <row r="42">
          <cell r="A42" t="str">
            <v>Unmanufactured tobacco</v>
          </cell>
          <cell r="D42">
            <v>-1.0612663349986562E-2</v>
          </cell>
          <cell r="E42">
            <v>-2.9241981743660217E-2</v>
          </cell>
          <cell r="F42">
            <v>-3.5558680208869875E-2</v>
          </cell>
          <cell r="G42">
            <v>0.25702363433631592</v>
          </cell>
          <cell r="H42">
            <v>9.3567073283318036E-2</v>
          </cell>
          <cell r="I42">
            <v>0.27305993706052112</v>
          </cell>
          <cell r="J42">
            <v>-0.10413487467870663</v>
          </cell>
        </row>
        <row r="43">
          <cell r="A43" t="str">
            <v>New jute cuttings</v>
          </cell>
          <cell r="D43">
            <v>0.25343168964953455</v>
          </cell>
          <cell r="E43">
            <v>0.1563879074026826</v>
          </cell>
          <cell r="F43">
            <v>0.30044595690607467</v>
          </cell>
          <cell r="G43">
            <v>0.35589066980564321</v>
          </cell>
          <cell r="H43">
            <v>-0.41517234799926062</v>
          </cell>
          <cell r="I43">
            <v>-0.12969364530659278</v>
          </cell>
          <cell r="J43">
            <v>0.31197794433088544</v>
          </cell>
        </row>
        <row r="44">
          <cell r="A44" t="str">
            <v>Wood pulp</v>
          </cell>
          <cell r="D44">
            <v>-2.5559491142707391E-2</v>
          </cell>
          <cell r="E44">
            <v>0.12321531687492793</v>
          </cell>
          <cell r="F44">
            <v>0.68567733674729503</v>
          </cell>
          <cell r="G44">
            <v>-0.22760488199173146</v>
          </cell>
          <cell r="H44">
            <v>-0.10372471263271577</v>
          </cell>
          <cell r="I44">
            <v>-7.3303273814250502E-2</v>
          </cell>
          <cell r="J44">
            <v>0.16840644678390548</v>
          </cell>
        </row>
        <row r="45">
          <cell r="A45" t="str">
            <v>Agri products</v>
          </cell>
          <cell r="D45" t="e">
            <v>#DIV/0!</v>
          </cell>
          <cell r="E45">
            <v>0.18588269567605065</v>
          </cell>
          <cell r="F45">
            <v>3.6486841020336058E-2</v>
          </cell>
          <cell r="G45">
            <v>0.37403454861609697</v>
          </cell>
          <cell r="H45">
            <v>-0.1055581168937022</v>
          </cell>
          <cell r="I45">
            <v>6.6185763286139565E-2</v>
          </cell>
          <cell r="J45">
            <v>8.9469289324642043E-2</v>
          </cell>
        </row>
        <row r="46">
          <cell r="A46" t="str">
            <v>Board</v>
          </cell>
          <cell r="D46">
            <v>0.26260774641990881</v>
          </cell>
          <cell r="E46">
            <v>-0.1841186968307621</v>
          </cell>
          <cell r="F46">
            <v>0.41882605746549517</v>
          </cell>
          <cell r="G46">
            <v>0.21866521702521169</v>
          </cell>
          <cell r="H46">
            <v>-0.16543763389557775</v>
          </cell>
          <cell r="I46">
            <v>0.27937353272167909</v>
          </cell>
          <cell r="J46">
            <v>-0.11995027039589179</v>
          </cell>
        </row>
        <row r="47">
          <cell r="A47" t="str">
            <v>Filter rods</v>
          </cell>
          <cell r="D47">
            <v>6.5549868101839159E-2</v>
          </cell>
          <cell r="E47">
            <v>5.381745764179735E-2</v>
          </cell>
          <cell r="F47">
            <v>6.5702356828147179E-2</v>
          </cell>
          <cell r="G47">
            <v>6.1746235390935711E-2</v>
          </cell>
          <cell r="H47">
            <v>1.5550388444094398E-2</v>
          </cell>
          <cell r="I47">
            <v>5.8990473780267116E-2</v>
          </cell>
          <cell r="J47">
            <v>8.387174865232927E-2</v>
          </cell>
        </row>
        <row r="48">
          <cell r="A48" t="str">
            <v>Alu Foil/Metalised paper</v>
          </cell>
          <cell r="D48">
            <v>-4.6382449775561607E-4</v>
          </cell>
          <cell r="E48">
            <v>0.21826029037861705</v>
          </cell>
          <cell r="F48">
            <v>0.13130718322576396</v>
          </cell>
          <cell r="G48">
            <v>3.8132314866392125E-2</v>
          </cell>
          <cell r="H48">
            <v>2.3846839220647453E-2</v>
          </cell>
          <cell r="I48">
            <v>7.1427849993073833E-2</v>
          </cell>
          <cell r="J48">
            <v>3.7730854568038374E-2</v>
          </cell>
        </row>
        <row r="49">
          <cell r="A49" t="str">
            <v>BOPP film</v>
          </cell>
          <cell r="D49">
            <v>4.3189199516015853E-2</v>
          </cell>
          <cell r="E49">
            <v>2.8414055792576498E-2</v>
          </cell>
          <cell r="F49">
            <v>7.7700926902541045E-2</v>
          </cell>
          <cell r="G49">
            <v>0.18542332924319571</v>
          </cell>
          <cell r="H49">
            <v>4.6680729193464554E-3</v>
          </cell>
          <cell r="I49">
            <v>-6.9330841183330105E-2</v>
          </cell>
          <cell r="J49">
            <v>-4.7451112106284499E-2</v>
          </cell>
        </row>
        <row r="50">
          <cell r="A50" t="str">
            <v>Misc</v>
          </cell>
        </row>
        <row r="52">
          <cell r="C52" t="str">
            <v>FY9303</v>
          </cell>
          <cell r="D52" t="str">
            <v>FY9403</v>
          </cell>
          <cell r="E52" t="str">
            <v>FY9503</v>
          </cell>
          <cell r="F52" t="str">
            <v>FY9603</v>
          </cell>
          <cell r="G52" t="str">
            <v>FY9703</v>
          </cell>
          <cell r="H52" t="str">
            <v>FY9803</v>
          </cell>
          <cell r="I52" t="str">
            <v>FY9903</v>
          </cell>
          <cell r="J52" t="str">
            <v>FY0003</v>
          </cell>
        </row>
        <row r="53">
          <cell r="A53" t="str">
            <v>ITC's price</v>
          </cell>
        </row>
        <row r="54">
          <cell r="A54" t="str">
            <v>% growth</v>
          </cell>
        </row>
      </sheetData>
      <sheetData sheetId="21" refreshError="1">
        <row r="1">
          <cell r="C1" t="str">
            <v>FY9303</v>
          </cell>
          <cell r="D1">
            <v>0</v>
          </cell>
          <cell r="E1">
            <v>0</v>
          </cell>
          <cell r="F1">
            <v>0</v>
          </cell>
          <cell r="G1" t="str">
            <v>FY9403</v>
          </cell>
          <cell r="H1">
            <v>0</v>
          </cell>
          <cell r="I1">
            <v>0</v>
          </cell>
          <cell r="J1">
            <v>0</v>
          </cell>
          <cell r="K1" t="str">
            <v>FY9503</v>
          </cell>
          <cell r="L1">
            <v>0</v>
          </cell>
          <cell r="M1">
            <v>0</v>
          </cell>
          <cell r="N1">
            <v>0</v>
          </cell>
          <cell r="O1" t="str">
            <v>FY9603</v>
          </cell>
          <cell r="P1">
            <v>0</v>
          </cell>
          <cell r="Q1">
            <v>0</v>
          </cell>
          <cell r="R1">
            <v>0</v>
          </cell>
          <cell r="S1" t="str">
            <v>FY9703</v>
          </cell>
          <cell r="T1">
            <v>0</v>
          </cell>
          <cell r="U1">
            <v>0</v>
          </cell>
          <cell r="V1">
            <v>0</v>
          </cell>
          <cell r="W1" t="str">
            <v>FY9803</v>
          </cell>
          <cell r="X1">
            <v>0</v>
          </cell>
          <cell r="Y1">
            <v>0</v>
          </cell>
          <cell r="Z1">
            <v>0</v>
          </cell>
          <cell r="AA1" t="str">
            <v>FY9903</v>
          </cell>
          <cell r="AB1">
            <v>0</v>
          </cell>
          <cell r="AC1">
            <v>0</v>
          </cell>
          <cell r="AD1">
            <v>0</v>
          </cell>
          <cell r="AE1">
            <v>2000</v>
          </cell>
          <cell r="AF1">
            <v>0</v>
          </cell>
          <cell r="AG1">
            <v>0</v>
          </cell>
          <cell r="AH1">
            <v>0</v>
          </cell>
          <cell r="AI1">
            <v>2001</v>
          </cell>
        </row>
        <row r="2">
          <cell r="A2" t="str">
            <v>Volume</v>
          </cell>
          <cell r="B2" t="str">
            <v>Units</v>
          </cell>
          <cell r="C2" t="str">
            <v>Opening</v>
          </cell>
          <cell r="D2" t="str">
            <v>Closing</v>
          </cell>
          <cell r="E2" t="str">
            <v>Purchases</v>
          </cell>
          <cell r="F2" t="str">
            <v>Consumption</v>
          </cell>
          <cell r="G2" t="str">
            <v>Opening</v>
          </cell>
          <cell r="H2" t="str">
            <v>Closing</v>
          </cell>
          <cell r="I2" t="str">
            <v>Purchases</v>
          </cell>
          <cell r="J2" t="str">
            <v>Consumption</v>
          </cell>
          <cell r="K2" t="str">
            <v>Opening</v>
          </cell>
          <cell r="L2" t="str">
            <v>Closing</v>
          </cell>
          <cell r="M2" t="str">
            <v>Purchases</v>
          </cell>
          <cell r="N2" t="str">
            <v>Consumption</v>
          </cell>
          <cell r="O2" t="str">
            <v>Opening</v>
          </cell>
          <cell r="P2" t="str">
            <v>Closing</v>
          </cell>
          <cell r="Q2" t="str">
            <v>Purchases</v>
          </cell>
          <cell r="R2" t="str">
            <v>Consumption</v>
          </cell>
          <cell r="S2" t="str">
            <v>Opening</v>
          </cell>
          <cell r="T2" t="str">
            <v>Closing</v>
          </cell>
          <cell r="U2" t="str">
            <v>Purchases</v>
          </cell>
          <cell r="V2" t="str">
            <v>Consumption</v>
          </cell>
          <cell r="W2" t="str">
            <v>Opening</v>
          </cell>
          <cell r="X2" t="str">
            <v>Closing</v>
          </cell>
          <cell r="Y2" t="str">
            <v>Purchases</v>
          </cell>
          <cell r="Z2" t="str">
            <v>Consumption</v>
          </cell>
          <cell r="AA2" t="str">
            <v>Opening</v>
          </cell>
          <cell r="AB2" t="str">
            <v>Closing</v>
          </cell>
          <cell r="AC2" t="str">
            <v>Purchases</v>
          </cell>
          <cell r="AD2" t="str">
            <v>Consumption</v>
          </cell>
          <cell r="AE2" t="str">
            <v>Opening</v>
          </cell>
          <cell r="AF2" t="str">
            <v>Closing</v>
          </cell>
          <cell r="AG2" t="str">
            <v>Purchases</v>
          </cell>
          <cell r="AH2" t="str">
            <v>Consumption</v>
          </cell>
          <cell r="AI2" t="str">
            <v>Opening</v>
          </cell>
          <cell r="AJ2" t="str">
            <v>Closing</v>
          </cell>
          <cell r="AK2" t="str">
            <v>Purchases</v>
          </cell>
          <cell r="AL2" t="str">
            <v>Consumption</v>
          </cell>
        </row>
        <row r="3">
          <cell r="A3" t="str">
            <v>Cigarettes</v>
          </cell>
          <cell r="B3">
            <v>0</v>
          </cell>
          <cell r="C3">
            <v>1413</v>
          </cell>
          <cell r="D3">
            <v>-1605</v>
          </cell>
          <cell r="E3">
            <v>14733</v>
          </cell>
          <cell r="F3">
            <v>14541</v>
          </cell>
          <cell r="G3">
            <v>1605</v>
          </cell>
          <cell r="H3">
            <v>-690</v>
          </cell>
          <cell r="I3">
            <v>13744</v>
          </cell>
          <cell r="J3">
            <v>14659</v>
          </cell>
          <cell r="K3">
            <v>690</v>
          </cell>
          <cell r="L3">
            <v>-1208</v>
          </cell>
          <cell r="M3">
            <v>14005</v>
          </cell>
          <cell r="N3">
            <v>13487</v>
          </cell>
          <cell r="O3">
            <v>1208</v>
          </cell>
          <cell r="P3">
            <v>-2283</v>
          </cell>
          <cell r="Q3">
            <v>20048</v>
          </cell>
          <cell r="R3">
            <v>18973</v>
          </cell>
          <cell r="S3">
            <v>2283</v>
          </cell>
          <cell r="T3">
            <v>-1801</v>
          </cell>
          <cell r="U3">
            <v>21754</v>
          </cell>
          <cell r="V3">
            <v>22236</v>
          </cell>
          <cell r="W3">
            <v>1801</v>
          </cell>
          <cell r="X3">
            <v>-2829</v>
          </cell>
          <cell r="Y3">
            <v>17788</v>
          </cell>
          <cell r="Z3">
            <v>16760</v>
          </cell>
          <cell r="AA3">
            <v>2829</v>
          </cell>
          <cell r="AB3">
            <v>-2562</v>
          </cell>
          <cell r="AC3">
            <v>15427</v>
          </cell>
          <cell r="AD3">
            <v>15694</v>
          </cell>
          <cell r="AE3">
            <v>2562</v>
          </cell>
          <cell r="AF3">
            <v>-2066</v>
          </cell>
          <cell r="AG3">
            <v>9351</v>
          </cell>
          <cell r="AH3">
            <v>9847</v>
          </cell>
          <cell r="AI3">
            <v>2066</v>
          </cell>
          <cell r="AJ3">
            <v>-1961</v>
          </cell>
          <cell r="AK3">
            <v>10636</v>
          </cell>
          <cell r="AL3">
            <v>10741</v>
          </cell>
        </row>
        <row r="4">
          <cell r="A4" t="str">
            <v>Smoking tobaccos</v>
          </cell>
          <cell r="B4" t="str">
            <v>ton</v>
          </cell>
          <cell r="C4">
            <v>10</v>
          </cell>
          <cell r="D4">
            <v>-1</v>
          </cell>
          <cell r="E4">
            <v>0</v>
          </cell>
          <cell r="F4">
            <v>9</v>
          </cell>
          <cell r="G4">
            <v>1</v>
          </cell>
          <cell r="H4">
            <v>-3</v>
          </cell>
          <cell r="I4">
            <v>0</v>
          </cell>
          <cell r="J4">
            <v>-2</v>
          </cell>
          <cell r="K4">
            <v>3</v>
          </cell>
          <cell r="L4">
            <v>-1</v>
          </cell>
          <cell r="M4">
            <v>0</v>
          </cell>
          <cell r="N4">
            <v>2</v>
          </cell>
          <cell r="O4">
            <v>1</v>
          </cell>
          <cell r="P4">
            <v>-7</v>
          </cell>
          <cell r="Q4">
            <v>0</v>
          </cell>
          <cell r="R4">
            <v>-6</v>
          </cell>
          <cell r="S4">
            <v>7</v>
          </cell>
          <cell r="T4">
            <v>-4</v>
          </cell>
          <cell r="U4">
            <v>0</v>
          </cell>
          <cell r="V4">
            <v>3</v>
          </cell>
          <cell r="W4">
            <v>4</v>
          </cell>
          <cell r="X4">
            <v>-9</v>
          </cell>
          <cell r="Y4">
            <v>0</v>
          </cell>
          <cell r="Z4">
            <v>-5</v>
          </cell>
          <cell r="AA4">
            <v>9</v>
          </cell>
          <cell r="AB4">
            <v>-5</v>
          </cell>
          <cell r="AC4">
            <v>0</v>
          </cell>
          <cell r="AD4">
            <v>4</v>
          </cell>
          <cell r="AE4">
            <v>5</v>
          </cell>
          <cell r="AF4">
            <v>-3</v>
          </cell>
          <cell r="AG4">
            <v>0</v>
          </cell>
          <cell r="AH4">
            <v>2</v>
          </cell>
          <cell r="AI4">
            <v>3</v>
          </cell>
          <cell r="AJ4">
            <v>-3</v>
          </cell>
          <cell r="AK4">
            <v>0</v>
          </cell>
          <cell r="AL4">
            <v>0</v>
          </cell>
        </row>
        <row r="5">
          <cell r="A5" t="str">
            <v>Printed materials</v>
          </cell>
          <cell r="B5" t="str">
            <v>ton</v>
          </cell>
          <cell r="C5">
            <v>51</v>
          </cell>
          <cell r="D5">
            <v>-182</v>
          </cell>
          <cell r="E5">
            <v>0</v>
          </cell>
          <cell r="F5">
            <v>-131</v>
          </cell>
          <cell r="G5">
            <v>182</v>
          </cell>
          <cell r="H5">
            <v>-108</v>
          </cell>
          <cell r="I5">
            <v>0</v>
          </cell>
          <cell r="J5">
            <v>74</v>
          </cell>
          <cell r="K5">
            <v>108</v>
          </cell>
          <cell r="L5">
            <v>-214</v>
          </cell>
          <cell r="M5">
            <v>0</v>
          </cell>
          <cell r="N5">
            <v>-106</v>
          </cell>
          <cell r="O5">
            <v>214</v>
          </cell>
          <cell r="P5">
            <v>-231</v>
          </cell>
          <cell r="Q5">
            <v>0</v>
          </cell>
          <cell r="R5">
            <v>-17</v>
          </cell>
          <cell r="S5">
            <v>231</v>
          </cell>
          <cell r="T5">
            <v>-177</v>
          </cell>
          <cell r="U5">
            <v>0</v>
          </cell>
          <cell r="V5">
            <v>54</v>
          </cell>
          <cell r="W5">
            <v>177</v>
          </cell>
          <cell r="X5">
            <v>-119</v>
          </cell>
          <cell r="Y5">
            <v>0</v>
          </cell>
          <cell r="Z5">
            <v>58</v>
          </cell>
          <cell r="AA5">
            <v>119</v>
          </cell>
          <cell r="AB5">
            <v>-362</v>
          </cell>
          <cell r="AC5">
            <v>0</v>
          </cell>
          <cell r="AD5">
            <v>-243</v>
          </cell>
          <cell r="AE5">
            <v>362</v>
          </cell>
          <cell r="AF5">
            <v>-416</v>
          </cell>
          <cell r="AG5">
            <v>0</v>
          </cell>
          <cell r="AH5">
            <v>-54</v>
          </cell>
          <cell r="AI5">
            <v>416</v>
          </cell>
          <cell r="AJ5">
            <v>-426</v>
          </cell>
          <cell r="AK5">
            <v>0</v>
          </cell>
          <cell r="AL5">
            <v>-10</v>
          </cell>
        </row>
        <row r="6">
          <cell r="A6" t="str">
            <v>Agriproducts</v>
          </cell>
          <cell r="B6" t="str">
            <v>ton</v>
          </cell>
          <cell r="C6">
            <v>113767</v>
          </cell>
          <cell r="D6">
            <v>-85274</v>
          </cell>
          <cell r="E6">
            <v>294189</v>
          </cell>
          <cell r="F6">
            <v>322682</v>
          </cell>
          <cell r="G6">
            <v>85274</v>
          </cell>
          <cell r="H6">
            <v>-40237</v>
          </cell>
          <cell r="I6">
            <v>349321</v>
          </cell>
          <cell r="J6">
            <v>394358</v>
          </cell>
          <cell r="K6">
            <v>40237</v>
          </cell>
          <cell r="L6">
            <v>-29532</v>
          </cell>
          <cell r="M6">
            <v>375722</v>
          </cell>
          <cell r="N6">
            <v>386427</v>
          </cell>
          <cell r="O6">
            <v>29532</v>
          </cell>
          <cell r="P6">
            <v>-45454</v>
          </cell>
          <cell r="Q6">
            <v>301643</v>
          </cell>
          <cell r="R6">
            <v>285721</v>
          </cell>
          <cell r="S6">
            <v>45454</v>
          </cell>
          <cell r="T6">
            <v>-13124</v>
          </cell>
          <cell r="U6">
            <v>141509</v>
          </cell>
          <cell r="V6">
            <v>173839</v>
          </cell>
          <cell r="W6">
            <v>13124</v>
          </cell>
          <cell r="X6">
            <v>-21881</v>
          </cell>
          <cell r="Y6">
            <v>166586</v>
          </cell>
          <cell r="Z6">
            <v>157829</v>
          </cell>
          <cell r="AA6">
            <v>21881</v>
          </cell>
          <cell r="AB6">
            <v>-22371</v>
          </cell>
          <cell r="AC6">
            <v>210955</v>
          </cell>
          <cell r="AD6">
            <v>210465</v>
          </cell>
          <cell r="AE6">
            <v>22371</v>
          </cell>
          <cell r="AF6">
            <v>-12647</v>
          </cell>
          <cell r="AG6">
            <v>280282</v>
          </cell>
          <cell r="AH6">
            <v>290006</v>
          </cell>
          <cell r="AI6">
            <v>12647</v>
          </cell>
          <cell r="AJ6">
            <v>-10921</v>
          </cell>
          <cell r="AK6">
            <v>108718</v>
          </cell>
          <cell r="AL6">
            <v>110444</v>
          </cell>
        </row>
        <row r="7">
          <cell r="A7" t="str">
            <v>Paper</v>
          </cell>
          <cell r="B7" t="str">
            <v>ton</v>
          </cell>
          <cell r="C7">
            <v>545</v>
          </cell>
          <cell r="D7">
            <v>-690</v>
          </cell>
          <cell r="E7">
            <v>0</v>
          </cell>
          <cell r="F7">
            <v>-145</v>
          </cell>
          <cell r="G7">
            <v>690</v>
          </cell>
          <cell r="H7">
            <v>-552</v>
          </cell>
          <cell r="I7">
            <v>0</v>
          </cell>
          <cell r="J7">
            <v>138</v>
          </cell>
          <cell r="K7">
            <v>552</v>
          </cell>
          <cell r="L7">
            <v>-770</v>
          </cell>
          <cell r="M7">
            <v>0</v>
          </cell>
          <cell r="N7">
            <v>-218</v>
          </cell>
          <cell r="O7">
            <v>770</v>
          </cell>
          <cell r="P7">
            <v>-910</v>
          </cell>
          <cell r="Q7">
            <v>0</v>
          </cell>
          <cell r="R7">
            <v>-140</v>
          </cell>
          <cell r="S7">
            <v>910</v>
          </cell>
          <cell r="T7">
            <v>-502</v>
          </cell>
          <cell r="U7">
            <v>0</v>
          </cell>
          <cell r="V7">
            <v>408</v>
          </cell>
          <cell r="W7">
            <v>502</v>
          </cell>
          <cell r="X7">
            <v>-888</v>
          </cell>
          <cell r="Y7">
            <v>0</v>
          </cell>
          <cell r="Z7">
            <v>-386</v>
          </cell>
          <cell r="AA7">
            <v>888</v>
          </cell>
          <cell r="AB7">
            <v>-739</v>
          </cell>
          <cell r="AC7">
            <v>0</v>
          </cell>
          <cell r="AD7">
            <v>149</v>
          </cell>
          <cell r="AE7">
            <v>739</v>
          </cell>
          <cell r="AF7">
            <v>-667</v>
          </cell>
          <cell r="AG7">
            <v>0</v>
          </cell>
          <cell r="AH7">
            <v>72</v>
          </cell>
          <cell r="AI7">
            <v>667</v>
          </cell>
          <cell r="AJ7">
            <v>-830</v>
          </cell>
          <cell r="AK7">
            <v>0</v>
          </cell>
          <cell r="AL7">
            <v>-163</v>
          </cell>
        </row>
        <row r="8">
          <cell r="A8" t="str">
            <v>Paperboard</v>
          </cell>
          <cell r="B8" t="str">
            <v>ton</v>
          </cell>
        </row>
        <row r="9">
          <cell r="A9" t="str">
            <v>Other Goods</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row>
        <row r="10">
          <cell r="A10" t="str">
            <v>Packing material</v>
          </cell>
        </row>
        <row r="12">
          <cell r="A12" t="str">
            <v>Sales of non-filters</v>
          </cell>
          <cell r="B12">
            <v>0</v>
          </cell>
          <cell r="C12">
            <v>0</v>
          </cell>
          <cell r="D12">
            <v>0</v>
          </cell>
          <cell r="E12">
            <v>17808</v>
          </cell>
          <cell r="F12">
            <v>0</v>
          </cell>
          <cell r="G12">
            <v>0</v>
          </cell>
          <cell r="H12">
            <v>0</v>
          </cell>
          <cell r="I12">
            <v>16644</v>
          </cell>
          <cell r="J12">
            <v>0</v>
          </cell>
          <cell r="K12">
            <v>0</v>
          </cell>
          <cell r="L12">
            <v>0</v>
          </cell>
          <cell r="M12">
            <v>19944</v>
          </cell>
          <cell r="N12">
            <v>0</v>
          </cell>
          <cell r="O12">
            <v>0</v>
          </cell>
          <cell r="P12">
            <v>0</v>
          </cell>
          <cell r="Q12">
            <v>24504</v>
          </cell>
          <cell r="R12">
            <v>0</v>
          </cell>
          <cell r="S12">
            <v>0</v>
          </cell>
          <cell r="T12">
            <v>0</v>
          </cell>
          <cell r="U12">
            <v>25368</v>
          </cell>
          <cell r="V12">
            <v>0</v>
          </cell>
          <cell r="W12">
            <v>0</v>
          </cell>
          <cell r="X12">
            <v>0</v>
          </cell>
          <cell r="Y12">
            <v>23678.877584831574</v>
          </cell>
          <cell r="Z12">
            <v>0</v>
          </cell>
          <cell r="AA12">
            <v>0</v>
          </cell>
          <cell r="AB12">
            <v>0</v>
          </cell>
          <cell r="AC12">
            <v>20683.331656133043</v>
          </cell>
          <cell r="AD12">
            <v>0</v>
          </cell>
          <cell r="AE12">
            <v>0</v>
          </cell>
          <cell r="AF12">
            <v>0</v>
          </cell>
          <cell r="AG12">
            <v>18101.820028226066</v>
          </cell>
          <cell r="AH12">
            <v>0</v>
          </cell>
          <cell r="AI12">
            <v>0</v>
          </cell>
          <cell r="AJ12">
            <v>0</v>
          </cell>
          <cell r="AK12">
            <v>16800</v>
          </cell>
        </row>
        <row r="14">
          <cell r="C14" t="str">
            <v>FY9303</v>
          </cell>
          <cell r="D14">
            <v>0</v>
          </cell>
          <cell r="E14">
            <v>0</v>
          </cell>
          <cell r="F14">
            <v>0</v>
          </cell>
          <cell r="G14" t="str">
            <v>FY9403</v>
          </cell>
          <cell r="H14">
            <v>0</v>
          </cell>
          <cell r="I14">
            <v>0</v>
          </cell>
          <cell r="J14">
            <v>0</v>
          </cell>
          <cell r="K14" t="str">
            <v>FY9503</v>
          </cell>
          <cell r="L14">
            <v>0</v>
          </cell>
          <cell r="M14">
            <v>0</v>
          </cell>
          <cell r="N14">
            <v>0</v>
          </cell>
          <cell r="O14" t="str">
            <v>FY9603</v>
          </cell>
          <cell r="P14">
            <v>0</v>
          </cell>
          <cell r="Q14">
            <v>0</v>
          </cell>
          <cell r="R14">
            <v>0</v>
          </cell>
          <cell r="S14" t="str">
            <v>FY9703</v>
          </cell>
          <cell r="T14">
            <v>0</v>
          </cell>
          <cell r="U14">
            <v>0</v>
          </cell>
          <cell r="V14">
            <v>0</v>
          </cell>
          <cell r="W14" t="str">
            <v>FY9803</v>
          </cell>
          <cell r="X14">
            <v>0</v>
          </cell>
          <cell r="Y14">
            <v>0</v>
          </cell>
          <cell r="Z14">
            <v>0</v>
          </cell>
          <cell r="AA14" t="str">
            <v>FY9903</v>
          </cell>
          <cell r="AB14">
            <v>0</v>
          </cell>
          <cell r="AC14">
            <v>0</v>
          </cell>
          <cell r="AD14">
            <v>0</v>
          </cell>
          <cell r="AE14">
            <v>2000</v>
          </cell>
          <cell r="AF14">
            <v>0</v>
          </cell>
          <cell r="AG14">
            <v>0</v>
          </cell>
          <cell r="AH14">
            <v>0</v>
          </cell>
          <cell r="AI14">
            <v>2001</v>
          </cell>
        </row>
        <row r="15">
          <cell r="A15" t="str">
            <v>Value</v>
          </cell>
          <cell r="B15" t="str">
            <v>Units</v>
          </cell>
          <cell r="C15" t="str">
            <v>Opening</v>
          </cell>
          <cell r="D15" t="str">
            <v>Closing</v>
          </cell>
          <cell r="E15" t="str">
            <v>Purchases</v>
          </cell>
          <cell r="F15" t="str">
            <v>Consumption</v>
          </cell>
          <cell r="G15" t="str">
            <v>Opening</v>
          </cell>
          <cell r="H15" t="str">
            <v>Closing</v>
          </cell>
          <cell r="I15" t="str">
            <v>Purchases</v>
          </cell>
          <cell r="J15" t="str">
            <v>Consumption</v>
          </cell>
          <cell r="K15" t="str">
            <v>Opening</v>
          </cell>
          <cell r="L15" t="str">
            <v>Closing</v>
          </cell>
          <cell r="M15" t="str">
            <v>Purchases</v>
          </cell>
          <cell r="N15" t="str">
            <v>Consumption</v>
          </cell>
          <cell r="O15" t="str">
            <v>Opening</v>
          </cell>
          <cell r="P15" t="str">
            <v>Closing</v>
          </cell>
          <cell r="Q15" t="str">
            <v>Purchases</v>
          </cell>
          <cell r="R15" t="str">
            <v>Consumption</v>
          </cell>
          <cell r="S15" t="str">
            <v>Opening</v>
          </cell>
          <cell r="T15" t="str">
            <v>Closing</v>
          </cell>
          <cell r="U15" t="str">
            <v>Purchases</v>
          </cell>
          <cell r="V15" t="str">
            <v>Consumption</v>
          </cell>
          <cell r="W15" t="str">
            <v>Opening</v>
          </cell>
          <cell r="X15" t="str">
            <v>Closing</v>
          </cell>
          <cell r="Y15" t="str">
            <v>Purchases</v>
          </cell>
          <cell r="Z15" t="str">
            <v>Consumption</v>
          </cell>
          <cell r="AA15" t="str">
            <v>Opening</v>
          </cell>
          <cell r="AB15" t="str">
            <v>Closing</v>
          </cell>
          <cell r="AC15" t="str">
            <v>Purchases</v>
          </cell>
          <cell r="AD15" t="str">
            <v>Consumption</v>
          </cell>
          <cell r="AE15" t="str">
            <v>Opening</v>
          </cell>
          <cell r="AF15" t="str">
            <v>Closing</v>
          </cell>
          <cell r="AG15" t="str">
            <v>Purchases</v>
          </cell>
          <cell r="AH15" t="str">
            <v>Consumption</v>
          </cell>
          <cell r="AI15" t="str">
            <v>Opening</v>
          </cell>
          <cell r="AJ15" t="str">
            <v>Closing</v>
          </cell>
          <cell r="AK15" t="str">
            <v>Purchases</v>
          </cell>
          <cell r="AL15" t="str">
            <v>Consumption</v>
          </cell>
        </row>
        <row r="16">
          <cell r="A16" t="str">
            <v>Cigarettes</v>
          </cell>
          <cell r="B16">
            <v>0</v>
          </cell>
          <cell r="C16">
            <v>692.6</v>
          </cell>
          <cell r="D16">
            <v>-726.8</v>
          </cell>
          <cell r="E16">
            <v>81.400000000000006</v>
          </cell>
          <cell r="F16">
            <v>47.200000000000074</v>
          </cell>
          <cell r="G16">
            <v>726.8</v>
          </cell>
          <cell r="H16">
            <v>-313.39999999999998</v>
          </cell>
          <cell r="I16">
            <v>74.900000000000006</v>
          </cell>
          <cell r="J16">
            <v>488.29999999999995</v>
          </cell>
          <cell r="K16">
            <v>313.39999999999998</v>
          </cell>
          <cell r="L16">
            <v>-714.6</v>
          </cell>
          <cell r="M16">
            <v>95.7</v>
          </cell>
          <cell r="N16">
            <v>-305.50000000000006</v>
          </cell>
          <cell r="O16">
            <v>714.6</v>
          </cell>
          <cell r="P16">
            <v>-1261.4000000000001</v>
          </cell>
          <cell r="Q16">
            <v>134.4</v>
          </cell>
          <cell r="R16">
            <v>-412.40000000000009</v>
          </cell>
          <cell r="S16">
            <v>1261.4000000000001</v>
          </cell>
          <cell r="T16">
            <v>-1109.4000000000001</v>
          </cell>
          <cell r="U16">
            <v>143.19999999999999</v>
          </cell>
          <cell r="V16">
            <v>295.2</v>
          </cell>
          <cell r="W16">
            <v>1109.4000000000001</v>
          </cell>
          <cell r="X16">
            <v>-1969.1</v>
          </cell>
          <cell r="Y16">
            <v>136.80000000000001</v>
          </cell>
          <cell r="Z16">
            <v>-722.89999999999986</v>
          </cell>
          <cell r="AA16">
            <v>1969.1</v>
          </cell>
          <cell r="AB16">
            <v>-1928.5</v>
          </cell>
          <cell r="AC16">
            <v>128.19999999999999</v>
          </cell>
          <cell r="AD16">
            <v>168.7999999999999</v>
          </cell>
          <cell r="AE16">
            <v>1928.5</v>
          </cell>
          <cell r="AF16">
            <v>-1618.8</v>
          </cell>
          <cell r="AG16">
            <v>85.9</v>
          </cell>
          <cell r="AH16">
            <v>395.6</v>
          </cell>
          <cell r="AI16">
            <v>1618.8</v>
          </cell>
          <cell r="AJ16">
            <v>-1650</v>
          </cell>
          <cell r="AK16">
            <v>343</v>
          </cell>
          <cell r="AL16">
            <v>311.79999999999995</v>
          </cell>
        </row>
        <row r="17">
          <cell r="A17" t="str">
            <v>Smoking tobaccos</v>
          </cell>
          <cell r="B17">
            <v>0</v>
          </cell>
          <cell r="C17">
            <v>4.0999999999999996</v>
          </cell>
          <cell r="D17">
            <v>-0.2</v>
          </cell>
          <cell r="E17">
            <v>0</v>
          </cell>
          <cell r="F17">
            <v>3.8999999999999995</v>
          </cell>
          <cell r="G17">
            <v>0.2</v>
          </cell>
          <cell r="H17">
            <v>-1.2</v>
          </cell>
          <cell r="I17">
            <v>0</v>
          </cell>
          <cell r="J17">
            <v>-1</v>
          </cell>
          <cell r="K17">
            <v>1.2</v>
          </cell>
          <cell r="L17">
            <v>-0.5</v>
          </cell>
          <cell r="M17">
            <v>0</v>
          </cell>
          <cell r="N17">
            <v>0.7</v>
          </cell>
          <cell r="O17">
            <v>0.5</v>
          </cell>
          <cell r="P17">
            <v>-3.4</v>
          </cell>
          <cell r="Q17">
            <v>0</v>
          </cell>
          <cell r="R17">
            <v>-2.9</v>
          </cell>
          <cell r="S17">
            <v>3.4</v>
          </cell>
          <cell r="T17">
            <v>-2.1</v>
          </cell>
          <cell r="U17">
            <v>0</v>
          </cell>
          <cell r="V17">
            <v>1.2999999999999998</v>
          </cell>
          <cell r="W17">
            <v>2.1</v>
          </cell>
          <cell r="X17">
            <v>-5</v>
          </cell>
          <cell r="Y17">
            <v>0</v>
          </cell>
          <cell r="Z17">
            <v>-2.9</v>
          </cell>
          <cell r="AA17">
            <v>5</v>
          </cell>
          <cell r="AB17">
            <v>-3.1</v>
          </cell>
          <cell r="AC17">
            <v>0</v>
          </cell>
          <cell r="AD17">
            <v>1.9</v>
          </cell>
          <cell r="AE17">
            <v>3.1</v>
          </cell>
          <cell r="AF17">
            <v>-1.9</v>
          </cell>
          <cell r="AG17">
            <v>0</v>
          </cell>
          <cell r="AH17">
            <v>1.2000000000000002</v>
          </cell>
          <cell r="AI17">
            <v>1.9</v>
          </cell>
          <cell r="AJ17">
            <v>-3</v>
          </cell>
          <cell r="AK17">
            <v>0</v>
          </cell>
          <cell r="AL17">
            <v>-1.1000000000000001</v>
          </cell>
        </row>
        <row r="18">
          <cell r="A18" t="str">
            <v>Printed materials</v>
          </cell>
          <cell r="B18">
            <v>0</v>
          </cell>
          <cell r="C18">
            <v>2.2000000000000002</v>
          </cell>
          <cell r="D18">
            <v>-7.8</v>
          </cell>
          <cell r="E18">
            <v>0</v>
          </cell>
          <cell r="F18">
            <v>-5.6</v>
          </cell>
          <cell r="G18">
            <v>7.8</v>
          </cell>
          <cell r="H18">
            <v>-18.100000000000001</v>
          </cell>
          <cell r="I18">
            <v>0</v>
          </cell>
          <cell r="J18">
            <v>-10.3</v>
          </cell>
          <cell r="K18">
            <v>18.100000000000001</v>
          </cell>
          <cell r="L18">
            <v>-41.3</v>
          </cell>
          <cell r="M18">
            <v>0</v>
          </cell>
          <cell r="N18">
            <v>-23.199999999999996</v>
          </cell>
          <cell r="O18">
            <v>41.3</v>
          </cell>
          <cell r="P18">
            <v>-20.6</v>
          </cell>
          <cell r="Q18">
            <v>0</v>
          </cell>
          <cell r="R18">
            <v>20.699999999999996</v>
          </cell>
          <cell r="S18">
            <v>20.6</v>
          </cell>
          <cell r="T18">
            <v>-14</v>
          </cell>
          <cell r="U18">
            <v>0</v>
          </cell>
          <cell r="V18">
            <v>6.6000000000000014</v>
          </cell>
          <cell r="W18">
            <v>14</v>
          </cell>
          <cell r="X18">
            <v>-6.2</v>
          </cell>
          <cell r="Y18">
            <v>0</v>
          </cell>
          <cell r="Z18">
            <v>7.8</v>
          </cell>
          <cell r="AA18">
            <v>6.2</v>
          </cell>
          <cell r="AB18">
            <v>-25.4</v>
          </cell>
          <cell r="AC18">
            <v>0</v>
          </cell>
          <cell r="AD18">
            <v>-19.2</v>
          </cell>
          <cell r="AE18">
            <v>25.4</v>
          </cell>
          <cell r="AF18">
            <v>-27.1</v>
          </cell>
          <cell r="AG18">
            <v>0</v>
          </cell>
          <cell r="AH18">
            <v>-1.7000000000000028</v>
          </cell>
          <cell r="AI18">
            <v>27.1</v>
          </cell>
          <cell r="AJ18">
            <v>-23</v>
          </cell>
          <cell r="AK18">
            <v>0</v>
          </cell>
          <cell r="AL18">
            <v>4.1000000000000014</v>
          </cell>
        </row>
        <row r="19">
          <cell r="A19" t="str">
            <v>Agriproducts</v>
          </cell>
          <cell r="B19">
            <v>0</v>
          </cell>
          <cell r="C19">
            <v>750.5</v>
          </cell>
          <cell r="D19">
            <v>-523.70000000000005</v>
          </cell>
          <cell r="E19">
            <v>2669.3</v>
          </cell>
          <cell r="F19">
            <v>2896.1000000000004</v>
          </cell>
          <cell r="G19">
            <v>523.70000000000005</v>
          </cell>
          <cell r="H19">
            <v>-384.5</v>
          </cell>
          <cell r="I19">
            <v>3280.9</v>
          </cell>
          <cell r="J19">
            <v>3420.1000000000004</v>
          </cell>
          <cell r="K19">
            <v>384.5</v>
          </cell>
          <cell r="L19">
            <v>-318.39999999999998</v>
          </cell>
          <cell r="M19">
            <v>4147.3999999999996</v>
          </cell>
          <cell r="N19">
            <v>4213.5</v>
          </cell>
          <cell r="O19">
            <v>318.39999999999998</v>
          </cell>
          <cell r="P19">
            <v>-415.3</v>
          </cell>
          <cell r="Q19">
            <v>3119.4</v>
          </cell>
          <cell r="R19">
            <v>3022.5</v>
          </cell>
          <cell r="S19">
            <v>415.3</v>
          </cell>
          <cell r="T19">
            <v>-176.3</v>
          </cell>
          <cell r="U19">
            <v>1487.1</v>
          </cell>
          <cell r="V19">
            <v>1726.1</v>
          </cell>
          <cell r="W19">
            <v>176.3</v>
          </cell>
          <cell r="X19">
            <v>-218.3</v>
          </cell>
          <cell r="Y19">
            <v>1861.5</v>
          </cell>
          <cell r="Z19">
            <v>1819.5</v>
          </cell>
          <cell r="AA19">
            <v>218.3</v>
          </cell>
          <cell r="AB19">
            <v>-210.8</v>
          </cell>
          <cell r="AC19">
            <v>2110.4</v>
          </cell>
          <cell r="AD19">
            <v>2117.9</v>
          </cell>
          <cell r="AE19">
            <v>210.8</v>
          </cell>
          <cell r="AF19">
            <v>-231.3</v>
          </cell>
          <cell r="AG19">
            <v>2581</v>
          </cell>
          <cell r="AH19">
            <v>2560.5</v>
          </cell>
          <cell r="AI19">
            <v>231.3</v>
          </cell>
          <cell r="AJ19">
            <v>-183</v>
          </cell>
          <cell r="AK19">
            <v>1344</v>
          </cell>
          <cell r="AL19">
            <v>1392.3</v>
          </cell>
        </row>
        <row r="20">
          <cell r="A20" t="str">
            <v>Paper</v>
          </cell>
          <cell r="B20">
            <v>0</v>
          </cell>
          <cell r="C20">
            <v>19.5</v>
          </cell>
          <cell r="D20">
            <v>-27.8</v>
          </cell>
          <cell r="E20">
            <v>0</v>
          </cell>
          <cell r="F20">
            <v>-8.3000000000000007</v>
          </cell>
          <cell r="G20">
            <v>27.8</v>
          </cell>
          <cell r="H20">
            <v>-24.8</v>
          </cell>
          <cell r="I20">
            <v>0</v>
          </cell>
          <cell r="J20">
            <v>3</v>
          </cell>
          <cell r="K20">
            <v>24.8</v>
          </cell>
          <cell r="L20">
            <v>-34.700000000000003</v>
          </cell>
          <cell r="M20">
            <v>0</v>
          </cell>
          <cell r="N20">
            <v>-9.9000000000000021</v>
          </cell>
          <cell r="O20">
            <v>34.700000000000003</v>
          </cell>
          <cell r="P20">
            <v>-50.7</v>
          </cell>
          <cell r="Q20">
            <v>0</v>
          </cell>
          <cell r="R20">
            <v>-16</v>
          </cell>
          <cell r="S20">
            <v>50.7</v>
          </cell>
          <cell r="T20">
            <v>-30.4</v>
          </cell>
          <cell r="U20">
            <v>0</v>
          </cell>
          <cell r="V20">
            <v>20.300000000000004</v>
          </cell>
          <cell r="W20">
            <v>30.4</v>
          </cell>
          <cell r="X20">
            <v>-46.8</v>
          </cell>
          <cell r="Y20">
            <v>0</v>
          </cell>
          <cell r="Z20">
            <v>-16.399999999999999</v>
          </cell>
          <cell r="AA20">
            <v>46.8</v>
          </cell>
          <cell r="AB20">
            <v>-35.6</v>
          </cell>
          <cell r="AC20">
            <v>0</v>
          </cell>
          <cell r="AD20">
            <v>11.199999999999996</v>
          </cell>
          <cell r="AE20">
            <v>35.6</v>
          </cell>
          <cell r="AF20">
            <v>-39</v>
          </cell>
          <cell r="AG20">
            <v>0</v>
          </cell>
          <cell r="AH20">
            <v>-3.3999999999999986</v>
          </cell>
          <cell r="AI20">
            <v>39</v>
          </cell>
          <cell r="AJ20">
            <v>-50</v>
          </cell>
          <cell r="AK20">
            <v>0</v>
          </cell>
          <cell r="AL20">
            <v>-11</v>
          </cell>
        </row>
        <row r="21">
          <cell r="A21" t="str">
            <v>Paperboard</v>
          </cell>
        </row>
        <row r="22">
          <cell r="A22" t="str">
            <v>Other Goods</v>
          </cell>
          <cell r="B22">
            <v>0</v>
          </cell>
          <cell r="C22">
            <v>109.8</v>
          </cell>
          <cell r="D22">
            <v>-291.89999999999998</v>
          </cell>
          <cell r="E22">
            <v>1590.9</v>
          </cell>
          <cell r="F22">
            <v>1408.8000000000002</v>
          </cell>
          <cell r="G22">
            <v>291.89999999999998</v>
          </cell>
          <cell r="H22">
            <v>-396.4</v>
          </cell>
          <cell r="I22">
            <v>1956.8</v>
          </cell>
          <cell r="J22">
            <v>1852.3</v>
          </cell>
          <cell r="K22">
            <v>396.4</v>
          </cell>
          <cell r="L22">
            <v>-184.7</v>
          </cell>
          <cell r="M22">
            <v>1887.3</v>
          </cell>
          <cell r="N22">
            <v>2099</v>
          </cell>
          <cell r="O22">
            <v>184.7</v>
          </cell>
          <cell r="P22">
            <v>-85.5</v>
          </cell>
          <cell r="Q22">
            <v>477</v>
          </cell>
          <cell r="R22">
            <v>576.20000000000005</v>
          </cell>
          <cell r="S22">
            <v>85.5</v>
          </cell>
          <cell r="T22">
            <v>-60.9</v>
          </cell>
          <cell r="U22">
            <v>433.3</v>
          </cell>
          <cell r="V22">
            <v>457.90000000000003</v>
          </cell>
          <cell r="W22">
            <v>60.9</v>
          </cell>
          <cell r="X22">
            <v>-54.9</v>
          </cell>
          <cell r="Y22">
            <v>344.3</v>
          </cell>
          <cell r="Z22">
            <v>350.3</v>
          </cell>
          <cell r="AA22">
            <v>54.9</v>
          </cell>
          <cell r="AB22">
            <v>-34.5</v>
          </cell>
          <cell r="AC22">
            <v>463.9</v>
          </cell>
          <cell r="AD22">
            <v>484.29999999999995</v>
          </cell>
          <cell r="AE22">
            <v>34.5</v>
          </cell>
          <cell r="AF22">
            <v>-15.3</v>
          </cell>
          <cell r="AG22">
            <v>457.6</v>
          </cell>
          <cell r="AH22">
            <v>476.8</v>
          </cell>
          <cell r="AI22">
            <v>15.3</v>
          </cell>
          <cell r="AJ22">
            <v>-291.5</v>
          </cell>
          <cell r="AK22">
            <v>216</v>
          </cell>
          <cell r="AL22">
            <v>-60.199999999999989</v>
          </cell>
        </row>
        <row r="23">
          <cell r="A23" t="str">
            <v>Packing material</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-7.2</v>
          </cell>
          <cell r="Y23">
            <v>37.9</v>
          </cell>
          <cell r="Z23">
            <v>30.7</v>
          </cell>
          <cell r="AA23">
            <v>7.2</v>
          </cell>
          <cell r="AB23">
            <v>-8.1</v>
          </cell>
          <cell r="AC23">
            <v>66.8</v>
          </cell>
          <cell r="AD23">
            <v>65.899999999999991</v>
          </cell>
          <cell r="AE23">
            <v>8.1</v>
          </cell>
          <cell r="AF23">
            <v>-6.4</v>
          </cell>
          <cell r="AG23">
            <v>83.5</v>
          </cell>
          <cell r="AH23">
            <v>85.2</v>
          </cell>
          <cell r="AI23">
            <v>6.4</v>
          </cell>
          <cell r="AJ23">
            <v>-11.7</v>
          </cell>
          <cell r="AK23">
            <v>107</v>
          </cell>
          <cell r="AL23">
            <v>101.7</v>
          </cell>
        </row>
        <row r="25">
          <cell r="A25" t="str">
            <v>Total</v>
          </cell>
          <cell r="B25">
            <v>0</v>
          </cell>
          <cell r="C25">
            <v>1578.7</v>
          </cell>
          <cell r="D25">
            <v>-1578.1999999999998</v>
          </cell>
          <cell r="E25">
            <v>4341.6000000000004</v>
          </cell>
          <cell r="F25">
            <v>4342.1000000000004</v>
          </cell>
          <cell r="G25">
            <v>1578.1999999999998</v>
          </cell>
          <cell r="H25">
            <v>-1138.4000000000001</v>
          </cell>
          <cell r="I25">
            <v>5312.6</v>
          </cell>
          <cell r="J25">
            <v>5752.4000000000005</v>
          </cell>
          <cell r="K25">
            <v>1138.4000000000001</v>
          </cell>
          <cell r="L25">
            <v>-1294.2</v>
          </cell>
          <cell r="M25">
            <v>6130.4</v>
          </cell>
          <cell r="N25">
            <v>5974.6</v>
          </cell>
          <cell r="O25">
            <v>1294.2</v>
          </cell>
          <cell r="P25">
            <v>-1836.9</v>
          </cell>
          <cell r="Q25">
            <v>3730.8</v>
          </cell>
          <cell r="R25">
            <v>3188.1000000000004</v>
          </cell>
          <cell r="S25">
            <v>1836.9</v>
          </cell>
          <cell r="T25">
            <v>-1393.1000000000001</v>
          </cell>
          <cell r="U25">
            <v>2063.6</v>
          </cell>
          <cell r="V25">
            <v>2507.4</v>
          </cell>
          <cell r="W25">
            <v>1393.1000000000001</v>
          </cell>
          <cell r="X25">
            <v>-2307.5</v>
          </cell>
          <cell r="Y25">
            <v>2380.5</v>
          </cell>
          <cell r="Z25">
            <v>1466.1</v>
          </cell>
          <cell r="AA25">
            <v>2307.5</v>
          </cell>
          <cell r="AB25">
            <v>-2246</v>
          </cell>
          <cell r="AC25">
            <v>2769.3</v>
          </cell>
          <cell r="AD25">
            <v>2830.7999999999997</v>
          </cell>
          <cell r="AE25">
            <v>2246</v>
          </cell>
          <cell r="AF25">
            <v>-1939.8</v>
          </cell>
          <cell r="AG25">
            <v>3208</v>
          </cell>
          <cell r="AH25">
            <v>3514.2</v>
          </cell>
          <cell r="AI25">
            <v>1939.8</v>
          </cell>
          <cell r="AJ25">
            <v>-2212.1999999999998</v>
          </cell>
          <cell r="AK25">
            <v>2010</v>
          </cell>
          <cell r="AL25">
            <v>1737.6</v>
          </cell>
        </row>
        <row r="27">
          <cell r="C27" t="str">
            <v>FY9303</v>
          </cell>
          <cell r="D27">
            <v>0</v>
          </cell>
          <cell r="E27">
            <v>0</v>
          </cell>
          <cell r="F27">
            <v>0</v>
          </cell>
          <cell r="G27" t="str">
            <v>FY9403</v>
          </cell>
          <cell r="H27">
            <v>0</v>
          </cell>
          <cell r="I27">
            <v>0</v>
          </cell>
          <cell r="J27">
            <v>0</v>
          </cell>
          <cell r="K27" t="str">
            <v>FY9503</v>
          </cell>
          <cell r="L27">
            <v>0</v>
          </cell>
          <cell r="M27">
            <v>0</v>
          </cell>
          <cell r="N27">
            <v>0</v>
          </cell>
          <cell r="O27" t="str">
            <v>FY9603</v>
          </cell>
          <cell r="P27">
            <v>0</v>
          </cell>
          <cell r="Q27">
            <v>0</v>
          </cell>
          <cell r="R27">
            <v>0</v>
          </cell>
          <cell r="S27" t="str">
            <v>FY9703</v>
          </cell>
          <cell r="T27">
            <v>0</v>
          </cell>
          <cell r="U27">
            <v>0</v>
          </cell>
          <cell r="V27">
            <v>0</v>
          </cell>
          <cell r="W27" t="str">
            <v>FY9803</v>
          </cell>
          <cell r="X27">
            <v>0</v>
          </cell>
          <cell r="Y27">
            <v>0</v>
          </cell>
          <cell r="Z27">
            <v>0</v>
          </cell>
          <cell r="AA27" t="str">
            <v>FY9903</v>
          </cell>
          <cell r="AB27">
            <v>0</v>
          </cell>
          <cell r="AC27">
            <v>0</v>
          </cell>
          <cell r="AD27">
            <v>0</v>
          </cell>
          <cell r="AE27">
            <v>2000</v>
          </cell>
          <cell r="AF27">
            <v>0</v>
          </cell>
          <cell r="AG27">
            <v>0</v>
          </cell>
          <cell r="AH27">
            <v>0</v>
          </cell>
          <cell r="AI27">
            <v>2001</v>
          </cell>
        </row>
        <row r="28">
          <cell r="A28" t="str">
            <v>Realisation</v>
          </cell>
          <cell r="B28" t="str">
            <v>Units</v>
          </cell>
          <cell r="C28" t="str">
            <v>Opening</v>
          </cell>
          <cell r="D28" t="str">
            <v>Closing</v>
          </cell>
          <cell r="E28" t="str">
            <v>Purchases</v>
          </cell>
          <cell r="F28" t="str">
            <v>Consumption</v>
          </cell>
          <cell r="G28" t="str">
            <v>Opening</v>
          </cell>
          <cell r="H28" t="str">
            <v>Closing</v>
          </cell>
          <cell r="I28" t="str">
            <v>Purchases</v>
          </cell>
          <cell r="J28" t="str">
            <v>Consumption</v>
          </cell>
          <cell r="K28" t="str">
            <v>Opening</v>
          </cell>
          <cell r="L28" t="str">
            <v>Closing</v>
          </cell>
          <cell r="M28" t="str">
            <v>Purchases</v>
          </cell>
          <cell r="N28" t="str">
            <v>Consumption</v>
          </cell>
          <cell r="O28" t="str">
            <v>Opening</v>
          </cell>
          <cell r="P28" t="str">
            <v>Closing</v>
          </cell>
          <cell r="Q28" t="str">
            <v>Purchases</v>
          </cell>
          <cell r="R28" t="str">
            <v>Consumption</v>
          </cell>
          <cell r="S28" t="str">
            <v>Opening</v>
          </cell>
          <cell r="T28" t="str">
            <v>Closing</v>
          </cell>
          <cell r="U28" t="str">
            <v>Purchases</v>
          </cell>
          <cell r="V28" t="str">
            <v>Consumption</v>
          </cell>
          <cell r="W28" t="str">
            <v>Opening</v>
          </cell>
          <cell r="X28" t="str">
            <v>Closing</v>
          </cell>
          <cell r="Y28" t="str">
            <v>Purchases</v>
          </cell>
          <cell r="Z28" t="str">
            <v>Consumption</v>
          </cell>
          <cell r="AA28" t="str">
            <v>Opening</v>
          </cell>
          <cell r="AB28" t="str">
            <v>Closing</v>
          </cell>
          <cell r="AC28" t="str">
            <v>Purchases</v>
          </cell>
          <cell r="AD28" t="str">
            <v>Consumption</v>
          </cell>
          <cell r="AE28" t="str">
            <v>Opening</v>
          </cell>
          <cell r="AF28" t="str">
            <v>Closing</v>
          </cell>
          <cell r="AG28" t="str">
            <v>Purchases</v>
          </cell>
          <cell r="AH28" t="str">
            <v>Consumption</v>
          </cell>
          <cell r="AI28" t="str">
            <v>Opening</v>
          </cell>
          <cell r="AJ28" t="str">
            <v>Closing</v>
          </cell>
          <cell r="AK28" t="str">
            <v>Purchases</v>
          </cell>
          <cell r="AL28" t="str">
            <v>Consumption</v>
          </cell>
        </row>
        <row r="29">
          <cell r="A29" t="str">
            <v>Cigarettes</v>
          </cell>
          <cell r="B29">
            <v>0</v>
          </cell>
          <cell r="C29">
            <v>0.4901627742392074</v>
          </cell>
          <cell r="D29">
            <v>0.45283489096573204</v>
          </cell>
          <cell r="E29">
            <v>5.5250118780967895E-3</v>
          </cell>
          <cell r="F29">
            <v>3.2459940856887472E-3</v>
          </cell>
          <cell r="G29">
            <v>0.45283489096573204</v>
          </cell>
          <cell r="H29">
            <v>0.4542028985507246</v>
          </cell>
          <cell r="I29">
            <v>5.4496507566938303E-3</v>
          </cell>
          <cell r="J29">
            <v>3.3310594174227437E-2</v>
          </cell>
          <cell r="K29">
            <v>0.4542028985507246</v>
          </cell>
          <cell r="L29">
            <v>0.59155629139072852</v>
          </cell>
          <cell r="M29">
            <v>6.8332738307747233E-3</v>
          </cell>
          <cell r="N29">
            <v>-2.2651442129458001E-2</v>
          </cell>
          <cell r="O29">
            <v>0.59155629139072852</v>
          </cell>
          <cell r="P29">
            <v>0.55251861585632944</v>
          </cell>
          <cell r="Q29">
            <v>6.7039106145251395E-3</v>
          </cell>
          <cell r="R29">
            <v>-2.1736151373003748E-2</v>
          </cell>
          <cell r="S29">
            <v>0.55251861585632944</v>
          </cell>
          <cell r="T29">
            <v>0.61599111604664081</v>
          </cell>
          <cell r="U29">
            <v>6.582697434954491E-3</v>
          </cell>
          <cell r="V29">
            <v>1.3275769023205613E-2</v>
          </cell>
          <cell r="W29">
            <v>0.61599111604664081</v>
          </cell>
          <cell r="X29">
            <v>0.6960410038882997</v>
          </cell>
          <cell r="Y29">
            <v>7.6905779176973249E-3</v>
          </cell>
          <cell r="Z29">
            <v>-4.3132458233890204E-2</v>
          </cell>
          <cell r="AA29">
            <v>0.6960410038882997</v>
          </cell>
          <cell r="AB29">
            <v>0.75273224043715847</v>
          </cell>
          <cell r="AC29">
            <v>8.3101056589097028E-3</v>
          </cell>
          <cell r="AD29">
            <v>1.0755702816362935E-2</v>
          </cell>
          <cell r="AE29">
            <v>0.75273224043715847</v>
          </cell>
          <cell r="AF29">
            <v>0.78354307841239113</v>
          </cell>
          <cell r="AG29">
            <v>9.1861832959041819E-3</v>
          </cell>
          <cell r="AH29">
            <v>4.017467248908297E-2</v>
          </cell>
          <cell r="AI29">
            <v>0.78354307841239113</v>
          </cell>
          <cell r="AJ29">
            <v>0.84140744518103006</v>
          </cell>
          <cell r="AK29">
            <v>3.2248965776607748E-2</v>
          </cell>
          <cell r="AL29">
            <v>2.9028954473512704E-2</v>
          </cell>
        </row>
        <row r="30">
          <cell r="A30" t="str">
            <v>Smoking tobaccos</v>
          </cell>
          <cell r="B30">
            <v>0</v>
          </cell>
          <cell r="C30">
            <v>0.41</v>
          </cell>
          <cell r="D30">
            <v>0.2</v>
          </cell>
          <cell r="E30">
            <v>0</v>
          </cell>
          <cell r="F30">
            <v>0.43333333333333329</v>
          </cell>
          <cell r="G30">
            <v>0.2</v>
          </cell>
          <cell r="H30">
            <v>0.39999999999999997</v>
          </cell>
          <cell r="I30">
            <v>0</v>
          </cell>
          <cell r="J30">
            <v>0.5</v>
          </cell>
          <cell r="K30">
            <v>0.39999999999999997</v>
          </cell>
          <cell r="L30">
            <v>0.5</v>
          </cell>
          <cell r="M30">
            <v>0</v>
          </cell>
          <cell r="N30">
            <v>0.35</v>
          </cell>
          <cell r="O30">
            <v>0.5</v>
          </cell>
          <cell r="P30">
            <v>0.48571428571428571</v>
          </cell>
          <cell r="Q30">
            <v>0</v>
          </cell>
          <cell r="R30">
            <v>0.48333333333333334</v>
          </cell>
          <cell r="S30">
            <v>0.48571428571428571</v>
          </cell>
          <cell r="T30">
            <v>0.52500000000000002</v>
          </cell>
          <cell r="U30">
            <v>0</v>
          </cell>
          <cell r="V30">
            <v>0.43333333333333329</v>
          </cell>
          <cell r="W30">
            <v>0.52500000000000002</v>
          </cell>
          <cell r="X30">
            <v>0.55555555555555558</v>
          </cell>
          <cell r="Y30">
            <v>0</v>
          </cell>
          <cell r="Z30">
            <v>0.57999999999999996</v>
          </cell>
          <cell r="AA30">
            <v>0.55555555555555558</v>
          </cell>
          <cell r="AB30">
            <v>0.62</v>
          </cell>
          <cell r="AC30">
            <v>0</v>
          </cell>
          <cell r="AD30">
            <v>0</v>
          </cell>
          <cell r="AE30">
            <v>0.62</v>
          </cell>
          <cell r="AF30">
            <v>0.6333333333333333</v>
          </cell>
          <cell r="AG30">
            <v>0</v>
          </cell>
          <cell r="AH30">
            <v>0</v>
          </cell>
          <cell r="AI30">
            <v>0.6333333333333333</v>
          </cell>
          <cell r="AJ30">
            <v>1</v>
          </cell>
        </row>
        <row r="31">
          <cell r="A31" t="str">
            <v>Printed materials</v>
          </cell>
          <cell r="B31">
            <v>0</v>
          </cell>
          <cell r="C31">
            <v>4.3137254901960791E-2</v>
          </cell>
          <cell r="D31">
            <v>4.2857142857142858E-2</v>
          </cell>
          <cell r="E31">
            <v>0</v>
          </cell>
          <cell r="F31">
            <v>4.2748091603053436E-2</v>
          </cell>
          <cell r="G31">
            <v>4.2857142857142858E-2</v>
          </cell>
          <cell r="H31">
            <v>0.1675925925925926</v>
          </cell>
          <cell r="I31">
            <v>0</v>
          </cell>
          <cell r="J31">
            <v>-0.13918918918918921</v>
          </cell>
          <cell r="K31">
            <v>0.1675925925925926</v>
          </cell>
          <cell r="L31">
            <v>0.19299065420560746</v>
          </cell>
          <cell r="M31">
            <v>0</v>
          </cell>
          <cell r="N31">
            <v>0.21886792452830184</v>
          </cell>
          <cell r="O31">
            <v>0.19299065420560746</v>
          </cell>
          <cell r="P31">
            <v>8.9177489177489189E-2</v>
          </cell>
          <cell r="Q31">
            <v>0</v>
          </cell>
          <cell r="R31">
            <v>-1.2176470588235291</v>
          </cell>
          <cell r="S31">
            <v>8.9177489177489189E-2</v>
          </cell>
          <cell r="T31">
            <v>7.909604519774012E-2</v>
          </cell>
          <cell r="U31">
            <v>0</v>
          </cell>
          <cell r="V31">
            <v>0.12222222222222225</v>
          </cell>
          <cell r="W31">
            <v>7.909604519774012E-2</v>
          </cell>
          <cell r="X31">
            <v>5.2100840336134456E-2</v>
          </cell>
          <cell r="Y31">
            <v>0</v>
          </cell>
          <cell r="Z31">
            <v>0.13448275862068965</v>
          </cell>
          <cell r="AA31">
            <v>5.2100840336134456E-2</v>
          </cell>
          <cell r="AB31">
            <v>7.0165745856353587E-2</v>
          </cell>
          <cell r="AC31">
            <v>0</v>
          </cell>
          <cell r="AD31">
            <v>0</v>
          </cell>
          <cell r="AE31">
            <v>7.0165745856353587E-2</v>
          </cell>
          <cell r="AF31">
            <v>6.5144230769230774E-2</v>
          </cell>
          <cell r="AG31">
            <v>0</v>
          </cell>
          <cell r="AH31">
            <v>0</v>
          </cell>
          <cell r="AI31">
            <v>6.5144230769230774E-2</v>
          </cell>
          <cell r="AJ31">
            <v>5.39906103286385E-2</v>
          </cell>
        </row>
        <row r="32">
          <cell r="A32" t="str">
            <v>Agriproducts</v>
          </cell>
          <cell r="B32">
            <v>0</v>
          </cell>
          <cell r="C32">
            <v>6.5968162999815414</v>
          </cell>
          <cell r="D32">
            <v>6.1413795529704256</v>
          </cell>
          <cell r="E32">
            <v>9.0734187886018844</v>
          </cell>
          <cell r="F32">
            <v>8.9750900267136089</v>
          </cell>
          <cell r="G32">
            <v>6.1413795529704256</v>
          </cell>
          <cell r="H32">
            <v>9.5558814026890673</v>
          </cell>
          <cell r="I32">
            <v>9.3922209085626118</v>
          </cell>
          <cell r="J32">
            <v>8.6725766942727169</v>
          </cell>
          <cell r="K32">
            <v>9.5558814026890673</v>
          </cell>
          <cell r="L32">
            <v>10.781525125287821</v>
          </cell>
          <cell r="M32">
            <v>11.03848057872576</v>
          </cell>
          <cell r="N32">
            <v>10.9037411982082</v>
          </cell>
          <cell r="O32">
            <v>10.781525125287821</v>
          </cell>
          <cell r="P32">
            <v>9.1367096405156865</v>
          </cell>
          <cell r="Q32">
            <v>10.341363797601801</v>
          </cell>
          <cell r="R32">
            <v>10.578501405216977</v>
          </cell>
          <cell r="S32">
            <v>9.1367096405156865</v>
          </cell>
          <cell r="T32">
            <v>13.433404449862849</v>
          </cell>
          <cell r="U32">
            <v>10.508872227208162</v>
          </cell>
          <cell r="V32">
            <v>9.9293024004970114</v>
          </cell>
          <cell r="W32">
            <v>13.433404449862849</v>
          </cell>
          <cell r="X32">
            <v>9.9766921073077093</v>
          </cell>
          <cell r="Y32">
            <v>11.174408413672216</v>
          </cell>
          <cell r="Z32">
            <v>1.1528299615406547E-2</v>
          </cell>
          <cell r="AA32">
            <v>9.9766921073077101E-3</v>
          </cell>
          <cell r="AB32">
            <v>9.4229135934915753</v>
          </cell>
          <cell r="AC32">
            <v>10.004029295347349</v>
          </cell>
          <cell r="AD32">
            <v>1.0062955835887203E-2</v>
          </cell>
          <cell r="AE32">
            <v>9.4229135934915751E-3</v>
          </cell>
          <cell r="AF32">
            <v>1.8288922274057089E-2</v>
          </cell>
          <cell r="AG32">
            <v>9.2085827844813437</v>
          </cell>
          <cell r="AH32">
            <v>8.8291276732205548E-3</v>
          </cell>
          <cell r="AI32">
            <v>1.8288922274057089E-2</v>
          </cell>
          <cell r="AJ32">
            <v>1.6756707261239814E-2</v>
          </cell>
          <cell r="AK32">
            <v>12.362258319689472</v>
          </cell>
          <cell r="AL32">
            <v>1.2606388758103654E-2</v>
          </cell>
        </row>
        <row r="33">
          <cell r="A33" t="str">
            <v>Paper</v>
          </cell>
          <cell r="B33">
            <v>0</v>
          </cell>
          <cell r="C33">
            <v>3.577981651376147E-2</v>
          </cell>
          <cell r="D33">
            <v>4.0289855072463771E-2</v>
          </cell>
          <cell r="E33">
            <v>0</v>
          </cell>
          <cell r="F33">
            <v>5.7241379310344835E-2</v>
          </cell>
          <cell r="G33">
            <v>4.0289855072463771E-2</v>
          </cell>
          <cell r="H33">
            <v>4.4927536231884058E-2</v>
          </cell>
          <cell r="I33">
            <v>0</v>
          </cell>
          <cell r="J33">
            <v>2.1739130434782608E-2</v>
          </cell>
          <cell r="K33">
            <v>4.4927536231884058E-2</v>
          </cell>
          <cell r="L33">
            <v>4.5064935064935072E-2</v>
          </cell>
          <cell r="M33">
            <v>0</v>
          </cell>
          <cell r="N33">
            <v>4.5412844036697257E-2</v>
          </cell>
          <cell r="O33">
            <v>4.5064935064935072E-2</v>
          </cell>
          <cell r="P33">
            <v>5.5714285714285716E-2</v>
          </cell>
          <cell r="Q33">
            <v>0</v>
          </cell>
          <cell r="R33">
            <v>0.11428571428571428</v>
          </cell>
          <cell r="S33">
            <v>5.5714285714285716E-2</v>
          </cell>
          <cell r="T33">
            <v>6.0557768924302785E-2</v>
          </cell>
          <cell r="U33">
            <v>0</v>
          </cell>
          <cell r="V33">
            <v>4.9754901960784324E-2</v>
          </cell>
          <cell r="W33">
            <v>6.0557768924302785E-2</v>
          </cell>
          <cell r="X33">
            <v>5.2702702702702699E-2</v>
          </cell>
          <cell r="Y33">
            <v>0</v>
          </cell>
          <cell r="Z33">
            <v>4.2487046632124346E-2</v>
          </cell>
          <cell r="AA33">
            <v>5.2702702702702699E-2</v>
          </cell>
          <cell r="AB33">
            <v>4.817320703653586E-2</v>
          </cell>
          <cell r="AC33">
            <v>0</v>
          </cell>
          <cell r="AD33">
            <v>0</v>
          </cell>
          <cell r="AE33">
            <v>4.817320703653586E-2</v>
          </cell>
          <cell r="AF33">
            <v>5.8470764617691157E-2</v>
          </cell>
          <cell r="AG33">
            <v>0</v>
          </cell>
          <cell r="AH33">
            <v>0</v>
          </cell>
          <cell r="AI33">
            <v>5.8470764617691157E-2</v>
          </cell>
          <cell r="AJ33">
            <v>6.0240963855421686E-2</v>
          </cell>
        </row>
        <row r="34">
          <cell r="A34" t="str">
            <v>Paperboard</v>
          </cell>
        </row>
        <row r="35">
          <cell r="A35" t="str">
            <v>Other Goods</v>
          </cell>
        </row>
        <row r="36">
          <cell r="A36" t="str">
            <v>Packing material</v>
          </cell>
        </row>
        <row r="39">
          <cell r="C39" t="str">
            <v>FY9303</v>
          </cell>
          <cell r="D39">
            <v>0</v>
          </cell>
          <cell r="E39">
            <v>0</v>
          </cell>
          <cell r="F39">
            <v>0</v>
          </cell>
          <cell r="G39" t="str">
            <v>FY9403</v>
          </cell>
          <cell r="H39">
            <v>0</v>
          </cell>
          <cell r="I39">
            <v>0</v>
          </cell>
          <cell r="J39">
            <v>0</v>
          </cell>
          <cell r="K39" t="str">
            <v>FY9503</v>
          </cell>
          <cell r="L39">
            <v>0</v>
          </cell>
          <cell r="M39">
            <v>0</v>
          </cell>
          <cell r="N39">
            <v>0</v>
          </cell>
          <cell r="O39" t="str">
            <v>FY9603</v>
          </cell>
          <cell r="P39">
            <v>0</v>
          </cell>
          <cell r="Q39">
            <v>0</v>
          </cell>
          <cell r="R39">
            <v>0</v>
          </cell>
          <cell r="S39" t="str">
            <v>FY9703</v>
          </cell>
          <cell r="T39">
            <v>0</v>
          </cell>
          <cell r="U39">
            <v>0</v>
          </cell>
          <cell r="V39">
            <v>0</v>
          </cell>
          <cell r="W39" t="str">
            <v>FY9803</v>
          </cell>
          <cell r="X39">
            <v>0</v>
          </cell>
          <cell r="Y39">
            <v>0</v>
          </cell>
          <cell r="Z39">
            <v>0</v>
          </cell>
          <cell r="AA39" t="str">
            <v>FY9903</v>
          </cell>
          <cell r="AB39">
            <v>0</v>
          </cell>
          <cell r="AC39">
            <v>0</v>
          </cell>
          <cell r="AD39">
            <v>0</v>
          </cell>
          <cell r="AE39">
            <v>2000</v>
          </cell>
          <cell r="AF39">
            <v>0</v>
          </cell>
          <cell r="AG39">
            <v>0</v>
          </cell>
          <cell r="AH39">
            <v>0</v>
          </cell>
          <cell r="AI39">
            <v>2001</v>
          </cell>
        </row>
        <row r="40">
          <cell r="A40" t="str">
            <v>% increase</v>
          </cell>
          <cell r="B40" t="str">
            <v>Units</v>
          </cell>
          <cell r="C40" t="str">
            <v>Opening</v>
          </cell>
          <cell r="D40" t="str">
            <v>Closing</v>
          </cell>
          <cell r="E40" t="str">
            <v>Purchases</v>
          </cell>
          <cell r="F40" t="str">
            <v>Consumption</v>
          </cell>
          <cell r="G40" t="str">
            <v>Opening</v>
          </cell>
          <cell r="H40" t="str">
            <v>Closing</v>
          </cell>
          <cell r="I40" t="str">
            <v>Purchases</v>
          </cell>
          <cell r="J40" t="str">
            <v>Consumption</v>
          </cell>
          <cell r="K40" t="str">
            <v>Opening</v>
          </cell>
          <cell r="L40" t="str">
            <v>Closing</v>
          </cell>
          <cell r="M40" t="str">
            <v>Purchases</v>
          </cell>
          <cell r="N40" t="str">
            <v>Consumption</v>
          </cell>
          <cell r="O40" t="str">
            <v>Opening</v>
          </cell>
          <cell r="P40" t="str">
            <v>Closing</v>
          </cell>
          <cell r="Q40" t="str">
            <v>Purchases</v>
          </cell>
          <cell r="R40" t="str">
            <v>Consumption</v>
          </cell>
          <cell r="S40" t="str">
            <v>Opening</v>
          </cell>
          <cell r="T40" t="str">
            <v>Closing</v>
          </cell>
          <cell r="U40" t="str">
            <v>Purchases</v>
          </cell>
          <cell r="V40" t="str">
            <v>Consumption</v>
          </cell>
          <cell r="W40" t="str">
            <v>Opening</v>
          </cell>
          <cell r="X40" t="str">
            <v>Closing</v>
          </cell>
          <cell r="Y40" t="str">
            <v>Purchases</v>
          </cell>
          <cell r="Z40" t="str">
            <v>Consumption</v>
          </cell>
          <cell r="AA40" t="str">
            <v>Opening</v>
          </cell>
          <cell r="AB40" t="str">
            <v>Closing</v>
          </cell>
          <cell r="AC40" t="str">
            <v>Purchases</v>
          </cell>
          <cell r="AD40" t="str">
            <v>Consumption</v>
          </cell>
          <cell r="AE40" t="str">
            <v>Opening</v>
          </cell>
          <cell r="AF40" t="str">
            <v>Closing</v>
          </cell>
          <cell r="AG40" t="str">
            <v>Purchases</v>
          </cell>
          <cell r="AH40" t="str">
            <v>Consumption</v>
          </cell>
          <cell r="AI40" t="str">
            <v>Opening</v>
          </cell>
          <cell r="AJ40" t="str">
            <v>Closing</v>
          </cell>
          <cell r="AK40" t="str">
            <v>Purchases</v>
          </cell>
          <cell r="AL40" t="str">
            <v>Consumption</v>
          </cell>
        </row>
        <row r="41">
          <cell r="A41" t="str">
            <v>Cigarettes</v>
          </cell>
          <cell r="B41">
            <v>0</v>
          </cell>
          <cell r="C41">
            <v>0</v>
          </cell>
          <cell r="D41">
            <v>0</v>
          </cell>
          <cell r="E41">
            <v>0</v>
          </cell>
          <cell r="F41">
            <v>0</v>
          </cell>
          <cell r="G41">
            <v>-7.6154055826480938E-2</v>
          </cell>
          <cell r="H41">
            <v>3.0209853796272501E-3</v>
          </cell>
          <cell r="I41">
            <v>-1.3639992649014721E-2</v>
          </cell>
          <cell r="J41">
            <v>9.262062497615263</v>
          </cell>
          <cell r="K41">
            <v>3.0209853796272501E-3</v>
          </cell>
          <cell r="L41">
            <v>0.30240536394257411</v>
          </cell>
          <cell r="M41">
            <v>0.25389206315310808</v>
          </cell>
          <cell r="N41">
            <v>-1.6800071476054164</v>
          </cell>
          <cell r="O41">
            <v>0.30240536394257411</v>
          </cell>
          <cell r="P41">
            <v>-6.5991480612306308E-2</v>
          </cell>
          <cell r="Q41">
            <v>-1.8931367226493467E-2</v>
          </cell>
          <cell r="R41">
            <v>-4.0407615163006505E-2</v>
          </cell>
          <cell r="S41">
            <v>-6.5991480612306308E-2</v>
          </cell>
          <cell r="T41">
            <v>0.11487848258639666</v>
          </cell>
          <cell r="U41">
            <v>-1.8080965952621764E-2</v>
          </cell>
          <cell r="V41">
            <v>-1.6107690729322988</v>
          </cell>
          <cell r="W41">
            <v>0.11487848258639666</v>
          </cell>
          <cell r="X41">
            <v>0.12995299080838985</v>
          </cell>
          <cell r="Y41">
            <v>0.16830189959209219</v>
          </cell>
          <cell r="Z41">
            <v>-4.2489611832275838</v>
          </cell>
          <cell r="AA41">
            <v>0.12995299080838985</v>
          </cell>
          <cell r="AB41">
            <v>8.1448127670875836E-2</v>
          </cell>
          <cell r="AC41">
            <v>8.0556721203843384E-2</v>
          </cell>
          <cell r="AD41">
            <v>-1.2493644753108906</v>
          </cell>
          <cell r="AE41">
            <v>8.1448127670875836E-2</v>
          </cell>
          <cell r="AF41">
            <v>4.0932002536969714E-2</v>
          </cell>
          <cell r="AG41">
            <v>0.02</v>
          </cell>
          <cell r="AH41">
            <v>2.7351973343819225</v>
          </cell>
          <cell r="AI41">
            <v>4.0932002536969714E-2</v>
          </cell>
          <cell r="AJ41">
            <v>7.3849630432424096E-2</v>
          </cell>
          <cell r="AK41">
            <v>2.5105946330274627</v>
          </cell>
          <cell r="AL41">
            <v>-0.27743145930060775</v>
          </cell>
        </row>
        <row r="42">
          <cell r="A42" t="str">
            <v>Smoking tobaccos</v>
          </cell>
          <cell r="B42">
            <v>0</v>
          </cell>
          <cell r="C42">
            <v>0</v>
          </cell>
          <cell r="D42">
            <v>0</v>
          </cell>
          <cell r="E42">
            <v>0</v>
          </cell>
          <cell r="F42">
            <v>0</v>
          </cell>
          <cell r="G42">
            <v>-0.51219512195121952</v>
          </cell>
          <cell r="H42">
            <v>0.99999999999999978</v>
          </cell>
          <cell r="I42">
            <v>0</v>
          </cell>
          <cell r="J42">
            <v>0.15384615384615397</v>
          </cell>
          <cell r="K42">
            <v>0.99999999999999978</v>
          </cell>
          <cell r="L42">
            <v>0.25</v>
          </cell>
          <cell r="M42">
            <v>0</v>
          </cell>
          <cell r="N42">
            <v>-0.30000000000000004</v>
          </cell>
          <cell r="O42">
            <v>0.25</v>
          </cell>
          <cell r="P42">
            <v>-2.8571428571428581E-2</v>
          </cell>
          <cell r="Q42">
            <v>0</v>
          </cell>
          <cell r="R42">
            <v>0.38095238095238115</v>
          </cell>
          <cell r="S42">
            <v>-2.8571428571428581E-2</v>
          </cell>
          <cell r="T42">
            <v>8.0882352941176627E-2</v>
          </cell>
          <cell r="U42">
            <v>0</v>
          </cell>
          <cell r="V42">
            <v>-0.10344827586206906</v>
          </cell>
          <cell r="W42">
            <v>8.0882352941176627E-2</v>
          </cell>
          <cell r="X42">
            <v>5.8201058201058142E-2</v>
          </cell>
          <cell r="Y42">
            <v>0</v>
          </cell>
          <cell r="Z42">
            <v>0.33846153846153859</v>
          </cell>
          <cell r="AA42">
            <v>5.8201058201058142E-2</v>
          </cell>
          <cell r="AB42">
            <v>0.11599999999999988</v>
          </cell>
          <cell r="AC42">
            <v>0</v>
          </cell>
          <cell r="AD42">
            <v>0</v>
          </cell>
          <cell r="AE42">
            <v>0.11599999999999988</v>
          </cell>
          <cell r="AF42">
            <v>2.1505376344086002E-2</v>
          </cell>
          <cell r="AG42">
            <v>0</v>
          </cell>
          <cell r="AH42">
            <v>0</v>
          </cell>
          <cell r="AI42">
            <v>2.1505376344086002E-2</v>
          </cell>
          <cell r="AJ42">
            <v>0.57894736842105265</v>
          </cell>
        </row>
        <row r="43">
          <cell r="A43" t="str">
            <v>Printed materials</v>
          </cell>
          <cell r="B43">
            <v>0</v>
          </cell>
          <cell r="C43">
            <v>0</v>
          </cell>
          <cell r="D43">
            <v>0</v>
          </cell>
          <cell r="E43">
            <v>0</v>
          </cell>
          <cell r="F43">
            <v>0</v>
          </cell>
          <cell r="G43">
            <v>-6.4935064935066622E-3</v>
          </cell>
          <cell r="H43">
            <v>2.9104938271604941</v>
          </cell>
          <cell r="I43">
            <v>0</v>
          </cell>
          <cell r="J43">
            <v>-4.2560328185328196</v>
          </cell>
          <cell r="K43">
            <v>2.9104938271604941</v>
          </cell>
          <cell r="L43">
            <v>0.15154644498373515</v>
          </cell>
          <cell r="M43">
            <v>0</v>
          </cell>
          <cell r="N43">
            <v>-2.572449166514013</v>
          </cell>
          <cell r="O43">
            <v>0.15154644498373515</v>
          </cell>
          <cell r="P43">
            <v>-0.53791809481882114</v>
          </cell>
          <cell r="Q43">
            <v>0</v>
          </cell>
          <cell r="R43">
            <v>-6.5633874239350911</v>
          </cell>
          <cell r="S43">
            <v>-0.53791809481882114</v>
          </cell>
          <cell r="T43">
            <v>-0.11304920190883661</v>
          </cell>
          <cell r="U43">
            <v>0</v>
          </cell>
          <cell r="V43">
            <v>-1.1003757380568975</v>
          </cell>
          <cell r="W43">
            <v>-0.11304920190883661</v>
          </cell>
          <cell r="X43">
            <v>-0.34129651860744303</v>
          </cell>
          <cell r="Y43">
            <v>0</v>
          </cell>
          <cell r="Z43">
            <v>0.10031347962382409</v>
          </cell>
          <cell r="AA43">
            <v>-0.34129651860744303</v>
          </cell>
          <cell r="AB43">
            <v>0.3467296382106575</v>
          </cell>
          <cell r="AC43">
            <v>0</v>
          </cell>
          <cell r="AD43">
            <v>0</v>
          </cell>
          <cell r="AE43">
            <v>0.3467296382106575</v>
          </cell>
          <cell r="AF43">
            <v>-7.156647486371881E-2</v>
          </cell>
          <cell r="AG43">
            <v>0</v>
          </cell>
          <cell r="AH43">
            <v>0</v>
          </cell>
          <cell r="AI43">
            <v>-7.156647486371881E-2</v>
          </cell>
          <cell r="AJ43">
            <v>-0.17121424735374113</v>
          </cell>
        </row>
        <row r="44">
          <cell r="A44" t="str">
            <v>Agriproducts</v>
          </cell>
          <cell r="B44">
            <v>0</v>
          </cell>
          <cell r="C44">
            <v>0</v>
          </cell>
          <cell r="D44">
            <v>0</v>
          </cell>
          <cell r="E44">
            <v>0</v>
          </cell>
          <cell r="F44">
            <v>0</v>
          </cell>
          <cell r="G44">
            <v>-6.9038870615874215E-2</v>
          </cell>
          <cell r="H44">
            <v>0.55598287327268925</v>
          </cell>
          <cell r="I44">
            <v>3.5135832191633076E-2</v>
          </cell>
          <cell r="J44">
            <v>-3.3705882786744912E-2</v>
          </cell>
          <cell r="K44">
            <v>0.55598287327268925</v>
          </cell>
          <cell r="L44">
            <v>0.12826066701223948</v>
          </cell>
          <cell r="M44">
            <v>0.17527906191626119</v>
          </cell>
          <cell r="N44">
            <v>0.25726662128095357</v>
          </cell>
          <cell r="O44">
            <v>0.12826066701223948</v>
          </cell>
          <cell r="P44">
            <v>-0.15255870256372706</v>
          </cell>
          <cell r="Q44">
            <v>-6.3153327684201233E-2</v>
          </cell>
          <cell r="R44">
            <v>-2.9828275183628628E-2</v>
          </cell>
          <cell r="S44">
            <v>-0.15255870256372706</v>
          </cell>
          <cell r="T44">
            <v>0.47026719447162502</v>
          </cell>
          <cell r="U44">
            <v>1.6197905120135747E-2</v>
          </cell>
          <cell r="V44">
            <v>-6.1369657180345261E-2</v>
          </cell>
          <cell r="W44">
            <v>0.47026719447162502</v>
          </cell>
          <cell r="X44">
            <v>-0.2573221371735317</v>
          </cell>
          <cell r="Y44">
            <v>6.3330885757744593E-2</v>
          </cell>
          <cell r="Z44">
            <v>-0.9988389617769291</v>
          </cell>
          <cell r="AA44">
            <v>-0.99925732213717355</v>
          </cell>
          <cell r="AB44">
            <v>-5.5507227030741291E-2</v>
          </cell>
          <cell r="AC44">
            <v>-0.10473745678499402</v>
          </cell>
          <cell r="AD44">
            <v>-0.12710840526395084</v>
          </cell>
          <cell r="AE44">
            <v>-5.5507227030741402E-2</v>
          </cell>
          <cell r="AF44">
            <v>-0.99805910113760465</v>
          </cell>
          <cell r="AG44">
            <v>-7.9512613106396013E-2</v>
          </cell>
          <cell r="AH44">
            <v>-0.12261090903991512</v>
          </cell>
          <cell r="AI44">
            <v>0.94089886239530873</v>
          </cell>
          <cell r="AJ44">
            <v>-8.3778310709468506E-2</v>
          </cell>
          <cell r="AK44">
            <v>0.34247132365718902</v>
          </cell>
          <cell r="AL44">
            <v>0.42781815199476969</v>
          </cell>
        </row>
        <row r="45">
          <cell r="A45" t="str">
            <v>Paper</v>
          </cell>
          <cell r="B45">
            <v>0</v>
          </cell>
          <cell r="C45">
            <v>0</v>
          </cell>
          <cell r="D45">
            <v>0</v>
          </cell>
          <cell r="E45">
            <v>0</v>
          </cell>
          <cell r="F45">
            <v>0</v>
          </cell>
          <cell r="G45">
            <v>0.12604979561501306</v>
          </cell>
          <cell r="H45">
            <v>0.1151079136690647</v>
          </cell>
          <cell r="I45">
            <v>0</v>
          </cell>
          <cell r="J45">
            <v>-0.62022001047668951</v>
          </cell>
          <cell r="K45">
            <v>0.1151079136690647</v>
          </cell>
          <cell r="L45">
            <v>3.058232090490387E-3</v>
          </cell>
          <cell r="M45">
            <v>0</v>
          </cell>
          <cell r="N45">
            <v>1.0889908256880738</v>
          </cell>
          <cell r="O45">
            <v>3.058232090490387E-3</v>
          </cell>
          <cell r="P45">
            <v>0.2363112391930835</v>
          </cell>
          <cell r="Q45">
            <v>0</v>
          </cell>
          <cell r="R45">
            <v>1.5165945165945161</v>
          </cell>
          <cell r="S45">
            <v>0.2363112391930835</v>
          </cell>
          <cell r="T45">
            <v>8.6934314025947312E-2</v>
          </cell>
          <cell r="U45">
            <v>0</v>
          </cell>
          <cell r="V45">
            <v>-0.56464460784313708</v>
          </cell>
          <cell r="W45">
            <v>8.6934314025947312E-2</v>
          </cell>
          <cell r="X45">
            <v>-0.1297119487908962</v>
          </cell>
          <cell r="Y45">
            <v>0</v>
          </cell>
          <cell r="Z45">
            <v>-0.14607315143316602</v>
          </cell>
          <cell r="AA45">
            <v>-0.1297119487908962</v>
          </cell>
          <cell r="AB45">
            <v>-8.5944276742652814E-2</v>
          </cell>
          <cell r="AC45">
            <v>0</v>
          </cell>
          <cell r="AD45">
            <v>0</v>
          </cell>
          <cell r="AE45">
            <v>-8.5944276742652814E-2</v>
          </cell>
          <cell r="AF45">
            <v>0.21376109697960022</v>
          </cell>
          <cell r="AG45">
            <v>0</v>
          </cell>
          <cell r="AH45">
            <v>0</v>
          </cell>
          <cell r="AI45">
            <v>0.21376109697960022</v>
          </cell>
          <cell r="AJ45">
            <v>3.0274945937596387E-2</v>
          </cell>
        </row>
        <row r="46">
          <cell r="A46" t="str">
            <v>Paperboard</v>
          </cell>
        </row>
        <row r="47">
          <cell r="A47" t="str">
            <v>Packing material</v>
          </cell>
        </row>
      </sheetData>
      <sheetData sheetId="22" refreshError="1"/>
      <sheetData sheetId="23" refreshError="1"/>
      <sheetData sheetId="24" refreshError="1">
        <row r="2">
          <cell r="A2" t="str">
            <v>Dividend</v>
          </cell>
        </row>
        <row r="11">
          <cell r="A11" t="str">
            <v>Equity</v>
          </cell>
        </row>
        <row r="24">
          <cell r="A24" t="str">
            <v>Reserves</v>
          </cell>
        </row>
        <row r="41">
          <cell r="A41" t="str">
            <v>Debt</v>
          </cell>
        </row>
        <row r="55">
          <cell r="A55" t="str">
            <v>Current liabilities</v>
          </cell>
        </row>
        <row r="78">
          <cell r="A78" t="str">
            <v>Investments</v>
          </cell>
        </row>
        <row r="99">
          <cell r="A99" t="str">
            <v>Loans and advances</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4">
          <cell r="B4" t="str">
            <v>Q1 01</v>
          </cell>
        </row>
      </sheetData>
      <sheetData sheetId="71"/>
      <sheetData sheetId="72"/>
      <sheetData sheetId="73">
        <row r="1">
          <cell r="A1" t="str">
            <v>Excise rates Rs/1000 cig</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a"/>
      <sheetName val="prices"/>
      <sheetName val="Recommendation"/>
      <sheetName val="NOPAT_VDF"/>
      <sheetName val="Invested capital_VDF"/>
      <sheetName val="DCF_VDF"/>
      <sheetName val="WACC_VDF"/>
      <sheetName val="PV of Op Leases_VDF"/>
      <sheetName val="Income Statement_VDF"/>
      <sheetName val="Financials"/>
      <sheetName val="data"/>
      <sheetName val="Assumptions"/>
      <sheetName val="Main"/>
      <sheetName val="Invested_capital_VDF"/>
      <sheetName val="PV_of_Op_Leases_VDF"/>
      <sheetName val="Income_Statement_VDF"/>
      <sheetName val="Ancillary"/>
      <sheetName val="RMF Annual"/>
      <sheetName val="Earning_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mod"/>
      <sheetName val="prices"/>
      <sheetName val="quant"/>
      <sheetName val="fp"/>
      <sheetName val="bp"/>
      <sheetName val="spreads"/>
      <sheetName val="Che&amp;Oth"/>
      <sheetName val="cracker"/>
      <sheetName val="poly_inter"/>
      <sheetName val="polymer"/>
      <sheetName val="Polyester"/>
      <sheetName val="rawM"/>
      <sheetName val="Financials"/>
      <sheetName val="CUS mimic"/>
      <sheetName val="Earning_Assum"/>
      <sheetName val="Main"/>
      <sheetName val="RMF Annual"/>
      <sheetName val="consumption"/>
      <sheetName val="excise"/>
      <sheetName val="demo"/>
      <sheetName val="global"/>
      <sheetName val="rural"/>
      <sheetName val="Input"/>
      <sheetName val="Debt"/>
      <sheetName val="Master"/>
      <sheetName val="CUS_mimic"/>
      <sheetName val="funda"/>
    </sheetNames>
    <sheetDataSet>
      <sheetData sheetId="0" refreshError="1">
        <row r="1">
          <cell r="A1" t="str">
            <v>Hindustan Lever</v>
          </cell>
          <cell r="B1" t="str">
            <v>Hindustan Lever</v>
          </cell>
          <cell r="C1" t="str">
            <v>Accounts model</v>
          </cell>
          <cell r="J1">
            <v>36941.494835763886</v>
          </cell>
          <cell r="R1" t="str">
            <v xml:space="preserve">    Price = Rs 209</v>
          </cell>
        </row>
        <row r="2">
          <cell r="A2" t="str">
            <v>Profit and Loss A/c (Rs mn)</v>
          </cell>
          <cell r="C2" t="str">
            <v>FY1993</v>
          </cell>
          <cell r="E2" t="str">
            <v>FY1994</v>
          </cell>
          <cell r="G2" t="str">
            <v>FY1995</v>
          </cell>
          <cell r="I2" t="str">
            <v>FY1996</v>
          </cell>
          <cell r="K2" t="str">
            <v>FY1997</v>
          </cell>
          <cell r="M2" t="str">
            <v>FY1998</v>
          </cell>
          <cell r="O2" t="str">
            <v>FY1999</v>
          </cell>
          <cell r="Q2" t="str">
            <v>FY2000</v>
          </cell>
          <cell r="S2" t="str">
            <v>FY2001</v>
          </cell>
          <cell r="U2" t="str">
            <v>FY2002</v>
          </cell>
          <cell r="W2" t="str">
            <v>FY2003</v>
          </cell>
          <cell r="Y2" t="str">
            <v>FY2004</v>
          </cell>
        </row>
        <row r="3">
          <cell r="B3" t="str">
            <v xml:space="preserve">Period end: </v>
          </cell>
          <cell r="C3">
            <v>34334</v>
          </cell>
          <cell r="D3">
            <v>0</v>
          </cell>
          <cell r="E3">
            <v>34699</v>
          </cell>
          <cell r="F3">
            <v>0</v>
          </cell>
          <cell r="G3">
            <v>35064</v>
          </cell>
          <cell r="H3">
            <v>0</v>
          </cell>
          <cell r="I3">
            <v>35430</v>
          </cell>
          <cell r="J3">
            <v>0</v>
          </cell>
          <cell r="K3">
            <v>35795</v>
          </cell>
          <cell r="L3">
            <v>0</v>
          </cell>
          <cell r="M3">
            <v>36160</v>
          </cell>
          <cell r="N3">
            <v>0</v>
          </cell>
          <cell r="O3">
            <v>36525</v>
          </cell>
          <cell r="P3">
            <v>0</v>
          </cell>
          <cell r="Q3">
            <v>36891</v>
          </cell>
          <cell r="R3">
            <v>0</v>
          </cell>
          <cell r="S3">
            <v>37256</v>
          </cell>
          <cell r="T3">
            <v>0</v>
          </cell>
          <cell r="U3">
            <v>37621</v>
          </cell>
          <cell r="V3">
            <v>0</v>
          </cell>
          <cell r="W3">
            <v>37986</v>
          </cell>
          <cell r="X3">
            <v>0</v>
          </cell>
          <cell r="Y3">
            <v>38352</v>
          </cell>
        </row>
        <row r="4">
          <cell r="B4" t="str">
            <v xml:space="preserve">Months in a/c period: </v>
          </cell>
          <cell r="C4">
            <v>12</v>
          </cell>
          <cell r="E4">
            <v>12</v>
          </cell>
          <cell r="G4">
            <v>12</v>
          </cell>
          <cell r="I4">
            <v>12</v>
          </cell>
          <cell r="K4">
            <v>12</v>
          </cell>
          <cell r="M4">
            <v>12</v>
          </cell>
          <cell r="O4">
            <v>12</v>
          </cell>
          <cell r="Q4">
            <v>12</v>
          </cell>
          <cell r="S4">
            <v>12</v>
          </cell>
          <cell r="U4">
            <v>12</v>
          </cell>
          <cell r="W4">
            <v>12</v>
          </cell>
          <cell r="Y4">
            <v>12</v>
          </cell>
        </row>
        <row r="5">
          <cell r="A5" t="str">
            <v>Sales</v>
          </cell>
          <cell r="C5" t="e">
            <v>#REF!</v>
          </cell>
          <cell r="E5" t="e">
            <v>#REF!</v>
          </cell>
          <cell r="G5" t="e">
            <v>#REF!</v>
          </cell>
          <cell r="I5" t="e">
            <v>#REF!</v>
          </cell>
          <cell r="K5" t="e">
            <v>#REF!</v>
          </cell>
          <cell r="M5" t="e">
            <v>#REF!</v>
          </cell>
          <cell r="O5" t="e">
            <v>#REF!</v>
          </cell>
          <cell r="Q5" t="e">
            <v>#REF!</v>
          </cell>
          <cell r="S5" t="e">
            <v>#REF!</v>
          </cell>
          <cell r="U5" t="e">
            <v>#REF!</v>
          </cell>
          <cell r="W5" t="e">
            <v>#REF!</v>
          </cell>
          <cell r="Y5" t="e">
            <v>#REF!</v>
          </cell>
        </row>
        <row r="6">
          <cell r="A6" t="str">
            <v>Sales Related Other Income</v>
          </cell>
          <cell r="C6" t="e">
            <v>#REF!</v>
          </cell>
          <cell r="E6" t="e">
            <v>#REF!</v>
          </cell>
          <cell r="G6" t="e">
            <v>#REF!</v>
          </cell>
          <cell r="I6" t="e">
            <v>#REF!</v>
          </cell>
          <cell r="K6" t="e">
            <v>#REF!</v>
          </cell>
          <cell r="M6" t="e">
            <v>#REF!</v>
          </cell>
          <cell r="O6" t="e">
            <v>#REF!</v>
          </cell>
          <cell r="Q6" t="e">
            <v>#REF!</v>
          </cell>
          <cell r="S6" t="e">
            <v>#REF!</v>
          </cell>
          <cell r="U6" t="e">
            <v>#REF!</v>
          </cell>
          <cell r="W6" t="e">
            <v>#REF!</v>
          </cell>
          <cell r="Y6" t="e">
            <v>#REF!</v>
          </cell>
        </row>
        <row r="7">
          <cell r="A7" t="str">
            <v>Gross Sales</v>
          </cell>
          <cell r="C7" t="e">
            <v>#REF!</v>
          </cell>
          <cell r="E7" t="e">
            <v>#REF!</v>
          </cell>
          <cell r="G7" t="e">
            <v>#REF!</v>
          </cell>
          <cell r="I7" t="e">
            <v>#REF!</v>
          </cell>
          <cell r="K7" t="e">
            <v>#REF!</v>
          </cell>
          <cell r="M7" t="e">
            <v>#REF!</v>
          </cell>
          <cell r="O7" t="e">
            <v>#REF!</v>
          </cell>
          <cell r="Q7" t="e">
            <v>#REF!</v>
          </cell>
          <cell r="S7" t="e">
            <v>#REF!</v>
          </cell>
          <cell r="U7" t="e">
            <v>#REF!</v>
          </cell>
          <cell r="W7" t="e">
            <v>#REF!</v>
          </cell>
          <cell r="Y7" t="e">
            <v>#REF!</v>
          </cell>
        </row>
        <row r="8">
          <cell r="B8" t="str">
            <v>Growth of Gross Sales</v>
          </cell>
          <cell r="E8" t="e">
            <v>#REF!</v>
          </cell>
          <cell r="G8" t="e">
            <v>#REF!</v>
          </cell>
          <cell r="I8" t="e">
            <v>#REF!</v>
          </cell>
          <cell r="K8" t="e">
            <v>#REF!</v>
          </cell>
          <cell r="M8" t="e">
            <v>#REF!</v>
          </cell>
          <cell r="O8" t="e">
            <v>#REF!</v>
          </cell>
          <cell r="Q8" t="e">
            <v>#REF!</v>
          </cell>
          <cell r="S8" t="e">
            <v>#REF!</v>
          </cell>
          <cell r="U8" t="e">
            <v>#REF!</v>
          </cell>
          <cell r="W8" t="e">
            <v>#REF!</v>
          </cell>
          <cell r="Y8" t="e">
            <v>#REF!</v>
          </cell>
        </row>
        <row r="9">
          <cell r="A9" t="str">
            <v>(less) Excise Duty</v>
          </cell>
          <cell r="C9" t="e">
            <v>#REF!</v>
          </cell>
          <cell r="E9" t="e">
            <v>#REF!</v>
          </cell>
          <cell r="G9" t="e">
            <v>#REF!</v>
          </cell>
          <cell r="I9" t="e">
            <v>#REF!</v>
          </cell>
          <cell r="K9" t="e">
            <v>#REF!</v>
          </cell>
          <cell r="M9" t="e">
            <v>#REF!</v>
          </cell>
          <cell r="O9" t="e">
            <v>#REF!</v>
          </cell>
          <cell r="Q9" t="e">
            <v>#REF!</v>
          </cell>
          <cell r="S9" t="e">
            <v>#REF!</v>
          </cell>
          <cell r="U9" t="e">
            <v>#REF!</v>
          </cell>
          <cell r="W9" t="e">
            <v>#REF!</v>
          </cell>
          <cell r="Y9" t="e">
            <v>#REF!</v>
          </cell>
        </row>
        <row r="10">
          <cell r="A10" t="str">
            <v>Net Sales</v>
          </cell>
          <cell r="C10" t="e">
            <v>#REF!</v>
          </cell>
          <cell r="E10" t="e">
            <v>#REF!</v>
          </cell>
          <cell r="G10" t="e">
            <v>#REF!</v>
          </cell>
          <cell r="I10" t="e">
            <v>#REF!</v>
          </cell>
          <cell r="K10" t="e">
            <v>#REF!</v>
          </cell>
          <cell r="M10" t="e">
            <v>#REF!</v>
          </cell>
          <cell r="O10" t="e">
            <v>#REF!</v>
          </cell>
          <cell r="Q10" t="e">
            <v>#REF!</v>
          </cell>
          <cell r="S10" t="e">
            <v>#REF!</v>
          </cell>
          <cell r="U10" t="e">
            <v>#REF!</v>
          </cell>
          <cell r="W10" t="e">
            <v>#REF!</v>
          </cell>
          <cell r="Y10" t="e">
            <v>#REF!</v>
          </cell>
        </row>
        <row r="11">
          <cell r="B11" t="str">
            <v>Growth of Net Sales</v>
          </cell>
          <cell r="E11" t="e">
            <v>#REF!</v>
          </cell>
          <cell r="G11" t="e">
            <v>#REF!</v>
          </cell>
          <cell r="I11" t="e">
            <v>#REF!</v>
          </cell>
          <cell r="K11" t="e">
            <v>#REF!</v>
          </cell>
          <cell r="M11" t="e">
            <v>#REF!</v>
          </cell>
          <cell r="O11" t="e">
            <v>#REF!</v>
          </cell>
          <cell r="Q11" t="e">
            <v>#REF!</v>
          </cell>
          <cell r="S11" t="e">
            <v>#REF!</v>
          </cell>
          <cell r="U11" t="e">
            <v>#REF!</v>
          </cell>
          <cell r="W11" t="e">
            <v>#REF!</v>
          </cell>
          <cell r="Y11" t="e">
            <v>#REF!</v>
          </cell>
        </row>
        <row r="12">
          <cell r="A12" t="str">
            <v>Operating Expenses</v>
          </cell>
        </row>
        <row r="13">
          <cell r="A13" t="str">
            <v>Materials</v>
          </cell>
          <cell r="C13" t="e">
            <v>#REF!</v>
          </cell>
          <cell r="E13" t="e">
            <v>#REF!</v>
          </cell>
          <cell r="G13" t="e">
            <v>#REF!</v>
          </cell>
          <cell r="I13" t="e">
            <v>#REF!</v>
          </cell>
          <cell r="K13" t="e">
            <v>#REF!</v>
          </cell>
          <cell r="M13" t="e">
            <v>#REF!</v>
          </cell>
          <cell r="O13" t="e">
            <v>#REF!</v>
          </cell>
          <cell r="Q13" t="e">
            <v>#REF!</v>
          </cell>
          <cell r="S13" t="e">
            <v>#REF!</v>
          </cell>
          <cell r="U13" t="e">
            <v>#REF!</v>
          </cell>
          <cell r="W13" t="e">
            <v>#REF!</v>
          </cell>
          <cell r="Y13" t="e">
            <v>#REF!</v>
          </cell>
        </row>
        <row r="14">
          <cell r="A14" t="str">
            <v>Staff Costs</v>
          </cell>
          <cell r="C14" t="e">
            <v>#REF!</v>
          </cell>
          <cell r="E14" t="e">
            <v>#REF!</v>
          </cell>
          <cell r="G14" t="e">
            <v>#REF!</v>
          </cell>
          <cell r="I14" t="e">
            <v>#REF!</v>
          </cell>
          <cell r="K14" t="e">
            <v>#REF!</v>
          </cell>
          <cell r="M14" t="e">
            <v>#REF!</v>
          </cell>
          <cell r="O14" t="e">
            <v>#REF!</v>
          </cell>
          <cell r="Q14" t="e">
            <v>#REF!</v>
          </cell>
          <cell r="S14" t="e">
            <v>#REF!</v>
          </cell>
          <cell r="U14" t="e">
            <v>#REF!</v>
          </cell>
          <cell r="W14" t="e">
            <v>#REF!</v>
          </cell>
          <cell r="Y14" t="e">
            <v>#REF!</v>
          </cell>
        </row>
        <row r="15">
          <cell r="A15" t="str">
            <v>Mfg expenses</v>
          </cell>
          <cell r="C15" t="e">
            <v>#REF!</v>
          </cell>
          <cell r="E15" t="e">
            <v>#REF!</v>
          </cell>
          <cell r="G15" t="e">
            <v>#REF!</v>
          </cell>
          <cell r="I15" t="e">
            <v>#REF!</v>
          </cell>
          <cell r="K15" t="e">
            <v>#REF!</v>
          </cell>
          <cell r="M15" t="e">
            <v>#REF!</v>
          </cell>
          <cell r="O15" t="e">
            <v>#REF!</v>
          </cell>
          <cell r="Q15" t="e">
            <v>#REF!</v>
          </cell>
          <cell r="S15" t="e">
            <v>#REF!</v>
          </cell>
          <cell r="U15" t="e">
            <v>#REF!</v>
          </cell>
          <cell r="W15" t="e">
            <v>#REF!</v>
          </cell>
          <cell r="Y15" t="e">
            <v>#REF!</v>
          </cell>
        </row>
        <row r="16">
          <cell r="A16" t="str">
            <v>Selling, general and admin expenses</v>
          </cell>
          <cell r="C16" t="e">
            <v>#REF!</v>
          </cell>
          <cell r="E16" t="e">
            <v>#REF!</v>
          </cell>
          <cell r="G16" t="e">
            <v>#REF!</v>
          </cell>
          <cell r="I16" t="e">
            <v>#REF!</v>
          </cell>
          <cell r="K16" t="e">
            <v>#REF!</v>
          </cell>
          <cell r="M16" t="e">
            <v>#REF!</v>
          </cell>
          <cell r="O16" t="e">
            <v>#REF!</v>
          </cell>
          <cell r="Q16" t="e">
            <v>#REF!</v>
          </cell>
          <cell r="S16" t="e">
            <v>#REF!</v>
          </cell>
          <cell r="U16" t="e">
            <v>#REF!</v>
          </cell>
          <cell r="W16" t="e">
            <v>#REF!</v>
          </cell>
          <cell r="Y16" t="e">
            <v>#REF!</v>
          </cell>
        </row>
        <row r="17">
          <cell r="A17" t="str">
            <v>Advertising expenses</v>
          </cell>
          <cell r="C17" t="e">
            <v>#REF!</v>
          </cell>
          <cell r="E17" t="e">
            <v>#REF!</v>
          </cell>
          <cell r="G17" t="e">
            <v>#REF!</v>
          </cell>
          <cell r="I17" t="e">
            <v>#REF!</v>
          </cell>
          <cell r="K17" t="e">
            <v>#REF!</v>
          </cell>
          <cell r="M17" t="e">
            <v>#REF!</v>
          </cell>
          <cell r="O17" t="e">
            <v>#REF!</v>
          </cell>
          <cell r="Q17" t="e">
            <v>#REF!</v>
          </cell>
          <cell r="S17" t="e">
            <v>#REF!</v>
          </cell>
          <cell r="U17" t="e">
            <v>#REF!</v>
          </cell>
          <cell r="W17" t="e">
            <v>#REF!</v>
          </cell>
          <cell r="Y17" t="e">
            <v>#REF!</v>
          </cell>
        </row>
        <row r="18">
          <cell r="A18" t="str">
            <v>Total Operating Expenses</v>
          </cell>
          <cell r="C18" t="e">
            <v>#REF!</v>
          </cell>
          <cell r="E18" t="e">
            <v>#REF!</v>
          </cell>
          <cell r="G18" t="e">
            <v>#REF!</v>
          </cell>
          <cell r="I18" t="e">
            <v>#REF!</v>
          </cell>
          <cell r="K18" t="e">
            <v>#REF!</v>
          </cell>
          <cell r="M18" t="e">
            <v>#REF!</v>
          </cell>
          <cell r="O18" t="e">
            <v>#REF!</v>
          </cell>
          <cell r="Q18" t="e">
            <v>#REF!</v>
          </cell>
          <cell r="S18" t="e">
            <v>#REF!</v>
          </cell>
          <cell r="U18" t="e">
            <v>#REF!</v>
          </cell>
          <cell r="W18" t="e">
            <v>#REF!</v>
          </cell>
          <cell r="Y18" t="e">
            <v>#REF!</v>
          </cell>
        </row>
        <row r="19">
          <cell r="B19" t="str">
            <v>Operating Ratio</v>
          </cell>
          <cell r="C19" t="e">
            <v>#REF!</v>
          </cell>
          <cell r="E19" t="e">
            <v>#REF!</v>
          </cell>
          <cell r="G19" t="e">
            <v>#REF!</v>
          </cell>
          <cell r="I19" t="e">
            <v>#REF!</v>
          </cell>
          <cell r="K19" t="e">
            <v>#REF!</v>
          </cell>
          <cell r="M19" t="e">
            <v>#REF!</v>
          </cell>
          <cell r="O19" t="e">
            <v>#REF!</v>
          </cell>
          <cell r="Q19" t="e">
            <v>#REF!</v>
          </cell>
          <cell r="S19" t="e">
            <v>#REF!</v>
          </cell>
          <cell r="U19" t="e">
            <v>#REF!</v>
          </cell>
          <cell r="W19" t="e">
            <v>#REF!</v>
          </cell>
          <cell r="Y19" t="e">
            <v>#REF!</v>
          </cell>
        </row>
        <row r="20">
          <cell r="A20" t="str">
            <v>Operating Profit</v>
          </cell>
          <cell r="C20" t="e">
            <v>#REF!</v>
          </cell>
          <cell r="E20" t="e">
            <v>#REF!</v>
          </cell>
          <cell r="G20" t="e">
            <v>#REF!</v>
          </cell>
          <cell r="I20" t="e">
            <v>#REF!</v>
          </cell>
          <cell r="K20" t="e">
            <v>#REF!</v>
          </cell>
          <cell r="M20" t="e">
            <v>#REF!</v>
          </cell>
          <cell r="O20" t="e">
            <v>#REF!</v>
          </cell>
          <cell r="Q20" t="e">
            <v>#REF!</v>
          </cell>
          <cell r="S20" t="e">
            <v>#REF!</v>
          </cell>
          <cell r="U20" t="e">
            <v>#REF!</v>
          </cell>
          <cell r="W20" t="e">
            <v>#REF!</v>
          </cell>
          <cell r="Y20" t="e">
            <v>#REF!</v>
          </cell>
        </row>
        <row r="21">
          <cell r="B21" t="str">
            <v>Growth of Operating Profit</v>
          </cell>
          <cell r="E21" t="e">
            <v>#REF!</v>
          </cell>
          <cell r="G21" t="e">
            <v>#REF!</v>
          </cell>
          <cell r="I21" t="e">
            <v>#REF!</v>
          </cell>
          <cell r="K21" t="e">
            <v>#REF!</v>
          </cell>
          <cell r="M21" t="e">
            <v>#REF!</v>
          </cell>
          <cell r="O21" t="e">
            <v>#REF!</v>
          </cell>
          <cell r="Q21" t="e">
            <v>#REF!</v>
          </cell>
          <cell r="S21" t="e">
            <v>#REF!</v>
          </cell>
          <cell r="U21" t="e">
            <v>#REF!</v>
          </cell>
          <cell r="W21" t="e">
            <v>#REF!</v>
          </cell>
          <cell r="Y21" t="e">
            <v>#REF!</v>
          </cell>
        </row>
        <row r="22">
          <cell r="A22" t="str">
            <v>Depreciation (Charge)</v>
          </cell>
          <cell r="C22" t="e">
            <v>#REF!</v>
          </cell>
          <cell r="E22" t="e">
            <v>#REF!</v>
          </cell>
          <cell r="G22" t="e">
            <v>#REF!</v>
          </cell>
          <cell r="I22" t="e">
            <v>#REF!</v>
          </cell>
          <cell r="K22" t="e">
            <v>#REF!</v>
          </cell>
          <cell r="M22" t="e">
            <v>#REF!</v>
          </cell>
          <cell r="O22" t="e">
            <v>#REF!</v>
          </cell>
          <cell r="Q22" t="e">
            <v>#REF!</v>
          </cell>
          <cell r="S22" t="e">
            <v>#REF!</v>
          </cell>
          <cell r="U22" t="e">
            <v>#REF!</v>
          </cell>
          <cell r="W22" t="e">
            <v>#REF!</v>
          </cell>
          <cell r="Y22" t="e">
            <v>#REF!</v>
          </cell>
        </row>
        <row r="23">
          <cell r="A23" t="str">
            <v>Interest (Charge)</v>
          </cell>
          <cell r="C23" t="e">
            <v>#REF!</v>
          </cell>
          <cell r="E23" t="e">
            <v>#REF!</v>
          </cell>
          <cell r="G23" t="e">
            <v>#REF!</v>
          </cell>
          <cell r="I23" t="e">
            <v>#REF!</v>
          </cell>
          <cell r="K23" t="e">
            <v>#REF!</v>
          </cell>
          <cell r="M23" t="e">
            <v>#REF!</v>
          </cell>
          <cell r="O23" t="e">
            <v>#REF!</v>
          </cell>
          <cell r="Q23" t="e">
            <v>#REF!</v>
          </cell>
          <cell r="S23" t="e">
            <v>#REF!</v>
          </cell>
          <cell r="U23" t="e">
            <v>#REF!</v>
          </cell>
          <cell r="W23" t="e">
            <v>#REF!</v>
          </cell>
          <cell r="Y23" t="e">
            <v>#REF!</v>
          </cell>
        </row>
        <row r="24">
          <cell r="A24" t="str">
            <v>Interest (income)</v>
          </cell>
          <cell r="C24" t="e">
            <v>#REF!</v>
          </cell>
          <cell r="E24" t="e">
            <v>#REF!</v>
          </cell>
          <cell r="G24" t="e">
            <v>#REF!</v>
          </cell>
          <cell r="I24" t="e">
            <v>#REF!</v>
          </cell>
          <cell r="K24" t="e">
            <v>#REF!</v>
          </cell>
          <cell r="M24" t="e">
            <v>#REF!</v>
          </cell>
          <cell r="O24" t="e">
            <v>#REF!</v>
          </cell>
          <cell r="Q24" t="e">
            <v>#REF!</v>
          </cell>
          <cell r="S24" t="e">
            <v>#REF!</v>
          </cell>
          <cell r="U24" t="e">
            <v>#REF!</v>
          </cell>
          <cell r="W24" t="e">
            <v>#REF!</v>
          </cell>
          <cell r="Y24" t="e">
            <v>#REF!</v>
          </cell>
        </row>
        <row r="25">
          <cell r="A25" t="str">
            <v>Other Income - not sales related</v>
          </cell>
          <cell r="C25" t="e">
            <v>#REF!</v>
          </cell>
          <cell r="E25" t="e">
            <v>#REF!</v>
          </cell>
          <cell r="G25" t="e">
            <v>#REF!</v>
          </cell>
          <cell r="I25" t="e">
            <v>#REF!</v>
          </cell>
          <cell r="K25" t="e">
            <v>#REF!</v>
          </cell>
          <cell r="M25" t="e">
            <v>#REF!</v>
          </cell>
          <cell r="O25" t="e">
            <v>#REF!</v>
          </cell>
          <cell r="Q25" t="e">
            <v>#REF!</v>
          </cell>
          <cell r="S25" t="e">
            <v>#REF!</v>
          </cell>
          <cell r="U25" t="e">
            <v>#REF!</v>
          </cell>
          <cell r="W25" t="e">
            <v>#REF!</v>
          </cell>
          <cell r="Y25" t="e">
            <v>#REF!</v>
          </cell>
        </row>
        <row r="26">
          <cell r="A26" t="str">
            <v>Profit before exceptionals</v>
          </cell>
          <cell r="C26" t="e">
            <v>#REF!</v>
          </cell>
          <cell r="E26" t="e">
            <v>#REF!</v>
          </cell>
          <cell r="G26" t="e">
            <v>#REF!</v>
          </cell>
          <cell r="I26" t="e">
            <v>#REF!</v>
          </cell>
          <cell r="K26" t="e">
            <v>#REF!</v>
          </cell>
          <cell r="M26" t="e">
            <v>#REF!</v>
          </cell>
          <cell r="O26" t="e">
            <v>#REF!</v>
          </cell>
          <cell r="Q26" t="e">
            <v>#REF!</v>
          </cell>
          <cell r="S26" t="e">
            <v>#REF!</v>
          </cell>
          <cell r="U26" t="e">
            <v>#REF!</v>
          </cell>
          <cell r="W26" t="e">
            <v>#REF!</v>
          </cell>
          <cell r="Y26" t="e">
            <v>#REF!</v>
          </cell>
        </row>
        <row r="27">
          <cell r="A27" t="str">
            <v>Exceptional Items</v>
          </cell>
          <cell r="C27" t="e">
            <v>#REF!</v>
          </cell>
          <cell r="E27" t="e">
            <v>#REF!</v>
          </cell>
          <cell r="G27" t="e">
            <v>#REF!</v>
          </cell>
          <cell r="I27" t="e">
            <v>#REF!</v>
          </cell>
          <cell r="K27" t="e">
            <v>#REF!</v>
          </cell>
          <cell r="M27" t="e">
            <v>#REF!</v>
          </cell>
          <cell r="O27" t="e">
            <v>#REF!</v>
          </cell>
          <cell r="Q27" t="e">
            <v>#REF!</v>
          </cell>
          <cell r="S27" t="e">
            <v>#REF!</v>
          </cell>
          <cell r="U27" t="e">
            <v>#REF!</v>
          </cell>
          <cell r="W27" t="e">
            <v>#REF!</v>
          </cell>
          <cell r="Y27" t="e">
            <v>#REF!</v>
          </cell>
        </row>
        <row r="28">
          <cell r="A28" t="str">
            <v>Pre-Tax Profit</v>
          </cell>
          <cell r="C28" t="e">
            <v>#REF!</v>
          </cell>
          <cell r="E28" t="e">
            <v>#REF!</v>
          </cell>
          <cell r="G28" t="e">
            <v>#REF!</v>
          </cell>
          <cell r="I28" t="e">
            <v>#REF!</v>
          </cell>
          <cell r="K28" t="e">
            <v>#REF!</v>
          </cell>
          <cell r="M28" t="e">
            <v>#REF!</v>
          </cell>
          <cell r="O28" t="e">
            <v>#REF!</v>
          </cell>
          <cell r="Q28" t="e">
            <v>#REF!</v>
          </cell>
          <cell r="S28" t="e">
            <v>#REF!</v>
          </cell>
          <cell r="U28" t="e">
            <v>#REF!</v>
          </cell>
          <cell r="W28" t="e">
            <v>#REF!</v>
          </cell>
          <cell r="Y28" t="e">
            <v>#REF!</v>
          </cell>
        </row>
        <row r="29">
          <cell r="B29" t="str">
            <v>Tax Rate</v>
          </cell>
          <cell r="C29" t="e">
            <v>#REF!</v>
          </cell>
          <cell r="E29" t="e">
            <v>#REF!</v>
          </cell>
          <cell r="G29" t="e">
            <v>#REF!</v>
          </cell>
          <cell r="I29" t="e">
            <v>#REF!</v>
          </cell>
          <cell r="K29" t="e">
            <v>#REF!</v>
          </cell>
          <cell r="M29" t="e">
            <v>#REF!</v>
          </cell>
          <cell r="O29" t="e">
            <v>#REF!</v>
          </cell>
          <cell r="Q29" t="e">
            <v>#REF!</v>
          </cell>
          <cell r="S29" t="e">
            <v>#REF!</v>
          </cell>
          <cell r="U29" t="e">
            <v>#REF!</v>
          </cell>
          <cell r="W29" t="e">
            <v>#REF!</v>
          </cell>
          <cell r="Y29" t="e">
            <v>#REF!</v>
          </cell>
        </row>
        <row r="30">
          <cell r="A30" t="str">
            <v>Taxation</v>
          </cell>
          <cell r="C30" t="e">
            <v>#REF!</v>
          </cell>
          <cell r="E30" t="e">
            <v>#REF!</v>
          </cell>
          <cell r="G30" t="e">
            <v>#REF!</v>
          </cell>
          <cell r="I30" t="e">
            <v>#REF!</v>
          </cell>
          <cell r="K30" t="e">
            <v>#REF!</v>
          </cell>
          <cell r="L30" t="str">
            <v xml:space="preserve"> Ratios, etc.</v>
          </cell>
          <cell r="M30" t="e">
            <v>#REF!</v>
          </cell>
          <cell r="O30" t="e">
            <v>#REF!</v>
          </cell>
          <cell r="P30">
            <v>1997</v>
          </cell>
          <cell r="Q30" t="e">
            <v>#REF!</v>
          </cell>
          <cell r="R30">
            <v>1998</v>
          </cell>
          <cell r="S30" t="e">
            <v>#REF!</v>
          </cell>
          <cell r="T30">
            <v>1999</v>
          </cell>
          <cell r="U30" t="e">
            <v>#REF!</v>
          </cell>
          <cell r="V30">
            <v>2000</v>
          </cell>
          <cell r="W30" t="e">
            <v>#REF!</v>
          </cell>
          <cell r="X30">
            <v>0</v>
          </cell>
          <cell r="Y30" t="e">
            <v>#REF!</v>
          </cell>
        </row>
        <row r="31">
          <cell r="A31" t="str">
            <v>Net Profit</v>
          </cell>
          <cell r="C31" t="e">
            <v>#REF!</v>
          </cell>
          <cell r="E31" t="e">
            <v>#REF!</v>
          </cell>
          <cell r="G31" t="e">
            <v>#REF!</v>
          </cell>
          <cell r="I31" t="e">
            <v>#REF!</v>
          </cell>
          <cell r="J31" t="e">
            <v>#REF!</v>
          </cell>
          <cell r="K31" t="e">
            <v>#REF!</v>
          </cell>
          <cell r="L31" t="str">
            <v xml:space="preserve"> Operating Margin</v>
          </cell>
          <cell r="M31" t="e">
            <v>#REF!</v>
          </cell>
          <cell r="O31" t="e">
            <v>#REF!</v>
          </cell>
          <cell r="P31">
            <v>137</v>
          </cell>
          <cell r="Q31" t="e">
            <v>#REF!</v>
          </cell>
          <cell r="R31">
            <v>137</v>
          </cell>
          <cell r="S31" t="e">
            <v>#REF!</v>
          </cell>
          <cell r="T31">
            <v>137</v>
          </cell>
          <cell r="U31" t="e">
            <v>#REF!</v>
          </cell>
          <cell r="V31">
            <v>137</v>
          </cell>
          <cell r="W31" t="e">
            <v>#REF!</v>
          </cell>
          <cell r="Y31" t="e">
            <v>#REF!</v>
          </cell>
        </row>
        <row r="32">
          <cell r="B32" t="str">
            <v>Net Profit Margin</v>
          </cell>
          <cell r="C32" t="e">
            <v>#REF!</v>
          </cell>
          <cell r="E32" t="e">
            <v>#REF!</v>
          </cell>
          <cell r="G32" t="e">
            <v>#REF!</v>
          </cell>
          <cell r="I32" t="e">
            <v>#REF!</v>
          </cell>
          <cell r="J32" t="e">
            <v>#REF!</v>
          </cell>
          <cell r="K32" t="e">
            <v>#REF!</v>
          </cell>
          <cell r="L32" t="str">
            <v xml:space="preserve"> Net Profit Margin</v>
          </cell>
          <cell r="M32" t="e">
            <v>#REF!</v>
          </cell>
          <cell r="O32" t="e">
            <v>#REF!</v>
          </cell>
          <cell r="P32">
            <v>138</v>
          </cell>
          <cell r="Q32" t="e">
            <v>#REF!</v>
          </cell>
          <cell r="R32">
            <v>138</v>
          </cell>
          <cell r="S32" t="e">
            <v>#REF!</v>
          </cell>
          <cell r="T32">
            <v>138</v>
          </cell>
          <cell r="U32" t="e">
            <v>#REF!</v>
          </cell>
          <cell r="V32">
            <v>138</v>
          </cell>
          <cell r="W32" t="e">
            <v>#REF!</v>
          </cell>
          <cell r="Y32" t="e">
            <v>#REF!</v>
          </cell>
        </row>
        <row r="33">
          <cell r="B33" t="str">
            <v>Growth of Net Profit</v>
          </cell>
          <cell r="C33" t="str">
            <v>Foreign Institutional Investors/NRI/OCB</v>
          </cell>
          <cell r="E33" t="e">
            <v>#REF!</v>
          </cell>
          <cell r="G33" t="e">
            <v>#REF!</v>
          </cell>
          <cell r="I33" t="e">
            <v>#REF!</v>
          </cell>
          <cell r="J33" t="e">
            <v>#REF!</v>
          </cell>
          <cell r="K33" t="e">
            <v>#REF!</v>
          </cell>
          <cell r="L33" t="str">
            <v xml:space="preserve"> Yield</v>
          </cell>
          <cell r="M33" t="e">
            <v>#REF!</v>
          </cell>
          <cell r="O33" t="e">
            <v>#REF!</v>
          </cell>
          <cell r="P33">
            <v>161</v>
          </cell>
          <cell r="Q33" t="e">
            <v>#REF!</v>
          </cell>
          <cell r="R33">
            <v>161</v>
          </cell>
          <cell r="S33" t="e">
            <v>#REF!</v>
          </cell>
          <cell r="T33">
            <v>161</v>
          </cell>
          <cell r="U33" t="e">
            <v>#REF!</v>
          </cell>
          <cell r="V33">
            <v>161</v>
          </cell>
          <cell r="W33" t="e">
            <v>#REF!</v>
          </cell>
          <cell r="Y33" t="e">
            <v>#REF!</v>
          </cell>
        </row>
        <row r="34">
          <cell r="A34" t="str">
            <v>Ordinary Dividends</v>
          </cell>
          <cell r="C34" t="e">
            <v>#REF!</v>
          </cell>
          <cell r="E34" t="e">
            <v>#REF!</v>
          </cell>
          <cell r="G34" t="e">
            <v>#REF!</v>
          </cell>
          <cell r="I34" t="e">
            <v>#REF!</v>
          </cell>
          <cell r="J34" t="e">
            <v>#REF!</v>
          </cell>
          <cell r="K34" t="e">
            <v>#REF!</v>
          </cell>
          <cell r="L34" t="str">
            <v xml:space="preserve"> Interest Cover</v>
          </cell>
          <cell r="M34" t="e">
            <v>#REF!</v>
          </cell>
          <cell r="O34" t="e">
            <v>#REF!</v>
          </cell>
          <cell r="P34">
            <v>142</v>
          </cell>
          <cell r="Q34" t="e">
            <v>#REF!</v>
          </cell>
          <cell r="R34">
            <v>142</v>
          </cell>
          <cell r="S34" t="e">
            <v>#REF!</v>
          </cell>
          <cell r="T34">
            <v>142</v>
          </cell>
          <cell r="U34" t="e">
            <v>#REF!</v>
          </cell>
          <cell r="V34">
            <v>142</v>
          </cell>
          <cell r="W34" t="e">
            <v>#REF!</v>
          </cell>
          <cell r="Y34" t="e">
            <v>#REF!</v>
          </cell>
        </row>
        <row r="35">
          <cell r="A35" t="str">
            <v>Retained Profit</v>
          </cell>
          <cell r="C35" t="e">
            <v>#REF!</v>
          </cell>
          <cell r="E35" t="e">
            <v>#REF!</v>
          </cell>
          <cell r="G35" t="e">
            <v>#REF!</v>
          </cell>
          <cell r="I35" t="e">
            <v>#REF!</v>
          </cell>
          <cell r="J35" t="e">
            <v>#REF!</v>
          </cell>
          <cell r="K35" t="e">
            <v>#REF!</v>
          </cell>
          <cell r="L35" t="str">
            <v xml:space="preserve"> Debt/Equity</v>
          </cell>
          <cell r="M35" t="e">
            <v>#REF!</v>
          </cell>
          <cell r="O35" t="e">
            <v>#REF!</v>
          </cell>
          <cell r="P35">
            <v>142</v>
          </cell>
          <cell r="Q35" t="e">
            <v>#REF!</v>
          </cell>
          <cell r="R35">
            <v>142</v>
          </cell>
          <cell r="S35" t="e">
            <v>#REF!</v>
          </cell>
          <cell r="T35">
            <v>142</v>
          </cell>
          <cell r="U35" t="e">
            <v>#REF!</v>
          </cell>
          <cell r="V35">
            <v>142</v>
          </cell>
          <cell r="W35" t="e">
            <v>#REF!</v>
          </cell>
          <cell r="Y35" t="e">
            <v>#REF!</v>
          </cell>
        </row>
        <row r="36">
          <cell r="B36" t="str">
            <v>Payout Ratio</v>
          </cell>
          <cell r="C36" t="e">
            <v>#REF!</v>
          </cell>
          <cell r="E36" t="e">
            <v>#REF!</v>
          </cell>
          <cell r="G36" t="e">
            <v>#REF!</v>
          </cell>
          <cell r="I36" t="e">
            <v>#REF!</v>
          </cell>
          <cell r="J36" t="e">
            <v>#REF!</v>
          </cell>
          <cell r="K36" t="e">
            <v>#REF!</v>
          </cell>
          <cell r="L36" t="str">
            <v xml:space="preserve"> Current Ratio</v>
          </cell>
          <cell r="M36" t="e">
            <v>#REF!</v>
          </cell>
          <cell r="O36" t="e">
            <v>#REF!</v>
          </cell>
          <cell r="P36">
            <v>140</v>
          </cell>
          <cell r="Q36" t="e">
            <v>#REF!</v>
          </cell>
          <cell r="R36">
            <v>140</v>
          </cell>
          <cell r="S36" t="e">
            <v>#REF!</v>
          </cell>
          <cell r="T36">
            <v>140</v>
          </cell>
          <cell r="U36" t="e">
            <v>#REF!</v>
          </cell>
          <cell r="V36">
            <v>140</v>
          </cell>
          <cell r="W36" t="e">
            <v>#REF!</v>
          </cell>
          <cell r="Y36" t="e">
            <v>#REF!</v>
          </cell>
        </row>
        <row r="37">
          <cell r="B37" t="str">
            <v>Dividend Cover (times)</v>
          </cell>
          <cell r="C37" t="e">
            <v>#REF!</v>
          </cell>
          <cell r="E37" t="e">
            <v>#REF!</v>
          </cell>
          <cell r="G37" t="e">
            <v>#REF!</v>
          </cell>
          <cell r="I37" t="e">
            <v>#REF!</v>
          </cell>
          <cell r="J37" t="e">
            <v>#REF!</v>
          </cell>
          <cell r="K37" t="e">
            <v>#REF!</v>
          </cell>
          <cell r="L37" t="str">
            <v xml:space="preserve"> Days Sales in Drs.</v>
          </cell>
          <cell r="M37" t="e">
            <v>#REF!</v>
          </cell>
          <cell r="O37" t="e">
            <v>#REF!</v>
          </cell>
          <cell r="P37">
            <v>145</v>
          </cell>
          <cell r="Q37" t="e">
            <v>#REF!</v>
          </cell>
          <cell r="R37">
            <v>145</v>
          </cell>
          <cell r="S37" t="e">
            <v>#REF!</v>
          </cell>
          <cell r="T37">
            <v>145</v>
          </cell>
          <cell r="U37" t="e">
            <v>#REF!</v>
          </cell>
          <cell r="V37">
            <v>145</v>
          </cell>
          <cell r="W37" t="e">
            <v>#REF!</v>
          </cell>
          <cell r="Y37" t="e">
            <v>#REF!</v>
          </cell>
        </row>
        <row r="38">
          <cell r="A38" t="str">
            <v>Shares in Issue (mn)- adjusted</v>
          </cell>
          <cell r="J38" t="e">
            <v>#REF!</v>
          </cell>
          <cell r="L38" t="str">
            <v xml:space="preserve"> Invent. turn (days) </v>
          </cell>
          <cell r="P38">
            <v>146</v>
          </cell>
          <cell r="R38">
            <v>146</v>
          </cell>
          <cell r="T38">
            <v>146</v>
          </cell>
          <cell r="V38">
            <v>146</v>
          </cell>
        </row>
        <row r="39">
          <cell r="A39" t="str">
            <v>Undiluted</v>
          </cell>
          <cell r="C39" t="e">
            <v>#REF!</v>
          </cell>
          <cell r="E39" t="e">
            <v>#REF!</v>
          </cell>
          <cell r="G39" t="e">
            <v>#REF!</v>
          </cell>
          <cell r="I39" t="e">
            <v>#REF!</v>
          </cell>
          <cell r="K39" t="e">
            <v>#REF!</v>
          </cell>
          <cell r="M39" t="e">
            <v>#REF!</v>
          </cell>
          <cell r="O39" t="e">
            <v>#REF!</v>
          </cell>
          <cell r="Q39" t="e">
            <v>#REF!</v>
          </cell>
          <cell r="S39" t="e">
            <v>#REF!</v>
          </cell>
          <cell r="U39" t="e">
            <v>#REF!</v>
          </cell>
          <cell r="W39" t="e">
            <v>#REF!</v>
          </cell>
          <cell r="Y39" t="e">
            <v>#REF!</v>
          </cell>
        </row>
        <row r="40">
          <cell r="A40" t="str">
            <v>Diluted</v>
          </cell>
          <cell r="C40" t="e">
            <v>#REF!</v>
          </cell>
          <cell r="E40" t="e">
            <v>#REF!</v>
          </cell>
          <cell r="G40" t="e">
            <v>#REF!</v>
          </cell>
          <cell r="I40" t="e">
            <v>#REF!</v>
          </cell>
          <cell r="K40" t="e">
            <v>#REF!</v>
          </cell>
          <cell r="M40" t="e">
            <v>#REF!</v>
          </cell>
          <cell r="O40" t="e">
            <v>#REF!</v>
          </cell>
          <cell r="Q40" t="e">
            <v>#REF!</v>
          </cell>
          <cell r="S40" t="e">
            <v>#REF!</v>
          </cell>
          <cell r="U40" t="e">
            <v>#REF!</v>
          </cell>
          <cell r="W40" t="e">
            <v>#REF!</v>
          </cell>
          <cell r="Y40" t="e">
            <v>#REF!</v>
          </cell>
        </row>
        <row r="42">
          <cell r="A42" t="str">
            <v>Balance Sheet (Rs mn)</v>
          </cell>
          <cell r="C42" t="str">
            <v>FY1993</v>
          </cell>
          <cell r="D42">
            <v>32762.6</v>
          </cell>
          <cell r="E42" t="str">
            <v>FY1994</v>
          </cell>
          <cell r="F42">
            <v>33238.428288336137</v>
          </cell>
          <cell r="G42" t="str">
            <v>FY1995</v>
          </cell>
          <cell r="H42">
            <v>38910</v>
          </cell>
          <cell r="I42" t="str">
            <v>FY1996</v>
          </cell>
          <cell r="J42">
            <v>0.18763468100822278</v>
          </cell>
          <cell r="K42" t="str">
            <v>FY1997</v>
          </cell>
          <cell r="L42">
            <v>39287.083125738238</v>
          </cell>
          <cell r="M42" t="str">
            <v>FY1998</v>
          </cell>
          <cell r="N42">
            <v>0.18197776335665861</v>
          </cell>
          <cell r="O42" t="str">
            <v>FY1999</v>
          </cell>
          <cell r="P42">
            <v>46618.7</v>
          </cell>
          <cell r="Q42" t="str">
            <v>FY2000</v>
          </cell>
          <cell r="R42">
            <v>0.19811616551015154</v>
          </cell>
          <cell r="S42" t="str">
            <v>FY2001</v>
          </cell>
          <cell r="T42">
            <v>46358.5</v>
          </cell>
          <cell r="U42" t="str">
            <v>FY2002</v>
          </cell>
          <cell r="V42">
            <v>0.17999343070672125</v>
          </cell>
          <cell r="W42" t="str">
            <v>FY2003</v>
          </cell>
          <cell r="Y42" t="str">
            <v>FY2004</v>
          </cell>
        </row>
        <row r="43">
          <cell r="B43" t="str">
            <v xml:space="preserve">Period end: </v>
          </cell>
          <cell r="C43">
            <v>34334</v>
          </cell>
          <cell r="D43">
            <v>2548.8999999999978</v>
          </cell>
          <cell r="E43">
            <v>34699</v>
          </cell>
          <cell r="F43">
            <v>2907.8472883361455</v>
          </cell>
          <cell r="G43">
            <v>35064</v>
          </cell>
          <cell r="H43">
            <v>3020.1000000000013</v>
          </cell>
          <cell r="I43">
            <v>35430</v>
          </cell>
          <cell r="J43">
            <v>0.18486405900584724</v>
          </cell>
          <cell r="K43">
            <v>35795</v>
          </cell>
          <cell r="L43">
            <v>4068.5411257382439</v>
          </cell>
          <cell r="M43">
            <v>36160</v>
          </cell>
          <cell r="N43">
            <v>0.39915914499975025</v>
          </cell>
          <cell r="O43">
            <v>36525</v>
          </cell>
          <cell r="P43">
            <v>3811</v>
          </cell>
          <cell r="Q43">
            <v>36891</v>
          </cell>
          <cell r="R43">
            <v>0.26187874573689562</v>
          </cell>
          <cell r="S43">
            <v>37256</v>
          </cell>
          <cell r="T43">
            <v>5067.5000000000027</v>
          </cell>
          <cell r="U43">
            <v>37621</v>
          </cell>
          <cell r="V43">
            <v>0.24553245091764819</v>
          </cell>
          <cell r="W43">
            <v>37986</v>
          </cell>
          <cell r="Y43">
            <v>38352</v>
          </cell>
        </row>
        <row r="44">
          <cell r="A44" t="str">
            <v>Fixed Assets</v>
          </cell>
          <cell r="C44" t="str">
            <v>Other Income</v>
          </cell>
          <cell r="D44">
            <v>636.29999999999995</v>
          </cell>
          <cell r="F44">
            <v>529.22399999999993</v>
          </cell>
          <cell r="H44">
            <v>892.7</v>
          </cell>
          <cell r="J44">
            <v>0.40295458117240313</v>
          </cell>
          <cell r="L44">
            <v>860.08200000000011</v>
          </cell>
          <cell r="N44">
            <v>0.6251757289918829</v>
          </cell>
          <cell r="P44">
            <v>871.1</v>
          </cell>
          <cell r="R44">
            <v>-2.4196258541503313E-2</v>
          </cell>
          <cell r="T44">
            <v>1538.6</v>
          </cell>
          <cell r="V44">
            <v>0.78889919798344765</v>
          </cell>
        </row>
        <row r="45">
          <cell r="A45" t="str">
            <v>Gross Block</v>
          </cell>
          <cell r="C45" t="e">
            <v>#REF!</v>
          </cell>
          <cell r="D45">
            <v>-284.8</v>
          </cell>
          <cell r="E45" t="e">
            <v>#REF!</v>
          </cell>
          <cell r="F45">
            <v>-285.22999999999996</v>
          </cell>
          <cell r="G45" t="e">
            <v>#REF!</v>
          </cell>
          <cell r="H45">
            <v>-184</v>
          </cell>
          <cell r="I45" t="e">
            <v>#REF!</v>
          </cell>
          <cell r="J45">
            <v>-0.3539325842696629</v>
          </cell>
          <cell r="K45" t="e">
            <v>#REF!</v>
          </cell>
          <cell r="L45">
            <v>-155</v>
          </cell>
          <cell r="M45" t="e">
            <v>#REF!</v>
          </cell>
          <cell r="N45">
            <v>-0.4565789012375977</v>
          </cell>
          <cell r="O45" t="e">
            <v>#REF!</v>
          </cell>
          <cell r="P45">
            <v>-176.1</v>
          </cell>
          <cell r="Q45" t="e">
            <v>#REF!</v>
          </cell>
          <cell r="R45">
            <v>-4.2934782608695654E-2</v>
          </cell>
          <cell r="S45" t="e">
            <v>#REF!</v>
          </cell>
          <cell r="T45">
            <v>-114.10000000000002</v>
          </cell>
          <cell r="U45" t="e">
            <v>#REF!</v>
          </cell>
          <cell r="V45">
            <v>-0.2638709677419353</v>
          </cell>
          <cell r="W45" t="e">
            <v>#REF!</v>
          </cell>
          <cell r="Y45" t="e">
            <v>#REF!</v>
          </cell>
        </row>
        <row r="46">
          <cell r="A46" t="str">
            <v>Accumulated Depreciation</v>
          </cell>
          <cell r="C46" t="e">
            <v>#REF!</v>
          </cell>
          <cell r="D46">
            <v>2900.3999999999978</v>
          </cell>
          <cell r="E46" t="e">
            <v>#REF!</v>
          </cell>
          <cell r="F46">
            <v>3151.8412883361452</v>
          </cell>
          <cell r="G46" t="e">
            <v>#REF!</v>
          </cell>
          <cell r="H46">
            <v>3728.8000000000011</v>
          </cell>
          <cell r="I46" t="e">
            <v>#REF!</v>
          </cell>
          <cell r="J46">
            <v>0.28561577713418984</v>
          </cell>
          <cell r="K46" t="e">
            <v>#REF!</v>
          </cell>
          <cell r="L46">
            <v>4773.6231257382442</v>
          </cell>
          <cell r="M46" t="e">
            <v>#REF!</v>
          </cell>
          <cell r="N46">
            <v>0.51455060361184501</v>
          </cell>
          <cell r="O46" t="e">
            <v>#REF!</v>
          </cell>
          <cell r="P46">
            <v>4506</v>
          </cell>
          <cell r="Q46" t="e">
            <v>#REF!</v>
          </cell>
          <cell r="R46">
            <v>0.20843166702424343</v>
          </cell>
          <cell r="S46" t="e">
            <v>#REF!</v>
          </cell>
          <cell r="T46">
            <v>6492.0000000000018</v>
          </cell>
          <cell r="U46" t="e">
            <v>#REF!</v>
          </cell>
          <cell r="V46">
            <v>0.35997330099158376</v>
          </cell>
          <cell r="W46" t="e">
            <v>#REF!</v>
          </cell>
          <cell r="Y46" t="e">
            <v>#REF!</v>
          </cell>
        </row>
        <row r="47">
          <cell r="C47" t="e">
            <v>#REF!</v>
          </cell>
          <cell r="D47">
            <v>-1051.9000000000001</v>
          </cell>
          <cell r="E47" t="e">
            <v>#REF!</v>
          </cell>
          <cell r="F47">
            <v>-873.59999999999991</v>
          </cell>
          <cell r="G47" t="e">
            <v>#REF!</v>
          </cell>
          <cell r="H47">
            <v>-1164.2</v>
          </cell>
          <cell r="I47" t="e">
            <v>#REF!</v>
          </cell>
          <cell r="J47">
            <v>0.10675919764236141</v>
          </cell>
          <cell r="K47" t="e">
            <v>#REF!</v>
          </cell>
          <cell r="L47">
            <v>-1535.8</v>
          </cell>
          <cell r="M47" t="e">
            <v>#REF!</v>
          </cell>
          <cell r="N47">
            <v>0.75801282051282071</v>
          </cell>
          <cell r="O47" t="e">
            <v>#REF!</v>
          </cell>
          <cell r="P47">
            <v>-1220</v>
          </cell>
          <cell r="Q47" t="e">
            <v>#REF!</v>
          </cell>
          <cell r="R47">
            <v>4.7929908950352207E-2</v>
          </cell>
          <cell r="S47" t="e">
            <v>#REF!</v>
          </cell>
          <cell r="T47">
            <v>-1647.1</v>
          </cell>
          <cell r="U47" t="e">
            <v>#REF!</v>
          </cell>
          <cell r="V47">
            <v>7.2470373746581496E-2</v>
          </cell>
          <cell r="W47" t="e">
            <v>#REF!</v>
          </cell>
          <cell r="Y47" t="e">
            <v>#REF!</v>
          </cell>
        </row>
        <row r="48">
          <cell r="A48" t="str">
            <v>Capitalised Leases</v>
          </cell>
          <cell r="C48" t="str">
            <v>Net Profit</v>
          </cell>
          <cell r="D48">
            <v>1848.4999999999977</v>
          </cell>
          <cell r="F48">
            <v>2278.2412883361453</v>
          </cell>
          <cell r="H48">
            <v>2564.6000000000013</v>
          </cell>
          <cell r="J48">
            <v>0.38739518528536898</v>
          </cell>
          <cell r="L48">
            <v>3237.823125738244</v>
          </cell>
          <cell r="N48">
            <v>0.4211941212350272</v>
          </cell>
          <cell r="P48">
            <v>3286</v>
          </cell>
          <cell r="R48">
            <v>0.2812914294626836</v>
          </cell>
          <cell r="T48">
            <v>4844.9000000000015</v>
          </cell>
          <cell r="V48">
            <v>0.49634486253640975</v>
          </cell>
        </row>
        <row r="49">
          <cell r="A49" t="str">
            <v>Capital Work in Progress</v>
          </cell>
          <cell r="C49" t="e">
            <v>#REF!</v>
          </cell>
          <cell r="E49" t="e">
            <v>#REF!</v>
          </cell>
          <cell r="G49" t="e">
            <v>#REF!</v>
          </cell>
          <cell r="I49" t="e">
            <v>#REF!</v>
          </cell>
          <cell r="K49" t="e">
            <v>#REF!</v>
          </cell>
          <cell r="M49" t="e">
            <v>#REF!</v>
          </cell>
          <cell r="O49" t="e">
            <v>#REF!</v>
          </cell>
          <cell r="Q49" t="e">
            <v>#REF!</v>
          </cell>
          <cell r="S49" t="e">
            <v>#REF!</v>
          </cell>
          <cell r="U49" t="e">
            <v>#REF!</v>
          </cell>
          <cell r="W49" t="e">
            <v>#REF!</v>
          </cell>
          <cell r="Y49" t="e">
            <v>#REF!</v>
          </cell>
        </row>
        <row r="50">
          <cell r="B50" t="str">
            <v>Net Fixed Assets</v>
          </cell>
          <cell r="C50" t="e">
            <v>#REF!</v>
          </cell>
          <cell r="E50" t="e">
            <v>#REF!</v>
          </cell>
          <cell r="G50" t="e">
            <v>#REF!</v>
          </cell>
          <cell r="I50" t="e">
            <v>#REF!</v>
          </cell>
          <cell r="K50" t="e">
            <v>#REF!</v>
          </cell>
          <cell r="M50" t="e">
            <v>#REF!</v>
          </cell>
          <cell r="O50" t="e">
            <v>#REF!</v>
          </cell>
          <cell r="Q50" t="e">
            <v>#REF!</v>
          </cell>
          <cell r="S50" t="e">
            <v>#REF!</v>
          </cell>
          <cell r="U50" t="e">
            <v>#REF!</v>
          </cell>
          <cell r="W50" t="e">
            <v>#REF!</v>
          </cell>
          <cell r="Y50" t="e">
            <v>#REF!</v>
          </cell>
        </row>
        <row r="51">
          <cell r="A51" t="str">
            <v>Intangibles</v>
          </cell>
          <cell r="C51" t="str">
            <v>This report does not purport to be a complete description of the securities, markets or developments, referred to herein. All expressions of opinion reflect the judgment of the firm at this date and are subject to change, information has been obtained fro</v>
          </cell>
        </row>
        <row r="52">
          <cell r="A52" t="str">
            <v>Investments</v>
          </cell>
        </row>
        <row r="53">
          <cell r="B53" t="str">
            <v>Investments in subs/groups</v>
          </cell>
          <cell r="C53" t="e">
            <v>#REF!</v>
          </cell>
          <cell r="E53" t="e">
            <v>#REF!</v>
          </cell>
          <cell r="G53" t="e">
            <v>#REF!</v>
          </cell>
          <cell r="I53" t="e">
            <v>#REF!</v>
          </cell>
          <cell r="K53" t="e">
            <v>#REF!</v>
          </cell>
          <cell r="M53" t="e">
            <v>#REF!</v>
          </cell>
          <cell r="O53" t="e">
            <v>#REF!</v>
          </cell>
          <cell r="Q53" t="e">
            <v>#REF!</v>
          </cell>
          <cell r="S53" t="e">
            <v>#REF!</v>
          </cell>
          <cell r="U53" t="e">
            <v>#REF!</v>
          </cell>
          <cell r="W53" t="e">
            <v>#REF!</v>
          </cell>
          <cell r="Y53" t="e">
            <v>#REF!</v>
          </cell>
        </row>
        <row r="54">
          <cell r="B54" t="str">
            <v>Other investments</v>
          </cell>
          <cell r="C54" t="e">
            <v>#REF!</v>
          </cell>
          <cell r="E54" t="e">
            <v>#REF!</v>
          </cell>
          <cell r="G54" t="e">
            <v>#REF!</v>
          </cell>
          <cell r="I54" t="e">
            <v>#REF!</v>
          </cell>
          <cell r="K54" t="e">
            <v>#REF!</v>
          </cell>
          <cell r="M54" t="e">
            <v>#REF!</v>
          </cell>
          <cell r="O54" t="e">
            <v>#REF!</v>
          </cell>
          <cell r="Q54" t="e">
            <v>#REF!</v>
          </cell>
          <cell r="S54" t="e">
            <v>#REF!</v>
          </cell>
          <cell r="U54" t="e">
            <v>#REF!</v>
          </cell>
          <cell r="W54" t="e">
            <v>#REF!</v>
          </cell>
          <cell r="Y54" t="e">
            <v>#REF!</v>
          </cell>
        </row>
        <row r="55">
          <cell r="A55" t="str">
            <v>Deferred Expenditure</v>
          </cell>
        </row>
        <row r="56">
          <cell r="A56" t="str">
            <v>Current Assets</v>
          </cell>
        </row>
        <row r="57">
          <cell r="B57" t="str">
            <v>Inventories</v>
          </cell>
          <cell r="C57" t="e">
            <v>#REF!</v>
          </cell>
          <cell r="E57" t="e">
            <v>#REF!</v>
          </cell>
          <cell r="G57" t="e">
            <v>#REF!</v>
          </cell>
          <cell r="I57" t="e">
            <v>#REF!</v>
          </cell>
          <cell r="K57" t="e">
            <v>#REF!</v>
          </cell>
          <cell r="M57" t="e">
            <v>#REF!</v>
          </cell>
          <cell r="O57" t="e">
            <v>#REF!</v>
          </cell>
          <cell r="Q57" t="e">
            <v>#REF!</v>
          </cell>
          <cell r="S57" t="e">
            <v>#REF!</v>
          </cell>
          <cell r="U57" t="e">
            <v>#REF!</v>
          </cell>
          <cell r="W57" t="e">
            <v>#REF!</v>
          </cell>
          <cell r="Y57" t="e">
            <v>#REF!</v>
          </cell>
        </row>
        <row r="58">
          <cell r="B58" t="str">
            <v>A/c Receivables</v>
          </cell>
          <cell r="C58" t="e">
            <v>#REF!</v>
          </cell>
          <cell r="E58" t="e">
            <v>#REF!</v>
          </cell>
          <cell r="G58" t="e">
            <v>#REF!</v>
          </cell>
          <cell r="I58" t="e">
            <v>#REF!</v>
          </cell>
          <cell r="K58" t="e">
            <v>#REF!</v>
          </cell>
          <cell r="M58" t="e">
            <v>#REF!</v>
          </cell>
          <cell r="O58" t="e">
            <v>#REF!</v>
          </cell>
          <cell r="Q58" t="e">
            <v>#REF!</v>
          </cell>
          <cell r="S58" t="e">
            <v>#REF!</v>
          </cell>
          <cell r="U58" t="e">
            <v>#REF!</v>
          </cell>
          <cell r="W58" t="e">
            <v>#REF!</v>
          </cell>
          <cell r="Y58" t="e">
            <v>#REF!</v>
          </cell>
        </row>
        <row r="59">
          <cell r="B59" t="str">
            <v>Cash &amp; Bank Balances</v>
          </cell>
          <cell r="C59" t="e">
            <v>#REF!</v>
          </cell>
          <cell r="E59" t="e">
            <v>#REF!</v>
          </cell>
          <cell r="G59" t="e">
            <v>#REF!</v>
          </cell>
          <cell r="I59" t="e">
            <v>#REF!</v>
          </cell>
          <cell r="K59" t="e">
            <v>#REF!</v>
          </cell>
          <cell r="M59" t="e">
            <v>#REF!</v>
          </cell>
          <cell r="O59" t="e">
            <v>#REF!</v>
          </cell>
          <cell r="Q59" t="e">
            <v>#REF!</v>
          </cell>
          <cell r="S59" t="e">
            <v>#REF!</v>
          </cell>
          <cell r="U59" t="e">
            <v>#REF!</v>
          </cell>
          <cell r="W59" t="e">
            <v>#REF!</v>
          </cell>
          <cell r="Y59" t="e">
            <v>#REF!</v>
          </cell>
        </row>
        <row r="60">
          <cell r="B60" t="str">
            <v>Loans &amp; Advances</v>
          </cell>
          <cell r="C60" t="e">
            <v>#REF!</v>
          </cell>
          <cell r="E60" t="e">
            <v>#REF!</v>
          </cell>
          <cell r="G60" t="e">
            <v>#REF!</v>
          </cell>
          <cell r="I60" t="e">
            <v>#REF!</v>
          </cell>
          <cell r="K60" t="e">
            <v>#REF!</v>
          </cell>
          <cell r="M60" t="e">
            <v>#REF!</v>
          </cell>
          <cell r="O60" t="e">
            <v>#REF!</v>
          </cell>
          <cell r="Q60" t="e">
            <v>#REF!</v>
          </cell>
          <cell r="S60" t="e">
            <v>#REF!</v>
          </cell>
          <cell r="U60" t="e">
            <v>#REF!</v>
          </cell>
          <cell r="W60" t="e">
            <v>#REF!</v>
          </cell>
          <cell r="Y60" t="e">
            <v>#REF!</v>
          </cell>
        </row>
        <row r="61">
          <cell r="B61" t="str">
            <v>Other Current Assets</v>
          </cell>
          <cell r="C61" t="e">
            <v>#REF!</v>
          </cell>
          <cell r="E61" t="e">
            <v>#REF!</v>
          </cell>
          <cell r="G61" t="e">
            <v>#REF!</v>
          </cell>
          <cell r="I61" t="e">
            <v>#REF!</v>
          </cell>
          <cell r="K61" t="e">
            <v>#REF!</v>
          </cell>
          <cell r="M61" t="e">
            <v>#REF!</v>
          </cell>
          <cell r="O61" t="e">
            <v>#REF!</v>
          </cell>
          <cell r="Q61" t="e">
            <v>#REF!</v>
          </cell>
          <cell r="S61" t="e">
            <v>#REF!</v>
          </cell>
          <cell r="U61" t="e">
            <v>#REF!</v>
          </cell>
          <cell r="W61" t="e">
            <v>#REF!</v>
          </cell>
          <cell r="Y61" t="e">
            <v>#REF!</v>
          </cell>
        </row>
        <row r="62">
          <cell r="C62" t="e">
            <v>#REF!</v>
          </cell>
          <cell r="E62" t="e">
            <v>#REF!</v>
          </cell>
          <cell r="G62" t="e">
            <v>#REF!</v>
          </cell>
          <cell r="I62" t="e">
            <v>#REF!</v>
          </cell>
          <cell r="K62" t="e">
            <v>#REF!</v>
          </cell>
          <cell r="M62" t="e">
            <v>#REF!</v>
          </cell>
          <cell r="O62" t="e">
            <v>#REF!</v>
          </cell>
          <cell r="Q62" t="e">
            <v>#REF!</v>
          </cell>
          <cell r="S62" t="e">
            <v>#REF!</v>
          </cell>
          <cell r="U62" t="e">
            <v>#REF!</v>
          </cell>
          <cell r="W62" t="e">
            <v>#REF!</v>
          </cell>
          <cell r="Y62" t="e">
            <v>#REF!</v>
          </cell>
        </row>
        <row r="63">
          <cell r="A63" t="str">
            <v>Current Liabilities</v>
          </cell>
        </row>
        <row r="64">
          <cell r="B64" t="str">
            <v>A/c Payables</v>
          </cell>
          <cell r="C64" t="e">
            <v>#REF!</v>
          </cell>
          <cell r="E64" t="e">
            <v>#REF!</v>
          </cell>
          <cell r="G64" t="e">
            <v>#REF!</v>
          </cell>
          <cell r="I64" t="e">
            <v>#REF!</v>
          </cell>
          <cell r="K64" t="e">
            <v>#REF!</v>
          </cell>
          <cell r="M64" t="e">
            <v>#REF!</v>
          </cell>
          <cell r="O64" t="e">
            <v>#REF!</v>
          </cell>
          <cell r="Q64" t="e">
            <v>#REF!</v>
          </cell>
          <cell r="S64" t="e">
            <v>#REF!</v>
          </cell>
          <cell r="U64" t="e">
            <v>#REF!</v>
          </cell>
          <cell r="W64" t="e">
            <v>#REF!</v>
          </cell>
          <cell r="Y64" t="e">
            <v>#REF!</v>
          </cell>
        </row>
        <row r="65">
          <cell r="B65" t="str">
            <v>Customer/Dealer Deposits</v>
          </cell>
          <cell r="C65" t="e">
            <v>#REF!</v>
          </cell>
          <cell r="E65" t="e">
            <v>#REF!</v>
          </cell>
          <cell r="G65" t="e">
            <v>#REF!</v>
          </cell>
          <cell r="I65" t="e">
            <v>#REF!</v>
          </cell>
          <cell r="K65" t="e">
            <v>#REF!</v>
          </cell>
          <cell r="M65" t="e">
            <v>#REF!</v>
          </cell>
          <cell r="O65" t="e">
            <v>#REF!</v>
          </cell>
          <cell r="Q65" t="e">
            <v>#REF!</v>
          </cell>
          <cell r="S65" t="e">
            <v>#REF!</v>
          </cell>
          <cell r="U65" t="e">
            <v>#REF!</v>
          </cell>
          <cell r="W65" t="e">
            <v>#REF!</v>
          </cell>
          <cell r="Y65" t="e">
            <v>#REF!</v>
          </cell>
        </row>
        <row r="66">
          <cell r="B66" t="str">
            <v>Tax Liability</v>
          </cell>
          <cell r="C66" t="e">
            <v>#REF!</v>
          </cell>
          <cell r="E66" t="e">
            <v>#REF!</v>
          </cell>
          <cell r="G66" t="e">
            <v>#REF!</v>
          </cell>
          <cell r="I66" t="e">
            <v>#REF!</v>
          </cell>
          <cell r="K66" t="e">
            <v>#REF!</v>
          </cell>
          <cell r="M66" t="e">
            <v>#REF!</v>
          </cell>
          <cell r="O66" t="e">
            <v>#REF!</v>
          </cell>
          <cell r="Q66" t="e">
            <v>#REF!</v>
          </cell>
          <cell r="S66" t="e">
            <v>#REF!</v>
          </cell>
          <cell r="U66" t="e">
            <v>#REF!</v>
          </cell>
          <cell r="W66" t="e">
            <v>#REF!</v>
          </cell>
          <cell r="Y66" t="e">
            <v>#REF!</v>
          </cell>
        </row>
        <row r="67">
          <cell r="B67" t="str">
            <v>Dividend Accrual</v>
          </cell>
          <cell r="C67" t="e">
            <v>#REF!</v>
          </cell>
          <cell r="E67" t="e">
            <v>#REF!</v>
          </cell>
          <cell r="G67" t="e">
            <v>#REF!</v>
          </cell>
          <cell r="I67" t="e">
            <v>#REF!</v>
          </cell>
          <cell r="K67" t="e">
            <v>#REF!</v>
          </cell>
          <cell r="M67" t="e">
            <v>#REF!</v>
          </cell>
          <cell r="O67" t="e">
            <v>#REF!</v>
          </cell>
          <cell r="Q67" t="e">
            <v>#REF!</v>
          </cell>
          <cell r="S67" t="e">
            <v>#REF!</v>
          </cell>
          <cell r="U67" t="e">
            <v>#REF!</v>
          </cell>
          <cell r="W67" t="e">
            <v>#REF!</v>
          </cell>
          <cell r="Y67" t="e">
            <v>#REF!</v>
          </cell>
        </row>
        <row r="68">
          <cell r="B68" t="str">
            <v>Other Current liabilities</v>
          </cell>
          <cell r="C68" t="e">
            <v>#REF!</v>
          </cell>
          <cell r="E68" t="e">
            <v>#REF!</v>
          </cell>
          <cell r="G68" t="e">
            <v>#REF!</v>
          </cell>
          <cell r="I68" t="e">
            <v>#REF!</v>
          </cell>
          <cell r="K68" t="e">
            <v>#REF!</v>
          </cell>
          <cell r="M68" t="e">
            <v>#REF!</v>
          </cell>
          <cell r="O68" t="e">
            <v>#REF!</v>
          </cell>
          <cell r="Q68" t="e">
            <v>#REF!</v>
          </cell>
          <cell r="S68" t="e">
            <v>#REF!</v>
          </cell>
          <cell r="U68" t="e">
            <v>#REF!</v>
          </cell>
          <cell r="W68" t="e">
            <v>#REF!</v>
          </cell>
          <cell r="Y68" t="e">
            <v>#REF!</v>
          </cell>
        </row>
        <row r="69">
          <cell r="C69" t="e">
            <v>#REF!</v>
          </cell>
          <cell r="E69" t="e">
            <v>#REF!</v>
          </cell>
          <cell r="G69" t="e">
            <v>#REF!</v>
          </cell>
          <cell r="I69" t="e">
            <v>#REF!</v>
          </cell>
          <cell r="K69" t="e">
            <v>#REF!</v>
          </cell>
          <cell r="M69" t="e">
            <v>#REF!</v>
          </cell>
          <cell r="O69" t="e">
            <v>#REF!</v>
          </cell>
          <cell r="Q69" t="e">
            <v>#REF!</v>
          </cell>
          <cell r="S69" t="e">
            <v>#REF!</v>
          </cell>
          <cell r="U69" t="e">
            <v>#REF!</v>
          </cell>
          <cell r="W69" t="e">
            <v>#REF!</v>
          </cell>
          <cell r="Y69" t="e">
            <v>#REF!</v>
          </cell>
        </row>
        <row r="70">
          <cell r="A70" t="str">
            <v>Net Current Assets</v>
          </cell>
          <cell r="C70" t="e">
            <v>#REF!</v>
          </cell>
          <cell r="E70" t="e">
            <v>#REF!</v>
          </cell>
          <cell r="G70" t="e">
            <v>#REF!</v>
          </cell>
          <cell r="I70" t="e">
            <v>#REF!</v>
          </cell>
          <cell r="K70" t="e">
            <v>#REF!</v>
          </cell>
          <cell r="M70" t="e">
            <v>#REF!</v>
          </cell>
          <cell r="O70" t="e">
            <v>#REF!</v>
          </cell>
          <cell r="Q70" t="e">
            <v>#REF!</v>
          </cell>
          <cell r="S70" t="e">
            <v>#REF!</v>
          </cell>
          <cell r="U70" t="e">
            <v>#REF!</v>
          </cell>
          <cell r="W70" t="e">
            <v>#REF!</v>
          </cell>
          <cell r="Y70" t="e">
            <v>#REF!</v>
          </cell>
        </row>
        <row r="71">
          <cell r="A71" t="str">
            <v>Debt</v>
          </cell>
        </row>
        <row r="72">
          <cell r="B72" t="str">
            <v>Non Convertible Debentures</v>
          </cell>
          <cell r="C72" t="e">
            <v>#REF!</v>
          </cell>
          <cell r="E72" t="e">
            <v>#REF!</v>
          </cell>
          <cell r="G72" t="e">
            <v>#REF!</v>
          </cell>
          <cell r="I72" t="e">
            <v>#REF!</v>
          </cell>
          <cell r="K72" t="e">
            <v>#REF!</v>
          </cell>
          <cell r="M72" t="e">
            <v>#REF!</v>
          </cell>
          <cell r="O72" t="e">
            <v>#REF!</v>
          </cell>
          <cell r="Q72" t="e">
            <v>#REF!</v>
          </cell>
          <cell r="S72" t="e">
            <v>#REF!</v>
          </cell>
          <cell r="U72" t="e">
            <v>#REF!</v>
          </cell>
          <cell r="W72" t="e">
            <v>#REF!</v>
          </cell>
          <cell r="Y72" t="e">
            <v>#REF!</v>
          </cell>
        </row>
        <row r="73">
          <cell r="B73" t="str">
            <v>Long term rupee loans</v>
          </cell>
          <cell r="C73" t="e">
            <v>#REF!</v>
          </cell>
          <cell r="E73" t="e">
            <v>#REF!</v>
          </cell>
          <cell r="G73" t="e">
            <v>#REF!</v>
          </cell>
          <cell r="I73" t="e">
            <v>#REF!</v>
          </cell>
          <cell r="K73" t="e">
            <v>#REF!</v>
          </cell>
          <cell r="M73" t="e">
            <v>#REF!</v>
          </cell>
          <cell r="O73" t="e">
            <v>#REF!</v>
          </cell>
          <cell r="Q73" t="e">
            <v>#REF!</v>
          </cell>
          <cell r="S73" t="e">
            <v>#REF!</v>
          </cell>
          <cell r="U73" t="e">
            <v>#REF!</v>
          </cell>
          <cell r="W73" t="e">
            <v>#REF!</v>
          </cell>
          <cell r="Y73" t="e">
            <v>#REF!</v>
          </cell>
        </row>
        <row r="74">
          <cell r="B74" t="str">
            <v>Short term portion of LTRL</v>
          </cell>
          <cell r="C74" t="e">
            <v>#REF!</v>
          </cell>
          <cell r="E74" t="e">
            <v>#REF!</v>
          </cell>
          <cell r="G74" t="e">
            <v>#REF!</v>
          </cell>
          <cell r="I74" t="e">
            <v>#REF!</v>
          </cell>
          <cell r="K74" t="e">
            <v>#REF!</v>
          </cell>
          <cell r="M74" t="e">
            <v>#REF!</v>
          </cell>
          <cell r="O74" t="e">
            <v>#REF!</v>
          </cell>
          <cell r="Q74" t="e">
            <v>#REF!</v>
          </cell>
          <cell r="S74" t="e">
            <v>#REF!</v>
          </cell>
          <cell r="U74" t="e">
            <v>#REF!</v>
          </cell>
          <cell r="W74" t="e">
            <v>#REF!</v>
          </cell>
          <cell r="Y74" t="e">
            <v>#REF!</v>
          </cell>
        </row>
        <row r="75">
          <cell r="B75" t="str">
            <v>Short term forex loans</v>
          </cell>
        </row>
        <row r="76">
          <cell r="B76" t="str">
            <v>Long term forex loans</v>
          </cell>
          <cell r="C76" t="e">
            <v>#REF!</v>
          </cell>
          <cell r="E76" t="e">
            <v>#REF!</v>
          </cell>
          <cell r="G76" t="e">
            <v>#REF!</v>
          </cell>
          <cell r="I76" t="e">
            <v>#REF!</v>
          </cell>
          <cell r="K76" t="e">
            <v>#REF!</v>
          </cell>
          <cell r="M76" t="e">
            <v>#REF!</v>
          </cell>
          <cell r="O76" t="e">
            <v>#REF!</v>
          </cell>
          <cell r="Q76" t="e">
            <v>#REF!</v>
          </cell>
          <cell r="S76" t="e">
            <v>#REF!</v>
          </cell>
          <cell r="U76" t="e">
            <v>#REF!</v>
          </cell>
          <cell r="W76" t="e">
            <v>#REF!</v>
          </cell>
          <cell r="Y76" t="e">
            <v>#REF!</v>
          </cell>
        </row>
        <row r="77">
          <cell r="B77" t="str">
            <v>Short term portion of LTFL</v>
          </cell>
        </row>
        <row r="78">
          <cell r="B78" t="str">
            <v>Short term rupee loans</v>
          </cell>
          <cell r="C78" t="e">
            <v>#REF!</v>
          </cell>
          <cell r="E78" t="e">
            <v>#REF!</v>
          </cell>
          <cell r="G78" t="e">
            <v>#REF!</v>
          </cell>
          <cell r="I78" t="e">
            <v>#REF!</v>
          </cell>
          <cell r="K78" t="e">
            <v>#REF!</v>
          </cell>
          <cell r="M78" t="e">
            <v>#REF!</v>
          </cell>
          <cell r="O78" t="e">
            <v>#REF!</v>
          </cell>
          <cell r="Q78" t="e">
            <v>#REF!</v>
          </cell>
          <cell r="S78" t="e">
            <v>#REF!</v>
          </cell>
          <cell r="U78" t="e">
            <v>#REF!</v>
          </cell>
          <cell r="W78" t="e">
            <v>#REF!</v>
          </cell>
          <cell r="Y78" t="e">
            <v>#REF!</v>
          </cell>
        </row>
        <row r="79">
          <cell r="C79" t="e">
            <v>#REF!</v>
          </cell>
          <cell r="E79" t="e">
            <v>#REF!</v>
          </cell>
          <cell r="G79" t="e">
            <v>#REF!</v>
          </cell>
          <cell r="I79" t="e">
            <v>#REF!</v>
          </cell>
          <cell r="K79" t="e">
            <v>#REF!</v>
          </cell>
          <cell r="M79" t="e">
            <v>#REF!</v>
          </cell>
          <cell r="O79" t="e">
            <v>#REF!</v>
          </cell>
          <cell r="Q79" t="e">
            <v>#REF!</v>
          </cell>
          <cell r="S79" t="e">
            <v>#REF!</v>
          </cell>
          <cell r="U79" t="e">
            <v>#REF!</v>
          </cell>
          <cell r="W79" t="e">
            <v>#REF!</v>
          </cell>
          <cell r="Y79" t="e">
            <v>#REF!</v>
          </cell>
        </row>
        <row r="80">
          <cell r="B80" t="str">
            <v>Fully Convertible Debentures</v>
          </cell>
        </row>
        <row r="81">
          <cell r="A81" t="str">
            <v>Total Debt</v>
          </cell>
          <cell r="C81" t="e">
            <v>#REF!</v>
          </cell>
          <cell r="E81" t="e">
            <v>#REF!</v>
          </cell>
          <cell r="G81" t="e">
            <v>#REF!</v>
          </cell>
          <cell r="I81" t="e">
            <v>#REF!</v>
          </cell>
          <cell r="K81" t="e">
            <v>#REF!</v>
          </cell>
          <cell r="M81" t="e">
            <v>#REF!</v>
          </cell>
          <cell r="O81" t="e">
            <v>#REF!</v>
          </cell>
          <cell r="Q81" t="e">
            <v>#REF!</v>
          </cell>
          <cell r="S81" t="e">
            <v>#REF!</v>
          </cell>
          <cell r="U81" t="e">
            <v>#REF!</v>
          </cell>
          <cell r="W81" t="e">
            <v>#REF!</v>
          </cell>
          <cell r="Y81" t="e">
            <v>#REF!</v>
          </cell>
        </row>
        <row r="82">
          <cell r="A82" t="str">
            <v>Net Assets</v>
          </cell>
          <cell r="C82" t="e">
            <v>#REF!</v>
          </cell>
          <cell r="E82" t="e">
            <v>#REF!</v>
          </cell>
          <cell r="G82" t="e">
            <v>#REF!</v>
          </cell>
          <cell r="I82" t="e">
            <v>#REF!</v>
          </cell>
          <cell r="K82" t="e">
            <v>#REF!</v>
          </cell>
          <cell r="M82" t="e">
            <v>#REF!</v>
          </cell>
          <cell r="O82" t="e">
            <v>#REF!</v>
          </cell>
          <cell r="Q82" t="e">
            <v>#REF!</v>
          </cell>
          <cell r="S82" t="e">
            <v>#REF!</v>
          </cell>
          <cell r="U82" t="e">
            <v>#REF!</v>
          </cell>
          <cell r="W82" t="e">
            <v>#REF!</v>
          </cell>
          <cell r="Y82" t="e">
            <v>#REF!</v>
          </cell>
        </row>
        <row r="83">
          <cell r="A83" t="str">
            <v>Shareholders' Funds</v>
          </cell>
        </row>
        <row r="84">
          <cell r="A84" t="str">
            <v>Ordinary Share Capital</v>
          </cell>
          <cell r="C84" t="e">
            <v>#REF!</v>
          </cell>
          <cell r="E84" t="e">
            <v>#REF!</v>
          </cell>
          <cell r="G84" t="e">
            <v>#REF!</v>
          </cell>
          <cell r="I84" t="e">
            <v>#REF!</v>
          </cell>
          <cell r="K84" t="e">
            <v>#REF!</v>
          </cell>
          <cell r="M84" t="e">
            <v>#REF!</v>
          </cell>
          <cell r="O84" t="e">
            <v>#REF!</v>
          </cell>
          <cell r="Q84" t="e">
            <v>#REF!</v>
          </cell>
          <cell r="S84" t="e">
            <v>#REF!</v>
          </cell>
          <cell r="U84" t="e">
            <v>#REF!</v>
          </cell>
          <cell r="W84" t="e">
            <v>#REF!</v>
          </cell>
          <cell r="Y84" t="e">
            <v>#REF!</v>
          </cell>
        </row>
        <row r="85">
          <cell r="A85" t="str">
            <v>Share Application Money</v>
          </cell>
          <cell r="C85" t="e">
            <v>#REF!</v>
          </cell>
          <cell r="E85" t="e">
            <v>#REF!</v>
          </cell>
          <cell r="G85" t="e">
            <v>#REF!</v>
          </cell>
          <cell r="I85" t="e">
            <v>#REF!</v>
          </cell>
          <cell r="K85" t="e">
            <v>#REF!</v>
          </cell>
          <cell r="M85" t="e">
            <v>#REF!</v>
          </cell>
          <cell r="O85" t="e">
            <v>#REF!</v>
          </cell>
          <cell r="Q85" t="e">
            <v>#REF!</v>
          </cell>
          <cell r="S85" t="e">
            <v>#REF!</v>
          </cell>
          <cell r="U85" t="e">
            <v>#REF!</v>
          </cell>
          <cell r="W85" t="e">
            <v>#REF!</v>
          </cell>
          <cell r="Y85" t="e">
            <v>#REF!</v>
          </cell>
        </row>
        <row r="86">
          <cell r="A86" t="str">
            <v>Share Premium (Paid-in Surplus)</v>
          </cell>
          <cell r="C86" t="e">
            <v>#REF!</v>
          </cell>
          <cell r="E86" t="e">
            <v>#REF!</v>
          </cell>
          <cell r="G86" t="e">
            <v>#REF!</v>
          </cell>
          <cell r="I86" t="e">
            <v>#REF!</v>
          </cell>
          <cell r="K86" t="e">
            <v>#REF!</v>
          </cell>
          <cell r="M86" t="e">
            <v>#REF!</v>
          </cell>
          <cell r="O86" t="e">
            <v>#REF!</v>
          </cell>
          <cell r="Q86" t="e">
            <v>#REF!</v>
          </cell>
          <cell r="S86" t="e">
            <v>#REF!</v>
          </cell>
          <cell r="U86" t="e">
            <v>#REF!</v>
          </cell>
          <cell r="W86" t="e">
            <v>#REF!</v>
          </cell>
          <cell r="Y86" t="e">
            <v>#REF!</v>
          </cell>
        </row>
        <row r="87">
          <cell r="A87" t="str">
            <v>Share Premium (suspense)</v>
          </cell>
          <cell r="C87" t="e">
            <v>#REF!</v>
          </cell>
          <cell r="E87" t="e">
            <v>#REF!</v>
          </cell>
          <cell r="G87" t="e">
            <v>#REF!</v>
          </cell>
          <cell r="I87" t="e">
            <v>#REF!</v>
          </cell>
          <cell r="K87" t="e">
            <v>#REF!</v>
          </cell>
          <cell r="M87" t="e">
            <v>#REF!</v>
          </cell>
          <cell r="O87" t="e">
            <v>#REF!</v>
          </cell>
          <cell r="Q87" t="e">
            <v>#REF!</v>
          </cell>
          <cell r="S87" t="e">
            <v>#REF!</v>
          </cell>
          <cell r="U87" t="e">
            <v>#REF!</v>
          </cell>
          <cell r="W87" t="e">
            <v>#REF!</v>
          </cell>
          <cell r="Y87" t="e">
            <v>#REF!</v>
          </cell>
        </row>
        <row r="88">
          <cell r="A88" t="str">
            <v>Preference Shares</v>
          </cell>
          <cell r="C88" t="e">
            <v>#REF!</v>
          </cell>
          <cell r="E88" t="e">
            <v>#REF!</v>
          </cell>
          <cell r="G88" t="e">
            <v>#REF!</v>
          </cell>
          <cell r="I88" t="e">
            <v>#REF!</v>
          </cell>
          <cell r="K88" t="e">
            <v>#REF!</v>
          </cell>
          <cell r="M88" t="e">
            <v>#REF!</v>
          </cell>
          <cell r="O88" t="e">
            <v>#REF!</v>
          </cell>
          <cell r="Q88" t="e">
            <v>#REF!</v>
          </cell>
          <cell r="S88" t="e">
            <v>#REF!</v>
          </cell>
          <cell r="U88" t="e">
            <v>#REF!</v>
          </cell>
          <cell r="W88" t="e">
            <v>#REF!</v>
          </cell>
          <cell r="Y88" t="e">
            <v>#REF!</v>
          </cell>
        </row>
        <row r="89">
          <cell r="A89" t="str">
            <v>Revenue Reserves</v>
          </cell>
          <cell r="C89" t="e">
            <v>#REF!</v>
          </cell>
          <cell r="E89" t="e">
            <v>#REF!</v>
          </cell>
          <cell r="G89" t="e">
            <v>#REF!</v>
          </cell>
          <cell r="I89" t="e">
            <v>#REF!</v>
          </cell>
          <cell r="K89" t="e">
            <v>#REF!</v>
          </cell>
          <cell r="M89" t="e">
            <v>#REF!</v>
          </cell>
          <cell r="O89" t="e">
            <v>#REF!</v>
          </cell>
          <cell r="Q89" t="e">
            <v>#REF!</v>
          </cell>
          <cell r="S89" t="e">
            <v>#REF!</v>
          </cell>
          <cell r="U89" t="e">
            <v>#REF!</v>
          </cell>
          <cell r="W89" t="e">
            <v>#REF!</v>
          </cell>
          <cell r="Y89" t="e">
            <v>#REF!</v>
          </cell>
        </row>
        <row r="90">
          <cell r="A90" t="str">
            <v>Capital/Revaluation Reserves</v>
          </cell>
          <cell r="C90" t="e">
            <v>#REF!</v>
          </cell>
          <cell r="E90" t="e">
            <v>#REF!</v>
          </cell>
          <cell r="G90" t="e">
            <v>#REF!</v>
          </cell>
          <cell r="I90" t="e">
            <v>#REF!</v>
          </cell>
          <cell r="K90" t="e">
            <v>#REF!</v>
          </cell>
          <cell r="M90" t="e">
            <v>#REF!</v>
          </cell>
          <cell r="O90" t="e">
            <v>#REF!</v>
          </cell>
          <cell r="Q90" t="e">
            <v>#REF!</v>
          </cell>
          <cell r="S90" t="e">
            <v>#REF!</v>
          </cell>
          <cell r="U90" t="e">
            <v>#REF!</v>
          </cell>
          <cell r="W90" t="e">
            <v>#REF!</v>
          </cell>
          <cell r="Y90" t="e">
            <v>#REF!</v>
          </cell>
        </row>
        <row r="91">
          <cell r="C91" t="e">
            <v>#REF!</v>
          </cell>
          <cell r="E91" t="e">
            <v>#REF!</v>
          </cell>
          <cell r="G91" t="e">
            <v>#REF!</v>
          </cell>
          <cell r="I91" t="e">
            <v>#REF!</v>
          </cell>
          <cell r="K91" t="e">
            <v>#REF!</v>
          </cell>
          <cell r="M91" t="e">
            <v>#REF!</v>
          </cell>
          <cell r="O91" t="e">
            <v>#REF!</v>
          </cell>
          <cell r="Q91" t="e">
            <v>#REF!</v>
          </cell>
          <cell r="S91" t="e">
            <v>#REF!</v>
          </cell>
          <cell r="U91" t="e">
            <v>#REF!</v>
          </cell>
          <cell r="W91" t="e">
            <v>#REF!</v>
          </cell>
          <cell r="Y91" t="e">
            <v>#REF!</v>
          </cell>
        </row>
        <row r="93">
          <cell r="A93" t="str">
            <v>Hindustan Lever</v>
          </cell>
        </row>
        <row r="94">
          <cell r="A94" t="str">
            <v>Cash Flow Model (Rs mn)</v>
          </cell>
          <cell r="E94" t="str">
            <v>FY1994</v>
          </cell>
          <cell r="G94" t="str">
            <v>FY1995</v>
          </cell>
          <cell r="I94" t="str">
            <v>FY1996</v>
          </cell>
          <cell r="K94" t="str">
            <v>FY1997</v>
          </cell>
          <cell r="M94" t="str">
            <v>FY1998</v>
          </cell>
          <cell r="O94" t="str">
            <v>FY1999</v>
          </cell>
          <cell r="Q94" t="str">
            <v>FY2000</v>
          </cell>
          <cell r="S94" t="str">
            <v>FY2001</v>
          </cell>
          <cell r="U94" t="str">
            <v>FY2002</v>
          </cell>
          <cell r="W94" t="str">
            <v>FY2003</v>
          </cell>
          <cell r="Y94" t="str">
            <v>FY2004</v>
          </cell>
        </row>
        <row r="95">
          <cell r="B95" t="str">
            <v xml:space="preserve">Period end: </v>
          </cell>
          <cell r="E95">
            <v>34699</v>
          </cell>
          <cell r="G95">
            <v>35064</v>
          </cell>
          <cell r="I95">
            <v>35430</v>
          </cell>
          <cell r="K95">
            <v>35795</v>
          </cell>
          <cell r="M95">
            <v>36160</v>
          </cell>
          <cell r="O95">
            <v>36525</v>
          </cell>
          <cell r="Q95">
            <v>36891</v>
          </cell>
          <cell r="S95">
            <v>37256</v>
          </cell>
          <cell r="U95">
            <v>37621</v>
          </cell>
          <cell r="W95">
            <v>37986</v>
          </cell>
          <cell r="Y95">
            <v>38352</v>
          </cell>
        </row>
        <row r="96">
          <cell r="B96" t="str">
            <v xml:space="preserve">Months in a/c period: </v>
          </cell>
          <cell r="E96">
            <v>12</v>
          </cell>
          <cell r="G96">
            <v>12</v>
          </cell>
          <cell r="I96">
            <v>12</v>
          </cell>
          <cell r="K96">
            <v>12</v>
          </cell>
          <cell r="M96">
            <v>12</v>
          </cell>
          <cell r="O96">
            <v>12</v>
          </cell>
          <cell r="Q96">
            <v>12</v>
          </cell>
          <cell r="S96">
            <v>12</v>
          </cell>
          <cell r="U96">
            <v>12</v>
          </cell>
          <cell r="W96">
            <v>12</v>
          </cell>
          <cell r="Y96">
            <v>12</v>
          </cell>
        </row>
        <row r="97">
          <cell r="A97" t="str">
            <v>Operating Profit</v>
          </cell>
          <cell r="E97" t="e">
            <v>#REF!</v>
          </cell>
          <cell r="G97" t="e">
            <v>#REF!</v>
          </cell>
          <cell r="I97" t="e">
            <v>#REF!</v>
          </cell>
          <cell r="K97" t="e">
            <v>#REF!</v>
          </cell>
          <cell r="M97" t="e">
            <v>#REF!</v>
          </cell>
          <cell r="O97" t="e">
            <v>#REF!</v>
          </cell>
          <cell r="Q97" t="e">
            <v>#REF!</v>
          </cell>
          <cell r="S97" t="e">
            <v>#REF!</v>
          </cell>
          <cell r="U97" t="e">
            <v>#REF!</v>
          </cell>
          <cell r="W97" t="e">
            <v>#REF!</v>
          </cell>
          <cell r="Y97" t="e">
            <v>#REF!</v>
          </cell>
        </row>
        <row r="98">
          <cell r="A98" t="str">
            <v>Decrease (Increase) in</v>
          </cell>
        </row>
        <row r="99">
          <cell r="B99" t="str">
            <v>Inventories</v>
          </cell>
          <cell r="E99" t="e">
            <v>#REF!</v>
          </cell>
          <cell r="G99" t="e">
            <v>#REF!</v>
          </cell>
          <cell r="I99" t="e">
            <v>#REF!</v>
          </cell>
          <cell r="K99" t="e">
            <v>#REF!</v>
          </cell>
          <cell r="M99" t="e">
            <v>#REF!</v>
          </cell>
          <cell r="O99" t="e">
            <v>#REF!</v>
          </cell>
          <cell r="Q99" t="e">
            <v>#REF!</v>
          </cell>
          <cell r="S99" t="e">
            <v>#REF!</v>
          </cell>
          <cell r="U99" t="e">
            <v>#REF!</v>
          </cell>
          <cell r="W99" t="e">
            <v>#REF!</v>
          </cell>
          <cell r="Y99" t="e">
            <v>#REF!</v>
          </cell>
        </row>
        <row r="100">
          <cell r="B100" t="str">
            <v>A/c receivables</v>
          </cell>
          <cell r="E100" t="e">
            <v>#REF!</v>
          </cell>
          <cell r="G100" t="e">
            <v>#REF!</v>
          </cell>
          <cell r="I100" t="e">
            <v>#REF!</v>
          </cell>
          <cell r="K100" t="e">
            <v>#REF!</v>
          </cell>
          <cell r="M100" t="e">
            <v>#REF!</v>
          </cell>
          <cell r="O100" t="e">
            <v>#REF!</v>
          </cell>
          <cell r="Q100" t="e">
            <v>#REF!</v>
          </cell>
          <cell r="S100" t="e">
            <v>#REF!</v>
          </cell>
          <cell r="U100" t="e">
            <v>#REF!</v>
          </cell>
          <cell r="W100" t="e">
            <v>#REF!</v>
          </cell>
          <cell r="Y100" t="e">
            <v>#REF!</v>
          </cell>
        </row>
        <row r="101">
          <cell r="B101" t="str">
            <v>Other Current Assets</v>
          </cell>
          <cell r="E101" t="e">
            <v>#REF!</v>
          </cell>
          <cell r="G101" t="e">
            <v>#REF!</v>
          </cell>
          <cell r="I101" t="e">
            <v>#REF!</v>
          </cell>
          <cell r="K101" t="e">
            <v>#REF!</v>
          </cell>
          <cell r="M101" t="e">
            <v>#REF!</v>
          </cell>
          <cell r="O101" t="e">
            <v>#REF!</v>
          </cell>
          <cell r="Q101" t="e">
            <v>#REF!</v>
          </cell>
          <cell r="S101" t="e">
            <v>#REF!</v>
          </cell>
          <cell r="U101" t="e">
            <v>#REF!</v>
          </cell>
          <cell r="W101" t="e">
            <v>#REF!</v>
          </cell>
          <cell r="Y101" t="e">
            <v>#REF!</v>
          </cell>
        </row>
        <row r="102">
          <cell r="A102" t="str">
            <v>Increase (Decrease) in</v>
          </cell>
        </row>
        <row r="103">
          <cell r="B103" t="str">
            <v>A/c payables</v>
          </cell>
          <cell r="E103" t="e">
            <v>#REF!</v>
          </cell>
          <cell r="G103" t="e">
            <v>#REF!</v>
          </cell>
          <cell r="I103" t="e">
            <v>#REF!</v>
          </cell>
          <cell r="K103" t="e">
            <v>#REF!</v>
          </cell>
          <cell r="M103" t="e">
            <v>#REF!</v>
          </cell>
          <cell r="O103" t="e">
            <v>#REF!</v>
          </cell>
          <cell r="Q103" t="e">
            <v>#REF!</v>
          </cell>
          <cell r="S103" t="e">
            <v>#REF!</v>
          </cell>
          <cell r="U103" t="e">
            <v>#REF!</v>
          </cell>
          <cell r="W103" t="e">
            <v>#REF!</v>
          </cell>
          <cell r="Y103" t="e">
            <v>#REF!</v>
          </cell>
        </row>
        <row r="104">
          <cell r="B104" t="str">
            <v>Customer Deposits</v>
          </cell>
          <cell r="E104" t="e">
            <v>#REF!</v>
          </cell>
          <cell r="G104" t="e">
            <v>#REF!</v>
          </cell>
          <cell r="I104" t="e">
            <v>#REF!</v>
          </cell>
          <cell r="K104" t="e">
            <v>#REF!</v>
          </cell>
          <cell r="M104" t="e">
            <v>#REF!</v>
          </cell>
          <cell r="O104" t="e">
            <v>#REF!</v>
          </cell>
          <cell r="Q104" t="e">
            <v>#REF!</v>
          </cell>
          <cell r="S104" t="e">
            <v>#REF!</v>
          </cell>
          <cell r="U104" t="e">
            <v>#REF!</v>
          </cell>
          <cell r="W104" t="e">
            <v>#REF!</v>
          </cell>
          <cell r="Y104" t="e">
            <v>#REF!</v>
          </cell>
        </row>
        <row r="105">
          <cell r="B105" t="str">
            <v>Other Current Liabilities</v>
          </cell>
          <cell r="E105" t="e">
            <v>#REF!</v>
          </cell>
          <cell r="G105" t="e">
            <v>#REF!</v>
          </cell>
          <cell r="I105" t="e">
            <v>#REF!</v>
          </cell>
          <cell r="K105" t="e">
            <v>#REF!</v>
          </cell>
          <cell r="M105" t="e">
            <v>#REF!</v>
          </cell>
          <cell r="O105" t="e">
            <v>#REF!</v>
          </cell>
          <cell r="Q105" t="e">
            <v>#REF!</v>
          </cell>
          <cell r="S105" t="e">
            <v>#REF!</v>
          </cell>
          <cell r="U105" t="e">
            <v>#REF!</v>
          </cell>
          <cell r="W105" t="e">
            <v>#REF!</v>
          </cell>
          <cell r="Y105" t="e">
            <v>#REF!</v>
          </cell>
        </row>
        <row r="106">
          <cell r="A106" t="str">
            <v>Net change in working capital</v>
          </cell>
          <cell r="E106" t="e">
            <v>#REF!</v>
          </cell>
          <cell r="G106" t="e">
            <v>#REF!</v>
          </cell>
          <cell r="I106" t="e">
            <v>#REF!</v>
          </cell>
          <cell r="K106" t="e">
            <v>#REF!</v>
          </cell>
          <cell r="M106" t="e">
            <v>#REF!</v>
          </cell>
          <cell r="O106" t="e">
            <v>#REF!</v>
          </cell>
          <cell r="Q106" t="e">
            <v>#REF!</v>
          </cell>
          <cell r="S106" t="e">
            <v>#REF!</v>
          </cell>
          <cell r="U106" t="e">
            <v>#REF!</v>
          </cell>
          <cell r="W106" t="e">
            <v>#REF!</v>
          </cell>
          <cell r="Y106" t="e">
            <v>#REF!</v>
          </cell>
        </row>
        <row r="107">
          <cell r="A107" t="str">
            <v>In(out)flow from operations</v>
          </cell>
          <cell r="E107" t="e">
            <v>#REF!</v>
          </cell>
          <cell r="G107" t="e">
            <v>#REF!</v>
          </cell>
          <cell r="I107" t="e">
            <v>#REF!</v>
          </cell>
          <cell r="K107" t="e">
            <v>#REF!</v>
          </cell>
          <cell r="M107" t="e">
            <v>#REF!</v>
          </cell>
          <cell r="O107" t="e">
            <v>#REF!</v>
          </cell>
          <cell r="Q107" t="e">
            <v>#REF!</v>
          </cell>
          <cell r="S107" t="e">
            <v>#REF!</v>
          </cell>
          <cell r="U107" t="e">
            <v>#REF!</v>
          </cell>
          <cell r="W107" t="e">
            <v>#REF!</v>
          </cell>
          <cell r="Y107" t="e">
            <v>#REF!</v>
          </cell>
        </row>
        <row r="108">
          <cell r="A108" t="str">
            <v>Interest and cost of capital</v>
          </cell>
        </row>
        <row r="109">
          <cell r="A109" t="str">
            <v>Other Income - not sales related</v>
          </cell>
          <cell r="E109" t="e">
            <v>#REF!</v>
          </cell>
          <cell r="G109" t="e">
            <v>#REF!</v>
          </cell>
          <cell r="I109" t="e">
            <v>#REF!</v>
          </cell>
          <cell r="K109" t="e">
            <v>#REF!</v>
          </cell>
          <cell r="M109" t="e">
            <v>#REF!</v>
          </cell>
          <cell r="O109" t="e">
            <v>#REF!</v>
          </cell>
          <cell r="Q109" t="e">
            <v>#REF!</v>
          </cell>
          <cell r="S109" t="e">
            <v>#REF!</v>
          </cell>
          <cell r="U109" t="e">
            <v>#REF!</v>
          </cell>
          <cell r="W109" t="e">
            <v>#REF!</v>
          </cell>
          <cell r="Y109" t="e">
            <v>#REF!</v>
          </cell>
        </row>
        <row r="110">
          <cell r="A110" t="str">
            <v>Interest expense</v>
          </cell>
          <cell r="E110" t="e">
            <v>#REF!</v>
          </cell>
          <cell r="G110" t="e">
            <v>#REF!</v>
          </cell>
          <cell r="I110" t="e">
            <v>#REF!</v>
          </cell>
          <cell r="K110" t="e">
            <v>#REF!</v>
          </cell>
          <cell r="M110" t="e">
            <v>#REF!</v>
          </cell>
          <cell r="O110" t="e">
            <v>#REF!</v>
          </cell>
          <cell r="Q110" t="e">
            <v>#REF!</v>
          </cell>
          <cell r="S110" t="e">
            <v>#REF!</v>
          </cell>
          <cell r="U110" t="e">
            <v>#REF!</v>
          </cell>
          <cell r="W110" t="e">
            <v>#REF!</v>
          </cell>
          <cell r="Y110" t="e">
            <v>#REF!</v>
          </cell>
        </row>
        <row r="111">
          <cell r="A111" t="str">
            <v>Dividends paid</v>
          </cell>
          <cell r="E111" t="e">
            <v>#REF!</v>
          </cell>
          <cell r="G111" t="e">
            <v>#REF!</v>
          </cell>
          <cell r="I111" t="e">
            <v>#REF!</v>
          </cell>
          <cell r="K111" t="e">
            <v>#REF!</v>
          </cell>
          <cell r="M111" t="e">
            <v>#REF!</v>
          </cell>
          <cell r="O111" t="e">
            <v>#REF!</v>
          </cell>
          <cell r="Q111" t="e">
            <v>#REF!</v>
          </cell>
          <cell r="S111" t="e">
            <v>#REF!</v>
          </cell>
          <cell r="U111" t="e">
            <v>#REF!</v>
          </cell>
          <cell r="W111" t="e">
            <v>#REF!</v>
          </cell>
          <cell r="Y111" t="e">
            <v>#REF!</v>
          </cell>
        </row>
        <row r="112">
          <cell r="E112" t="e">
            <v>#REF!</v>
          </cell>
          <cell r="G112" t="e">
            <v>#REF!</v>
          </cell>
          <cell r="I112" t="e">
            <v>#REF!</v>
          </cell>
          <cell r="K112" t="e">
            <v>#REF!</v>
          </cell>
          <cell r="M112" t="e">
            <v>#REF!</v>
          </cell>
          <cell r="O112" t="e">
            <v>#REF!</v>
          </cell>
          <cell r="Q112" t="e">
            <v>#REF!</v>
          </cell>
          <cell r="S112" t="e">
            <v>#REF!</v>
          </cell>
          <cell r="U112" t="e">
            <v>#REF!</v>
          </cell>
          <cell r="W112" t="e">
            <v>#REF!</v>
          </cell>
          <cell r="Y112" t="e">
            <v>#REF!</v>
          </cell>
        </row>
        <row r="113">
          <cell r="A113" t="str">
            <v>Tax Paid</v>
          </cell>
          <cell r="E113" t="e">
            <v>#REF!</v>
          </cell>
          <cell r="G113" t="e">
            <v>#REF!</v>
          </cell>
          <cell r="I113" t="e">
            <v>#REF!</v>
          </cell>
          <cell r="K113" t="e">
            <v>#REF!</v>
          </cell>
          <cell r="M113" t="e">
            <v>#REF!</v>
          </cell>
          <cell r="O113" t="e">
            <v>#REF!</v>
          </cell>
          <cell r="Q113" t="e">
            <v>#REF!</v>
          </cell>
          <cell r="S113" t="e">
            <v>#REF!</v>
          </cell>
          <cell r="U113" t="e">
            <v>#REF!</v>
          </cell>
          <cell r="W113" t="e">
            <v>#REF!</v>
          </cell>
          <cell r="Y113" t="e">
            <v>#REF!</v>
          </cell>
        </row>
        <row r="114">
          <cell r="A114" t="str">
            <v>In(out)flow from investing</v>
          </cell>
        </row>
        <row r="115">
          <cell r="A115" t="str">
            <v>Decrease (Increase) in</v>
          </cell>
        </row>
        <row r="116">
          <cell r="B116" t="str">
            <v>Loans and Advances</v>
          </cell>
          <cell r="E116" t="e">
            <v>#REF!</v>
          </cell>
          <cell r="G116" t="e">
            <v>#REF!</v>
          </cell>
          <cell r="I116" t="e">
            <v>#REF!</v>
          </cell>
          <cell r="K116" t="e">
            <v>#REF!</v>
          </cell>
          <cell r="M116" t="e">
            <v>#REF!</v>
          </cell>
          <cell r="O116" t="e">
            <v>#REF!</v>
          </cell>
          <cell r="Q116" t="e">
            <v>#REF!</v>
          </cell>
          <cell r="S116" t="e">
            <v>#REF!</v>
          </cell>
          <cell r="U116" t="e">
            <v>#REF!</v>
          </cell>
          <cell r="W116" t="e">
            <v>#REF!</v>
          </cell>
          <cell r="Y116" t="e">
            <v>#REF!</v>
          </cell>
        </row>
        <row r="117">
          <cell r="B117" t="str">
            <v>Investments</v>
          </cell>
          <cell r="E117" t="e">
            <v>#REF!</v>
          </cell>
          <cell r="G117" t="e">
            <v>#REF!</v>
          </cell>
          <cell r="I117" t="e">
            <v>#REF!</v>
          </cell>
          <cell r="K117" t="e">
            <v>#REF!</v>
          </cell>
          <cell r="M117" t="e">
            <v>#REF!</v>
          </cell>
          <cell r="O117" t="e">
            <v>#REF!</v>
          </cell>
          <cell r="Q117" t="e">
            <v>#REF!</v>
          </cell>
          <cell r="S117" t="e">
            <v>#REF!</v>
          </cell>
          <cell r="U117" t="e">
            <v>#REF!</v>
          </cell>
          <cell r="W117" t="e">
            <v>#REF!</v>
          </cell>
          <cell r="Y117" t="e">
            <v>#REF!</v>
          </cell>
        </row>
        <row r="118">
          <cell r="B118" t="str">
            <v>Fixed Assets</v>
          </cell>
          <cell r="E118" t="e">
            <v>#REF!</v>
          </cell>
          <cell r="G118" t="e">
            <v>#REF!</v>
          </cell>
          <cell r="I118" t="e">
            <v>#REF!</v>
          </cell>
          <cell r="K118" t="e">
            <v>#REF!</v>
          </cell>
          <cell r="M118" t="e">
            <v>#REF!</v>
          </cell>
          <cell r="O118" t="e">
            <v>#REF!</v>
          </cell>
          <cell r="Q118" t="e">
            <v>#REF!</v>
          </cell>
          <cell r="S118" t="e">
            <v>#REF!</v>
          </cell>
          <cell r="U118" t="e">
            <v>#REF!</v>
          </cell>
          <cell r="W118" t="e">
            <v>#REF!</v>
          </cell>
          <cell r="Y118" t="e">
            <v>#REF!</v>
          </cell>
        </row>
        <row r="119">
          <cell r="B119" t="str">
            <v>Intangibles</v>
          </cell>
          <cell r="E119">
            <v>0</v>
          </cell>
          <cell r="G119">
            <v>0</v>
          </cell>
          <cell r="I119">
            <v>0</v>
          </cell>
          <cell r="K119">
            <v>0</v>
          </cell>
          <cell r="M119">
            <v>0</v>
          </cell>
          <cell r="O119">
            <v>0</v>
          </cell>
          <cell r="Q119">
            <v>0</v>
          </cell>
          <cell r="S119">
            <v>0</v>
          </cell>
          <cell r="U119">
            <v>0</v>
          </cell>
          <cell r="W119">
            <v>0</v>
          </cell>
          <cell r="Y119">
            <v>0</v>
          </cell>
        </row>
        <row r="120">
          <cell r="B120" t="str">
            <v>Deferred Expenditure</v>
          </cell>
          <cell r="E120">
            <v>0</v>
          </cell>
          <cell r="G120">
            <v>0</v>
          </cell>
          <cell r="I120">
            <v>0</v>
          </cell>
          <cell r="K120">
            <v>0</v>
          </cell>
          <cell r="M120">
            <v>0</v>
          </cell>
          <cell r="O120">
            <v>0</v>
          </cell>
          <cell r="Q120">
            <v>0</v>
          </cell>
          <cell r="S120">
            <v>0</v>
          </cell>
          <cell r="U120">
            <v>0</v>
          </cell>
          <cell r="W120">
            <v>0</v>
          </cell>
          <cell r="Y120">
            <v>0</v>
          </cell>
        </row>
        <row r="121">
          <cell r="A121" t="str">
            <v>(Repurchase) of own shares</v>
          </cell>
          <cell r="E121" t="e">
            <v>#REF!</v>
          </cell>
          <cell r="G121" t="e">
            <v>#REF!</v>
          </cell>
          <cell r="I121" t="e">
            <v>#REF!</v>
          </cell>
          <cell r="K121" t="e">
            <v>#REF!</v>
          </cell>
          <cell r="M121" t="e">
            <v>#REF!</v>
          </cell>
          <cell r="O121" t="e">
            <v>#REF!</v>
          </cell>
          <cell r="Q121" t="e">
            <v>#REF!</v>
          </cell>
          <cell r="S121" t="e">
            <v>#REF!</v>
          </cell>
          <cell r="U121" t="e">
            <v>#REF!</v>
          </cell>
          <cell r="W121" t="e">
            <v>#REF!</v>
          </cell>
          <cell r="Y121" t="e">
            <v>#REF!</v>
          </cell>
        </row>
        <row r="122">
          <cell r="E122" t="e">
            <v>#REF!</v>
          </cell>
          <cell r="G122" t="e">
            <v>#REF!</v>
          </cell>
          <cell r="I122" t="e">
            <v>#REF!</v>
          </cell>
          <cell r="K122" t="e">
            <v>#REF!</v>
          </cell>
          <cell r="M122" t="e">
            <v>#REF!</v>
          </cell>
          <cell r="O122" t="e">
            <v>#REF!</v>
          </cell>
          <cell r="Q122" t="e">
            <v>#REF!</v>
          </cell>
          <cell r="S122" t="e">
            <v>#REF!</v>
          </cell>
          <cell r="U122" t="e">
            <v>#REF!</v>
          </cell>
          <cell r="W122" t="e">
            <v>#REF!</v>
          </cell>
          <cell r="Y122" t="e">
            <v>#REF!</v>
          </cell>
        </row>
        <row r="123">
          <cell r="A123" t="str">
            <v>Net in(out)flow before financing</v>
          </cell>
          <cell r="E123" t="e">
            <v>#REF!</v>
          </cell>
          <cell r="G123" t="e">
            <v>#REF!</v>
          </cell>
          <cell r="I123" t="e">
            <v>#REF!</v>
          </cell>
          <cell r="K123" t="e">
            <v>#REF!</v>
          </cell>
          <cell r="M123" t="e">
            <v>#REF!</v>
          </cell>
          <cell r="O123" t="e">
            <v>#REF!</v>
          </cell>
          <cell r="Q123" t="e">
            <v>#REF!</v>
          </cell>
          <cell r="S123" t="e">
            <v>#REF!</v>
          </cell>
          <cell r="U123" t="e">
            <v>#REF!</v>
          </cell>
          <cell r="W123" t="e">
            <v>#REF!</v>
          </cell>
          <cell r="Y123" t="e">
            <v>#REF!</v>
          </cell>
        </row>
        <row r="124">
          <cell r="A124" t="str">
            <v>Financing :</v>
          </cell>
        </row>
        <row r="125">
          <cell r="B125" t="str">
            <v xml:space="preserve">Issue of ordinary shares </v>
          </cell>
          <cell r="E125" t="e">
            <v>#REF!</v>
          </cell>
          <cell r="G125" t="e">
            <v>#REF!</v>
          </cell>
          <cell r="I125" t="e">
            <v>#REF!</v>
          </cell>
          <cell r="K125" t="e">
            <v>#REF!</v>
          </cell>
          <cell r="M125" t="e">
            <v>#REF!</v>
          </cell>
          <cell r="O125" t="e">
            <v>#REF!</v>
          </cell>
          <cell r="Q125" t="e">
            <v>#REF!</v>
          </cell>
          <cell r="S125" t="e">
            <v>#REF!</v>
          </cell>
          <cell r="U125" t="e">
            <v>#REF!</v>
          </cell>
          <cell r="W125" t="e">
            <v>#REF!</v>
          </cell>
          <cell r="Y125" t="e">
            <v>#REF!</v>
          </cell>
        </row>
        <row r="126">
          <cell r="B126" t="str">
            <v>Increase (Decrease) in Debt</v>
          </cell>
          <cell r="E126" t="e">
            <v>#REF!</v>
          </cell>
          <cell r="G126" t="e">
            <v>#REF!</v>
          </cell>
          <cell r="I126" t="e">
            <v>#REF!</v>
          </cell>
          <cell r="K126" t="e">
            <v>#REF!</v>
          </cell>
          <cell r="M126" t="e">
            <v>#REF!</v>
          </cell>
          <cell r="O126" t="e">
            <v>#REF!</v>
          </cell>
          <cell r="Q126" t="e">
            <v>#REF!</v>
          </cell>
          <cell r="S126" t="e">
            <v>#REF!</v>
          </cell>
          <cell r="U126" t="e">
            <v>#REF!</v>
          </cell>
          <cell r="W126" t="e">
            <v>#REF!</v>
          </cell>
          <cell r="Y126" t="e">
            <v>#REF!</v>
          </cell>
        </row>
        <row r="127">
          <cell r="B127" t="str">
            <v>Reserve accounted items</v>
          </cell>
          <cell r="E127" t="e">
            <v>#REF!</v>
          </cell>
          <cell r="G127" t="e">
            <v>#REF!</v>
          </cell>
          <cell r="I127" t="e">
            <v>#REF!</v>
          </cell>
          <cell r="K127" t="e">
            <v>#REF!</v>
          </cell>
          <cell r="M127" t="e">
            <v>#REF!</v>
          </cell>
          <cell r="O127" t="e">
            <v>#REF!</v>
          </cell>
          <cell r="Q127" t="e">
            <v>#REF!</v>
          </cell>
          <cell r="S127" t="e">
            <v>#REF!</v>
          </cell>
          <cell r="U127" t="e">
            <v>#REF!</v>
          </cell>
          <cell r="W127" t="e">
            <v>#REF!</v>
          </cell>
          <cell r="Y127" t="e">
            <v>#REF!</v>
          </cell>
        </row>
        <row r="128">
          <cell r="A128" t="str">
            <v>Net in(out)flow from financing</v>
          </cell>
          <cell r="E128" t="e">
            <v>#REF!</v>
          </cell>
          <cell r="G128" t="e">
            <v>#REF!</v>
          </cell>
          <cell r="I128" t="e">
            <v>#REF!</v>
          </cell>
          <cell r="K128" t="e">
            <v>#REF!</v>
          </cell>
          <cell r="M128" t="e">
            <v>#REF!</v>
          </cell>
          <cell r="O128" t="e">
            <v>#REF!</v>
          </cell>
          <cell r="Q128" t="e">
            <v>#REF!</v>
          </cell>
          <cell r="S128" t="e">
            <v>#REF!</v>
          </cell>
          <cell r="U128" t="e">
            <v>#REF!</v>
          </cell>
          <cell r="W128" t="e">
            <v>#REF!</v>
          </cell>
          <cell r="Y128" t="e">
            <v>#REF!</v>
          </cell>
        </row>
        <row r="129">
          <cell r="A129" t="str">
            <v>Cash in(out)flow</v>
          </cell>
          <cell r="E129" t="e">
            <v>#REF!</v>
          </cell>
          <cell r="G129" t="e">
            <v>#REF!</v>
          </cell>
          <cell r="I129" t="e">
            <v>#REF!</v>
          </cell>
          <cell r="K129" t="e">
            <v>#REF!</v>
          </cell>
          <cell r="M129" t="e">
            <v>#REF!</v>
          </cell>
          <cell r="O129" t="e">
            <v>#REF!</v>
          </cell>
          <cell r="Q129" t="e">
            <v>#REF!</v>
          </cell>
          <cell r="S129" t="e">
            <v>#REF!</v>
          </cell>
          <cell r="U129" t="e">
            <v>#REF!</v>
          </cell>
          <cell r="W129" t="e">
            <v>#REF!</v>
          </cell>
          <cell r="Y129" t="e">
            <v>#REF!</v>
          </cell>
        </row>
        <row r="131">
          <cell r="A131" t="str">
            <v>Increase (Decrease) in cash</v>
          </cell>
          <cell r="E131" t="e">
            <v>#REF!</v>
          </cell>
          <cell r="G131" t="e">
            <v>#REF!</v>
          </cell>
          <cell r="I131" t="e">
            <v>#REF!</v>
          </cell>
          <cell r="K131" t="e">
            <v>#REF!</v>
          </cell>
          <cell r="M131" t="e">
            <v>#REF!</v>
          </cell>
          <cell r="O131" t="e">
            <v>#REF!</v>
          </cell>
          <cell r="Q131" t="e">
            <v>#REF!</v>
          </cell>
          <cell r="S131" t="e">
            <v>#REF!</v>
          </cell>
          <cell r="U131" t="e">
            <v>#REF!</v>
          </cell>
          <cell r="W131" t="e">
            <v>#REF!</v>
          </cell>
          <cell r="Y131" t="e">
            <v>#REF!</v>
          </cell>
        </row>
        <row r="132">
          <cell r="A132" t="str">
            <v>Financing requirement</v>
          </cell>
          <cell r="M132" t="e">
            <v>#REF!</v>
          </cell>
          <cell r="O132" t="e">
            <v>#REF!</v>
          </cell>
          <cell r="Q132" t="e">
            <v>#REF!</v>
          </cell>
          <cell r="S132" t="e">
            <v>#REF!</v>
          </cell>
          <cell r="U132" t="e">
            <v>#REF!</v>
          </cell>
          <cell r="W132" t="e">
            <v>#REF!</v>
          </cell>
          <cell r="Y132" t="e">
            <v>#REF!</v>
          </cell>
        </row>
        <row r="133">
          <cell r="E133" t="e">
            <v>#REF!</v>
          </cell>
          <cell r="G133" t="e">
            <v>#REF!</v>
          </cell>
          <cell r="I133" t="e">
            <v>#REF!</v>
          </cell>
          <cell r="K133" t="e">
            <v>#REF!</v>
          </cell>
          <cell r="M133" t="e">
            <v>#REF!</v>
          </cell>
          <cell r="O133" t="e">
            <v>#REF!</v>
          </cell>
          <cell r="Q133" t="e">
            <v>#REF!</v>
          </cell>
          <cell r="S133" t="e">
            <v>#REF!</v>
          </cell>
          <cell r="U133" t="e">
            <v>#REF!</v>
          </cell>
          <cell r="W133" t="e">
            <v>#REF!</v>
          </cell>
          <cell r="Y133" t="e">
            <v>#REF!</v>
          </cell>
        </row>
        <row r="135">
          <cell r="A135" t="str">
            <v>Hindustan Lever</v>
          </cell>
        </row>
        <row r="136">
          <cell r="A136" t="str">
            <v>Ratio Analysis</v>
          </cell>
          <cell r="C136" t="str">
            <v>FY1993</v>
          </cell>
          <cell r="E136" t="str">
            <v>FY1994</v>
          </cell>
          <cell r="G136" t="str">
            <v>FY1995</v>
          </cell>
          <cell r="I136" t="str">
            <v>FY1996</v>
          </cell>
          <cell r="K136" t="str">
            <v>FY1997</v>
          </cell>
          <cell r="M136" t="str">
            <v>FY1998</v>
          </cell>
          <cell r="O136" t="str">
            <v>FY1999</v>
          </cell>
          <cell r="Q136" t="str">
            <v>FY2000</v>
          </cell>
          <cell r="S136" t="str">
            <v>FY2001</v>
          </cell>
          <cell r="U136" t="str">
            <v>FY2002</v>
          </cell>
          <cell r="W136" t="str">
            <v>FY2003</v>
          </cell>
          <cell r="Y136" t="str">
            <v>FY2004</v>
          </cell>
        </row>
        <row r="137">
          <cell r="B137" t="str">
            <v xml:space="preserve">Period end: </v>
          </cell>
          <cell r="C137">
            <v>34334</v>
          </cell>
          <cell r="E137">
            <v>34699</v>
          </cell>
          <cell r="G137">
            <v>35064</v>
          </cell>
          <cell r="I137">
            <v>35430</v>
          </cell>
          <cell r="K137">
            <v>35795</v>
          </cell>
          <cell r="M137">
            <v>36160</v>
          </cell>
          <cell r="O137">
            <v>36525</v>
          </cell>
          <cell r="Q137">
            <v>36891</v>
          </cell>
          <cell r="S137">
            <v>37256</v>
          </cell>
          <cell r="U137">
            <v>37621</v>
          </cell>
          <cell r="W137">
            <v>37986</v>
          </cell>
          <cell r="Y137">
            <v>38352</v>
          </cell>
        </row>
        <row r="138">
          <cell r="B138" t="str">
            <v xml:space="preserve">Months in a/c period: </v>
          </cell>
          <cell r="C138">
            <v>12</v>
          </cell>
          <cell r="E138">
            <v>12</v>
          </cell>
          <cell r="G138">
            <v>12</v>
          </cell>
          <cell r="I138">
            <v>12</v>
          </cell>
          <cell r="K138">
            <v>12</v>
          </cell>
          <cell r="M138">
            <v>12</v>
          </cell>
          <cell r="O138">
            <v>12</v>
          </cell>
          <cell r="Q138">
            <v>12</v>
          </cell>
          <cell r="S138">
            <v>12</v>
          </cell>
          <cell r="U138">
            <v>12</v>
          </cell>
          <cell r="W138">
            <v>12</v>
          </cell>
          <cell r="Y138">
            <v>12</v>
          </cell>
        </row>
        <row r="139">
          <cell r="A139" t="str">
            <v>Margins</v>
          </cell>
        </row>
        <row r="140">
          <cell r="A140" t="str">
            <v>Operating Profit Margin</v>
          </cell>
          <cell r="C140" t="e">
            <v>#REF!</v>
          </cell>
          <cell r="E140" t="e">
            <v>#REF!</v>
          </cell>
          <cell r="G140" t="e">
            <v>#REF!</v>
          </cell>
          <cell r="I140" t="e">
            <v>#REF!</v>
          </cell>
          <cell r="K140" t="e">
            <v>#REF!</v>
          </cell>
          <cell r="M140" t="e">
            <v>#REF!</v>
          </cell>
          <cell r="O140" t="e">
            <v>#REF!</v>
          </cell>
          <cell r="Q140" t="e">
            <v>#REF!</v>
          </cell>
          <cell r="S140" t="e">
            <v>#REF!</v>
          </cell>
          <cell r="U140" t="e">
            <v>#REF!</v>
          </cell>
          <cell r="W140" t="e">
            <v>#REF!</v>
          </cell>
          <cell r="Y140" t="e">
            <v>#REF!</v>
          </cell>
        </row>
        <row r="141">
          <cell r="A141" t="str">
            <v>Net Profit Margin</v>
          </cell>
          <cell r="C141" t="e">
            <v>#REF!</v>
          </cell>
          <cell r="E141" t="e">
            <v>#REF!</v>
          </cell>
          <cell r="G141" t="e">
            <v>#REF!</v>
          </cell>
          <cell r="I141" t="e">
            <v>#REF!</v>
          </cell>
          <cell r="K141" t="e">
            <v>#REF!</v>
          </cell>
          <cell r="M141" t="e">
            <v>#REF!</v>
          </cell>
          <cell r="O141" t="e">
            <v>#REF!</v>
          </cell>
          <cell r="Q141" t="e">
            <v>#REF!</v>
          </cell>
          <cell r="S141" t="e">
            <v>#REF!</v>
          </cell>
          <cell r="U141" t="e">
            <v>#REF!</v>
          </cell>
          <cell r="W141" t="e">
            <v>#REF!</v>
          </cell>
          <cell r="Y141" t="e">
            <v>#REF!</v>
          </cell>
        </row>
        <row r="142">
          <cell r="A142" t="str">
            <v>Liquidity</v>
          </cell>
        </row>
        <row r="143">
          <cell r="A143" t="str">
            <v>Current Ratio</v>
          </cell>
          <cell r="C143" t="e">
            <v>#REF!</v>
          </cell>
          <cell r="E143" t="e">
            <v>#REF!</v>
          </cell>
          <cell r="G143" t="e">
            <v>#REF!</v>
          </cell>
          <cell r="I143" t="e">
            <v>#REF!</v>
          </cell>
          <cell r="K143" t="e">
            <v>#REF!</v>
          </cell>
          <cell r="M143" t="e">
            <v>#REF!</v>
          </cell>
          <cell r="O143" t="e">
            <v>#REF!</v>
          </cell>
          <cell r="Q143" t="e">
            <v>#REF!</v>
          </cell>
          <cell r="S143" t="e">
            <v>#REF!</v>
          </cell>
          <cell r="U143" t="e">
            <v>#REF!</v>
          </cell>
          <cell r="W143" t="e">
            <v>#REF!</v>
          </cell>
          <cell r="Y143" t="e">
            <v>#REF!</v>
          </cell>
        </row>
        <row r="144">
          <cell r="A144" t="str">
            <v>Acid Ratio</v>
          </cell>
          <cell r="C144" t="e">
            <v>#REF!</v>
          </cell>
          <cell r="E144" t="e">
            <v>#REF!</v>
          </cell>
          <cell r="G144" t="e">
            <v>#REF!</v>
          </cell>
          <cell r="I144" t="e">
            <v>#REF!</v>
          </cell>
          <cell r="K144" t="e">
            <v>#REF!</v>
          </cell>
          <cell r="M144" t="e">
            <v>#REF!</v>
          </cell>
          <cell r="O144" t="e">
            <v>#REF!</v>
          </cell>
          <cell r="Q144" t="e">
            <v>#REF!</v>
          </cell>
          <cell r="S144" t="e">
            <v>#REF!</v>
          </cell>
          <cell r="U144" t="e">
            <v>#REF!</v>
          </cell>
          <cell r="W144" t="e">
            <v>#REF!</v>
          </cell>
          <cell r="Y144" t="e">
            <v>#REF!</v>
          </cell>
        </row>
        <row r="145">
          <cell r="A145" t="str">
            <v>Debt/Equity</v>
          </cell>
          <cell r="C145" t="e">
            <v>#REF!</v>
          </cell>
          <cell r="E145" t="e">
            <v>#REF!</v>
          </cell>
          <cell r="G145" t="e">
            <v>#REF!</v>
          </cell>
          <cell r="I145" t="e">
            <v>#REF!</v>
          </cell>
          <cell r="K145" t="e">
            <v>#REF!</v>
          </cell>
          <cell r="M145" t="e">
            <v>#REF!</v>
          </cell>
          <cell r="O145" t="e">
            <v>#REF!</v>
          </cell>
          <cell r="Q145" t="e">
            <v>#REF!</v>
          </cell>
          <cell r="S145" t="e">
            <v>#REF!</v>
          </cell>
          <cell r="U145" t="e">
            <v>#REF!</v>
          </cell>
          <cell r="W145" t="e">
            <v>#REF!</v>
          </cell>
          <cell r="Y145" t="e">
            <v>#REF!</v>
          </cell>
        </row>
        <row r="146">
          <cell r="A146" t="str">
            <v>Interest Cover (times)</v>
          </cell>
          <cell r="C146" t="e">
            <v>#REF!</v>
          </cell>
          <cell r="E146" t="e">
            <v>#REF!</v>
          </cell>
          <cell r="G146" t="e">
            <v>#REF!</v>
          </cell>
          <cell r="I146" t="e">
            <v>#REF!</v>
          </cell>
          <cell r="K146" t="e">
            <v>#REF!</v>
          </cell>
          <cell r="M146" t="e">
            <v>#REF!</v>
          </cell>
          <cell r="O146" t="e">
            <v>#REF!</v>
          </cell>
          <cell r="Q146" t="e">
            <v>#REF!</v>
          </cell>
          <cell r="S146" t="e">
            <v>#REF!</v>
          </cell>
          <cell r="U146" t="e">
            <v>#REF!</v>
          </cell>
          <cell r="W146" t="e">
            <v>#REF!</v>
          </cell>
          <cell r="Y146" t="e">
            <v>#REF!</v>
          </cell>
        </row>
        <row r="147">
          <cell r="A147" t="str">
            <v>Working Capital Efficiency</v>
          </cell>
        </row>
        <row r="148">
          <cell r="A148" t="str">
            <v>Days sales in debtors</v>
          </cell>
          <cell r="C148" t="e">
            <v>#REF!</v>
          </cell>
          <cell r="E148" t="e">
            <v>#REF!</v>
          </cell>
          <cell r="G148" t="e">
            <v>#REF!</v>
          </cell>
          <cell r="I148" t="e">
            <v>#REF!</v>
          </cell>
          <cell r="K148" t="e">
            <v>#REF!</v>
          </cell>
          <cell r="M148" t="e">
            <v>#REF!</v>
          </cell>
          <cell r="O148" t="e">
            <v>#REF!</v>
          </cell>
          <cell r="Q148" t="e">
            <v>#REF!</v>
          </cell>
          <cell r="S148" t="e">
            <v>#REF!</v>
          </cell>
          <cell r="U148" t="e">
            <v>#REF!</v>
          </cell>
          <cell r="W148" t="e">
            <v>#REF!</v>
          </cell>
          <cell r="Y148" t="e">
            <v>#REF!</v>
          </cell>
        </row>
        <row r="149">
          <cell r="A149" t="str">
            <v>Days cost of sales in inventories</v>
          </cell>
          <cell r="C149" t="e">
            <v>#REF!</v>
          </cell>
          <cell r="E149" t="e">
            <v>#REF!</v>
          </cell>
          <cell r="G149" t="e">
            <v>#REF!</v>
          </cell>
          <cell r="I149" t="e">
            <v>#REF!</v>
          </cell>
          <cell r="K149" t="e">
            <v>#REF!</v>
          </cell>
          <cell r="M149" t="e">
            <v>#REF!</v>
          </cell>
          <cell r="O149" t="e">
            <v>#REF!</v>
          </cell>
          <cell r="Q149" t="e">
            <v>#REF!</v>
          </cell>
          <cell r="S149" t="e">
            <v>#REF!</v>
          </cell>
          <cell r="U149" t="e">
            <v>#REF!</v>
          </cell>
          <cell r="W149" t="e">
            <v>#REF!</v>
          </cell>
          <cell r="Y149" t="e">
            <v>#REF!</v>
          </cell>
        </row>
        <row r="150">
          <cell r="A150" t="str">
            <v>Days purchases in creditors</v>
          </cell>
          <cell r="C150" t="e">
            <v>#REF!</v>
          </cell>
          <cell r="E150" t="e">
            <v>#REF!</v>
          </cell>
          <cell r="G150" t="e">
            <v>#REF!</v>
          </cell>
          <cell r="I150" t="e">
            <v>#REF!</v>
          </cell>
          <cell r="K150" t="e">
            <v>#REF!</v>
          </cell>
          <cell r="M150" t="e">
            <v>#REF!</v>
          </cell>
          <cell r="O150" t="e">
            <v>#REF!</v>
          </cell>
          <cell r="Q150" t="e">
            <v>#REF!</v>
          </cell>
          <cell r="S150" t="e">
            <v>#REF!</v>
          </cell>
          <cell r="U150" t="e">
            <v>#REF!</v>
          </cell>
          <cell r="W150" t="e">
            <v>#REF!</v>
          </cell>
          <cell r="Y150" t="e">
            <v>#REF!</v>
          </cell>
        </row>
        <row r="151">
          <cell r="A151" t="str">
            <v>Capital Intensity</v>
          </cell>
        </row>
        <row r="152">
          <cell r="A152" t="str">
            <v>Fixed Assets/Net Sales</v>
          </cell>
          <cell r="C152" t="e">
            <v>#REF!</v>
          </cell>
          <cell r="E152" t="e">
            <v>#REF!</v>
          </cell>
          <cell r="G152" t="e">
            <v>#REF!</v>
          </cell>
          <cell r="I152" t="e">
            <v>#REF!</v>
          </cell>
          <cell r="K152" t="e">
            <v>#REF!</v>
          </cell>
          <cell r="M152" t="e">
            <v>#REF!</v>
          </cell>
          <cell r="O152" t="e">
            <v>#REF!</v>
          </cell>
          <cell r="Q152" t="e">
            <v>#REF!</v>
          </cell>
          <cell r="S152" t="e">
            <v>#REF!</v>
          </cell>
          <cell r="U152" t="e">
            <v>#REF!</v>
          </cell>
          <cell r="W152" t="e">
            <v>#REF!</v>
          </cell>
          <cell r="Y152" t="e">
            <v>#REF!</v>
          </cell>
        </row>
        <row r="153">
          <cell r="A153" t="str">
            <v>Returns</v>
          </cell>
        </row>
        <row r="154">
          <cell r="A154" t="str">
            <v>Return on Capital Employed</v>
          </cell>
        </row>
        <row r="155">
          <cell r="B155" t="str">
            <v>on average capital</v>
          </cell>
          <cell r="C155" t="str">
            <v>n.a.</v>
          </cell>
          <cell r="E155" t="e">
            <v>#REF!</v>
          </cell>
          <cell r="G155" t="e">
            <v>#REF!</v>
          </cell>
          <cell r="I155" t="e">
            <v>#REF!</v>
          </cell>
          <cell r="K155" t="e">
            <v>#REF!</v>
          </cell>
          <cell r="M155" t="e">
            <v>#REF!</v>
          </cell>
          <cell r="O155" t="e">
            <v>#REF!</v>
          </cell>
          <cell r="Q155" t="e">
            <v>#REF!</v>
          </cell>
          <cell r="S155" t="e">
            <v>#REF!</v>
          </cell>
          <cell r="U155" t="e">
            <v>#REF!</v>
          </cell>
          <cell r="W155" t="e">
            <v>#REF!</v>
          </cell>
          <cell r="Y155" t="e">
            <v>#REF!</v>
          </cell>
        </row>
        <row r="156">
          <cell r="B156" t="str">
            <v>on closing capital</v>
          </cell>
          <cell r="C156" t="e">
            <v>#REF!</v>
          </cell>
          <cell r="E156" t="e">
            <v>#REF!</v>
          </cell>
          <cell r="G156" t="e">
            <v>#REF!</v>
          </cell>
          <cell r="I156" t="e">
            <v>#REF!</v>
          </cell>
          <cell r="K156" t="e">
            <v>#REF!</v>
          </cell>
          <cell r="M156" t="e">
            <v>#REF!</v>
          </cell>
          <cell r="O156" t="e">
            <v>#REF!</v>
          </cell>
          <cell r="Q156" t="e">
            <v>#REF!</v>
          </cell>
          <cell r="S156" t="e">
            <v>#REF!</v>
          </cell>
          <cell r="U156" t="e">
            <v>#REF!</v>
          </cell>
          <cell r="W156" t="e">
            <v>#REF!</v>
          </cell>
          <cell r="Y156" t="e">
            <v>#REF!</v>
          </cell>
        </row>
        <row r="157">
          <cell r="A157" t="str">
            <v>Return on Net Worth</v>
          </cell>
        </row>
        <row r="158">
          <cell r="B158" t="str">
            <v>on average net worth</v>
          </cell>
          <cell r="C158" t="str">
            <v>n.a.</v>
          </cell>
          <cell r="E158" t="e">
            <v>#REF!</v>
          </cell>
          <cell r="G158" t="e">
            <v>#REF!</v>
          </cell>
          <cell r="I158" t="e">
            <v>#REF!</v>
          </cell>
          <cell r="K158" t="e">
            <v>#REF!</v>
          </cell>
          <cell r="M158" t="e">
            <v>#REF!</v>
          </cell>
          <cell r="O158" t="e">
            <v>#REF!</v>
          </cell>
          <cell r="Q158" t="e">
            <v>#REF!</v>
          </cell>
          <cell r="S158" t="e">
            <v>#REF!</v>
          </cell>
          <cell r="U158" t="e">
            <v>#REF!</v>
          </cell>
          <cell r="W158" t="e">
            <v>#REF!</v>
          </cell>
          <cell r="Y158" t="e">
            <v>#REF!</v>
          </cell>
        </row>
        <row r="159">
          <cell r="B159" t="str">
            <v>on closing net worth</v>
          </cell>
          <cell r="C159" t="e">
            <v>#REF!</v>
          </cell>
          <cell r="E159" t="e">
            <v>#REF!</v>
          </cell>
          <cell r="G159" t="e">
            <v>#REF!</v>
          </cell>
          <cell r="I159" t="e">
            <v>#REF!</v>
          </cell>
          <cell r="K159" t="e">
            <v>#REF!</v>
          </cell>
          <cell r="M159" t="e">
            <v>#REF!</v>
          </cell>
          <cell r="O159" t="e">
            <v>#REF!</v>
          </cell>
          <cell r="Q159" t="e">
            <v>#REF!</v>
          </cell>
          <cell r="S159" t="e">
            <v>#REF!</v>
          </cell>
          <cell r="U159" t="e">
            <v>#REF!</v>
          </cell>
          <cell r="W159" t="e">
            <v>#REF!</v>
          </cell>
          <cell r="Y159" t="e">
            <v>#REF!</v>
          </cell>
        </row>
        <row r="160">
          <cell r="A160" t="str">
            <v>Return on Enterprise Value</v>
          </cell>
        </row>
        <row r="161">
          <cell r="B161" t="str">
            <v>at year's high</v>
          </cell>
          <cell r="C161" t="e">
            <v>#REF!</v>
          </cell>
          <cell r="E161" t="e">
            <v>#REF!</v>
          </cell>
          <cell r="G161" t="e">
            <v>#REF!</v>
          </cell>
          <cell r="I161" t="e">
            <v>#REF!</v>
          </cell>
          <cell r="K161" t="e">
            <v>#REF!</v>
          </cell>
          <cell r="M161" t="e">
            <v>#REF!</v>
          </cell>
          <cell r="O161" t="e">
            <v>#REF!</v>
          </cell>
          <cell r="Q161" t="e">
            <v>#REF!</v>
          </cell>
          <cell r="S161" t="e">
            <v>#REF!</v>
          </cell>
          <cell r="U161" t="e">
            <v>#REF!</v>
          </cell>
          <cell r="W161" t="e">
            <v>#REF!</v>
          </cell>
          <cell r="Y161" t="e">
            <v>#REF!</v>
          </cell>
        </row>
        <row r="162">
          <cell r="B162" t="str">
            <v>at year's low</v>
          </cell>
          <cell r="C162" t="e">
            <v>#REF!</v>
          </cell>
          <cell r="E162" t="e">
            <v>#REF!</v>
          </cell>
          <cell r="G162" t="e">
            <v>#REF!</v>
          </cell>
          <cell r="I162" t="e">
            <v>#REF!</v>
          </cell>
          <cell r="K162" t="e">
            <v>#REF!</v>
          </cell>
          <cell r="M162" t="e">
            <v>#REF!</v>
          </cell>
          <cell r="O162" t="e">
            <v>#REF!</v>
          </cell>
          <cell r="Q162" t="e">
            <v>#REF!</v>
          </cell>
          <cell r="S162" t="e">
            <v>#REF!</v>
          </cell>
          <cell r="U162" t="e">
            <v>#REF!</v>
          </cell>
          <cell r="W162" t="e">
            <v>#REF!</v>
          </cell>
          <cell r="Y162" t="e">
            <v>#REF!</v>
          </cell>
        </row>
        <row r="163">
          <cell r="B163" t="str">
            <v>at year-end/prospective</v>
          </cell>
          <cell r="C163" t="e">
            <v>#REF!</v>
          </cell>
          <cell r="E163" t="e">
            <v>#REF!</v>
          </cell>
          <cell r="G163" t="e">
            <v>#REF!</v>
          </cell>
          <cell r="I163" t="e">
            <v>#REF!</v>
          </cell>
          <cell r="K163" t="e">
            <v>#REF!</v>
          </cell>
          <cell r="M163" t="e">
            <v>#REF!</v>
          </cell>
          <cell r="O163" t="e">
            <v>#REF!</v>
          </cell>
          <cell r="Q163" t="e">
            <v>#REF!</v>
          </cell>
          <cell r="S163" t="e">
            <v>#REF!</v>
          </cell>
          <cell r="U163" t="e">
            <v>#REF!</v>
          </cell>
          <cell r="W163" t="e">
            <v>#REF!</v>
          </cell>
          <cell r="Y163" t="e">
            <v>#REF!</v>
          </cell>
        </row>
        <row r="164">
          <cell r="A164" t="str">
            <v>Dividend Yield</v>
          </cell>
          <cell r="C164" t="e">
            <v>#REF!</v>
          </cell>
          <cell r="E164" t="e">
            <v>#REF!</v>
          </cell>
          <cell r="G164" t="e">
            <v>#REF!</v>
          </cell>
          <cell r="I164" t="e">
            <v>#REF!</v>
          </cell>
          <cell r="K164" t="e">
            <v>#REF!</v>
          </cell>
          <cell r="M164" t="e">
            <v>#REF!</v>
          </cell>
          <cell r="O164" t="e">
            <v>#REF!</v>
          </cell>
          <cell r="Q164" t="e">
            <v>#REF!</v>
          </cell>
          <cell r="S164" t="e">
            <v>#REF!</v>
          </cell>
          <cell r="U164" t="e">
            <v>#REF!</v>
          </cell>
          <cell r="W164" t="e">
            <v>#REF!</v>
          </cell>
          <cell r="Y164" t="e">
            <v>#REF!</v>
          </cell>
        </row>
        <row r="166">
          <cell r="A166" t="str">
            <v>Calculation of Enterprise Value</v>
          </cell>
        </row>
        <row r="167">
          <cell r="A167" t="str">
            <v>Debt</v>
          </cell>
          <cell r="C167" t="e">
            <v>#REF!</v>
          </cell>
          <cell r="E167" t="e">
            <v>#REF!</v>
          </cell>
          <cell r="G167" t="e">
            <v>#REF!</v>
          </cell>
          <cell r="I167" t="e">
            <v>#REF!</v>
          </cell>
          <cell r="K167" t="e">
            <v>#REF!</v>
          </cell>
          <cell r="M167" t="e">
            <v>#REF!</v>
          </cell>
          <cell r="O167" t="e">
            <v>#REF!</v>
          </cell>
          <cell r="Q167" t="e">
            <v>#REF!</v>
          </cell>
          <cell r="S167" t="e">
            <v>#REF!</v>
          </cell>
          <cell r="U167" t="e">
            <v>#REF!</v>
          </cell>
          <cell r="W167" t="e">
            <v>#REF!</v>
          </cell>
          <cell r="Y167" t="e">
            <v>#REF!</v>
          </cell>
        </row>
        <row r="168">
          <cell r="A168" t="str">
            <v>Market Value</v>
          </cell>
        </row>
        <row r="169">
          <cell r="B169" t="str">
            <v>at year's high</v>
          </cell>
          <cell r="C169" t="e">
            <v>#REF!</v>
          </cell>
          <cell r="E169" t="e">
            <v>#REF!</v>
          </cell>
          <cell r="G169" t="e">
            <v>#REF!</v>
          </cell>
          <cell r="I169" t="e">
            <v>#REF!</v>
          </cell>
          <cell r="K169" t="e">
            <v>#REF!</v>
          </cell>
          <cell r="M169" t="e">
            <v>#REF!</v>
          </cell>
          <cell r="O169" t="e">
            <v>#REF!</v>
          </cell>
          <cell r="Q169" t="e">
            <v>#REF!</v>
          </cell>
          <cell r="S169" t="e">
            <v>#REF!</v>
          </cell>
          <cell r="U169" t="e">
            <v>#REF!</v>
          </cell>
          <cell r="W169" t="e">
            <v>#REF!</v>
          </cell>
          <cell r="Y169" t="e">
            <v>#REF!</v>
          </cell>
        </row>
        <row r="170">
          <cell r="B170" t="str">
            <v>at year's low</v>
          </cell>
          <cell r="C170" t="e">
            <v>#REF!</v>
          </cell>
          <cell r="E170" t="e">
            <v>#REF!</v>
          </cell>
          <cell r="G170" t="e">
            <v>#REF!</v>
          </cell>
          <cell r="I170" t="e">
            <v>#REF!</v>
          </cell>
          <cell r="K170" t="e">
            <v>#REF!</v>
          </cell>
          <cell r="M170" t="e">
            <v>#REF!</v>
          </cell>
          <cell r="O170" t="e">
            <v>#REF!</v>
          </cell>
          <cell r="Q170" t="e">
            <v>#REF!</v>
          </cell>
          <cell r="S170" t="e">
            <v>#REF!</v>
          </cell>
          <cell r="U170" t="e">
            <v>#REF!</v>
          </cell>
          <cell r="W170" t="e">
            <v>#REF!</v>
          </cell>
          <cell r="Y170" t="e">
            <v>#REF!</v>
          </cell>
        </row>
        <row r="171">
          <cell r="B171" t="str">
            <v>at year-end</v>
          </cell>
          <cell r="C171" t="e">
            <v>#REF!</v>
          </cell>
          <cell r="E171" t="e">
            <v>#REF!</v>
          </cell>
          <cell r="G171" t="e">
            <v>#REF!</v>
          </cell>
          <cell r="I171" t="e">
            <v>#REF!</v>
          </cell>
          <cell r="K171" t="e">
            <v>#REF!</v>
          </cell>
          <cell r="M171" t="e">
            <v>#REF!</v>
          </cell>
          <cell r="O171" t="e">
            <v>#REF!</v>
          </cell>
          <cell r="Q171" t="e">
            <v>#REF!</v>
          </cell>
          <cell r="S171" t="e">
            <v>#REF!</v>
          </cell>
          <cell r="U171" t="e">
            <v>#REF!</v>
          </cell>
          <cell r="W171" t="e">
            <v>#REF!</v>
          </cell>
          <cell r="Y171" t="e">
            <v>#REF!</v>
          </cell>
        </row>
        <row r="172">
          <cell r="A172" t="str">
            <v>Enterprise Value</v>
          </cell>
        </row>
        <row r="173">
          <cell r="B173" t="str">
            <v>at year's high</v>
          </cell>
          <cell r="C173" t="e">
            <v>#REF!</v>
          </cell>
          <cell r="E173" t="e">
            <v>#REF!</v>
          </cell>
          <cell r="G173" t="e">
            <v>#REF!</v>
          </cell>
          <cell r="I173" t="e">
            <v>#REF!</v>
          </cell>
          <cell r="K173" t="e">
            <v>#REF!</v>
          </cell>
          <cell r="M173" t="e">
            <v>#REF!</v>
          </cell>
          <cell r="O173" t="e">
            <v>#REF!</v>
          </cell>
          <cell r="Q173" t="e">
            <v>#REF!</v>
          </cell>
          <cell r="S173" t="e">
            <v>#REF!</v>
          </cell>
          <cell r="U173" t="e">
            <v>#REF!</v>
          </cell>
          <cell r="W173" t="e">
            <v>#REF!</v>
          </cell>
          <cell r="Y173" t="e">
            <v>#REF!</v>
          </cell>
        </row>
        <row r="174">
          <cell r="B174" t="str">
            <v>at year's low</v>
          </cell>
          <cell r="C174" t="e">
            <v>#REF!</v>
          </cell>
          <cell r="E174" t="e">
            <v>#REF!</v>
          </cell>
          <cell r="G174" t="e">
            <v>#REF!</v>
          </cell>
          <cell r="I174" t="e">
            <v>#REF!</v>
          </cell>
          <cell r="K174" t="e">
            <v>#REF!</v>
          </cell>
          <cell r="M174" t="e">
            <v>#REF!</v>
          </cell>
          <cell r="O174" t="e">
            <v>#REF!</v>
          </cell>
          <cell r="Q174" t="e">
            <v>#REF!</v>
          </cell>
          <cell r="S174" t="e">
            <v>#REF!</v>
          </cell>
          <cell r="U174" t="e">
            <v>#REF!</v>
          </cell>
          <cell r="W174" t="e">
            <v>#REF!</v>
          </cell>
          <cell r="Y174" t="e">
            <v>#REF!</v>
          </cell>
        </row>
        <row r="175">
          <cell r="B175" t="str">
            <v>at year-end</v>
          </cell>
          <cell r="C175" t="e">
            <v>#REF!</v>
          </cell>
          <cell r="E175" t="e">
            <v>#REF!</v>
          </cell>
          <cell r="G175" t="e">
            <v>#REF!</v>
          </cell>
          <cell r="I175" t="e">
            <v>#REF!</v>
          </cell>
          <cell r="K175" t="e">
            <v>#REF!</v>
          </cell>
          <cell r="M175" t="e">
            <v>#REF!</v>
          </cell>
          <cell r="O175" t="e">
            <v>#REF!</v>
          </cell>
          <cell r="Q175" t="e">
            <v>#REF!</v>
          </cell>
          <cell r="S175" t="e">
            <v>#REF!</v>
          </cell>
          <cell r="U175" t="e">
            <v>#REF!</v>
          </cell>
          <cell r="W175" t="e">
            <v>#REF!</v>
          </cell>
          <cell r="Y175" t="e">
            <v>#REF!</v>
          </cell>
        </row>
        <row r="177">
          <cell r="A177" t="str">
            <v>Share price</v>
          </cell>
        </row>
        <row r="178">
          <cell r="B178" t="str">
            <v>at year's high</v>
          </cell>
          <cell r="C178" t="e">
            <v>#N/A</v>
          </cell>
          <cell r="E178" t="e">
            <v>#N/A</v>
          </cell>
          <cell r="G178" t="e">
            <v>#REF!</v>
          </cell>
          <cell r="I178" t="e">
            <v>#REF!</v>
          </cell>
          <cell r="K178" t="e">
            <v>#REF!</v>
          </cell>
          <cell r="M178" t="e">
            <v>#REF!</v>
          </cell>
          <cell r="O178" t="e">
            <v>#REF!</v>
          </cell>
          <cell r="Q178" t="e">
            <v>#REF!</v>
          </cell>
          <cell r="S178">
            <v>208.5</v>
          </cell>
          <cell r="U178">
            <v>208.5</v>
          </cell>
          <cell r="W178">
            <v>208.5</v>
          </cell>
          <cell r="Y178">
            <v>208.5</v>
          </cell>
        </row>
        <row r="179">
          <cell r="B179" t="str">
            <v>at year's low</v>
          </cell>
          <cell r="C179" t="e">
            <v>#N/A</v>
          </cell>
          <cell r="E179" t="e">
            <v>#N/A</v>
          </cell>
          <cell r="G179" t="e">
            <v>#REF!</v>
          </cell>
          <cell r="I179" t="e">
            <v>#REF!</v>
          </cell>
          <cell r="K179" t="e">
            <v>#REF!</v>
          </cell>
          <cell r="M179" t="e">
            <v>#REF!</v>
          </cell>
          <cell r="O179" t="e">
            <v>#REF!</v>
          </cell>
          <cell r="Q179" t="e">
            <v>#REF!</v>
          </cell>
          <cell r="S179">
            <v>208.5</v>
          </cell>
          <cell r="U179">
            <v>208.5</v>
          </cell>
          <cell r="W179">
            <v>208.5</v>
          </cell>
          <cell r="Y179">
            <v>208.5</v>
          </cell>
        </row>
        <row r="180">
          <cell r="B180" t="str">
            <v>at year-end</v>
          </cell>
          <cell r="C180" t="e">
            <v>#N/A</v>
          </cell>
          <cell r="E180">
            <v>0</v>
          </cell>
          <cell r="G180">
            <v>0</v>
          </cell>
          <cell r="I180">
            <v>0</v>
          </cell>
          <cell r="K180">
            <v>0</v>
          </cell>
          <cell r="M180">
            <v>557.5</v>
          </cell>
          <cell r="O180">
            <v>557.5</v>
          </cell>
          <cell r="Q180">
            <v>557.5</v>
          </cell>
          <cell r="S180">
            <v>208.5</v>
          </cell>
          <cell r="U180">
            <v>208.5</v>
          </cell>
          <cell r="W180">
            <v>208.5</v>
          </cell>
          <cell r="Y180">
            <v>208.5</v>
          </cell>
        </row>
        <row r="182">
          <cell r="A182" t="str">
            <v>Hindustan Lever</v>
          </cell>
        </row>
        <row r="183">
          <cell r="A183" t="str">
            <v>Valuations *</v>
          </cell>
          <cell r="C183" t="str">
            <v>FY1993</v>
          </cell>
          <cell r="E183" t="str">
            <v>FY1994</v>
          </cell>
          <cell r="G183" t="str">
            <v>FY1995</v>
          </cell>
          <cell r="I183" t="str">
            <v>FY1996</v>
          </cell>
          <cell r="K183" t="str">
            <v>FY1997</v>
          </cell>
          <cell r="M183" t="str">
            <v>FY1998</v>
          </cell>
          <cell r="O183" t="str">
            <v>FY1999</v>
          </cell>
          <cell r="Q183" t="str">
            <v>FY2000</v>
          </cell>
          <cell r="S183" t="str">
            <v>FY2001</v>
          </cell>
          <cell r="U183" t="str">
            <v>FY2002</v>
          </cell>
          <cell r="W183" t="str">
            <v>FY2003</v>
          </cell>
          <cell r="Y183" t="str">
            <v>FY2004</v>
          </cell>
        </row>
        <row r="184">
          <cell r="B184" t="str">
            <v xml:space="preserve">Period end: </v>
          </cell>
          <cell r="C184">
            <v>34334</v>
          </cell>
          <cell r="E184">
            <v>34699</v>
          </cell>
          <cell r="G184">
            <v>35064</v>
          </cell>
          <cell r="I184">
            <v>35430</v>
          </cell>
          <cell r="K184">
            <v>35795</v>
          </cell>
          <cell r="M184">
            <v>36160</v>
          </cell>
          <cell r="O184">
            <v>36525</v>
          </cell>
          <cell r="Q184">
            <v>36891</v>
          </cell>
          <cell r="S184">
            <v>37256</v>
          </cell>
          <cell r="U184">
            <v>37621</v>
          </cell>
          <cell r="W184">
            <v>37986</v>
          </cell>
          <cell r="Y184">
            <v>38352</v>
          </cell>
        </row>
        <row r="185">
          <cell r="B185" t="str">
            <v xml:space="preserve">Months in a/c period: </v>
          </cell>
          <cell r="C185">
            <v>12</v>
          </cell>
          <cell r="E185">
            <v>12</v>
          </cell>
          <cell r="G185">
            <v>12</v>
          </cell>
          <cell r="I185">
            <v>12</v>
          </cell>
          <cell r="K185">
            <v>12</v>
          </cell>
          <cell r="M185">
            <v>12</v>
          </cell>
          <cell r="O185">
            <v>12</v>
          </cell>
          <cell r="Q185">
            <v>12</v>
          </cell>
          <cell r="S185">
            <v>12</v>
          </cell>
          <cell r="U185">
            <v>12</v>
          </cell>
          <cell r="W185">
            <v>12</v>
          </cell>
          <cell r="Y185">
            <v>12</v>
          </cell>
        </row>
        <row r="186">
          <cell r="A186" t="str">
            <v>Price to earnings per share</v>
          </cell>
        </row>
        <row r="187">
          <cell r="B187" t="str">
            <v>At year end</v>
          </cell>
          <cell r="C187" t="e">
            <v>#N/A</v>
          </cell>
          <cell r="E187" t="e">
            <v>#REF!</v>
          </cell>
          <cell r="G187" t="e">
            <v>#REF!</v>
          </cell>
          <cell r="I187" t="e">
            <v>#REF!</v>
          </cell>
          <cell r="K187" t="e">
            <v>#REF!</v>
          </cell>
          <cell r="M187" t="e">
            <v>#REF!</v>
          </cell>
          <cell r="O187" t="e">
            <v>#REF!</v>
          </cell>
          <cell r="Q187" t="e">
            <v>#REF!</v>
          </cell>
          <cell r="S187" t="e">
            <v>#REF!</v>
          </cell>
          <cell r="U187" t="e">
            <v>#REF!</v>
          </cell>
          <cell r="W187" t="e">
            <v>#REF!</v>
          </cell>
          <cell r="Y187" t="e">
            <v>#REF!</v>
          </cell>
        </row>
        <row r="188">
          <cell r="B188" t="str">
            <v>At current prices</v>
          </cell>
          <cell r="C188" t="e">
            <v>#REF!</v>
          </cell>
          <cell r="E188" t="e">
            <v>#REF!</v>
          </cell>
          <cell r="G188" t="e">
            <v>#REF!</v>
          </cell>
          <cell r="I188" t="e">
            <v>#REF!</v>
          </cell>
          <cell r="K188" t="e">
            <v>#REF!</v>
          </cell>
          <cell r="M188" t="e">
            <v>#REF!</v>
          </cell>
          <cell r="O188" t="e">
            <v>#REF!</v>
          </cell>
          <cell r="Q188" t="e">
            <v>#REF!</v>
          </cell>
          <cell r="S188" t="e">
            <v>#REF!</v>
          </cell>
          <cell r="U188" t="e">
            <v>#REF!</v>
          </cell>
          <cell r="W188" t="e">
            <v>#REF!</v>
          </cell>
          <cell r="Y188" t="e">
            <v>#REF!</v>
          </cell>
        </row>
        <row r="189">
          <cell r="A189" t="str">
            <v>Price to cash flow per share</v>
          </cell>
        </row>
        <row r="190">
          <cell r="B190" t="str">
            <v>At year end</v>
          </cell>
          <cell r="C190" t="e">
            <v>#N/A</v>
          </cell>
          <cell r="E190" t="e">
            <v>#REF!</v>
          </cell>
          <cell r="G190" t="e">
            <v>#REF!</v>
          </cell>
          <cell r="I190" t="e">
            <v>#REF!</v>
          </cell>
          <cell r="K190" t="e">
            <v>#REF!</v>
          </cell>
          <cell r="M190" t="e">
            <v>#REF!</v>
          </cell>
          <cell r="O190" t="e">
            <v>#REF!</v>
          </cell>
          <cell r="Q190" t="e">
            <v>#REF!</v>
          </cell>
          <cell r="S190" t="e">
            <v>#REF!</v>
          </cell>
          <cell r="U190" t="e">
            <v>#REF!</v>
          </cell>
          <cell r="W190" t="e">
            <v>#REF!</v>
          </cell>
          <cell r="Y190" t="e">
            <v>#REF!</v>
          </cell>
        </row>
        <row r="191">
          <cell r="B191" t="str">
            <v>At current prices</v>
          </cell>
          <cell r="C191" t="e">
            <v>#REF!</v>
          </cell>
          <cell r="E191" t="e">
            <v>#REF!</v>
          </cell>
          <cell r="G191" t="e">
            <v>#REF!</v>
          </cell>
          <cell r="I191" t="e">
            <v>#REF!</v>
          </cell>
          <cell r="K191" t="e">
            <v>#REF!</v>
          </cell>
          <cell r="M191" t="e">
            <v>#REF!</v>
          </cell>
          <cell r="O191" t="e">
            <v>#REF!</v>
          </cell>
          <cell r="Q191" t="e">
            <v>#REF!</v>
          </cell>
          <cell r="S191" t="e">
            <v>#REF!</v>
          </cell>
          <cell r="U191" t="e">
            <v>#REF!</v>
          </cell>
          <cell r="W191" t="e">
            <v>#REF!</v>
          </cell>
          <cell r="Y191" t="e">
            <v>#REF!</v>
          </cell>
        </row>
        <row r="192">
          <cell r="A192" t="str">
            <v>Price to book value per share</v>
          </cell>
        </row>
        <row r="193">
          <cell r="B193" t="str">
            <v>At year end</v>
          </cell>
          <cell r="C193" t="e">
            <v>#N/A</v>
          </cell>
          <cell r="E193" t="e">
            <v>#REF!</v>
          </cell>
          <cell r="G193" t="e">
            <v>#REF!</v>
          </cell>
          <cell r="I193" t="e">
            <v>#REF!</v>
          </cell>
          <cell r="K193" t="e">
            <v>#REF!</v>
          </cell>
          <cell r="M193" t="e">
            <v>#REF!</v>
          </cell>
          <cell r="O193" t="e">
            <v>#REF!</v>
          </cell>
          <cell r="Q193" t="e">
            <v>#REF!</v>
          </cell>
          <cell r="S193" t="e">
            <v>#REF!</v>
          </cell>
          <cell r="U193" t="e">
            <v>#REF!</v>
          </cell>
          <cell r="W193" t="e">
            <v>#REF!</v>
          </cell>
          <cell r="Y193" t="e">
            <v>#REF!</v>
          </cell>
        </row>
        <row r="194">
          <cell r="B194" t="str">
            <v>At current prices</v>
          </cell>
          <cell r="C194" t="e">
            <v>#REF!</v>
          </cell>
          <cell r="E194" t="e">
            <v>#REF!</v>
          </cell>
          <cell r="G194" t="e">
            <v>#REF!</v>
          </cell>
          <cell r="I194" t="e">
            <v>#REF!</v>
          </cell>
          <cell r="K194" t="e">
            <v>#REF!</v>
          </cell>
          <cell r="M194" t="e">
            <v>#REF!</v>
          </cell>
          <cell r="O194" t="e">
            <v>#REF!</v>
          </cell>
          <cell r="Q194" t="e">
            <v>#REF!</v>
          </cell>
          <cell r="S194" t="e">
            <v>#REF!</v>
          </cell>
          <cell r="U194" t="e">
            <v>#REF!</v>
          </cell>
          <cell r="W194" t="e">
            <v>#REF!</v>
          </cell>
          <cell r="Y194" t="e">
            <v>#REF!</v>
          </cell>
        </row>
        <row r="195">
          <cell r="A195" t="str">
            <v>Enterprise value to EBITDA per share</v>
          </cell>
        </row>
        <row r="196">
          <cell r="B196" t="str">
            <v>At year end</v>
          </cell>
          <cell r="C196" t="e">
            <v>#REF!</v>
          </cell>
          <cell r="E196" t="e">
            <v>#REF!</v>
          </cell>
          <cell r="G196" t="e">
            <v>#REF!</v>
          </cell>
          <cell r="I196" t="e">
            <v>#REF!</v>
          </cell>
          <cell r="K196" t="e">
            <v>#REF!</v>
          </cell>
          <cell r="M196" t="e">
            <v>#REF!</v>
          </cell>
          <cell r="O196" t="e">
            <v>#REF!</v>
          </cell>
          <cell r="Q196" t="e">
            <v>#REF!</v>
          </cell>
          <cell r="S196" t="e">
            <v>#REF!</v>
          </cell>
          <cell r="U196" t="e">
            <v>#REF!</v>
          </cell>
          <cell r="W196" t="e">
            <v>#REF!</v>
          </cell>
          <cell r="Y196" t="e">
            <v>#REF!</v>
          </cell>
        </row>
        <row r="198">
          <cell r="A198" t="str">
            <v>* calculated on adjusted diluted share capital</v>
          </cell>
        </row>
      </sheetData>
      <sheetData sheetId="1" refreshError="1"/>
      <sheetData sheetId="2" refreshError="1">
        <row r="5">
          <cell r="W5">
            <v>33969</v>
          </cell>
          <cell r="X5">
            <v>1003.7842400000003</v>
          </cell>
          <cell r="Y5">
            <v>1399.8689999999999</v>
          </cell>
          <cell r="Z5">
            <v>7.1705583879634478</v>
          </cell>
        </row>
        <row r="6">
          <cell r="W6">
            <v>34334</v>
          </cell>
          <cell r="X6">
            <v>1309.0692199999971</v>
          </cell>
          <cell r="Y6">
            <v>1399.8689999999999</v>
          </cell>
          <cell r="Z6">
            <v>9.3513694495699049</v>
          </cell>
        </row>
        <row r="7">
          <cell r="W7">
            <v>34699</v>
          </cell>
          <cell r="X7">
            <v>1821.8851199999963</v>
          </cell>
          <cell r="Y7">
            <v>1458.3856122448981</v>
          </cell>
          <cell r="Z7">
            <v>12.492478701813042</v>
          </cell>
        </row>
        <row r="8">
          <cell r="W8">
            <v>35064</v>
          </cell>
          <cell r="X8">
            <v>2467.8903400000049</v>
          </cell>
          <cell r="Y8">
            <v>1458.3856122448981</v>
          </cell>
          <cell r="Z8">
            <v>16.92206998806833</v>
          </cell>
        </row>
        <row r="9">
          <cell r="W9">
            <v>35430</v>
          </cell>
          <cell r="X9">
            <v>4024.7702883361308</v>
          </cell>
          <cell r="Y9">
            <v>1458.3856122448981</v>
          </cell>
          <cell r="Z9">
            <v>27.597435510494289</v>
          </cell>
        </row>
        <row r="10">
          <cell r="W10">
            <v>35795</v>
          </cell>
          <cell r="X10">
            <v>5666.707125738254</v>
          </cell>
          <cell r="Y10">
            <v>1991.672742244898</v>
          </cell>
          <cell r="Z10">
            <v>28.45199919416013</v>
          </cell>
        </row>
        <row r="11">
          <cell r="W11">
            <v>36160</v>
          </cell>
          <cell r="X11">
            <v>8057.2477969158499</v>
          </cell>
          <cell r="Y11">
            <v>2195.5410499999998</v>
          </cell>
          <cell r="Z11">
            <v>36.698233435060807</v>
          </cell>
        </row>
        <row r="12">
          <cell r="W12">
            <v>36525</v>
          </cell>
          <cell r="X12">
            <v>10695.649449999981</v>
          </cell>
          <cell r="Y12">
            <v>2200.594742244898</v>
          </cell>
          <cell r="Z12">
            <v>48.603449079811043</v>
          </cell>
        </row>
        <row r="13">
          <cell r="W13">
            <v>36891</v>
          </cell>
          <cell r="X13">
            <v>12680.333528068704</v>
          </cell>
          <cell r="Y13">
            <v>2200.594742244898</v>
          </cell>
          <cell r="Z13">
            <v>57.622302210597326</v>
          </cell>
        </row>
      </sheetData>
      <sheetData sheetId="3" refreshError="1">
        <row r="5">
          <cell r="W5">
            <v>33969</v>
          </cell>
        </row>
        <row r="11">
          <cell r="C11" t="str">
            <v>52-Week Range</v>
          </cell>
          <cell r="G11" t="e">
            <v>#REF!</v>
          </cell>
          <cell r="K11" t="str">
            <v xml:space="preserve"> Market Capitalisation</v>
          </cell>
          <cell r="O11" t="e">
            <v>#REF!</v>
          </cell>
        </row>
        <row r="12">
          <cell r="C12" t="str">
            <v>Reuters/BSE</v>
          </cell>
          <cell r="G12" t="str">
            <v>HLL.BO</v>
          </cell>
          <cell r="H12" t="str">
            <v>/</v>
          </cell>
          <cell r="I12" t="str">
            <v>HNDLEVR</v>
          </cell>
          <cell r="O12" t="e">
            <v>#REF!</v>
          </cell>
        </row>
        <row r="13">
          <cell r="C13" t="str">
            <v>Price Movement</v>
          </cell>
          <cell r="G13" t="str">
            <v>Absolute</v>
          </cell>
          <cell r="I13" t="str">
            <v>Relative</v>
          </cell>
          <cell r="K13" t="str">
            <v xml:space="preserve"> Exchange Rate</v>
          </cell>
          <cell r="O13" t="str">
            <v>US$1 = Rs 46.3</v>
          </cell>
        </row>
        <row r="14">
          <cell r="C14" t="str">
            <v>Last 30 days</v>
          </cell>
          <cell r="G14">
            <v>-0.62600896860986555</v>
          </cell>
          <cell r="I14">
            <v>0.36899999999999999</v>
          </cell>
          <cell r="K14" t="str">
            <v xml:space="preserve"> Shares in issue</v>
          </cell>
          <cell r="O14" t="e">
            <v>#REF!</v>
          </cell>
        </row>
        <row r="15">
          <cell r="C15" t="str">
            <v>Last 90 days</v>
          </cell>
          <cell r="G15">
            <v>-0.62600896860986555</v>
          </cell>
          <cell r="I15">
            <v>0.36899999999999999</v>
          </cell>
          <cell r="K15" t="str">
            <v xml:space="preserve"> Free float</v>
          </cell>
          <cell r="O15" t="e">
            <v>#REF!</v>
          </cell>
        </row>
        <row r="16">
          <cell r="C16" t="str">
            <v>Last year</v>
          </cell>
          <cell r="G16">
            <v>-0.62600896860986555</v>
          </cell>
          <cell r="I16">
            <v>0.36899999999999999</v>
          </cell>
          <cell r="K16" t="str">
            <v xml:space="preserve"> Av. daily vol. (3 months)</v>
          </cell>
          <cell r="O16" t="e">
            <v>#REF!</v>
          </cell>
        </row>
        <row r="17">
          <cell r="C17" t="str">
            <v>12 month target</v>
          </cell>
          <cell r="G17">
            <v>2000</v>
          </cell>
          <cell r="I17">
            <v>8.5923261390887298</v>
          </cell>
          <cell r="K17" t="str">
            <v xml:space="preserve"> BSE Sensex Index</v>
          </cell>
          <cell r="O17">
            <v>4234.2</v>
          </cell>
        </row>
        <row r="18">
          <cell r="C18" t="str">
            <v>Per Share Data (Rs)</v>
          </cell>
          <cell r="I18">
            <v>1997</v>
          </cell>
          <cell r="K18">
            <v>1998</v>
          </cell>
          <cell r="M18">
            <v>1999</v>
          </cell>
          <cell r="O18">
            <v>2000</v>
          </cell>
          <cell r="Q18" t="str">
            <v xml:space="preserve"> CAGR</v>
          </cell>
        </row>
        <row r="19">
          <cell r="C19" t="str">
            <v>(* = annualised)</v>
          </cell>
          <cell r="H19" t="str">
            <v>to:</v>
          </cell>
          <cell r="I19">
            <v>35795</v>
          </cell>
          <cell r="K19">
            <v>36160</v>
          </cell>
          <cell r="M19">
            <v>36525</v>
          </cell>
          <cell r="O19">
            <v>36891</v>
          </cell>
          <cell r="Q19">
            <v>3.0027397260273969</v>
          </cell>
        </row>
        <row r="20">
          <cell r="C20" t="str">
            <v>Number of months</v>
          </cell>
          <cell r="I20">
            <v>12</v>
          </cell>
          <cell r="K20">
            <v>12</v>
          </cell>
          <cell r="M20">
            <v>12</v>
          </cell>
          <cell r="O20">
            <v>12.032876712328767</v>
          </cell>
        </row>
        <row r="21">
          <cell r="C21" t="str">
            <v>Adjusted earnings</v>
          </cell>
          <cell r="I21">
            <v>28.452882873472788</v>
          </cell>
          <cell r="K21">
            <v>40.407938660288323</v>
          </cell>
          <cell r="M21">
            <v>48.711914476165539</v>
          </cell>
          <cell r="O21">
            <v>57.622302210597326</v>
          </cell>
          <cell r="Q21">
            <v>0.26491566111559361</v>
          </cell>
          <cell r="R21" t="e">
            <v>#REF!</v>
          </cell>
        </row>
        <row r="22">
          <cell r="C22" t="str">
            <v>Dividend</v>
          </cell>
          <cell r="I22">
            <v>1.7000000000000002</v>
          </cell>
          <cell r="K22">
            <v>2.2000000000000002</v>
          </cell>
          <cell r="M22">
            <v>2.9</v>
          </cell>
          <cell r="O22">
            <v>3.7500000000000004</v>
          </cell>
          <cell r="Q22">
            <v>0.30143641061966298</v>
          </cell>
          <cell r="R22" t="e">
            <v>#REF!</v>
          </cell>
        </row>
        <row r="23">
          <cell r="C23" t="str">
            <v>Cash flow (CFPS)</v>
          </cell>
          <cell r="I23">
            <v>3.1362653076718057</v>
          </cell>
          <cell r="K23">
            <v>4.1251722408094933</v>
          </cell>
          <cell r="M23">
            <v>5.4454567303816628</v>
          </cell>
          <cell r="O23">
            <v>6.3766754771729204</v>
          </cell>
          <cell r="Q23">
            <v>0.26658238737415552</v>
          </cell>
          <cell r="R23" t="e">
            <v>#REF!</v>
          </cell>
        </row>
        <row r="24">
          <cell r="C24" t="str">
            <v>Book value</v>
          </cell>
          <cell r="I24">
            <v>6.3335065167639968</v>
          </cell>
          <cell r="K24">
            <v>7.8017385110777058</v>
          </cell>
          <cell r="M24">
            <v>9.5576658552255171</v>
          </cell>
          <cell r="O24">
            <v>10.819896076285248</v>
          </cell>
          <cell r="Q24">
            <v>0.19524119640976201</v>
          </cell>
          <cell r="R24" t="e">
            <v>#REF!</v>
          </cell>
        </row>
        <row r="25">
          <cell r="C25" t="str">
            <v>Profit and loss (Rs mn)</v>
          </cell>
        </row>
        <row r="26">
          <cell r="C26" t="str">
            <v>Revenues</v>
          </cell>
          <cell r="I26">
            <v>78197.083125738238</v>
          </cell>
          <cell r="K26">
            <v>94818.486000000004</v>
          </cell>
          <cell r="M26">
            <v>101424.88399999999</v>
          </cell>
          <cell r="O26">
            <v>104838.1364485368</v>
          </cell>
          <cell r="Q26">
            <v>0.10256496364534096</v>
          </cell>
        </row>
        <row r="27">
          <cell r="C27" t="str">
            <v>Net Profit</v>
          </cell>
          <cell r="I27">
            <v>5666.8831257382444</v>
          </cell>
          <cell r="K27">
            <v>8047.9390000000076</v>
          </cell>
          <cell r="M27">
            <v>10695.649449999981</v>
          </cell>
          <cell r="O27">
            <v>12680.333528068704</v>
          </cell>
          <cell r="Q27">
            <v>0.30764269180653603</v>
          </cell>
        </row>
        <row r="28">
          <cell r="C28" t="str">
            <v>Returns on</v>
          </cell>
        </row>
        <row r="29">
          <cell r="C29" t="str">
            <v>Av. Cap. employed (ROCE)</v>
          </cell>
          <cell r="I29">
            <v>0.40924637165305755</v>
          </cell>
          <cell r="K29">
            <v>0.48101873582188698</v>
          </cell>
          <cell r="M29">
            <v>0.50923044806330564</v>
          </cell>
          <cell r="O29">
            <v>0.53597197713769551</v>
          </cell>
          <cell r="Q29">
            <v>9.3998643572050122E-2</v>
          </cell>
        </row>
        <row r="30">
          <cell r="C30" t="str">
            <v>Equity (ROE)</v>
          </cell>
          <cell r="I30">
            <v>0.46631856678568168</v>
          </cell>
          <cell r="K30">
            <v>0.54113780324906358</v>
          </cell>
          <cell r="M30">
            <v>0.56052771418852443</v>
          </cell>
          <cell r="O30">
            <v>0.56554657916650264</v>
          </cell>
          <cell r="Q30">
            <v>6.6358107346043971E-2</v>
          </cell>
        </row>
        <row r="31">
          <cell r="C31" t="str">
            <v>EVA</v>
          </cell>
          <cell r="I31">
            <v>0.23977814323600063</v>
          </cell>
          <cell r="K31">
            <v>0.25626796238397281</v>
          </cell>
          <cell r="M31">
            <v>0.3085244077208677</v>
          </cell>
          <cell r="O31">
            <v>0.34410667400187966</v>
          </cell>
          <cell r="Q31">
            <v>0.12783816613967103</v>
          </cell>
        </row>
        <row r="32">
          <cell r="C32" t="str">
            <v>Price Earnings Ratio (times)</v>
          </cell>
        </row>
        <row r="33">
          <cell r="C33" t="str">
            <v>(Historic at year-end prices)</v>
          </cell>
          <cell r="I33">
            <v>0</v>
          </cell>
          <cell r="K33">
            <v>0</v>
          </cell>
          <cell r="M33">
            <v>0</v>
          </cell>
          <cell r="O33">
            <v>3.6183906578042753</v>
          </cell>
        </row>
      </sheetData>
      <sheetData sheetId="4" refreshError="1">
        <row r="1">
          <cell r="B1" t="str">
            <v>Hindustan Lever</v>
          </cell>
          <cell r="J1">
            <v>36941.494835763886</v>
          </cell>
          <cell r="R1" t="str">
            <v xml:space="preserve">    Price = Rs 209</v>
          </cell>
        </row>
        <row r="30">
          <cell r="C30" t="str">
            <v>Substantial Shareholdings</v>
          </cell>
          <cell r="L30" t="str">
            <v xml:space="preserve"> Ratios, etc.</v>
          </cell>
          <cell r="P30">
            <v>1997</v>
          </cell>
          <cell r="R30">
            <v>1998</v>
          </cell>
          <cell r="T30">
            <v>1999</v>
          </cell>
          <cell r="V30">
            <v>2000</v>
          </cell>
        </row>
        <row r="31">
          <cell r="C31" t="str">
            <v>Indian Government</v>
          </cell>
          <cell r="J31" t="e">
            <v>#REF!</v>
          </cell>
          <cell r="L31" t="str">
            <v xml:space="preserve"> Operating Margin</v>
          </cell>
          <cell r="P31">
            <v>137</v>
          </cell>
          <cell r="R31">
            <v>137</v>
          </cell>
          <cell r="T31">
            <v>137</v>
          </cell>
          <cell r="V31">
            <v>137</v>
          </cell>
        </row>
        <row r="32">
          <cell r="C32" t="str">
            <v>Indian Financial Institutions</v>
          </cell>
          <cell r="J32" t="e">
            <v>#REF!</v>
          </cell>
          <cell r="L32" t="str">
            <v xml:space="preserve"> Net Profit Margin</v>
          </cell>
          <cell r="P32">
            <v>138</v>
          </cell>
          <cell r="R32">
            <v>138</v>
          </cell>
          <cell r="T32">
            <v>138</v>
          </cell>
          <cell r="V32">
            <v>138</v>
          </cell>
        </row>
        <row r="33">
          <cell r="C33" t="str">
            <v>Foreign Institutional Investors/NRI/OCB</v>
          </cell>
          <cell r="J33" t="e">
            <v>#REF!</v>
          </cell>
          <cell r="L33" t="str">
            <v xml:space="preserve"> Yield</v>
          </cell>
          <cell r="P33">
            <v>161</v>
          </cell>
          <cell r="R33">
            <v>161</v>
          </cell>
          <cell r="T33">
            <v>161</v>
          </cell>
          <cell r="V33">
            <v>161</v>
          </cell>
        </row>
        <row r="34">
          <cell r="C34" t="str">
            <v>GDR's</v>
          </cell>
          <cell r="J34" t="e">
            <v>#REF!</v>
          </cell>
          <cell r="L34" t="str">
            <v xml:space="preserve"> Interest Cover</v>
          </cell>
          <cell r="P34">
            <v>142</v>
          </cell>
          <cell r="R34">
            <v>142</v>
          </cell>
          <cell r="T34">
            <v>142</v>
          </cell>
          <cell r="V34">
            <v>142</v>
          </cell>
        </row>
        <row r="35">
          <cell r="C35" t="e">
            <v>#REF!</v>
          </cell>
          <cell r="J35" t="e">
            <v>#REF!</v>
          </cell>
          <cell r="L35" t="str">
            <v xml:space="preserve"> Debt/Equity</v>
          </cell>
          <cell r="P35">
            <v>142</v>
          </cell>
          <cell r="R35">
            <v>142</v>
          </cell>
          <cell r="T35">
            <v>142</v>
          </cell>
          <cell r="V35">
            <v>142</v>
          </cell>
        </row>
        <row r="36">
          <cell r="C36" t="e">
            <v>#REF!</v>
          </cell>
          <cell r="J36" t="e">
            <v>#REF!</v>
          </cell>
          <cell r="L36" t="str">
            <v xml:space="preserve"> Current Ratio</v>
          </cell>
          <cell r="P36">
            <v>140</v>
          </cell>
          <cell r="R36">
            <v>140</v>
          </cell>
          <cell r="T36">
            <v>140</v>
          </cell>
          <cell r="V36">
            <v>140</v>
          </cell>
        </row>
        <row r="37">
          <cell r="C37" t="str">
            <v>Public</v>
          </cell>
          <cell r="J37" t="e">
            <v>#REF!</v>
          </cell>
          <cell r="L37" t="str">
            <v xml:space="preserve"> Days Sales in Drs.</v>
          </cell>
          <cell r="P37">
            <v>145</v>
          </cell>
          <cell r="R37">
            <v>145</v>
          </cell>
          <cell r="T37">
            <v>145</v>
          </cell>
          <cell r="V37">
            <v>145</v>
          </cell>
        </row>
        <row r="38">
          <cell r="J38" t="e">
            <v>#REF!</v>
          </cell>
          <cell r="L38" t="str">
            <v xml:space="preserve"> Invent. turn (days) </v>
          </cell>
          <cell r="P38">
            <v>146</v>
          </cell>
          <cell r="R38">
            <v>146</v>
          </cell>
          <cell r="T38">
            <v>146</v>
          </cell>
          <cell r="V38">
            <v>146</v>
          </cell>
        </row>
        <row r="40">
          <cell r="C40" t="str">
            <v>Interim Results</v>
          </cell>
          <cell r="E40">
            <v>1997</v>
          </cell>
          <cell r="K40">
            <v>1998</v>
          </cell>
          <cell r="S40">
            <v>1999</v>
          </cell>
        </row>
        <row r="41">
          <cell r="C41" t="str">
            <v>(Rs mn)</v>
          </cell>
          <cell r="D41" t="str">
            <v>H1</v>
          </cell>
          <cell r="F41" t="str">
            <v>H2</v>
          </cell>
          <cell r="H41" t="str">
            <v>H1</v>
          </cell>
          <cell r="J41" t="str">
            <v>% y-o-y</v>
          </cell>
          <cell r="L41" t="str">
            <v>H2</v>
          </cell>
          <cell r="N41" t="str">
            <v>% y-o-y</v>
          </cell>
          <cell r="P41" t="str">
            <v>H1</v>
          </cell>
          <cell r="R41" t="str">
            <v>% y-o-y</v>
          </cell>
          <cell r="T41" t="str">
            <v>H2</v>
          </cell>
          <cell r="V41" t="str">
            <v>% y-o-y</v>
          </cell>
        </row>
        <row r="42">
          <cell r="C42" t="str">
            <v>Sales</v>
          </cell>
          <cell r="D42">
            <v>32762.6</v>
          </cell>
          <cell r="F42">
            <v>33238.428288336137</v>
          </cell>
          <cell r="H42">
            <v>38910</v>
          </cell>
          <cell r="J42">
            <v>0.18763468100822278</v>
          </cell>
          <cell r="L42">
            <v>39287.083125738238</v>
          </cell>
          <cell r="N42">
            <v>0.18197776335665861</v>
          </cell>
          <cell r="P42">
            <v>46618.7</v>
          </cell>
          <cell r="R42">
            <v>0.19811616551015154</v>
          </cell>
          <cell r="T42">
            <v>46358.5</v>
          </cell>
          <cell r="V42">
            <v>0.17999343070672125</v>
          </cell>
        </row>
        <row r="43">
          <cell r="C43" t="str">
            <v>Operating Profit</v>
          </cell>
          <cell r="D43">
            <v>2548.8999999999978</v>
          </cell>
          <cell r="F43">
            <v>2907.8472883361455</v>
          </cell>
          <cell r="H43">
            <v>3020.1000000000013</v>
          </cell>
          <cell r="J43">
            <v>0.18486405900584724</v>
          </cell>
          <cell r="L43">
            <v>4068.5411257382439</v>
          </cell>
          <cell r="N43">
            <v>0.39915914499975025</v>
          </cell>
          <cell r="P43">
            <v>3811</v>
          </cell>
          <cell r="R43">
            <v>0.26187874573689562</v>
          </cell>
          <cell r="T43">
            <v>5067.5000000000027</v>
          </cell>
          <cell r="V43">
            <v>0.24553245091764819</v>
          </cell>
        </row>
        <row r="44">
          <cell r="C44" t="str">
            <v>Other Income</v>
          </cell>
          <cell r="D44">
            <v>636.29999999999995</v>
          </cell>
          <cell r="F44">
            <v>529.22399999999993</v>
          </cell>
          <cell r="H44">
            <v>892.7</v>
          </cell>
          <cell r="J44">
            <v>0.40295458117240313</v>
          </cell>
          <cell r="L44">
            <v>860.08200000000011</v>
          </cell>
          <cell r="N44">
            <v>0.6251757289918829</v>
          </cell>
          <cell r="P44">
            <v>871.1</v>
          </cell>
          <cell r="R44">
            <v>-2.4196258541503313E-2</v>
          </cell>
          <cell r="T44">
            <v>1538.6</v>
          </cell>
          <cell r="V44">
            <v>0.78889919798344765</v>
          </cell>
        </row>
        <row r="45">
          <cell r="C45" t="str">
            <v>Interest Paid</v>
          </cell>
          <cell r="D45">
            <v>-284.8</v>
          </cell>
          <cell r="F45">
            <v>-285.22999999999996</v>
          </cell>
          <cell r="H45">
            <v>-184</v>
          </cell>
          <cell r="J45">
            <v>-0.3539325842696629</v>
          </cell>
          <cell r="L45">
            <v>-155</v>
          </cell>
          <cell r="N45">
            <v>-0.4565789012375977</v>
          </cell>
          <cell r="P45">
            <v>-176.1</v>
          </cell>
          <cell r="R45">
            <v>-4.2934782608695654E-2</v>
          </cell>
          <cell r="T45">
            <v>-114.10000000000002</v>
          </cell>
          <cell r="V45">
            <v>-0.2638709677419353</v>
          </cell>
        </row>
        <row r="46">
          <cell r="C46" t="str">
            <v>Pre-tax Profit</v>
          </cell>
          <cell r="D46">
            <v>2900.3999999999978</v>
          </cell>
          <cell r="F46">
            <v>3151.8412883361452</v>
          </cell>
          <cell r="H46">
            <v>3728.8000000000011</v>
          </cell>
          <cell r="J46">
            <v>0.28561577713418984</v>
          </cell>
          <cell r="L46">
            <v>4773.6231257382442</v>
          </cell>
          <cell r="N46">
            <v>0.51455060361184501</v>
          </cell>
          <cell r="P46">
            <v>4506</v>
          </cell>
          <cell r="R46">
            <v>0.20843166702424343</v>
          </cell>
          <cell r="T46">
            <v>6492.0000000000018</v>
          </cell>
          <cell r="V46">
            <v>0.35997330099158376</v>
          </cell>
        </row>
        <row r="47">
          <cell r="C47" t="str">
            <v>Taxation</v>
          </cell>
          <cell r="D47">
            <v>-1051.9000000000001</v>
          </cell>
          <cell r="F47">
            <v>-873.59999999999991</v>
          </cell>
          <cell r="H47">
            <v>-1164.2</v>
          </cell>
          <cell r="J47">
            <v>0.10675919764236141</v>
          </cell>
          <cell r="L47">
            <v>-1535.8</v>
          </cell>
          <cell r="N47">
            <v>0.75801282051282071</v>
          </cell>
          <cell r="P47">
            <v>-1220</v>
          </cell>
          <cell r="R47">
            <v>4.7929908950352207E-2</v>
          </cell>
          <cell r="T47">
            <v>-1647.1</v>
          </cell>
          <cell r="V47">
            <v>7.2470373746581496E-2</v>
          </cell>
        </row>
        <row r="48">
          <cell r="C48" t="str">
            <v>Net Profit</v>
          </cell>
          <cell r="D48">
            <v>1848.4999999999977</v>
          </cell>
          <cell r="F48">
            <v>2278.2412883361453</v>
          </cell>
          <cell r="H48">
            <v>2564.6000000000013</v>
          </cell>
          <cell r="J48">
            <v>0.38739518528536898</v>
          </cell>
          <cell r="L48">
            <v>3237.823125738244</v>
          </cell>
          <cell r="N48">
            <v>0.4211941212350272</v>
          </cell>
          <cell r="P48">
            <v>3286</v>
          </cell>
          <cell r="R48">
            <v>0.2812914294626836</v>
          </cell>
          <cell r="T48">
            <v>4844.9000000000015</v>
          </cell>
          <cell r="V48">
            <v>0.49634486253640975</v>
          </cell>
        </row>
        <row r="51">
          <cell r="C51" t="str">
            <v>This report does not purport to be a complete description of the securities, markets or developments, referred to herein. All expressions of opinion reflect the judgment of the firm at this date and are subject to change, information has been obtained fro</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igator"/>
      <sheetName val="assumption"/>
      <sheetName val="Sensitivity to duty cuts"/>
      <sheetName val="PL"/>
      <sheetName val="BS"/>
      <sheetName val="GEMiner"/>
      <sheetName val="GEMiUploadCheck"/>
      <sheetName val="Valuations"/>
      <sheetName val="sales"/>
      <sheetName val="polymer"/>
      <sheetName val="poly_inter"/>
      <sheetName val="Polyester"/>
      <sheetName val="cracker"/>
      <sheetName val="Che&amp;Oth"/>
      <sheetName val="rawM"/>
      <sheetName val="interim "/>
      <sheetName val="simple"/>
      <sheetName val="simple2"/>
      <sheetName val="US GAAP"/>
      <sheetName val="Value"/>
      <sheetName val="Q-prod"/>
      <sheetName val="Px facility"/>
      <sheetName val="Other income"/>
      <sheetName val="EVA"/>
      <sheetName val="interest"/>
      <sheetName val="oilgas"/>
      <sheetName val="Depreciation"/>
      <sheetName val="project"/>
      <sheetName val="Manufact"/>
      <sheetName val="com cash"/>
      <sheetName val="projects"/>
      <sheetName val="Annual report"/>
      <sheetName val="Sheet4"/>
      <sheetName val="GEMiUploadError"/>
      <sheetName val="NAV"/>
      <sheetName val="DCF"/>
      <sheetName val="Buyback"/>
      <sheetName val="Chart1"/>
      <sheetName val="Chart3"/>
      <sheetName val="Production"/>
      <sheetName val="SRM"/>
      <sheetName val="Chart2"/>
      <sheetName val="Main"/>
      <sheetName val="Val"/>
      <sheetName val="Consolidate"/>
      <sheetName val="Summ"/>
      <sheetName val="Database"/>
      <sheetName val="Z-Sc"/>
      <sheetName val="Str"/>
      <sheetName val="Interims"/>
      <sheetName val="Inv"/>
      <sheetName val="Int&amp;Dep"/>
      <sheetName val="Volu"/>
      <sheetName val="Duties"/>
      <sheetName val="CIK"/>
      <sheetName val="VALUE2_5"/>
      <sheetName val="MenuData"/>
      <sheetName val="RELI"/>
      <sheetName val="bp"/>
      <sheetName val="acctmod"/>
      <sheetName val="fp"/>
      <sheetName val="quant"/>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row r="95">
          <cell r="A95" t="str">
            <v>x</v>
          </cell>
          <cell r="B95" t="str">
            <v>pre</v>
          </cell>
          <cell r="C95" t="str">
            <v>Net revenue</v>
          </cell>
          <cell r="D95">
            <v>1000000</v>
          </cell>
          <cell r="E95">
            <v>14698.300000000001</v>
          </cell>
          <cell r="F95">
            <v>15468.5</v>
          </cell>
          <cell r="G95">
            <v>22464.5</v>
          </cell>
          <cell r="H95">
            <v>30690.100000000002</v>
          </cell>
          <cell r="I95">
            <v>38710.199999999997</v>
          </cell>
          <cell r="J95">
            <v>43478.299999999988</v>
          </cell>
          <cell r="K95">
            <v>51578</v>
          </cell>
          <cell r="L95">
            <v>78260.499999999985</v>
          </cell>
          <cell r="M95">
            <v>86946.9</v>
          </cell>
          <cell r="N95">
            <v>111680.85133572198</v>
          </cell>
          <cell r="O95">
            <v>141336.44445193117</v>
          </cell>
          <cell r="P95">
            <v>158955.97910392054</v>
          </cell>
          <cell r="Q95">
            <v>207666.89595585276</v>
          </cell>
        </row>
        <row r="100">
          <cell r="A100" t="str">
            <v>x</v>
          </cell>
          <cell r="B100" t="str">
            <v>peb</v>
          </cell>
          <cell r="C100" t="str">
            <v>EBITDA</v>
          </cell>
          <cell r="D100">
            <v>1000000</v>
          </cell>
          <cell r="E100">
            <v>4804.7000000000007</v>
          </cell>
          <cell r="F100">
            <v>5324.6</v>
          </cell>
          <cell r="G100">
            <v>8124.4999999999982</v>
          </cell>
          <cell r="H100">
            <v>9482.6000000000058</v>
          </cell>
          <cell r="I100">
            <v>13100.099999999999</v>
          </cell>
          <cell r="J100">
            <v>14795.199999999993</v>
          </cell>
          <cell r="K100">
            <v>16582.099999999999</v>
          </cell>
          <cell r="L100">
            <v>25509.39999999998</v>
          </cell>
          <cell r="M100">
            <v>27101.899999999994</v>
          </cell>
          <cell r="N100">
            <v>36297.216235367814</v>
          </cell>
          <cell r="O100">
            <v>43999.169415695287</v>
          </cell>
          <cell r="P100">
            <v>47455.96485105285</v>
          </cell>
          <cell r="Q100">
            <v>60711.320629326248</v>
          </cell>
        </row>
        <row r="101">
          <cell r="A101" t="str">
            <v>x</v>
          </cell>
          <cell r="B101" t="str">
            <v>pde</v>
          </cell>
          <cell r="C101" t="str">
            <v>Depreciation</v>
          </cell>
          <cell r="D101">
            <v>1000000</v>
          </cell>
          <cell r="E101">
            <v>-1744.2</v>
          </cell>
          <cell r="F101">
            <v>-1926.4</v>
          </cell>
          <cell r="G101">
            <v>-2798.1</v>
          </cell>
          <cell r="H101">
            <v>-2551.9</v>
          </cell>
          <cell r="I101">
            <v>-2782.4</v>
          </cell>
          <cell r="J101">
            <v>-3365.1</v>
          </cell>
          <cell r="K101">
            <v>-4101.3999999999996</v>
          </cell>
          <cell r="L101">
            <v>-6673.2</v>
          </cell>
          <cell r="M101">
            <v>-8550.4</v>
          </cell>
          <cell r="N101">
            <v>-12783.6</v>
          </cell>
          <cell r="O101">
            <v>-14066.5695</v>
          </cell>
          <cell r="P101">
            <v>-14435.97</v>
          </cell>
          <cell r="Q101">
            <v>-15635.97</v>
          </cell>
        </row>
        <row r="120">
          <cell r="A120" t="str">
            <v>x</v>
          </cell>
          <cell r="B120" t="str">
            <v>bca</v>
          </cell>
          <cell r="C120" t="str">
            <v>Current assets</v>
          </cell>
          <cell r="D120">
            <v>1000000</v>
          </cell>
          <cell r="E120">
            <v>11838.5</v>
          </cell>
          <cell r="F120">
            <v>14961.999999999998</v>
          </cell>
          <cell r="G120">
            <v>24822.199999999997</v>
          </cell>
          <cell r="H120">
            <v>40515.4</v>
          </cell>
          <cell r="I120">
            <v>42246.6</v>
          </cell>
          <cell r="J120">
            <v>42298.2</v>
          </cell>
          <cell r="K120">
            <v>68228.700000000012</v>
          </cell>
          <cell r="L120">
            <v>77572.2</v>
          </cell>
          <cell r="M120">
            <v>94246.900000000009</v>
          </cell>
          <cell r="N120">
            <v>83943.854265696005</v>
          </cell>
          <cell r="O120">
            <v>90077.158023779397</v>
          </cell>
          <cell r="P120">
            <v>94538.837891038827</v>
          </cell>
          <cell r="Q120">
            <v>112238.11432645592</v>
          </cell>
        </row>
        <row r="131">
          <cell r="A131" t="str">
            <v>x</v>
          </cell>
          <cell r="B131" t="str">
            <v>bcp</v>
          </cell>
          <cell r="C131" t="str">
            <v>Construction in progress</v>
          </cell>
          <cell r="D131">
            <v>1000000</v>
          </cell>
          <cell r="E131">
            <v>2259.1999999999998</v>
          </cell>
          <cell r="F131">
            <v>20480.3</v>
          </cell>
          <cell r="G131">
            <v>6795</v>
          </cell>
          <cell r="H131">
            <v>3946</v>
          </cell>
          <cell r="I131">
            <v>30750.9</v>
          </cell>
          <cell r="J131">
            <v>44887.1</v>
          </cell>
          <cell r="K131">
            <v>37086.300000000003</v>
          </cell>
          <cell r="L131">
            <v>20694.3</v>
          </cell>
          <cell r="M131">
            <v>34378.300000000003</v>
          </cell>
          <cell r="N131">
            <v>8000</v>
          </cell>
          <cell r="O131">
            <v>7000</v>
          </cell>
          <cell r="P131">
            <v>7000</v>
          </cell>
          <cell r="Q131">
            <v>3000</v>
          </cell>
        </row>
        <row r="132">
          <cell r="A132" t="str">
            <v>x</v>
          </cell>
          <cell r="B132" t="str">
            <v>bpp</v>
          </cell>
          <cell r="C132" t="str">
            <v>Advances for PPE purchases</v>
          </cell>
          <cell r="D132">
            <v>1000000</v>
          </cell>
        </row>
        <row r="135">
          <cell r="A135" t="str">
            <v>x</v>
          </cell>
          <cell r="B135" t="str">
            <v>bin</v>
          </cell>
          <cell r="C135" t="str">
            <v>Investments - other</v>
          </cell>
          <cell r="D135">
            <v>1000000</v>
          </cell>
        </row>
        <row r="141">
          <cell r="A141" t="str">
            <v>x</v>
          </cell>
          <cell r="B141" t="str">
            <v>bcl</v>
          </cell>
          <cell r="C141" t="str">
            <v>Current liabilities</v>
          </cell>
          <cell r="D141">
            <v>1000000</v>
          </cell>
          <cell r="E141">
            <v>10929.6</v>
          </cell>
          <cell r="F141">
            <v>11739.600000000002</v>
          </cell>
          <cell r="G141">
            <v>14585.900000000003</v>
          </cell>
          <cell r="H141">
            <v>12618.599999999999</v>
          </cell>
          <cell r="I141">
            <v>19392.599999999999</v>
          </cell>
          <cell r="J141">
            <v>25705.1</v>
          </cell>
          <cell r="K141">
            <v>39976.400000000001</v>
          </cell>
          <cell r="L141">
            <v>39239.800000000003</v>
          </cell>
          <cell r="M141">
            <v>52150.8</v>
          </cell>
          <cell r="N141">
            <v>43170.06870919442</v>
          </cell>
          <cell r="O141">
            <v>39657.822296053659</v>
          </cell>
          <cell r="P141">
            <v>36013.29790149015</v>
          </cell>
          <cell r="Q141">
            <v>40773.75085563121</v>
          </cell>
        </row>
        <row r="142">
          <cell r="A142" t="str">
            <v>x</v>
          </cell>
          <cell r="B142" t="str">
            <v>bst</v>
          </cell>
          <cell r="C142" t="str">
            <v>Short term loans</v>
          </cell>
          <cell r="D142">
            <v>1000000</v>
          </cell>
          <cell r="E142">
            <v>6356.1</v>
          </cell>
          <cell r="F142">
            <v>3935.5000000000018</v>
          </cell>
          <cell r="G142">
            <v>6857.6000000000022</v>
          </cell>
          <cell r="H142">
            <v>1347.9</v>
          </cell>
          <cell r="I142">
            <v>5427.9</v>
          </cell>
          <cell r="J142">
            <v>6588.8</v>
          </cell>
          <cell r="K142">
            <v>5579.2</v>
          </cell>
          <cell r="L142">
            <v>659.8</v>
          </cell>
          <cell r="M142">
            <v>10787.3</v>
          </cell>
          <cell r="N142">
            <v>2000</v>
          </cell>
          <cell r="O142">
            <v>2000</v>
          </cell>
          <cell r="P142">
            <v>2000</v>
          </cell>
          <cell r="Q142">
            <v>5000</v>
          </cell>
        </row>
        <row r="151">
          <cell r="A151" t="str">
            <v>x</v>
          </cell>
          <cell r="B151" t="str">
            <v>blt</v>
          </cell>
          <cell r="C151" t="str">
            <v>Long term debt and leases</v>
          </cell>
          <cell r="D151">
            <v>1000000</v>
          </cell>
          <cell r="E151">
            <v>4662.1000000000004</v>
          </cell>
          <cell r="F151">
            <v>17629.3</v>
          </cell>
          <cell r="G151">
            <v>20116.5</v>
          </cell>
          <cell r="H151">
            <v>20796.399999999998</v>
          </cell>
          <cell r="I151">
            <v>19547.000000000004</v>
          </cell>
          <cell r="J151">
            <v>35816.5</v>
          </cell>
          <cell r="K151">
            <v>65647.5</v>
          </cell>
          <cell r="L151">
            <v>81655.600000000006</v>
          </cell>
          <cell r="M151">
            <v>105715.79999999999</v>
          </cell>
          <cell r="N151">
            <v>101821.19429482296</v>
          </cell>
          <cell r="O151">
            <v>97564.59989546056</v>
          </cell>
          <cell r="P151">
            <v>87529.121888142807</v>
          </cell>
          <cell r="Q151">
            <v>80090.036398238095</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 val="VALUE2_5"/>
      <sheetName val="hll model"/>
      <sheetName val="Database"/>
      <sheetName val="bp"/>
      <sheetName val="acctmod"/>
      <sheetName val="fp"/>
      <sheetName val="quant"/>
      <sheetName val="Financials(O)"/>
      <sheetName val="#REF"/>
      <sheetName val="Operating Statistics"/>
      <sheetName val="Financials"/>
      <sheetName val="Introduction"/>
      <sheetName val="Cover"/>
      <sheetName val="Sheet1"/>
      <sheetName val="Sheet2"/>
      <sheetName val="bonny"/>
      <sheetName val="Internet"/>
      <sheetName val="Bajaj Allianz"/>
      <sheetName val="res 2002"/>
      <sheetName val="Inc Mod cigs"/>
      <sheetName val="I2Z"/>
      <sheetName val="A2I"/>
      <sheetName val="Master"/>
      <sheetName val="charts_and_tables"/>
      <sheetName val="proj_Bharat"/>
      <sheetName val="branded_staples"/>
      <sheetName val="det_price_cut"/>
      <sheetName val="hll_model"/>
      <sheetName val="EquityTemplate"/>
      <sheetName val="Sheet3"/>
      <sheetName val="Bloomberg Link"/>
      <sheetName val="Comparative_Table"/>
      <sheetName val="Financial_Summary"/>
      <sheetName val="Price_Hikes"/>
      <sheetName val="PS_&amp;_RM"/>
      <sheetName val="Operating_Statistics"/>
      <sheetName val="Bajaj_Allianz"/>
      <sheetName val="Comparative_Table1"/>
      <sheetName val="Financial_Summary1"/>
      <sheetName val="Price_Hikes1"/>
      <sheetName val="charts_and_tables1"/>
      <sheetName val="proj_Bharat1"/>
      <sheetName val="branded_staples1"/>
      <sheetName val="det_price_cut1"/>
      <sheetName val="PS_&amp;_RM1"/>
      <sheetName val="hll_model1"/>
      <sheetName val="Operating_Statistics1"/>
      <sheetName val="Bajaj_Allianz1"/>
      <sheetName val="res_2002"/>
      <sheetName val="Inc_Mod_cigs"/>
      <sheetName val="Bloomberg_Link"/>
      <sheetName val="Comparative_Table2"/>
      <sheetName val="Financial_Summary2"/>
      <sheetName val="Price_Hikes2"/>
      <sheetName val="charts_and_tables2"/>
      <sheetName val="proj_Bharat2"/>
      <sheetName val="branded_staples2"/>
      <sheetName val="det_price_cut2"/>
      <sheetName val="PS_&amp;_RM2"/>
      <sheetName val="hll_model2"/>
      <sheetName val="Operating_Statistics2"/>
      <sheetName val="Bajaj_Allianz2"/>
      <sheetName val="res_20021"/>
      <sheetName val="Inc_Mod_cigs1"/>
      <sheetName val="Bloomberg_Link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mod"/>
      <sheetName val="per share"/>
      <sheetName val="owners"/>
      <sheetName val="cap hist"/>
      <sheetName val="prices"/>
      <sheetName val="quant"/>
      <sheetName val="front page"/>
      <sheetName val="last page"/>
      <sheetName val="BS_1"/>
      <sheetName val="BS_2"/>
      <sheetName val="CF_1"/>
      <sheetName val="PL_1"/>
      <sheetName val="PL_2"/>
      <sheetName val="Ratio_1"/>
      <sheetName val="Ratio_2"/>
      <sheetName val="bp"/>
      <sheetName val="fp"/>
      <sheetName val="board"/>
      <sheetName val="sales"/>
      <sheetName val="main"/>
      <sheetName val="shareholding"/>
      <sheetName val="pl_related"/>
      <sheetName val="per_share"/>
      <sheetName val="cap_hist"/>
      <sheetName val="front_page"/>
      <sheetName val="last_page"/>
      <sheetName val="charts &amp; tables"/>
      <sheetName val="bonny"/>
      <sheetName val="AMOY"/>
      <sheetName val="Qtrly Flash"/>
      <sheetName val="per_share1"/>
      <sheetName val="cap_hist1"/>
      <sheetName val="front_page1"/>
      <sheetName val="last_page1"/>
      <sheetName val="charts_&amp;_tables"/>
      <sheetName val="financials"/>
      <sheetName val="Profile"/>
      <sheetName val="Input"/>
      <sheetName val="Formats"/>
      <sheetName val="Debt"/>
      <sheetName val="CapEx"/>
      <sheetName val="Capital"/>
      <sheetName val="Tax"/>
      <sheetName val="QuanOP"/>
      <sheetName val="VarName"/>
      <sheetName val="per_share2"/>
      <sheetName val="cap_hist2"/>
      <sheetName val="front_page2"/>
      <sheetName val="last_page2"/>
      <sheetName val="charts_&amp;_tables1"/>
      <sheetName val="Qtrly_Flash"/>
      <sheetName val="per_share3"/>
      <sheetName val="cap_hist3"/>
      <sheetName val="front_page3"/>
      <sheetName val="last_page3"/>
      <sheetName val="charts_&amp;_tables2"/>
      <sheetName val="Qtrly_Flash1"/>
    </sheetNames>
    <sheetDataSet>
      <sheetData sheetId="0" refreshError="1">
        <row r="1">
          <cell r="A1" t="str">
            <v>SmithKline Beecham Consumer Healthcare</v>
          </cell>
        </row>
        <row r="138">
          <cell r="A138" t="str">
            <v>SmithKline Beecham Consumer Healthcare</v>
          </cell>
        </row>
        <row r="139">
          <cell r="C139" t="str">
            <v>FY1993</v>
          </cell>
          <cell r="D139">
            <v>0</v>
          </cell>
          <cell r="E139" t="str">
            <v>FY1994</v>
          </cell>
          <cell r="F139">
            <v>0</v>
          </cell>
          <cell r="G139" t="str">
            <v>FY1995</v>
          </cell>
          <cell r="H139">
            <v>0</v>
          </cell>
          <cell r="I139" t="str">
            <v>FY1996</v>
          </cell>
          <cell r="J139">
            <v>0</v>
          </cell>
          <cell r="K139" t="str">
            <v>FY1997</v>
          </cell>
          <cell r="L139">
            <v>0</v>
          </cell>
          <cell r="M139" t="str">
            <v>FY1998</v>
          </cell>
          <cell r="N139">
            <v>0</v>
          </cell>
          <cell r="O139" t="str">
            <v>FY1999</v>
          </cell>
          <cell r="P139">
            <v>0</v>
          </cell>
          <cell r="Q139" t="str">
            <v>FY2000</v>
          </cell>
          <cell r="R139">
            <v>0</v>
          </cell>
          <cell r="S139" t="str">
            <v>FY2001</v>
          </cell>
          <cell r="T139">
            <v>0</v>
          </cell>
          <cell r="U139" t="str">
            <v>FY2002</v>
          </cell>
          <cell r="V139">
            <v>0</v>
          </cell>
          <cell r="W139" t="str">
            <v>FY2003</v>
          </cell>
          <cell r="X139">
            <v>0</v>
          </cell>
          <cell r="Y139" t="str">
            <v>FY2004</v>
          </cell>
        </row>
        <row r="140">
          <cell r="A140" t="str">
            <v>Net revenues</v>
          </cell>
          <cell r="B140">
            <v>0</v>
          </cell>
          <cell r="C140" t="e">
            <v>#REF!</v>
          </cell>
          <cell r="D140">
            <v>0</v>
          </cell>
          <cell r="E140" t="e">
            <v>#REF!</v>
          </cell>
          <cell r="F140">
            <v>0</v>
          </cell>
          <cell r="G140" t="e">
            <v>#REF!</v>
          </cell>
          <cell r="H140">
            <v>0</v>
          </cell>
          <cell r="I140" t="e">
            <v>#REF!</v>
          </cell>
          <cell r="J140">
            <v>0</v>
          </cell>
          <cell r="K140" t="e">
            <v>#REF!</v>
          </cell>
          <cell r="L140">
            <v>0</v>
          </cell>
          <cell r="M140" t="e">
            <v>#REF!</v>
          </cell>
          <cell r="N140">
            <v>0</v>
          </cell>
          <cell r="O140" t="e">
            <v>#REF!</v>
          </cell>
          <cell r="P140">
            <v>0</v>
          </cell>
          <cell r="Q140" t="e">
            <v>#REF!</v>
          </cell>
          <cell r="R140">
            <v>0</v>
          </cell>
          <cell r="S140" t="e">
            <v>#REF!</v>
          </cell>
          <cell r="T140">
            <v>0</v>
          </cell>
          <cell r="U140" t="e">
            <v>#REF!</v>
          </cell>
          <cell r="V140">
            <v>0</v>
          </cell>
          <cell r="W140" t="e">
            <v>#REF!</v>
          </cell>
          <cell r="X140">
            <v>0</v>
          </cell>
          <cell r="Y140" t="e">
            <v>#REF!</v>
          </cell>
        </row>
        <row r="141">
          <cell r="B141" t="str">
            <v>% growth</v>
          </cell>
          <cell r="C141">
            <v>0</v>
          </cell>
          <cell r="D141">
            <v>0</v>
          </cell>
          <cell r="E141" t="e">
            <v>#REF!</v>
          </cell>
          <cell r="F141">
            <v>0</v>
          </cell>
          <cell r="G141" t="e">
            <v>#REF!</v>
          </cell>
          <cell r="H141">
            <v>0</v>
          </cell>
          <cell r="I141" t="e">
            <v>#REF!</v>
          </cell>
          <cell r="J141">
            <v>0</v>
          </cell>
          <cell r="K141" t="e">
            <v>#REF!</v>
          </cell>
          <cell r="L141">
            <v>0</v>
          </cell>
          <cell r="M141" t="e">
            <v>#REF!</v>
          </cell>
          <cell r="N141">
            <v>0</v>
          </cell>
          <cell r="O141" t="e">
            <v>#REF!</v>
          </cell>
          <cell r="P141">
            <v>0</v>
          </cell>
          <cell r="Q141" t="e">
            <v>#REF!</v>
          </cell>
          <cell r="R141">
            <v>0</v>
          </cell>
          <cell r="S141" t="e">
            <v>#REF!</v>
          </cell>
          <cell r="T141">
            <v>0</v>
          </cell>
          <cell r="U141" t="e">
            <v>#REF!</v>
          </cell>
          <cell r="V141">
            <v>0</v>
          </cell>
          <cell r="W141" t="e">
            <v>#REF!</v>
          </cell>
          <cell r="X141">
            <v>0</v>
          </cell>
          <cell r="Y141" t="e">
            <v>#REF!</v>
          </cell>
        </row>
        <row r="142">
          <cell r="A142" t="str">
            <v>Operating Profit (EBITDA)</v>
          </cell>
          <cell r="B142">
            <v>0</v>
          </cell>
          <cell r="C142" t="e">
            <v>#REF!</v>
          </cell>
          <cell r="D142">
            <v>0</v>
          </cell>
          <cell r="E142" t="e">
            <v>#REF!</v>
          </cell>
          <cell r="F142">
            <v>0</v>
          </cell>
          <cell r="G142" t="e">
            <v>#REF!</v>
          </cell>
          <cell r="H142">
            <v>0</v>
          </cell>
          <cell r="I142" t="e">
            <v>#REF!</v>
          </cell>
          <cell r="J142">
            <v>0</v>
          </cell>
          <cell r="K142" t="e">
            <v>#REF!</v>
          </cell>
          <cell r="L142">
            <v>0</v>
          </cell>
          <cell r="M142" t="e">
            <v>#REF!</v>
          </cell>
          <cell r="N142">
            <v>0</v>
          </cell>
          <cell r="O142" t="e">
            <v>#REF!</v>
          </cell>
          <cell r="P142">
            <v>0</v>
          </cell>
          <cell r="Q142" t="e">
            <v>#REF!</v>
          </cell>
          <cell r="R142">
            <v>0</v>
          </cell>
          <cell r="S142" t="e">
            <v>#REF!</v>
          </cell>
          <cell r="T142">
            <v>0</v>
          </cell>
          <cell r="U142" t="e">
            <v>#REF!</v>
          </cell>
          <cell r="V142">
            <v>0</v>
          </cell>
          <cell r="W142" t="e">
            <v>#REF!</v>
          </cell>
          <cell r="X142">
            <v>0</v>
          </cell>
          <cell r="Y142" t="e">
            <v>#REF!</v>
          </cell>
        </row>
        <row r="143">
          <cell r="B143" t="str">
            <v>% growth</v>
          </cell>
          <cell r="C143">
            <v>0</v>
          </cell>
          <cell r="D143">
            <v>0</v>
          </cell>
          <cell r="E143" t="e">
            <v>#REF!</v>
          </cell>
          <cell r="F143">
            <v>0</v>
          </cell>
          <cell r="G143" t="e">
            <v>#REF!</v>
          </cell>
          <cell r="H143">
            <v>0</v>
          </cell>
          <cell r="I143" t="e">
            <v>#REF!</v>
          </cell>
          <cell r="J143">
            <v>0</v>
          </cell>
          <cell r="K143" t="e">
            <v>#REF!</v>
          </cell>
          <cell r="L143">
            <v>0</v>
          </cell>
          <cell r="M143" t="e">
            <v>#REF!</v>
          </cell>
          <cell r="N143">
            <v>0</v>
          </cell>
          <cell r="O143" t="e">
            <v>#REF!</v>
          </cell>
          <cell r="P143">
            <v>0</v>
          </cell>
          <cell r="Q143" t="e">
            <v>#REF!</v>
          </cell>
          <cell r="R143">
            <v>0</v>
          </cell>
          <cell r="S143" t="e">
            <v>#REF!</v>
          </cell>
          <cell r="T143">
            <v>0</v>
          </cell>
          <cell r="U143" t="e">
            <v>#REF!</v>
          </cell>
          <cell r="V143">
            <v>0</v>
          </cell>
          <cell r="W143" t="e">
            <v>#REF!</v>
          </cell>
          <cell r="X143">
            <v>0</v>
          </cell>
          <cell r="Y143" t="e">
            <v>#REF!</v>
          </cell>
        </row>
        <row r="144">
          <cell r="A144" t="str">
            <v>Pre-Tax Profit</v>
          </cell>
          <cell r="B144">
            <v>0</v>
          </cell>
          <cell r="C144" t="e">
            <v>#REF!</v>
          </cell>
          <cell r="D144">
            <v>0</v>
          </cell>
          <cell r="E144" t="e">
            <v>#REF!</v>
          </cell>
          <cell r="F144">
            <v>0</v>
          </cell>
          <cell r="G144" t="e">
            <v>#REF!</v>
          </cell>
          <cell r="H144">
            <v>0</v>
          </cell>
          <cell r="I144" t="e">
            <v>#REF!</v>
          </cell>
          <cell r="J144">
            <v>0</v>
          </cell>
          <cell r="K144" t="e">
            <v>#REF!</v>
          </cell>
          <cell r="L144">
            <v>0</v>
          </cell>
          <cell r="M144" t="e">
            <v>#REF!</v>
          </cell>
          <cell r="N144">
            <v>0</v>
          </cell>
          <cell r="O144" t="e">
            <v>#REF!</v>
          </cell>
          <cell r="P144">
            <v>0</v>
          </cell>
          <cell r="Q144" t="e">
            <v>#REF!</v>
          </cell>
          <cell r="R144">
            <v>0</v>
          </cell>
          <cell r="S144" t="e">
            <v>#REF!</v>
          </cell>
          <cell r="T144">
            <v>0</v>
          </cell>
          <cell r="U144" t="e">
            <v>#REF!</v>
          </cell>
          <cell r="V144">
            <v>0</v>
          </cell>
          <cell r="W144" t="e">
            <v>#REF!</v>
          </cell>
          <cell r="X144">
            <v>0</v>
          </cell>
          <cell r="Y144" t="e">
            <v>#REF!</v>
          </cell>
        </row>
        <row r="145">
          <cell r="B145" t="str">
            <v>% growth</v>
          </cell>
          <cell r="C145">
            <v>0</v>
          </cell>
          <cell r="D145">
            <v>0</v>
          </cell>
          <cell r="E145" t="e">
            <v>#REF!</v>
          </cell>
          <cell r="F145">
            <v>0</v>
          </cell>
          <cell r="G145" t="e">
            <v>#REF!</v>
          </cell>
          <cell r="H145">
            <v>0</v>
          </cell>
          <cell r="I145" t="e">
            <v>#REF!</v>
          </cell>
          <cell r="J145">
            <v>0</v>
          </cell>
          <cell r="K145" t="e">
            <v>#REF!</v>
          </cell>
          <cell r="L145">
            <v>0</v>
          </cell>
          <cell r="M145" t="e">
            <v>#REF!</v>
          </cell>
          <cell r="N145">
            <v>0</v>
          </cell>
          <cell r="O145" t="e">
            <v>#REF!</v>
          </cell>
          <cell r="P145">
            <v>0</v>
          </cell>
          <cell r="Q145" t="e">
            <v>#REF!</v>
          </cell>
          <cell r="R145">
            <v>0</v>
          </cell>
          <cell r="S145" t="e">
            <v>#REF!</v>
          </cell>
          <cell r="T145">
            <v>0</v>
          </cell>
          <cell r="U145" t="e">
            <v>#REF!</v>
          </cell>
          <cell r="V145">
            <v>0</v>
          </cell>
          <cell r="W145" t="e">
            <v>#REF!</v>
          </cell>
          <cell r="X145">
            <v>0</v>
          </cell>
          <cell r="Y145" t="e">
            <v>#REF!</v>
          </cell>
        </row>
        <row r="146">
          <cell r="A146" t="str">
            <v>Net Profit</v>
          </cell>
          <cell r="B146">
            <v>0</v>
          </cell>
          <cell r="C146" t="e">
            <v>#REF!</v>
          </cell>
          <cell r="D146">
            <v>0</v>
          </cell>
          <cell r="E146" t="e">
            <v>#REF!</v>
          </cell>
          <cell r="F146">
            <v>0</v>
          </cell>
          <cell r="G146" t="e">
            <v>#REF!</v>
          </cell>
          <cell r="H146">
            <v>0</v>
          </cell>
          <cell r="I146" t="e">
            <v>#REF!</v>
          </cell>
          <cell r="J146">
            <v>0</v>
          </cell>
          <cell r="K146" t="e">
            <v>#REF!</v>
          </cell>
          <cell r="L146">
            <v>0</v>
          </cell>
          <cell r="M146" t="e">
            <v>#REF!</v>
          </cell>
          <cell r="N146">
            <v>0</v>
          </cell>
          <cell r="O146" t="e">
            <v>#REF!</v>
          </cell>
          <cell r="P146">
            <v>0</v>
          </cell>
          <cell r="Q146" t="e">
            <v>#REF!</v>
          </cell>
          <cell r="R146">
            <v>0</v>
          </cell>
          <cell r="S146" t="e">
            <v>#REF!</v>
          </cell>
          <cell r="T146">
            <v>0</v>
          </cell>
          <cell r="U146" t="e">
            <v>#REF!</v>
          </cell>
          <cell r="V146">
            <v>0</v>
          </cell>
          <cell r="W146" t="e">
            <v>#REF!</v>
          </cell>
          <cell r="X146">
            <v>0</v>
          </cell>
          <cell r="Y146" t="e">
            <v>#REF!</v>
          </cell>
        </row>
        <row r="147">
          <cell r="B147" t="str">
            <v>% growth</v>
          </cell>
          <cell r="C147">
            <v>0</v>
          </cell>
          <cell r="D147">
            <v>0</v>
          </cell>
          <cell r="E147" t="e">
            <v>#REF!</v>
          </cell>
          <cell r="F147">
            <v>0</v>
          </cell>
          <cell r="G147" t="e">
            <v>#REF!</v>
          </cell>
          <cell r="H147">
            <v>0</v>
          </cell>
          <cell r="I147" t="e">
            <v>#REF!</v>
          </cell>
          <cell r="J147">
            <v>0</v>
          </cell>
          <cell r="K147" t="e">
            <v>#REF!</v>
          </cell>
          <cell r="L147">
            <v>0</v>
          </cell>
          <cell r="M147" t="e">
            <v>#REF!</v>
          </cell>
          <cell r="N147">
            <v>0</v>
          </cell>
          <cell r="O147" t="e">
            <v>#REF!</v>
          </cell>
          <cell r="P147">
            <v>0</v>
          </cell>
          <cell r="Q147" t="e">
            <v>#REF!</v>
          </cell>
          <cell r="R147">
            <v>0</v>
          </cell>
          <cell r="S147" t="e">
            <v>#REF!</v>
          </cell>
          <cell r="T147">
            <v>0</v>
          </cell>
          <cell r="U147" t="e">
            <v>#REF!</v>
          </cell>
          <cell r="V147">
            <v>0</v>
          </cell>
          <cell r="W147" t="e">
            <v>#REF!</v>
          </cell>
          <cell r="X147">
            <v>0</v>
          </cell>
          <cell r="Y147" t="e">
            <v>#REF!</v>
          </cell>
        </row>
        <row r="148">
          <cell r="A148" t="str">
            <v>Diluted EBITDA/S</v>
          </cell>
          <cell r="B148">
            <v>0</v>
          </cell>
          <cell r="C148" t="e">
            <v>#REF!</v>
          </cell>
          <cell r="D148">
            <v>0</v>
          </cell>
          <cell r="E148" t="e">
            <v>#REF!</v>
          </cell>
          <cell r="F148">
            <v>0</v>
          </cell>
          <cell r="G148" t="e">
            <v>#REF!</v>
          </cell>
          <cell r="H148">
            <v>0</v>
          </cell>
          <cell r="I148" t="e">
            <v>#REF!</v>
          </cell>
          <cell r="J148">
            <v>0</v>
          </cell>
          <cell r="K148" t="e">
            <v>#REF!</v>
          </cell>
          <cell r="L148">
            <v>0</v>
          </cell>
          <cell r="M148" t="e">
            <v>#REF!</v>
          </cell>
          <cell r="N148">
            <v>0</v>
          </cell>
          <cell r="O148" t="e">
            <v>#REF!</v>
          </cell>
          <cell r="P148">
            <v>0</v>
          </cell>
          <cell r="Q148" t="e">
            <v>#REF!</v>
          </cell>
          <cell r="R148">
            <v>0</v>
          </cell>
          <cell r="S148" t="e">
            <v>#REF!</v>
          </cell>
          <cell r="T148">
            <v>0</v>
          </cell>
          <cell r="U148" t="e">
            <v>#REF!</v>
          </cell>
          <cell r="V148">
            <v>0</v>
          </cell>
          <cell r="W148" t="e">
            <v>#REF!</v>
          </cell>
          <cell r="X148">
            <v>0</v>
          </cell>
          <cell r="Y148" t="e">
            <v>#REF!</v>
          </cell>
        </row>
        <row r="149">
          <cell r="B149" t="str">
            <v>% growth</v>
          </cell>
          <cell r="C149">
            <v>0</v>
          </cell>
          <cell r="D149">
            <v>0</v>
          </cell>
          <cell r="E149" t="e">
            <v>#REF!</v>
          </cell>
          <cell r="F149">
            <v>0</v>
          </cell>
          <cell r="G149" t="e">
            <v>#REF!</v>
          </cell>
          <cell r="H149">
            <v>0</v>
          </cell>
          <cell r="I149" t="e">
            <v>#REF!</v>
          </cell>
          <cell r="J149">
            <v>0</v>
          </cell>
          <cell r="K149" t="e">
            <v>#REF!</v>
          </cell>
          <cell r="L149">
            <v>0</v>
          </cell>
          <cell r="M149" t="e">
            <v>#REF!</v>
          </cell>
          <cell r="N149">
            <v>0</v>
          </cell>
          <cell r="O149" t="e">
            <v>#REF!</v>
          </cell>
          <cell r="P149">
            <v>0</v>
          </cell>
          <cell r="Q149" t="e">
            <v>#REF!</v>
          </cell>
          <cell r="R149">
            <v>0</v>
          </cell>
          <cell r="S149" t="e">
            <v>#REF!</v>
          </cell>
          <cell r="T149">
            <v>0</v>
          </cell>
          <cell r="U149" t="e">
            <v>#REF!</v>
          </cell>
          <cell r="V149">
            <v>0</v>
          </cell>
          <cell r="W149" t="e">
            <v>#REF!</v>
          </cell>
          <cell r="X149">
            <v>0</v>
          </cell>
          <cell r="Y149" t="e">
            <v>#REF!</v>
          </cell>
        </row>
        <row r="150">
          <cell r="A150" t="str">
            <v>EPS</v>
          </cell>
          <cell r="B150">
            <v>0</v>
          </cell>
          <cell r="C150" t="e">
            <v>#REF!</v>
          </cell>
          <cell r="D150">
            <v>0</v>
          </cell>
          <cell r="E150" t="e">
            <v>#REF!</v>
          </cell>
          <cell r="F150">
            <v>0</v>
          </cell>
          <cell r="G150" t="e">
            <v>#REF!</v>
          </cell>
          <cell r="H150">
            <v>0</v>
          </cell>
          <cell r="I150" t="e">
            <v>#REF!</v>
          </cell>
          <cell r="J150">
            <v>0</v>
          </cell>
          <cell r="K150" t="e">
            <v>#REF!</v>
          </cell>
          <cell r="L150">
            <v>0</v>
          </cell>
          <cell r="M150" t="e">
            <v>#REF!</v>
          </cell>
          <cell r="N150">
            <v>0</v>
          </cell>
          <cell r="O150" t="e">
            <v>#REF!</v>
          </cell>
          <cell r="P150">
            <v>0</v>
          </cell>
          <cell r="Q150" t="e">
            <v>#REF!</v>
          </cell>
          <cell r="R150">
            <v>0</v>
          </cell>
          <cell r="S150" t="e">
            <v>#REF!</v>
          </cell>
          <cell r="T150">
            <v>0</v>
          </cell>
          <cell r="U150" t="e">
            <v>#REF!</v>
          </cell>
          <cell r="V150">
            <v>0</v>
          </cell>
          <cell r="W150" t="e">
            <v>#REF!</v>
          </cell>
          <cell r="X150">
            <v>0</v>
          </cell>
          <cell r="Y150" t="e">
            <v>#REF!</v>
          </cell>
        </row>
        <row r="151">
          <cell r="B151" t="str">
            <v>% growth</v>
          </cell>
          <cell r="C151">
            <v>0</v>
          </cell>
          <cell r="D151">
            <v>0</v>
          </cell>
          <cell r="E151" t="e">
            <v>#REF!</v>
          </cell>
          <cell r="F151">
            <v>0</v>
          </cell>
          <cell r="G151" t="e">
            <v>#REF!</v>
          </cell>
          <cell r="H151">
            <v>0</v>
          </cell>
          <cell r="I151" t="e">
            <v>#REF!</v>
          </cell>
          <cell r="J151">
            <v>0</v>
          </cell>
          <cell r="K151" t="e">
            <v>#REF!</v>
          </cell>
          <cell r="L151">
            <v>0</v>
          </cell>
          <cell r="M151" t="e">
            <v>#REF!</v>
          </cell>
          <cell r="N151">
            <v>0</v>
          </cell>
          <cell r="O151" t="e">
            <v>#REF!</v>
          </cell>
          <cell r="P151">
            <v>0</v>
          </cell>
          <cell r="Q151" t="e">
            <v>#REF!</v>
          </cell>
          <cell r="R151">
            <v>0</v>
          </cell>
          <cell r="S151" t="e">
            <v>#REF!</v>
          </cell>
          <cell r="T151">
            <v>0</v>
          </cell>
          <cell r="U151" t="e">
            <v>#REF!</v>
          </cell>
          <cell r="V151">
            <v>0</v>
          </cell>
          <cell r="W151" t="e">
            <v>#REF!</v>
          </cell>
          <cell r="X151">
            <v>0</v>
          </cell>
          <cell r="Y151" t="e">
            <v>#REF!</v>
          </cell>
        </row>
        <row r="153">
          <cell r="A153" t="str">
            <v>Margins</v>
          </cell>
        </row>
        <row r="154">
          <cell r="A154" t="str">
            <v>Operating Profit Margin</v>
          </cell>
          <cell r="B154">
            <v>0</v>
          </cell>
          <cell r="C154" t="e">
            <v>#REF!</v>
          </cell>
          <cell r="D154">
            <v>0</v>
          </cell>
          <cell r="E154" t="e">
            <v>#REF!</v>
          </cell>
          <cell r="F154">
            <v>0</v>
          </cell>
          <cell r="G154" t="e">
            <v>#REF!</v>
          </cell>
          <cell r="H154">
            <v>0</v>
          </cell>
          <cell r="I154" t="e">
            <v>#REF!</v>
          </cell>
          <cell r="J154">
            <v>0</v>
          </cell>
          <cell r="K154" t="e">
            <v>#REF!</v>
          </cell>
          <cell r="L154">
            <v>0</v>
          </cell>
          <cell r="M154" t="e">
            <v>#REF!</v>
          </cell>
          <cell r="N154">
            <v>0</v>
          </cell>
          <cell r="O154" t="e">
            <v>#REF!</v>
          </cell>
          <cell r="P154">
            <v>0</v>
          </cell>
          <cell r="Q154" t="e">
            <v>#REF!</v>
          </cell>
          <cell r="R154">
            <v>0</v>
          </cell>
          <cell r="S154" t="e">
            <v>#REF!</v>
          </cell>
          <cell r="T154">
            <v>0</v>
          </cell>
          <cell r="U154" t="e">
            <v>#REF!</v>
          </cell>
          <cell r="V154">
            <v>0</v>
          </cell>
          <cell r="W154" t="e">
            <v>#REF!</v>
          </cell>
          <cell r="X154">
            <v>0</v>
          </cell>
          <cell r="Y154" t="e">
            <v>#REF!</v>
          </cell>
        </row>
        <row r="155">
          <cell r="A155" t="str">
            <v>Net Profit Margin</v>
          </cell>
          <cell r="B155">
            <v>0</v>
          </cell>
          <cell r="C155" t="e">
            <v>#REF!</v>
          </cell>
          <cell r="D155">
            <v>0</v>
          </cell>
          <cell r="E155" t="e">
            <v>#REF!</v>
          </cell>
          <cell r="F155">
            <v>0</v>
          </cell>
          <cell r="G155" t="e">
            <v>#REF!</v>
          </cell>
          <cell r="H155">
            <v>0</v>
          </cell>
          <cell r="I155" t="e">
            <v>#REF!</v>
          </cell>
          <cell r="J155">
            <v>0</v>
          </cell>
          <cell r="K155" t="e">
            <v>#REF!</v>
          </cell>
          <cell r="L155">
            <v>0</v>
          </cell>
          <cell r="M155" t="e">
            <v>#REF!</v>
          </cell>
          <cell r="N155">
            <v>0</v>
          </cell>
          <cell r="O155" t="e">
            <v>#REF!</v>
          </cell>
          <cell r="P155">
            <v>0</v>
          </cell>
          <cell r="Q155" t="e">
            <v>#REF!</v>
          </cell>
          <cell r="R155">
            <v>0</v>
          </cell>
          <cell r="S155" t="e">
            <v>#REF!</v>
          </cell>
          <cell r="T155">
            <v>0</v>
          </cell>
          <cell r="U155" t="e">
            <v>#REF!</v>
          </cell>
          <cell r="V155">
            <v>0</v>
          </cell>
          <cell r="W155" t="e">
            <v>#REF!</v>
          </cell>
          <cell r="X155">
            <v>0</v>
          </cell>
          <cell r="Y155" t="e">
            <v>#REF!</v>
          </cell>
        </row>
        <row r="157">
          <cell r="A157" t="str">
            <v>Dividend Yield</v>
          </cell>
          <cell r="B157">
            <v>0</v>
          </cell>
          <cell r="C157" t="e">
            <v>#REF!</v>
          </cell>
          <cell r="D157">
            <v>0</v>
          </cell>
          <cell r="E157" t="e">
            <v>#REF!</v>
          </cell>
          <cell r="F157">
            <v>0</v>
          </cell>
          <cell r="G157" t="e">
            <v>#REF!</v>
          </cell>
          <cell r="H157">
            <v>0</v>
          </cell>
          <cell r="I157" t="e">
            <v>#REF!</v>
          </cell>
          <cell r="J157">
            <v>0</v>
          </cell>
          <cell r="K157" t="e">
            <v>#REF!</v>
          </cell>
          <cell r="L157">
            <v>0</v>
          </cell>
          <cell r="M157" t="e">
            <v>#REF!</v>
          </cell>
          <cell r="N157">
            <v>0</v>
          </cell>
          <cell r="O157" t="e">
            <v>#REF!</v>
          </cell>
          <cell r="P157">
            <v>0</v>
          </cell>
          <cell r="Q157" t="e">
            <v>#REF!</v>
          </cell>
          <cell r="R157">
            <v>0</v>
          </cell>
          <cell r="S157" t="e">
            <v>#REF!</v>
          </cell>
          <cell r="T157">
            <v>0</v>
          </cell>
          <cell r="U157" t="e">
            <v>#REF!</v>
          </cell>
          <cell r="V157">
            <v>0</v>
          </cell>
          <cell r="W157" t="e">
            <v>#REF!</v>
          </cell>
          <cell r="X157">
            <v>0</v>
          </cell>
          <cell r="Y157" t="e">
            <v>#REF!</v>
          </cell>
        </row>
        <row r="159">
          <cell r="A159" t="str">
            <v>SmithKline Beecham Consumer Healthcare</v>
          </cell>
        </row>
        <row r="160">
          <cell r="C160" t="str">
            <v>FY1993</v>
          </cell>
          <cell r="D160">
            <v>0</v>
          </cell>
          <cell r="E160" t="str">
            <v>FY1994</v>
          </cell>
          <cell r="F160">
            <v>0</v>
          </cell>
          <cell r="G160" t="str">
            <v>FY1995</v>
          </cell>
          <cell r="H160">
            <v>0</v>
          </cell>
          <cell r="I160" t="str">
            <v>FY1996</v>
          </cell>
          <cell r="J160">
            <v>0</v>
          </cell>
          <cell r="K160" t="str">
            <v>FY1997</v>
          </cell>
          <cell r="L160">
            <v>0</v>
          </cell>
          <cell r="M160" t="str">
            <v>FY1998</v>
          </cell>
          <cell r="N160">
            <v>0</v>
          </cell>
          <cell r="O160" t="str">
            <v>FY1999</v>
          </cell>
          <cell r="P160">
            <v>0</v>
          </cell>
          <cell r="Q160" t="str">
            <v>FY2000</v>
          </cell>
          <cell r="R160">
            <v>0</v>
          </cell>
          <cell r="S160" t="str">
            <v>FY2001</v>
          </cell>
          <cell r="T160">
            <v>0</v>
          </cell>
          <cell r="U160" t="str">
            <v>FY2002</v>
          </cell>
          <cell r="V160">
            <v>0</v>
          </cell>
          <cell r="W160" t="str">
            <v>FY2003</v>
          </cell>
          <cell r="X160">
            <v>0</v>
          </cell>
          <cell r="Y160" t="str">
            <v>FY2004</v>
          </cell>
        </row>
        <row r="161">
          <cell r="A161" t="str">
            <v>Liquidity</v>
          </cell>
        </row>
        <row r="162">
          <cell r="A162" t="str">
            <v>Current Ratio</v>
          </cell>
          <cell r="B162">
            <v>0</v>
          </cell>
          <cell r="C162" t="e">
            <v>#REF!</v>
          </cell>
          <cell r="D162">
            <v>0</v>
          </cell>
          <cell r="E162" t="e">
            <v>#REF!</v>
          </cell>
          <cell r="F162">
            <v>0</v>
          </cell>
          <cell r="G162" t="e">
            <v>#REF!</v>
          </cell>
          <cell r="H162">
            <v>0</v>
          </cell>
          <cell r="I162" t="e">
            <v>#REF!</v>
          </cell>
          <cell r="J162">
            <v>0</v>
          </cell>
          <cell r="K162" t="e">
            <v>#REF!</v>
          </cell>
          <cell r="L162">
            <v>0</v>
          </cell>
          <cell r="M162" t="e">
            <v>#REF!</v>
          </cell>
          <cell r="N162">
            <v>0</v>
          </cell>
          <cell r="O162" t="e">
            <v>#REF!</v>
          </cell>
          <cell r="P162">
            <v>0</v>
          </cell>
          <cell r="Q162" t="e">
            <v>#REF!</v>
          </cell>
          <cell r="R162">
            <v>0</v>
          </cell>
          <cell r="S162" t="e">
            <v>#REF!</v>
          </cell>
          <cell r="T162">
            <v>0</v>
          </cell>
          <cell r="U162" t="e">
            <v>#REF!</v>
          </cell>
          <cell r="V162">
            <v>0</v>
          </cell>
          <cell r="W162" t="e">
            <v>#REF!</v>
          </cell>
          <cell r="X162">
            <v>0</v>
          </cell>
          <cell r="Y162" t="e">
            <v>#REF!</v>
          </cell>
        </row>
        <row r="163">
          <cell r="A163" t="str">
            <v>Acid Ratio</v>
          </cell>
          <cell r="B163">
            <v>0</v>
          </cell>
          <cell r="C163" t="e">
            <v>#REF!</v>
          </cell>
          <cell r="D163">
            <v>0</v>
          </cell>
          <cell r="E163" t="e">
            <v>#REF!</v>
          </cell>
          <cell r="F163">
            <v>0</v>
          </cell>
          <cell r="G163" t="e">
            <v>#REF!</v>
          </cell>
          <cell r="H163">
            <v>0</v>
          </cell>
          <cell r="I163" t="e">
            <v>#REF!</v>
          </cell>
          <cell r="J163">
            <v>0</v>
          </cell>
          <cell r="K163" t="e">
            <v>#REF!</v>
          </cell>
          <cell r="L163">
            <v>0</v>
          </cell>
          <cell r="M163" t="e">
            <v>#REF!</v>
          </cell>
          <cell r="N163">
            <v>0</v>
          </cell>
          <cell r="O163" t="e">
            <v>#REF!</v>
          </cell>
          <cell r="P163">
            <v>0</v>
          </cell>
          <cell r="Q163" t="e">
            <v>#REF!</v>
          </cell>
          <cell r="R163">
            <v>0</v>
          </cell>
          <cell r="S163" t="e">
            <v>#REF!</v>
          </cell>
          <cell r="T163">
            <v>0</v>
          </cell>
          <cell r="U163" t="e">
            <v>#REF!</v>
          </cell>
          <cell r="V163">
            <v>0</v>
          </cell>
          <cell r="W163" t="e">
            <v>#REF!</v>
          </cell>
          <cell r="X163">
            <v>0</v>
          </cell>
          <cell r="Y163" t="e">
            <v>#REF!</v>
          </cell>
        </row>
        <row r="164">
          <cell r="A164" t="str">
            <v>Debt/Equity</v>
          </cell>
          <cell r="B164">
            <v>0</v>
          </cell>
          <cell r="C164" t="e">
            <v>#REF!</v>
          </cell>
          <cell r="D164">
            <v>0</v>
          </cell>
          <cell r="E164" t="e">
            <v>#REF!</v>
          </cell>
          <cell r="F164">
            <v>0</v>
          </cell>
          <cell r="G164" t="e">
            <v>#REF!</v>
          </cell>
          <cell r="H164">
            <v>0</v>
          </cell>
          <cell r="I164" t="e">
            <v>#REF!</v>
          </cell>
          <cell r="J164">
            <v>0</v>
          </cell>
          <cell r="K164" t="e">
            <v>#REF!</v>
          </cell>
          <cell r="L164">
            <v>0</v>
          </cell>
          <cell r="M164" t="e">
            <v>#REF!</v>
          </cell>
          <cell r="N164">
            <v>0</v>
          </cell>
          <cell r="O164" t="e">
            <v>#REF!</v>
          </cell>
          <cell r="P164">
            <v>0</v>
          </cell>
          <cell r="Q164" t="e">
            <v>#REF!</v>
          </cell>
          <cell r="R164">
            <v>0</v>
          </cell>
          <cell r="S164" t="e">
            <v>#REF!</v>
          </cell>
          <cell r="T164">
            <v>0</v>
          </cell>
          <cell r="U164" t="e">
            <v>#REF!</v>
          </cell>
          <cell r="V164">
            <v>0</v>
          </cell>
          <cell r="W164" t="e">
            <v>#REF!</v>
          </cell>
          <cell r="X164">
            <v>0</v>
          </cell>
          <cell r="Y164" t="e">
            <v>#REF!</v>
          </cell>
        </row>
        <row r="165">
          <cell r="A165" t="str">
            <v>Interest Cover (times)</v>
          </cell>
          <cell r="B165">
            <v>0</v>
          </cell>
          <cell r="C165" t="e">
            <v>#REF!</v>
          </cell>
          <cell r="D165">
            <v>0</v>
          </cell>
          <cell r="E165" t="e">
            <v>#REF!</v>
          </cell>
          <cell r="F165">
            <v>0</v>
          </cell>
          <cell r="G165" t="e">
            <v>#REF!</v>
          </cell>
          <cell r="H165">
            <v>0</v>
          </cell>
          <cell r="I165" t="e">
            <v>#REF!</v>
          </cell>
          <cell r="J165">
            <v>0</v>
          </cell>
          <cell r="K165" t="e">
            <v>#REF!</v>
          </cell>
          <cell r="L165">
            <v>0</v>
          </cell>
          <cell r="M165" t="e">
            <v>#REF!</v>
          </cell>
          <cell r="N165">
            <v>0</v>
          </cell>
          <cell r="O165" t="e">
            <v>#REF!</v>
          </cell>
          <cell r="P165">
            <v>0</v>
          </cell>
          <cell r="Q165" t="e">
            <v>#REF!</v>
          </cell>
          <cell r="R165">
            <v>0</v>
          </cell>
          <cell r="S165" t="e">
            <v>#REF!</v>
          </cell>
          <cell r="T165">
            <v>0</v>
          </cell>
          <cell r="U165" t="e">
            <v>#REF!</v>
          </cell>
          <cell r="V165">
            <v>0</v>
          </cell>
          <cell r="W165" t="e">
            <v>#REF!</v>
          </cell>
          <cell r="X165">
            <v>0</v>
          </cell>
          <cell r="Y165" t="e">
            <v>#REF!</v>
          </cell>
        </row>
        <row r="166">
          <cell r="A166" t="str">
            <v>Working Capital Efficiency</v>
          </cell>
        </row>
        <row r="167">
          <cell r="A167" t="str">
            <v>Days sales in debtors</v>
          </cell>
          <cell r="B167">
            <v>0</v>
          </cell>
          <cell r="C167" t="e">
            <v>#REF!</v>
          </cell>
          <cell r="D167">
            <v>0</v>
          </cell>
          <cell r="E167" t="e">
            <v>#REF!</v>
          </cell>
          <cell r="F167">
            <v>0</v>
          </cell>
          <cell r="G167"/>
          <cell r="H167">
            <v>0</v>
          </cell>
          <cell r="I167"/>
          <cell r="J167">
            <v>0</v>
          </cell>
          <cell r="K167"/>
          <cell r="L167">
            <v>0</v>
          </cell>
          <cell r="M167"/>
          <cell r="N167">
            <v>0</v>
          </cell>
          <cell r="O167"/>
          <cell r="P167">
            <v>0</v>
          </cell>
          <cell r="Q167"/>
          <cell r="R167">
            <v>0</v>
          </cell>
          <cell r="S167" t="e">
            <v>#REF!</v>
          </cell>
          <cell r="T167">
            <v>0</v>
          </cell>
          <cell r="U167" t="e">
            <v>#REF!</v>
          </cell>
          <cell r="V167">
            <v>0</v>
          </cell>
          <cell r="W167" t="e">
            <v>#REF!</v>
          </cell>
          <cell r="X167">
            <v>0</v>
          </cell>
          <cell r="Y167" t="e">
            <v>#REF!</v>
          </cell>
        </row>
        <row r="168">
          <cell r="A168" t="str">
            <v>Days cost of sales in inventories</v>
          </cell>
          <cell r="B168">
            <v>0</v>
          </cell>
          <cell r="C168" t="e">
            <v>#REF!</v>
          </cell>
          <cell r="D168">
            <v>0</v>
          </cell>
          <cell r="E168" t="e">
            <v>#REF!</v>
          </cell>
          <cell r="F168">
            <v>0</v>
          </cell>
          <cell r="G168" t="e">
            <v>#REF!</v>
          </cell>
          <cell r="H168">
            <v>0</v>
          </cell>
          <cell r="I168" t="e">
            <v>#REF!</v>
          </cell>
          <cell r="J168">
            <v>0</v>
          </cell>
          <cell r="K168" t="e">
            <v>#REF!</v>
          </cell>
          <cell r="L168">
            <v>0</v>
          </cell>
          <cell r="M168" t="e">
            <v>#REF!</v>
          </cell>
          <cell r="N168">
            <v>0</v>
          </cell>
          <cell r="O168" t="e">
            <v>#REF!</v>
          </cell>
          <cell r="P168">
            <v>0</v>
          </cell>
          <cell r="Q168" t="e">
            <v>#REF!</v>
          </cell>
          <cell r="R168">
            <v>0</v>
          </cell>
          <cell r="S168" t="e">
            <v>#REF!</v>
          </cell>
          <cell r="T168">
            <v>0</v>
          </cell>
          <cell r="U168" t="e">
            <v>#REF!</v>
          </cell>
          <cell r="V168">
            <v>0</v>
          </cell>
          <cell r="W168" t="e">
            <v>#REF!</v>
          </cell>
          <cell r="X168">
            <v>0</v>
          </cell>
          <cell r="Y168" t="e">
            <v>#REF!</v>
          </cell>
        </row>
        <row r="169">
          <cell r="A169" t="str">
            <v>Days purchases in creditors</v>
          </cell>
          <cell r="B169">
            <v>0</v>
          </cell>
          <cell r="C169" t="e">
            <v>#REF!</v>
          </cell>
          <cell r="D169">
            <v>0</v>
          </cell>
          <cell r="E169" t="e">
            <v>#REF!</v>
          </cell>
          <cell r="F169">
            <v>0</v>
          </cell>
          <cell r="G169" t="e">
            <v>#REF!</v>
          </cell>
          <cell r="H169">
            <v>0</v>
          </cell>
          <cell r="I169" t="e">
            <v>#REF!</v>
          </cell>
          <cell r="J169">
            <v>0</v>
          </cell>
          <cell r="K169" t="e">
            <v>#REF!</v>
          </cell>
          <cell r="L169">
            <v>0</v>
          </cell>
          <cell r="M169" t="e">
            <v>#REF!</v>
          </cell>
          <cell r="N169">
            <v>0</v>
          </cell>
          <cell r="O169" t="e">
            <v>#REF!</v>
          </cell>
          <cell r="P169">
            <v>0</v>
          </cell>
          <cell r="Q169" t="e">
            <v>#REF!</v>
          </cell>
          <cell r="R169">
            <v>0</v>
          </cell>
          <cell r="S169" t="e">
            <v>#REF!</v>
          </cell>
          <cell r="T169">
            <v>0</v>
          </cell>
          <cell r="U169" t="e">
            <v>#REF!</v>
          </cell>
          <cell r="V169">
            <v>0</v>
          </cell>
          <cell r="W169" t="e">
            <v>#REF!</v>
          </cell>
          <cell r="X169">
            <v>0</v>
          </cell>
          <cell r="Y169" t="e">
            <v>#REF!</v>
          </cell>
        </row>
        <row r="170">
          <cell r="A170" t="str">
            <v>Capital Intensity</v>
          </cell>
        </row>
        <row r="171">
          <cell r="A171" t="str">
            <v>Fixed Assets/Net Sales</v>
          </cell>
          <cell r="B171">
            <v>0</v>
          </cell>
          <cell r="C171" t="e">
            <v>#REF!</v>
          </cell>
          <cell r="D171">
            <v>0</v>
          </cell>
          <cell r="E171" t="e">
            <v>#REF!</v>
          </cell>
          <cell r="F171">
            <v>0</v>
          </cell>
          <cell r="G171" t="e">
            <v>#REF!</v>
          </cell>
          <cell r="H171">
            <v>0</v>
          </cell>
          <cell r="I171" t="e">
            <v>#REF!</v>
          </cell>
          <cell r="J171">
            <v>0</v>
          </cell>
          <cell r="K171" t="e">
            <v>#REF!</v>
          </cell>
          <cell r="L171">
            <v>0</v>
          </cell>
          <cell r="M171" t="e">
            <v>#REF!</v>
          </cell>
          <cell r="N171">
            <v>0</v>
          </cell>
          <cell r="O171" t="e">
            <v>#REF!</v>
          </cell>
          <cell r="P171">
            <v>0</v>
          </cell>
          <cell r="Q171" t="e">
            <v>#REF!</v>
          </cell>
          <cell r="R171">
            <v>0</v>
          </cell>
          <cell r="S171" t="e">
            <v>#REF!</v>
          </cell>
          <cell r="T171">
            <v>0</v>
          </cell>
          <cell r="U171" t="e">
            <v>#REF!</v>
          </cell>
          <cell r="V171">
            <v>0</v>
          </cell>
          <cell r="W171" t="e">
            <v>#REF!</v>
          </cell>
          <cell r="X171">
            <v>0</v>
          </cell>
          <cell r="Y171" t="e">
            <v>#REF!</v>
          </cell>
        </row>
        <row r="175">
          <cell r="A175" t="str">
            <v>Returns</v>
          </cell>
        </row>
        <row r="176">
          <cell r="A176" t="str">
            <v>Return on Capital Employed</v>
          </cell>
        </row>
        <row r="177">
          <cell r="B177" t="str">
            <v>on average capital</v>
          </cell>
          <cell r="C177" t="str">
            <v>n.a.</v>
          </cell>
          <cell r="D177">
            <v>0</v>
          </cell>
          <cell r="E177" t="e">
            <v>#REF!</v>
          </cell>
          <cell r="F177">
            <v>0</v>
          </cell>
          <cell r="G177" t="e">
            <v>#REF!</v>
          </cell>
          <cell r="H177">
            <v>0</v>
          </cell>
          <cell r="I177" t="e">
            <v>#REF!</v>
          </cell>
          <cell r="J177">
            <v>0</v>
          </cell>
          <cell r="K177" t="e">
            <v>#REF!</v>
          </cell>
          <cell r="L177">
            <v>0</v>
          </cell>
          <cell r="M177" t="e">
            <v>#REF!</v>
          </cell>
          <cell r="N177">
            <v>0</v>
          </cell>
          <cell r="O177" t="e">
            <v>#REF!</v>
          </cell>
          <cell r="P177">
            <v>0</v>
          </cell>
          <cell r="Q177" t="e">
            <v>#REF!</v>
          </cell>
          <cell r="R177">
            <v>0</v>
          </cell>
          <cell r="S177" t="e">
            <v>#REF!</v>
          </cell>
          <cell r="T177">
            <v>0</v>
          </cell>
          <cell r="U177" t="e">
            <v>#REF!</v>
          </cell>
          <cell r="V177">
            <v>0</v>
          </cell>
          <cell r="W177" t="e">
            <v>#REF!</v>
          </cell>
          <cell r="X177">
            <v>0</v>
          </cell>
          <cell r="Y177" t="e">
            <v>#REF!</v>
          </cell>
        </row>
        <row r="178">
          <cell r="B178" t="str">
            <v>on closing capital</v>
          </cell>
          <cell r="C178" t="e">
            <v>#REF!</v>
          </cell>
          <cell r="D178">
            <v>0</v>
          </cell>
          <cell r="E178" t="e">
            <v>#REF!</v>
          </cell>
          <cell r="F178">
            <v>0</v>
          </cell>
          <cell r="G178" t="e">
            <v>#REF!</v>
          </cell>
          <cell r="H178">
            <v>0</v>
          </cell>
          <cell r="I178" t="e">
            <v>#REF!</v>
          </cell>
          <cell r="J178">
            <v>0</v>
          </cell>
          <cell r="K178" t="e">
            <v>#REF!</v>
          </cell>
          <cell r="L178">
            <v>0</v>
          </cell>
          <cell r="M178" t="e">
            <v>#REF!</v>
          </cell>
          <cell r="N178">
            <v>0</v>
          </cell>
          <cell r="O178" t="e">
            <v>#REF!</v>
          </cell>
          <cell r="P178">
            <v>0</v>
          </cell>
          <cell r="Q178" t="e">
            <v>#REF!</v>
          </cell>
          <cell r="R178">
            <v>0</v>
          </cell>
          <cell r="S178" t="e">
            <v>#REF!</v>
          </cell>
          <cell r="T178">
            <v>0</v>
          </cell>
          <cell r="U178" t="e">
            <v>#REF!</v>
          </cell>
          <cell r="V178">
            <v>0</v>
          </cell>
          <cell r="W178" t="e">
            <v>#REF!</v>
          </cell>
          <cell r="X178">
            <v>0</v>
          </cell>
          <cell r="Y178" t="e">
            <v>#REF!</v>
          </cell>
        </row>
        <row r="179">
          <cell r="A179" t="str">
            <v>Return on Net Worth</v>
          </cell>
        </row>
        <row r="180">
          <cell r="B180" t="str">
            <v>on average net worth</v>
          </cell>
          <cell r="C180" t="str">
            <v>n.a.</v>
          </cell>
          <cell r="D180">
            <v>0</v>
          </cell>
          <cell r="E180" t="e">
            <v>#REF!</v>
          </cell>
          <cell r="F180">
            <v>0</v>
          </cell>
          <cell r="G180" t="e">
            <v>#REF!</v>
          </cell>
          <cell r="H180">
            <v>0</v>
          </cell>
          <cell r="I180" t="e">
            <v>#REF!</v>
          </cell>
          <cell r="J180">
            <v>0</v>
          </cell>
          <cell r="K180" t="e">
            <v>#REF!</v>
          </cell>
          <cell r="L180">
            <v>0</v>
          </cell>
          <cell r="M180" t="e">
            <v>#REF!</v>
          </cell>
          <cell r="N180">
            <v>0</v>
          </cell>
          <cell r="O180" t="e">
            <v>#REF!</v>
          </cell>
          <cell r="P180">
            <v>0</v>
          </cell>
          <cell r="Q180" t="e">
            <v>#REF!</v>
          </cell>
          <cell r="R180">
            <v>0</v>
          </cell>
          <cell r="S180" t="e">
            <v>#REF!</v>
          </cell>
          <cell r="T180">
            <v>0</v>
          </cell>
          <cell r="U180" t="e">
            <v>#REF!</v>
          </cell>
          <cell r="V180">
            <v>0</v>
          </cell>
          <cell r="W180" t="e">
            <v>#REF!</v>
          </cell>
          <cell r="X180">
            <v>0</v>
          </cell>
          <cell r="Y180" t="e">
            <v>#REF!</v>
          </cell>
        </row>
        <row r="181">
          <cell r="B181" t="str">
            <v>on closing net worth</v>
          </cell>
          <cell r="C181" t="e">
            <v>#REF!</v>
          </cell>
          <cell r="D181">
            <v>0</v>
          </cell>
          <cell r="E181" t="e">
            <v>#REF!</v>
          </cell>
          <cell r="F181">
            <v>0</v>
          </cell>
          <cell r="G181" t="e">
            <v>#REF!</v>
          </cell>
          <cell r="H181">
            <v>0</v>
          </cell>
          <cell r="I181" t="e">
            <v>#REF!</v>
          </cell>
          <cell r="J181">
            <v>0</v>
          </cell>
          <cell r="K181" t="e">
            <v>#REF!</v>
          </cell>
          <cell r="L181">
            <v>0</v>
          </cell>
          <cell r="M181" t="e">
            <v>#REF!</v>
          </cell>
          <cell r="N181">
            <v>0</v>
          </cell>
          <cell r="O181" t="e">
            <v>#REF!</v>
          </cell>
          <cell r="P181">
            <v>0</v>
          </cell>
          <cell r="Q181" t="e">
            <v>#REF!</v>
          </cell>
          <cell r="R181">
            <v>0</v>
          </cell>
          <cell r="S181" t="e">
            <v>#REF!</v>
          </cell>
          <cell r="T181">
            <v>0</v>
          </cell>
          <cell r="U181" t="e">
            <v>#REF!</v>
          </cell>
          <cell r="V181">
            <v>0</v>
          </cell>
          <cell r="W181" t="e">
            <v>#REF!</v>
          </cell>
          <cell r="X181">
            <v>0</v>
          </cell>
          <cell r="Y181" t="e">
            <v>#REF!</v>
          </cell>
        </row>
        <row r="182">
          <cell r="A182" t="str">
            <v>Return on Enterprise Value</v>
          </cell>
        </row>
        <row r="183">
          <cell r="B183" t="str">
            <v>at year's high</v>
          </cell>
          <cell r="C183" t="e">
            <v>#REF!</v>
          </cell>
          <cell r="D183">
            <v>0</v>
          </cell>
          <cell r="E183" t="e">
            <v>#REF!</v>
          </cell>
          <cell r="F183">
            <v>0</v>
          </cell>
          <cell r="G183" t="e">
            <v>#REF!</v>
          </cell>
          <cell r="H183">
            <v>0</v>
          </cell>
          <cell r="I183" t="e">
            <v>#REF!</v>
          </cell>
          <cell r="J183">
            <v>0</v>
          </cell>
          <cell r="K183" t="e">
            <v>#REF!</v>
          </cell>
          <cell r="L183">
            <v>0</v>
          </cell>
          <cell r="M183" t="e">
            <v>#REF!</v>
          </cell>
          <cell r="N183">
            <v>0</v>
          </cell>
          <cell r="O183" t="e">
            <v>#REF!</v>
          </cell>
          <cell r="P183">
            <v>0</v>
          </cell>
          <cell r="Q183" t="e">
            <v>#REF!</v>
          </cell>
          <cell r="R183">
            <v>0</v>
          </cell>
          <cell r="S183" t="e">
            <v>#REF!</v>
          </cell>
          <cell r="T183">
            <v>0</v>
          </cell>
          <cell r="U183" t="e">
            <v>#REF!</v>
          </cell>
          <cell r="V183">
            <v>0</v>
          </cell>
          <cell r="W183" t="e">
            <v>#REF!</v>
          </cell>
          <cell r="X183">
            <v>0</v>
          </cell>
          <cell r="Y183" t="e">
            <v>#REF!</v>
          </cell>
        </row>
        <row r="184">
          <cell r="B184" t="str">
            <v>at year's low</v>
          </cell>
          <cell r="C184" t="e">
            <v>#REF!</v>
          </cell>
          <cell r="D184">
            <v>0</v>
          </cell>
          <cell r="E184" t="e">
            <v>#REF!</v>
          </cell>
          <cell r="F184">
            <v>0</v>
          </cell>
          <cell r="G184" t="e">
            <v>#REF!</v>
          </cell>
          <cell r="H184">
            <v>0</v>
          </cell>
          <cell r="I184" t="e">
            <v>#REF!</v>
          </cell>
          <cell r="J184">
            <v>0</v>
          </cell>
          <cell r="K184" t="e">
            <v>#REF!</v>
          </cell>
          <cell r="L184">
            <v>0</v>
          </cell>
          <cell r="M184" t="e">
            <v>#REF!</v>
          </cell>
          <cell r="N184">
            <v>0</v>
          </cell>
          <cell r="O184" t="e">
            <v>#REF!</v>
          </cell>
          <cell r="P184">
            <v>0</v>
          </cell>
          <cell r="Q184" t="e">
            <v>#REF!</v>
          </cell>
          <cell r="R184">
            <v>0</v>
          </cell>
          <cell r="S184" t="e">
            <v>#REF!</v>
          </cell>
          <cell r="T184">
            <v>0</v>
          </cell>
          <cell r="U184" t="e">
            <v>#REF!</v>
          </cell>
          <cell r="V184">
            <v>0</v>
          </cell>
          <cell r="W184" t="e">
            <v>#REF!</v>
          </cell>
          <cell r="X184">
            <v>0</v>
          </cell>
          <cell r="Y184" t="e">
            <v>#REF!</v>
          </cell>
        </row>
        <row r="185">
          <cell r="B185" t="str">
            <v>at year-end/prospective</v>
          </cell>
          <cell r="C185" t="e">
            <v>#REF!</v>
          </cell>
          <cell r="D185">
            <v>0</v>
          </cell>
          <cell r="E185" t="e">
            <v>#REF!</v>
          </cell>
          <cell r="F185">
            <v>0</v>
          </cell>
          <cell r="G185" t="e">
            <v>#REF!</v>
          </cell>
          <cell r="H185">
            <v>0</v>
          </cell>
          <cell r="I185" t="e">
            <v>#REF!</v>
          </cell>
          <cell r="J185">
            <v>0</v>
          </cell>
          <cell r="K185" t="e">
            <v>#REF!</v>
          </cell>
          <cell r="L185">
            <v>0</v>
          </cell>
          <cell r="M185" t="e">
            <v>#REF!</v>
          </cell>
          <cell r="N185">
            <v>0</v>
          </cell>
          <cell r="O185" t="e">
            <v>#REF!</v>
          </cell>
          <cell r="P185">
            <v>0</v>
          </cell>
          <cell r="Q185" t="e">
            <v>#REF!</v>
          </cell>
          <cell r="R185">
            <v>0</v>
          </cell>
          <cell r="S185" t="e">
            <v>#REF!</v>
          </cell>
          <cell r="T185">
            <v>0</v>
          </cell>
          <cell r="U185" t="e">
            <v>#REF!</v>
          </cell>
          <cell r="V185">
            <v>0</v>
          </cell>
          <cell r="W185" t="e">
            <v>#REF!</v>
          </cell>
          <cell r="X185">
            <v>0</v>
          </cell>
          <cell r="Y185" t="e">
            <v>#REF!</v>
          </cell>
        </row>
      </sheetData>
      <sheetData sheetId="1" refreshError="1"/>
      <sheetData sheetId="2" refreshError="1"/>
      <sheetData sheetId="3" refreshError="1"/>
      <sheetData sheetId="4" refreshError="1">
        <row r="1">
          <cell r="A1" t="str">
            <v>Date</v>
          </cell>
          <cell r="F1" t="str">
            <v>BSE</v>
          </cell>
        </row>
        <row r="2">
          <cell r="A2">
            <v>35065</v>
          </cell>
          <cell r="F2">
            <v>3947.86</v>
          </cell>
        </row>
        <row r="3">
          <cell r="A3">
            <v>35066</v>
          </cell>
          <cell r="F3">
            <v>4036.62</v>
          </cell>
        </row>
        <row r="4">
          <cell r="A4">
            <v>35067</v>
          </cell>
          <cell r="F4">
            <v>4000.93</v>
          </cell>
        </row>
        <row r="5">
          <cell r="A5">
            <v>35068</v>
          </cell>
          <cell r="F5">
            <v>3917.57</v>
          </cell>
        </row>
        <row r="6">
          <cell r="A6">
            <v>35069</v>
          </cell>
          <cell r="F6">
            <v>4144.49</v>
          </cell>
        </row>
        <row r="7">
          <cell r="A7">
            <v>35072</v>
          </cell>
          <cell r="F7">
            <v>4162.08</v>
          </cell>
        </row>
        <row r="8">
          <cell r="A8">
            <v>35073</v>
          </cell>
          <cell r="F8">
            <v>4018.89</v>
          </cell>
        </row>
        <row r="9">
          <cell r="A9">
            <v>35074</v>
          </cell>
          <cell r="F9">
            <v>4039.87</v>
          </cell>
        </row>
        <row r="10">
          <cell r="A10">
            <v>35075</v>
          </cell>
          <cell r="F10">
            <v>3991.37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Summary"/>
      <sheetName val="Scenario Summary 2"/>
      <sheetName val="RBS"/>
      <sheetName val="RBS (2)"/>
      <sheetName val="Earning_Assum"/>
      <sheetName val="CUS mimic"/>
      <sheetName val="Scenario_Summary"/>
      <sheetName val="Scenario_Summary_2"/>
      <sheetName val="RBS_(2)"/>
      <sheetName val="Uploader"/>
    </sheetNames>
    <sheetDataSet>
      <sheetData sheetId="0"/>
      <sheetData sheetId="1"/>
      <sheetData sheetId="2" refreshError="1">
        <row r="14">
          <cell r="F14">
            <v>26425000</v>
          </cell>
        </row>
        <row r="15">
          <cell r="B15">
            <v>37298</v>
          </cell>
          <cell r="F15">
            <v>20</v>
          </cell>
        </row>
        <row r="19">
          <cell r="B19">
            <v>8.8000000000000005E-3</v>
          </cell>
        </row>
        <row r="21">
          <cell r="B21">
            <v>4.4999999999999997E-3</v>
          </cell>
          <cell r="F21">
            <v>41407</v>
          </cell>
        </row>
        <row r="22">
          <cell r="B22">
            <v>1.0000000000000001E-9</v>
          </cell>
        </row>
        <row r="23">
          <cell r="B23">
            <v>23500</v>
          </cell>
        </row>
        <row r="24">
          <cell r="F24">
            <v>2</v>
          </cell>
        </row>
      </sheetData>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wth vs size"/>
      <sheetName val="market"/>
      <sheetName val="excise"/>
      <sheetName val="rural"/>
      <sheetName val="global"/>
      <sheetName val="prices"/>
      <sheetName val="demo"/>
      <sheetName val="consumption"/>
      <sheetName val="RBS"/>
      <sheetName val="board"/>
      <sheetName val="sales"/>
      <sheetName val="Introduction"/>
      <sheetName val="Figures"/>
      <sheetName val="projections"/>
      <sheetName val="growth_vs_size"/>
      <sheetName val="Profile"/>
      <sheetName val="Input"/>
      <sheetName val="Debt"/>
      <sheetName val="CapEx"/>
      <sheetName val="bp"/>
      <sheetName val="acctmod"/>
      <sheetName val="fp"/>
      <sheetName val="quant"/>
      <sheetName val="growth_vs_size1"/>
      <sheetName val="Control"/>
      <sheetName val="growth_vs_size2"/>
      <sheetName val="growth_vs_size3"/>
    </sheetNames>
    <sheetDataSet>
      <sheetData sheetId="0" refreshError="1"/>
      <sheetData sheetId="1" refreshError="1"/>
      <sheetData sheetId="2" refreshError="1">
        <row r="1">
          <cell r="A1" t="str">
            <v>Household income distribution</v>
          </cell>
          <cell r="B1" t="str">
            <v>FY93</v>
          </cell>
          <cell r="C1" t="str">
            <v>FY94</v>
          </cell>
          <cell r="D1" t="str">
            <v>FY95</v>
          </cell>
          <cell r="E1" t="str">
            <v>FY96</v>
          </cell>
          <cell r="F1" t="str">
            <v>FY97</v>
          </cell>
          <cell r="G1" t="str">
            <v>FY98</v>
          </cell>
        </row>
        <row r="2">
          <cell r="A2" t="str">
            <v>Detergents</v>
          </cell>
          <cell r="B2">
            <v>0.35</v>
          </cell>
          <cell r="C2">
            <v>0.35</v>
          </cell>
          <cell r="D2">
            <v>0.3</v>
          </cell>
          <cell r="E2">
            <v>0.3</v>
          </cell>
          <cell r="F2">
            <v>0.25</v>
          </cell>
          <cell r="G2">
            <v>0.18</v>
          </cell>
        </row>
        <row r="3">
          <cell r="A3" t="str">
            <v>Soaps</v>
          </cell>
          <cell r="B3">
            <v>0.21</v>
          </cell>
          <cell r="C3">
            <v>0.2</v>
          </cell>
          <cell r="D3">
            <v>0.2</v>
          </cell>
          <cell r="E3">
            <v>0.2</v>
          </cell>
          <cell r="F3">
            <v>0.18</v>
          </cell>
          <cell r="G3">
            <v>0.18</v>
          </cell>
        </row>
        <row r="4">
          <cell r="A4" t="str">
            <v>Toothpastes</v>
          </cell>
          <cell r="B4">
            <v>0.17</v>
          </cell>
          <cell r="C4">
            <v>0.2</v>
          </cell>
          <cell r="D4">
            <v>0.2</v>
          </cell>
          <cell r="E4">
            <v>0.2</v>
          </cell>
          <cell r="F4">
            <v>0.1</v>
          </cell>
          <cell r="G4">
            <v>0.08</v>
          </cell>
        </row>
        <row r="5">
          <cell r="A5" t="str">
            <v>Toothpowder</v>
          </cell>
          <cell r="B5" t="str">
            <v>Upto 20,000</v>
          </cell>
          <cell r="C5">
            <v>14769</v>
          </cell>
          <cell r="D5">
            <v>15804</v>
          </cell>
          <cell r="E5">
            <v>67162</v>
          </cell>
          <cell r="F5">
            <v>74736</v>
          </cell>
          <cell r="G5">
            <v>81931</v>
          </cell>
        </row>
        <row r="6">
          <cell r="A6" t="str">
            <v>Toothpastes</v>
          </cell>
          <cell r="B6" t="str">
            <v>20,000-40,000</v>
          </cell>
          <cell r="C6">
            <v>13021</v>
          </cell>
          <cell r="D6">
            <v>14228</v>
          </cell>
          <cell r="E6">
            <v>25173</v>
          </cell>
          <cell r="F6">
            <v>26457</v>
          </cell>
          <cell r="G6">
            <v>38194</v>
          </cell>
        </row>
        <row r="7">
          <cell r="A7" t="str">
            <v>Shampoos</v>
          </cell>
          <cell r="B7">
            <v>1.2075</v>
          </cell>
          <cell r="C7">
            <v>0.7</v>
          </cell>
          <cell r="D7">
            <v>0.5</v>
          </cell>
          <cell r="E7">
            <v>0.4</v>
          </cell>
          <cell r="F7">
            <v>0.4</v>
          </cell>
          <cell r="G7">
            <v>0.3</v>
          </cell>
        </row>
      </sheetData>
      <sheetData sheetId="3" refreshError="1">
        <row r="1">
          <cell r="A1" t="str">
            <v>Rural Urban consumption splits</v>
          </cell>
          <cell r="B1" t="str">
            <v>Units</v>
          </cell>
          <cell r="C1" t="str">
            <v>India</v>
          </cell>
        </row>
        <row r="2">
          <cell r="A2" t="str">
            <v>Soaps</v>
          </cell>
          <cell r="B2" t="str">
            <v>Rural</v>
          </cell>
          <cell r="C2" t="str">
            <v>Urban</v>
          </cell>
        </row>
        <row r="3">
          <cell r="A3" t="str">
            <v>Population mn</v>
          </cell>
          <cell r="B3">
            <v>629</v>
          </cell>
          <cell r="C3">
            <v>321</v>
          </cell>
        </row>
        <row r="4">
          <cell r="A4" t="str">
            <v>Population %</v>
          </cell>
          <cell r="B4">
            <v>0.66210526315789475</v>
          </cell>
          <cell r="C4">
            <v>0.33789473684210525</v>
          </cell>
        </row>
        <row r="5">
          <cell r="A5" t="str">
            <v>Retail outlets (mn)</v>
          </cell>
          <cell r="B5">
            <v>2.1779999999999999</v>
          </cell>
          <cell r="C5">
            <v>1.1219999999999999</v>
          </cell>
        </row>
        <row r="6">
          <cell r="A6" t="str">
            <v>Retail outlets (%)</v>
          </cell>
          <cell r="B6">
            <v>0.66</v>
          </cell>
          <cell r="C6">
            <v>0.33999999999999997</v>
          </cell>
        </row>
        <row r="7">
          <cell r="A7" t="str">
            <v>Washing soaps</v>
          </cell>
          <cell r="B7">
            <v>0.7</v>
          </cell>
          <cell r="C7">
            <v>0.30000000000000004</v>
          </cell>
        </row>
        <row r="8">
          <cell r="A8" t="str">
            <v>Toilet soaps</v>
          </cell>
          <cell r="B8">
            <v>0.56999999999999995</v>
          </cell>
          <cell r="C8">
            <v>0.43000000000000005</v>
          </cell>
        </row>
        <row r="9">
          <cell r="A9" t="str">
            <v>Toothpastes</v>
          </cell>
          <cell r="B9">
            <v>0.38</v>
          </cell>
          <cell r="C9">
            <v>0.62</v>
          </cell>
        </row>
        <row r="10">
          <cell r="A10" t="str">
            <v>Talcum Powders</v>
          </cell>
          <cell r="B10">
            <v>0.44</v>
          </cell>
          <cell r="C10">
            <v>0.56000000000000005</v>
          </cell>
        </row>
        <row r="11">
          <cell r="A11" t="str">
            <v>Cold creams</v>
          </cell>
          <cell r="B11">
            <v>0.26</v>
          </cell>
          <cell r="C11">
            <v>0.74</v>
          </cell>
        </row>
        <row r="12">
          <cell r="A12" t="str">
            <v>Shampoos</v>
          </cell>
          <cell r="B12">
            <v>0.25</v>
          </cell>
          <cell r="C12">
            <v>0.75</v>
          </cell>
        </row>
        <row r="13">
          <cell r="A13" t="str">
            <v>source: 1993/94 NCAER study</v>
          </cell>
        </row>
        <row r="16">
          <cell r="A16" t="str">
            <v>Rural share in total buys (%)</v>
          </cell>
        </row>
        <row r="17">
          <cell r="A17" t="str">
            <v>Product</v>
          </cell>
          <cell r="B17" t="str">
            <v>1985-86</v>
          </cell>
          <cell r="C17" t="str">
            <v>1993-94</v>
          </cell>
        </row>
        <row r="18">
          <cell r="A18" t="str">
            <v>Washing powders</v>
          </cell>
          <cell r="B18">
            <v>0.43</v>
          </cell>
          <cell r="C18">
            <v>0.53</v>
          </cell>
        </row>
        <row r="19">
          <cell r="A19" t="str">
            <v>Toilet soaps</v>
          </cell>
          <cell r="B19">
            <v>0.51</v>
          </cell>
          <cell r="C19">
            <v>0.56999999999999995</v>
          </cell>
        </row>
        <row r="20">
          <cell r="A20" t="str">
            <v>Toothpaste</v>
          </cell>
          <cell r="B20">
            <v>0.28999999999999998</v>
          </cell>
          <cell r="C20">
            <v>0.38</v>
          </cell>
        </row>
        <row r="21">
          <cell r="A21" t="str">
            <v>Shampoos</v>
          </cell>
          <cell r="B21" t="str">
            <v>na</v>
          </cell>
          <cell r="C21">
            <v>0.25</v>
          </cell>
        </row>
        <row r="22">
          <cell r="A22" t="str">
            <v>Talcum powders</v>
          </cell>
          <cell r="B22">
            <v>0.47</v>
          </cell>
          <cell r="C22">
            <v>0.44</v>
          </cell>
        </row>
        <row r="23">
          <cell r="A23" t="str">
            <v>Vanaspati</v>
          </cell>
          <cell r="B23">
            <v>0.62</v>
          </cell>
          <cell r="C23">
            <v>0.59</v>
          </cell>
        </row>
        <row r="24">
          <cell r="A24" t="str">
            <v>Edible oils</v>
          </cell>
          <cell r="B24">
            <v>0.66</v>
          </cell>
          <cell r="C24">
            <v>0.67</v>
          </cell>
        </row>
        <row r="25">
          <cell r="A25" t="str">
            <v>Tea</v>
          </cell>
          <cell r="B25">
            <v>0.56999999999999995</v>
          </cell>
          <cell r="C25">
            <v>0.53</v>
          </cell>
        </row>
        <row r="26">
          <cell r="A26" t="str">
            <v>source : NCAER</v>
          </cell>
        </row>
      </sheetData>
      <sheetData sheetId="4" refreshError="1">
        <row r="1">
          <cell r="A1" t="str">
            <v>Item</v>
          </cell>
          <cell r="B1" t="str">
            <v>Units</v>
          </cell>
          <cell r="C1" t="str">
            <v>India</v>
          </cell>
          <cell r="D1" t="str">
            <v>Pakistan</v>
          </cell>
          <cell r="E1" t="str">
            <v>S Lanka</v>
          </cell>
          <cell r="F1" t="str">
            <v>China</v>
          </cell>
          <cell r="G1" t="str">
            <v>Thailand</v>
          </cell>
          <cell r="H1" t="str">
            <v>Poland</v>
          </cell>
          <cell r="I1" t="str">
            <v>Brasil</v>
          </cell>
          <cell r="J1" t="str">
            <v>Mexico</v>
          </cell>
          <cell r="K1" t="str">
            <v>Argentina</v>
          </cell>
        </row>
        <row r="2">
          <cell r="A2" t="str">
            <v>Soaps</v>
          </cell>
          <cell r="B2" t="str">
            <v>gms</v>
          </cell>
          <cell r="C2">
            <v>460</v>
          </cell>
          <cell r="D2">
            <v>0</v>
          </cell>
          <cell r="E2">
            <v>0</v>
          </cell>
          <cell r="F2">
            <v>0</v>
          </cell>
          <cell r="G2">
            <v>0</v>
          </cell>
          <cell r="H2">
            <v>0</v>
          </cell>
          <cell r="I2">
            <v>790</v>
          </cell>
          <cell r="J2">
            <v>940</v>
          </cell>
          <cell r="K2">
            <v>1100</v>
          </cell>
        </row>
        <row r="3">
          <cell r="A3" t="str">
            <v>Detergents</v>
          </cell>
          <cell r="B3" t="str">
            <v>gms</v>
          </cell>
          <cell r="C3" t="e">
            <v>#REF!</v>
          </cell>
        </row>
        <row r="4">
          <cell r="A4" t="str">
            <v>Shampoos</v>
          </cell>
          <cell r="B4" t="str">
            <v>gms</v>
          </cell>
          <cell r="C4">
            <v>18</v>
          </cell>
          <cell r="D4">
            <v>0</v>
          </cell>
          <cell r="E4">
            <v>0</v>
          </cell>
          <cell r="F4">
            <v>187</v>
          </cell>
          <cell r="G4">
            <v>0</v>
          </cell>
          <cell r="H4">
            <v>0</v>
          </cell>
          <cell r="I4">
            <v>450</v>
          </cell>
          <cell r="J4">
            <v>710</v>
          </cell>
          <cell r="K4">
            <v>1200</v>
          </cell>
        </row>
        <row r="5">
          <cell r="A5" t="str">
            <v>Toothpastes</v>
          </cell>
          <cell r="B5" t="str">
            <v>gms</v>
          </cell>
          <cell r="C5">
            <v>61</v>
          </cell>
          <cell r="D5">
            <v>0</v>
          </cell>
          <cell r="E5">
            <v>0</v>
          </cell>
          <cell r="F5">
            <v>0</v>
          </cell>
          <cell r="G5" t="str">
            <v xml:space="preserve"> </v>
          </cell>
          <cell r="H5">
            <v>0</v>
          </cell>
          <cell r="I5">
            <v>319</v>
          </cell>
          <cell r="J5">
            <v>376</v>
          </cell>
        </row>
        <row r="6">
          <cell r="A6" t="str">
            <v>Tea</v>
          </cell>
          <cell r="B6" t="str">
            <v>gm</v>
          </cell>
          <cell r="C6">
            <v>640</v>
          </cell>
          <cell r="D6">
            <v>920</v>
          </cell>
          <cell r="E6">
            <v>1290</v>
          </cell>
          <cell r="F6">
            <v>0</v>
          </cell>
          <cell r="G6">
            <v>0</v>
          </cell>
          <cell r="H6">
            <v>1560</v>
          </cell>
        </row>
        <row r="7">
          <cell r="A7" t="str">
            <v>Coffee</v>
          </cell>
          <cell r="B7" t="str">
            <v>gm</v>
          </cell>
          <cell r="C7">
            <v>59.13978494623656</v>
          </cell>
          <cell r="D7">
            <v>0</v>
          </cell>
          <cell r="E7">
            <v>0</v>
          </cell>
          <cell r="F7">
            <v>0</v>
          </cell>
          <cell r="G7">
            <v>0</v>
          </cell>
          <cell r="H7">
            <v>960</v>
          </cell>
          <cell r="I7">
            <v>1740</v>
          </cell>
          <cell r="J7">
            <v>160</v>
          </cell>
          <cell r="K7">
            <v>110</v>
          </cell>
        </row>
        <row r="8">
          <cell r="A8" t="str">
            <v>Edible oil</v>
          </cell>
          <cell r="B8" t="str">
            <v>kg</v>
          </cell>
          <cell r="C8">
            <v>7.2</v>
          </cell>
          <cell r="D8">
            <v>0</v>
          </cell>
          <cell r="E8">
            <v>0</v>
          </cell>
          <cell r="F8">
            <v>0</v>
          </cell>
          <cell r="G8">
            <v>0</v>
          </cell>
          <cell r="H8">
            <v>13.6</v>
          </cell>
          <cell r="I8">
            <v>12</v>
          </cell>
        </row>
        <row r="9">
          <cell r="A9" t="str">
            <v>Ice cream</v>
          </cell>
          <cell r="B9" t="str">
            <v>ml</v>
          </cell>
          <cell r="C9">
            <v>100</v>
          </cell>
          <cell r="D9">
            <v>300</v>
          </cell>
          <cell r="E9">
            <v>0</v>
          </cell>
          <cell r="F9">
            <v>0</v>
          </cell>
          <cell r="G9">
            <v>0</v>
          </cell>
          <cell r="H9">
            <v>0</v>
          </cell>
          <cell r="I9">
            <v>1200</v>
          </cell>
        </row>
      </sheetData>
      <sheetData sheetId="5" refreshError="1"/>
      <sheetData sheetId="6" refreshError="1">
        <row r="1">
          <cell r="A1" t="str">
            <v>Household income distribution</v>
          </cell>
          <cell r="B1" t="str">
            <v>FY93</v>
          </cell>
          <cell r="C1" t="str">
            <v>FY94</v>
          </cell>
          <cell r="D1" t="str">
            <v>FY95</v>
          </cell>
          <cell r="E1" t="str">
            <v>FY96</v>
          </cell>
          <cell r="F1" t="str">
            <v>FY97</v>
          </cell>
          <cell r="G1" t="str">
            <v>FY98</v>
          </cell>
        </row>
        <row r="2">
          <cell r="A2" t="str">
            <v>Household</v>
          </cell>
          <cell r="B2" t="str">
            <v>Annual income</v>
          </cell>
          <cell r="C2" t="str">
            <v>Households (000s)</v>
          </cell>
          <cell r="D2">
            <v>0.3</v>
          </cell>
          <cell r="E2">
            <v>0.3</v>
          </cell>
          <cell r="F2">
            <v>0.25</v>
          </cell>
          <cell r="G2">
            <v>0.18</v>
          </cell>
          <cell r="H2">
            <v>0</v>
          </cell>
          <cell r="I2" t="str">
            <v>% CHANGE</v>
          </cell>
        </row>
        <row r="3">
          <cell r="A3" t="str">
            <v xml:space="preserve"> group</v>
          </cell>
          <cell r="B3" t="str">
            <v xml:space="preserve"> (Rs)</v>
          </cell>
          <cell r="C3" t="str">
            <v>Urban</v>
          </cell>
          <cell r="D3">
            <v>0.2</v>
          </cell>
          <cell r="E3" t="str">
            <v>Rural</v>
          </cell>
          <cell r="F3">
            <v>0.18</v>
          </cell>
          <cell r="G3" t="str">
            <v>Total</v>
          </cell>
          <cell r="H3">
            <v>0</v>
          </cell>
          <cell r="I3" t="str">
            <v>Urban</v>
          </cell>
          <cell r="J3" t="str">
            <v>Rural</v>
          </cell>
          <cell r="K3" t="str">
            <v>Total</v>
          </cell>
        </row>
        <row r="4">
          <cell r="A4" t="str">
            <v>Toothpastes</v>
          </cell>
          <cell r="B4">
            <v>0.17</v>
          </cell>
          <cell r="C4" t="str">
            <v>CY88</v>
          </cell>
          <cell r="D4" t="str">
            <v>CY94</v>
          </cell>
          <cell r="E4" t="str">
            <v>CY88</v>
          </cell>
          <cell r="F4" t="str">
            <v>CY94</v>
          </cell>
          <cell r="G4" t="str">
            <v>CY88</v>
          </cell>
          <cell r="H4" t="str">
            <v>CY94</v>
          </cell>
        </row>
        <row r="5">
          <cell r="A5" t="str">
            <v>Low</v>
          </cell>
          <cell r="B5" t="str">
            <v>Upto 20,000</v>
          </cell>
          <cell r="C5">
            <v>14769</v>
          </cell>
          <cell r="D5">
            <v>15804</v>
          </cell>
          <cell r="E5">
            <v>67162</v>
          </cell>
          <cell r="F5">
            <v>74736</v>
          </cell>
          <cell r="G5">
            <v>81931</v>
          </cell>
          <cell r="H5">
            <v>90540</v>
          </cell>
          <cell r="I5">
            <v>7.0079219987812413E-2</v>
          </cell>
          <cell r="J5">
            <v>0.11277210327268405</v>
          </cell>
          <cell r="K5">
            <v>0.1050762226751778</v>
          </cell>
        </row>
        <row r="6">
          <cell r="A6" t="str">
            <v>Lower middle</v>
          </cell>
          <cell r="B6" t="str">
            <v>20,000-40,000</v>
          </cell>
          <cell r="C6">
            <v>13021</v>
          </cell>
          <cell r="D6">
            <v>14228</v>
          </cell>
          <cell r="E6">
            <v>25173</v>
          </cell>
          <cell r="F6">
            <v>26457</v>
          </cell>
          <cell r="G6">
            <v>38194</v>
          </cell>
          <cell r="H6">
            <v>40685</v>
          </cell>
          <cell r="I6">
            <v>9.2696413485907403E-2</v>
          </cell>
          <cell r="J6">
            <v>5.1007031343105691E-2</v>
          </cell>
          <cell r="K6">
            <v>6.5219668010682241E-2</v>
          </cell>
        </row>
        <row r="7">
          <cell r="A7" t="str">
            <v>Middle</v>
          </cell>
          <cell r="B7" t="str">
            <v>40,000-62,000</v>
          </cell>
          <cell r="C7">
            <v>3820</v>
          </cell>
          <cell r="D7">
            <v>7345</v>
          </cell>
          <cell r="E7">
            <v>4207</v>
          </cell>
          <cell r="F7">
            <v>8618</v>
          </cell>
          <cell r="G7">
            <v>8027</v>
          </cell>
          <cell r="H7">
            <v>15963</v>
          </cell>
          <cell r="I7">
            <v>0.92277486910994755</v>
          </cell>
          <cell r="J7">
            <v>1.0484906108866174</v>
          </cell>
          <cell r="K7">
            <v>0.98866326149246286</v>
          </cell>
        </row>
        <row r="8">
          <cell r="A8" t="str">
            <v>Upper middle</v>
          </cell>
          <cell r="B8" t="str">
            <v>62,001-86,000</v>
          </cell>
          <cell r="C8">
            <v>1818</v>
          </cell>
          <cell r="D8">
            <v>3378</v>
          </cell>
          <cell r="E8">
            <v>718</v>
          </cell>
          <cell r="F8">
            <v>2864</v>
          </cell>
          <cell r="G8">
            <v>2536</v>
          </cell>
          <cell r="H8">
            <v>6242</v>
          </cell>
          <cell r="I8">
            <v>0.85808580858085803</v>
          </cell>
          <cell r="J8">
            <v>2.9888579387186631</v>
          </cell>
          <cell r="K8">
            <v>1.4613564668769716</v>
          </cell>
        </row>
        <row r="9">
          <cell r="A9" t="str">
            <v>High</v>
          </cell>
          <cell r="B9" t="str">
            <v>above 86,000</v>
          </cell>
          <cell r="C9">
            <v>1119</v>
          </cell>
          <cell r="D9">
            <v>2272</v>
          </cell>
          <cell r="E9">
            <v>352</v>
          </cell>
          <cell r="F9">
            <v>1622</v>
          </cell>
          <cell r="G9">
            <v>1471</v>
          </cell>
          <cell r="H9">
            <v>3894</v>
          </cell>
          <cell r="I9">
            <v>1.0303842716711351</v>
          </cell>
          <cell r="J9">
            <v>3.6079545454545459</v>
          </cell>
          <cell r="K9">
            <v>1.6471787899388173</v>
          </cell>
        </row>
        <row r="10">
          <cell r="A10" t="str">
            <v>Total</v>
          </cell>
          <cell r="B10">
            <v>0</v>
          </cell>
          <cell r="C10">
            <v>34547</v>
          </cell>
          <cell r="D10">
            <v>43027</v>
          </cell>
          <cell r="E10">
            <v>97612</v>
          </cell>
          <cell r="F10">
            <v>114297</v>
          </cell>
          <cell r="G10">
            <v>132159</v>
          </cell>
          <cell r="H10">
            <v>157324</v>
          </cell>
          <cell r="I10">
            <v>0.24546270298434014</v>
          </cell>
          <cell r="J10">
            <v>0.1709318526410688</v>
          </cell>
          <cell r="K10">
            <v>0.19041457638147996</v>
          </cell>
        </row>
        <row r="11">
          <cell r="A11" t="str">
            <v>source NCAER</v>
          </cell>
        </row>
      </sheetData>
      <sheetData sheetId="7" refreshError="1">
        <row r="1">
          <cell r="A1" t="str">
            <v>Average annual consumption ( per household)</v>
          </cell>
        </row>
        <row r="2">
          <cell r="A2" t="str">
            <v>Product category</v>
          </cell>
          <cell r="B2">
            <v>0</v>
          </cell>
          <cell r="C2" t="str">
            <v>Mumbai</v>
          </cell>
          <cell r="D2" t="str">
            <v>Calcutta</v>
          </cell>
          <cell r="E2" t="str">
            <v>Delhi</v>
          </cell>
        </row>
        <row r="3">
          <cell r="A3" t="str">
            <v>Toilet soaps</v>
          </cell>
          <cell r="B3" t="str">
            <v>kgs</v>
          </cell>
          <cell r="C3">
            <v>8.24</v>
          </cell>
          <cell r="D3">
            <v>3.76</v>
          </cell>
          <cell r="E3">
            <v>9.0299999999999994</v>
          </cell>
        </row>
        <row r="4">
          <cell r="A4" t="str">
            <v>Washing powder</v>
          </cell>
          <cell r="B4" t="str">
            <v>kgs</v>
          </cell>
          <cell r="C4">
            <v>16.77</v>
          </cell>
          <cell r="D4">
            <v>14.75</v>
          </cell>
          <cell r="E4">
            <v>19.79</v>
          </cell>
        </row>
        <row r="5">
          <cell r="A5" t="str">
            <v>Detergent bar</v>
          </cell>
          <cell r="B5" t="str">
            <v>kgs</v>
          </cell>
          <cell r="C5">
            <v>11.47</v>
          </cell>
          <cell r="D5">
            <v>3.07</v>
          </cell>
          <cell r="E5">
            <v>10.16</v>
          </cell>
        </row>
        <row r="6">
          <cell r="A6" t="str">
            <v>Toothpaste</v>
          </cell>
          <cell r="B6" t="str">
            <v>kgs</v>
          </cell>
          <cell r="C6">
            <v>2</v>
          </cell>
          <cell r="D6">
            <v>1.35</v>
          </cell>
          <cell r="E6">
            <v>1.95</v>
          </cell>
        </row>
        <row r="7">
          <cell r="A7" t="str">
            <v>Toothpowder</v>
          </cell>
          <cell r="B7" t="str">
            <v>gms</v>
          </cell>
          <cell r="C7">
            <v>768</v>
          </cell>
          <cell r="D7">
            <v>641</v>
          </cell>
          <cell r="E7">
            <v>576</v>
          </cell>
        </row>
        <row r="8">
          <cell r="A8" t="str">
            <v>Edible oils</v>
          </cell>
          <cell r="B8" t="str">
            <v>kgs</v>
          </cell>
          <cell r="C8">
            <v>60.5</v>
          </cell>
          <cell r="D8">
            <v>43.81</v>
          </cell>
          <cell r="E8">
            <v>40.17</v>
          </cell>
        </row>
        <row r="9">
          <cell r="A9" t="str">
            <v>Ghee/Vanaspati</v>
          </cell>
          <cell r="B9" t="str">
            <v>kgs</v>
          </cell>
          <cell r="C9">
            <v>12.45</v>
          </cell>
          <cell r="D9">
            <v>5.54</v>
          </cell>
          <cell r="E9">
            <v>30.7</v>
          </cell>
        </row>
        <row r="10">
          <cell r="A10" t="str">
            <v>Tea</v>
          </cell>
          <cell r="B10" t="str">
            <v>kgs</v>
          </cell>
          <cell r="C10">
            <v>8.73</v>
          </cell>
          <cell r="D10">
            <v>5.62</v>
          </cell>
          <cell r="E10">
            <v>7.48</v>
          </cell>
        </row>
        <row r="11">
          <cell r="A11" t="str">
            <v>Coffee</v>
          </cell>
          <cell r="B11" t="str">
            <v>kgs</v>
          </cell>
          <cell r="C11">
            <v>1.1100000000000001</v>
          </cell>
          <cell r="D11">
            <v>0.13500000000000001</v>
          </cell>
          <cell r="E11">
            <v>0.42799999999999999</v>
          </cell>
        </row>
        <row r="12">
          <cell r="A12" t="str">
            <v>Milkfood drinks</v>
          </cell>
          <cell r="B12" t="str">
            <v>kgs</v>
          </cell>
          <cell r="C12">
            <v>2.1800000000000002</v>
          </cell>
          <cell r="D12">
            <v>3.37</v>
          </cell>
          <cell r="E12">
            <v>1.74</v>
          </cell>
        </row>
        <row r="13">
          <cell r="A13" t="str">
            <v>Hair oils</v>
          </cell>
          <cell r="B13" t="str">
            <v>ltrs</v>
          </cell>
          <cell r="C13">
            <v>3.15</v>
          </cell>
          <cell r="D13">
            <v>2.46</v>
          </cell>
          <cell r="E13">
            <v>2</v>
          </cell>
        </row>
        <row r="14">
          <cell r="A14" t="str">
            <v>Shampoos</v>
          </cell>
          <cell r="B14" t="str">
            <v>ml</v>
          </cell>
          <cell r="C14">
            <v>416</v>
          </cell>
          <cell r="D14">
            <v>411</v>
          </cell>
          <cell r="E14">
            <v>948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BankXRef"/>
      <sheetName val="Buffer"/>
      <sheetName val="MenuData"/>
      <sheetName val="TPBANK"/>
      <sheetName val="consumption"/>
      <sheetName val="excise"/>
      <sheetName val="demo"/>
      <sheetName val="global"/>
      <sheetName val="rural"/>
      <sheetName val="#REF"/>
      <sheetName val="Financials"/>
      <sheetName val="Mar97"/>
      <sheetName val="RBS"/>
      <sheetName val="Database"/>
      <sheetName val="TPBANK.XLS"/>
      <sheetName val="data"/>
      <sheetName val="Valuation"/>
      <sheetName val="InQuart BAL"/>
      <sheetName val="reporter"/>
      <sheetName val="CFROI Valn"/>
      <sheetName val="Header"/>
      <sheetName val="QF"/>
    </sheetNames>
    <definedNames>
      <definedName name="Macro2"/>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BankXRef"/>
      <sheetName val="Buffer"/>
      <sheetName val="MenuData"/>
      <sheetName val="TPBANK"/>
      <sheetName val="Financials"/>
      <sheetName val="consumption"/>
      <sheetName val="excise"/>
      <sheetName val="demo"/>
      <sheetName val="global"/>
      <sheetName val="rural"/>
      <sheetName val="data"/>
      <sheetName val="Database"/>
      <sheetName val="#REF"/>
      <sheetName val="Mar97"/>
      <sheetName val="RBS"/>
      <sheetName val="TPBANK.XLS"/>
      <sheetName val="InQuart BAL"/>
      <sheetName val="reporter"/>
      <sheetName val="CFROI Valn"/>
    </sheetNames>
    <definedNames>
      <definedName name="Macro1"/>
      <definedName name="Macro2"/>
      <definedName name="Macro3" sheetId="3"/>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 val="Internet"/>
      <sheetName val="Template"/>
      <sheetName val="MenuData"/>
      <sheetName val="Financials"/>
      <sheetName val="GRM-Mumbai"/>
      <sheetName val="Introduction"/>
      <sheetName val="Operating Statistics"/>
      <sheetName val="DDIC.XLS"/>
      <sheetName val="환율"/>
      <sheetName val="3. Elemental Summary"/>
      <sheetName val="12a. CFTable"/>
      <sheetName val="YTD"/>
      <sheetName val="TRIAL BALANCE"/>
      <sheetName val="csd1"/>
      <sheetName val="csd2"/>
      <sheetName val="front_1"/>
      <sheetName val="DCF_VDF"/>
      <sheetName val="WACC_VDF"/>
      <sheetName val="Summary Page_VDF"/>
      <sheetName val="NOPAT_VDF"/>
      <sheetName val="Invested capital_VDF"/>
      <sheetName val="PV of Op Leases_VDF"/>
      <sheetName val="eval"/>
      <sheetName val="debt"/>
      <sheetName val="Projections"/>
      <sheetName val="Other"/>
      <sheetName val="R&amp;M"/>
      <sheetName val="chems"/>
      <sheetName val="SNAM"/>
      <sheetName val="groupE&amp;P"/>
      <sheetName val="RoW"/>
      <sheetName val="North Sea"/>
      <sheetName val="West Africa"/>
      <sheetName val="Italy"/>
      <sheetName val="North Africa"/>
      <sheetName val="Oilservice"/>
      <sheetName val="assms"/>
      <sheetName val="Accounting"/>
      <sheetName val="test"/>
      <sheetName val="Retail Breakdown"/>
      <sheetName val="Qrtly temp"/>
      <sheetName val="Inc-Yr Summary"/>
      <sheetName val="#REF"/>
      <sheetName val="Physical"/>
      <sheetName val="sh pri"/>
      <sheetName val="consumption"/>
      <sheetName val="excise"/>
      <sheetName val="demo"/>
      <sheetName val="global"/>
      <sheetName val="rural"/>
      <sheetName val="dyes"/>
      <sheetName val="Financials(O)"/>
      <sheetName val="Key assumptions &amp; Forecasts"/>
      <sheetName val="Annual"/>
      <sheetName val="Capex &amp; Depreciation"/>
      <sheetName val="Debt (2)"/>
      <sheetName val="Capital History"/>
      <sheetName val="Unit cost analysis"/>
      <sheetName val="REDDYS"/>
      <sheetName val="Bajaj Allianz"/>
      <sheetName val="Black-Scholes"/>
      <sheetName val="acctmod"/>
      <sheetName val="prices"/>
      <sheetName val="Valuation assumptions"/>
      <sheetName val="stock"/>
      <sheetName val="NEW Earnings Guide"/>
      <sheetName val="Overhead &amp; Profit B-1"/>
      <sheetName val="Control Sheet"/>
      <sheetName val="Cover Sheet"/>
      <sheetName val="DDIC_XLS"/>
      <sheetName val="3__Elemental_Summary"/>
      <sheetName val="12a__CFTable"/>
      <sheetName val="TRIAL_BALANCE"/>
      <sheetName val="Summary_Page_VDF"/>
      <sheetName val="Invested_capital_VDF"/>
      <sheetName val="PV_of_Op_Leases_VDF"/>
      <sheetName val="North_Sea"/>
      <sheetName val="West_Africa"/>
      <sheetName val="North_Africa"/>
      <sheetName val="Operating_Statistics"/>
      <sheetName val="Inc-Yr_Summary"/>
      <sheetName val="sh_pri"/>
      <sheetName val="Retail_Breakdown"/>
      <sheetName val="Qrtly_temp"/>
      <sheetName val="Key_assumptions_&amp;_Forecasts"/>
      <sheetName val="Capex_&amp;_Depreciation"/>
      <sheetName val="Debt_(2)"/>
      <sheetName val="Capital_History"/>
      <sheetName val="Unit_cost_analysis"/>
      <sheetName val="Bajaj_Allianz"/>
      <sheetName val="Valuation_assumptions"/>
      <sheetName val="NEW_Earnings_Guide"/>
      <sheetName val="Overhead_&amp;_Profit_B-1"/>
      <sheetName val="Control_Sheet"/>
      <sheetName val="Cover_Sheet"/>
      <sheetName val="Model"/>
      <sheetName val="Inter unit set off"/>
      <sheetName val="coa_ramco_168"/>
      <sheetName val="\Applications\Microsoft Office "/>
      <sheetName val="TB"/>
      <sheetName val="Sheet2"/>
      <sheetName val="Main Sheet"/>
      <sheetName val="\Applications\Microsoft_Office_"/>
      <sheetName val="07-08"/>
      <sheetName val="[DDIC.XLS][DDIC.XLS]\Applicatio"/>
      <sheetName val="Data Tables"/>
      <sheetName val="[DDIC.XLS]\Applications\Microso"/>
      <sheetName val="[DDIC.XLS][DDIC.XLS][DDIC.XLS]\"/>
      <sheetName val="[DDIC.XLS][DDIC.XLS][DDIC.XLS]["/>
      <sheetName val="BOQ"/>
      <sheetName val="YOEMAGUM"/>
      <sheetName val="\C\Applications\Microsoft Offic"/>
      <sheetName val="\C\C\Applications\Microsoft Off"/>
      <sheetName val="\C\C\C\Applications\Microsoft O"/>
      <sheetName val="\V\C\C\C\Applications\Microsoft"/>
      <sheetName val="Valuation"/>
      <sheetName val="Charts A"/>
      <sheetName val="[DDIC.XLS]_Applications_Micro_2"/>
      <sheetName val="[DDIC.XLS]_Applications_Micro_3"/>
      <sheetName val="[DDIC.XLS][DDIC.XLS]_DDIC_XLS_2"/>
      <sheetName val="[DDIC.XLS][DDIC.XLS]_Applicat_2"/>
      <sheetName val="[DDIC.XLS][DDIC.XLS]_DDIC_XLS_3"/>
      <sheetName val="EV to Ebitda"/>
      <sheetName val="P to OCF(form)"/>
      <sheetName val="P"/>
      <sheetName val="Expenses"/>
      <sheetName val="CD-R"/>
      <sheetName val="EU unsubsidies exports"/>
      <sheetName val="Data sheet"/>
      <sheetName val="Ratios"/>
      <sheetName val="수입"/>
      <sheetName val="Assumption"/>
      <sheetName val="Share Price"/>
      <sheetName val="Inflation_by country"/>
      <sheetName val="Materia Summary"/>
      <sheetName val="Sales Beakdown"/>
      <sheetName val="Operating and CF"/>
      <sheetName val="Income Statement - Consolidated"/>
      <sheetName val="P7 CapFlows"/>
      <sheetName val="P15 DivYld"/>
      <sheetName val="BS"/>
      <sheetName val="cc_Link"/>
      <sheetName val="Earnings Model"/>
      <sheetName val="DATABASE"/>
      <sheetName val="Takeup"/>
      <sheetName val="EE"/>
      <sheetName val="HSB"/>
      <sheetName val="Controls"/>
      <sheetName val="NAV"/>
      <sheetName val="Summary"/>
      <sheetName val="Interface"/>
      <sheetName val="NIRAJ"/>
      <sheetName val="Ex3"/>
      <sheetName val="EV_to_Ebitda"/>
      <sheetName val="matrix"/>
      <sheetName val="PROFSVC"/>
      <sheetName val="Q_MODEL"/>
      <sheetName val="Input"/>
      <sheetName val="손익현황보고(월)"/>
      <sheetName val="Hi_low"/>
      <sheetName val="Define Employee"/>
      <sheetName val="Define_Employee"/>
      <sheetName val="Loan from Som"/>
      <sheetName val="BSLA"/>
      <sheetName val="HDFC Std Life"/>
      <sheetName val="SBILife"/>
      <sheetName val="Master Sheet "/>
      <sheetName val="Birla Sun Life"/>
      <sheetName val="Max New York Life"/>
      <sheetName val="ICICI Pru"/>
      <sheetName val="Detail P&amp;L"/>
      <sheetName val="Assumption Sheet"/>
      <sheetName val="Input Param"/>
      <sheetName val="MergerAssumptions"/>
      <sheetName val="Amortization Table"/>
      <sheetName val="MUSTER"/>
      <sheetName val="Headings"/>
      <sheetName val="Capital Input"/>
      <sheetName val="trialbal"/>
      <sheetName val="System"/>
      <sheetName val="assumptions"/>
      <sheetName val="Measurements"/>
      <sheetName val="Tables"/>
      <sheetName val="Flooring"/>
      <sheetName val="Ceilings"/>
      <sheetName val="ACAD Finishes"/>
      <sheetName val="Site Details"/>
      <sheetName val="Chair"/>
      <sheetName val="Site Area Statement"/>
      <sheetName val="Doors"/>
      <sheetName val="Estimate"/>
      <sheetName val="crews"/>
      <sheetName val="SCHEDULE"/>
      <sheetName val="Prod Anal"/>
      <sheetName val="Intaccrual"/>
      <sheetName val="SBU"/>
      <sheetName val="tdint"/>
      <sheetName val="PCS DATA"/>
      <sheetName val="INDEX"/>
      <sheetName val="AREAS"/>
      <sheetName val="Data"/>
      <sheetName val="LISTS"/>
      <sheetName val="Crop Master"/>
      <sheetName val="Format"/>
      <sheetName val="Site Master"/>
      <sheetName val="Fruiting"/>
      <sheetName val="DAILY"/>
      <sheetName val="PRECAST lightconc-II"/>
      <sheetName val="IT Asset"/>
      <sheetName val="Codes"/>
      <sheetName val="list"/>
      <sheetName val="Rate Analysis"/>
      <sheetName val="CASHFLOWS"/>
      <sheetName val="India F&amp;S Template"/>
      <sheetName val="final abstract"/>
      <sheetName val="MN T.B."/>
      <sheetName val="Sales &amp; Prod"/>
      <sheetName val="B-2  (DPP)"/>
      <sheetName val="한계원가"/>
      <sheetName val="Project Budget"/>
      <sheetName val="Financial Closure"/>
      <sheetName val="1. Sale Schedule"/>
      <sheetName val="1. Cost Schedule"/>
      <sheetName val="1. Lease Schedule"/>
      <sheetName val="1. Pro Forma"/>
      <sheetName val="dlvoid"/>
      <sheetName val="ELEC2071"/>
      <sheetName val="Cost Incurred Working"/>
      <sheetName val="Payment Schedule"/>
      <sheetName val="Expected Collections"/>
      <sheetName val="Expected Cashflow"/>
      <sheetName val="Presentation Output"/>
      <sheetName val="Presentation Output_1"/>
      <sheetName val="engg"/>
      <sheetName val="Asset"/>
      <sheetName val="beam-reinft-machine rm"/>
      <sheetName val="Quantity"/>
      <sheetName val="FRINGE_BENEFIT_INFO"/>
      <sheetName val="sum"/>
      <sheetName val="DPT-PW"/>
      <sheetName val="RG-A"/>
      <sheetName val="Sch 1-9"/>
      <sheetName val="PDN"/>
      <sheetName val="EmpCodes"/>
      <sheetName val="Summary_Page_VDF1"/>
      <sheetName val="Invested_capital_VDF1"/>
      <sheetName val="PV_of_Op_Leases_VDF1"/>
      <sheetName val="North_Sea1"/>
      <sheetName val="West_Africa1"/>
      <sheetName val="North_Africa1"/>
      <sheetName val="DDIC_XLS1"/>
      <sheetName val="3__Elemental_Summary1"/>
      <sheetName val="12a__CFTable1"/>
      <sheetName val="Retail_Breakdown1"/>
      <sheetName val="Qrtly_temp1"/>
      <sheetName val="TRIAL_BALANCE1"/>
      <sheetName val="Operating_Statistics1"/>
      <sheetName val="Inc-Yr_Summary1"/>
      <sheetName val="sh_pri1"/>
      <sheetName val="Key_assumptions_&amp;_Forecasts1"/>
      <sheetName val="Capex_&amp;_Depreciation1"/>
      <sheetName val="Debt_(2)1"/>
      <sheetName val="Capital_History1"/>
      <sheetName val="Unit_cost_analysis1"/>
      <sheetName val="Bajaj_Allianz1"/>
      <sheetName val="Valuation_assumptions1"/>
      <sheetName val="Overhead_&amp;_Profit_B-11"/>
      <sheetName val="Control_Sheet1"/>
      <sheetName val="Cover_Sheet1"/>
      <sheetName val="NEW_Earnings_Guide1"/>
      <sheetName val="Inter_unit_set_off"/>
      <sheetName val="\Applications\Microsoft_Office1"/>
      <sheetName val="Main_Sheet"/>
      <sheetName val="[DDIC_XLS][DDIC_XLS]\Applicatio"/>
      <sheetName val="Data_Tables"/>
      <sheetName val="[DDIC_XLS]\Applications\Microso"/>
      <sheetName val="[DDIC_XLS][DDIC_XLS][DDIC_XLS]\"/>
      <sheetName val="[DDIC_XLS][DDIC_XLS][DDIC_XLS]["/>
      <sheetName val="[DDIC_XLS]_Applications_Micro_2"/>
      <sheetName val="[DDIC_XLS]_Applications_Micro_3"/>
      <sheetName val="[DDIC_XLS][DDIC_XLS]_DDIC_XLS_2"/>
      <sheetName val="[DDIC_XLS][DDIC_XLS]_Applicat_2"/>
      <sheetName val="[DDIC_XLS][DDIC_XLS]_DDIC_XLS_3"/>
      <sheetName val="\C\Applications\Microsoft_Offic"/>
      <sheetName val="\C\C\Applications\Microsoft_Off"/>
      <sheetName val="\C\C\C\Applications\Microsoft_O"/>
      <sheetName val="Charts_A"/>
      <sheetName val="p&amp;l"/>
      <sheetName val="Firm &amp; SBUG Metrics M, SM, Dir"/>
    </sheetNames>
    <definedNames>
      <definedName name="Equity_Del_Item"/>
      <definedName name="Equity_Ins_Item"/>
      <definedName name="validate_Equity_Data"/>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refreshError="1"/>
      <sheetData sheetId="250" refreshError="1"/>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sheetName val="HEADER"/>
      <sheetName val="Charts-FMCG"/>
      <sheetName val="main"/>
      <sheetName val="2005"/>
      <sheetName val="2004"/>
      <sheetName val="2003"/>
      <sheetName val="Quarterly"/>
      <sheetName val="pl_related"/>
      <sheetName val="bs_related"/>
      <sheetName val="qtr"/>
      <sheetName val="2002"/>
      <sheetName val="2001"/>
      <sheetName val="2000"/>
      <sheetName val="segmental"/>
      <sheetName val="sales"/>
      <sheetName val="IncMod"/>
      <sheetName val="rm"/>
      <sheetName val="fg"/>
      <sheetName val="FA"/>
      <sheetName val="charts and tables"/>
      <sheetName val="99"/>
      <sheetName val="baddi plant"/>
      <sheetName val="dcf"/>
      <sheetName val="MRP"/>
      <sheetName val="valuation"/>
      <sheetName val="cp model"/>
      <sheetName val="res 2002"/>
      <sheetName val="Inc Mod cigs"/>
      <sheetName val="Financials"/>
      <sheetName val="MenuData"/>
      <sheetName val="Internet"/>
      <sheetName val="interim results"/>
      <sheetName val="Aladdin Macro1"/>
      <sheetName val="Model"/>
      <sheetName val="charts_and_tables"/>
      <sheetName val="baddi_plant"/>
      <sheetName val="cp_model"/>
      <sheetName val="res_2002"/>
      <sheetName val="Inc_Mod_cigs"/>
      <sheetName val="Charts 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 val="shareholding"/>
      <sheetName val="res_2002"/>
      <sheetName val="seg_model"/>
      <sheetName val="Inc_Mod_cigs"/>
      <sheetName val="Inc_model_hot"/>
      <sheetName val="tobacco_DCF"/>
      <sheetName val="res_01"/>
      <sheetName val="res_98"/>
      <sheetName val="res_99"/>
      <sheetName val="res_00"/>
      <sheetName val="share_holding"/>
      <sheetName val="excise_case"/>
      <sheetName val="Lux_tax_effect"/>
      <sheetName val="Earning_Assum"/>
      <sheetName val="Template"/>
      <sheetName val="ITC model"/>
      <sheetName val="Master"/>
      <sheetName val="Inc-Yr Summary"/>
      <sheetName val="Revenue Model"/>
      <sheetName val="QTR- OLD"/>
      <sheetName val="New Output"/>
      <sheetName val="Output"/>
      <sheetName val="Qtr."/>
      <sheetName val="Fin"/>
      <sheetName val="Review"/>
      <sheetName val="Qtr Segment"/>
      <sheetName val="To Word New 1"/>
      <sheetName val="Bk up Bal Sh"/>
      <sheetName val="Bk up P&amp;L"/>
      <sheetName val="Print sheet"/>
      <sheetName val="Backpage"/>
      <sheetName val="Sheet3"/>
      <sheetName val="Sheet5"/>
      <sheetName val="Sheet2"/>
      <sheetName val="bp"/>
      <sheetName val="acctmod"/>
      <sheetName val="quant"/>
      <sheetName val="Mar97"/>
      <sheetName val="Investment_Adv"/>
      <sheetName val="Schedules"/>
      <sheetName val="Main Sheet"/>
      <sheetName val="Assumptions"/>
      <sheetName val="res_20021"/>
      <sheetName val="seg_model1"/>
      <sheetName val="Inc_Mod_cigs1"/>
      <sheetName val="Inc_model_hot1"/>
      <sheetName val="tobacco_DCF1"/>
      <sheetName val="res_011"/>
      <sheetName val="res_981"/>
      <sheetName val="res_991"/>
      <sheetName val="res_001"/>
      <sheetName val="share_holding1"/>
      <sheetName val="excise_case1"/>
      <sheetName val="Lux_tax_effect1"/>
      <sheetName val="ITC_model"/>
      <sheetName val="Inc-Yr_Summary"/>
      <sheetName val="Input"/>
      <sheetName val="res_20022"/>
      <sheetName val="seg_model2"/>
      <sheetName val="Inc_Mod_cigs2"/>
      <sheetName val="Inc_model_hot2"/>
      <sheetName val="tobacco_DCF2"/>
      <sheetName val="res_012"/>
      <sheetName val="res_982"/>
      <sheetName val="res_992"/>
      <sheetName val="res_002"/>
      <sheetName val="share_holding2"/>
      <sheetName val="excise_case2"/>
      <sheetName val="Lux_tax_effect2"/>
      <sheetName val="ITC_model1"/>
      <sheetName val="Inc-Yr_Summary1"/>
      <sheetName val="Revenue_Model"/>
      <sheetName val="QTR-_OLD"/>
      <sheetName val="New_Output"/>
      <sheetName val="Qtr_"/>
      <sheetName val="Qtr_Segment"/>
      <sheetName val="To_Word_New_1"/>
      <sheetName val="Bk_up_Bal_Sh"/>
      <sheetName val="Bk_up_P&amp;L"/>
      <sheetName val="Print_sheet"/>
      <sheetName val="Main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
          <cell r="A1" t="str">
            <v>Excise rates Rs/1000 cig</v>
          </cell>
          <cell r="B1" t="str">
            <v>Length</v>
          </cell>
          <cell r="C1" t="str">
            <v>FY89</v>
          </cell>
          <cell r="D1" t="str">
            <v>FY90</v>
          </cell>
          <cell r="E1" t="str">
            <v>FY91</v>
          </cell>
          <cell r="F1" t="str">
            <v>FY92</v>
          </cell>
          <cell r="G1" t="str">
            <v>FY93</v>
          </cell>
          <cell r="H1" t="str">
            <v>FY94</v>
          </cell>
          <cell r="I1" t="str">
            <v>FY95</v>
          </cell>
          <cell r="J1" t="str">
            <v>FY96</v>
          </cell>
          <cell r="K1" t="str">
            <v>FY97</v>
          </cell>
          <cell r="L1" t="str">
            <v>FY98</v>
          </cell>
          <cell r="M1" t="str">
            <v>FY99</v>
          </cell>
          <cell r="N1" t="str">
            <v>FY00</v>
          </cell>
          <cell r="O1" t="str">
            <v>FY01</v>
          </cell>
          <cell r="P1" t="str">
            <v>FY02</v>
          </cell>
        </row>
        <row r="2">
          <cell r="A2" t="str">
            <v>Micros</v>
          </cell>
          <cell r="B2" t="str">
            <v>&lt;60</v>
          </cell>
          <cell r="C2">
            <v>0</v>
          </cell>
          <cell r="D2">
            <v>100</v>
          </cell>
          <cell r="E2">
            <v>100</v>
          </cell>
          <cell r="F2">
            <v>110</v>
          </cell>
          <cell r="G2">
            <v>120</v>
          </cell>
          <cell r="H2">
            <v>120</v>
          </cell>
          <cell r="I2">
            <v>60</v>
          </cell>
          <cell r="J2">
            <v>60</v>
          </cell>
          <cell r="K2">
            <v>75</v>
          </cell>
          <cell r="L2">
            <v>90</v>
          </cell>
          <cell r="M2">
            <v>100</v>
          </cell>
          <cell r="N2">
            <v>110</v>
          </cell>
          <cell r="O2">
            <v>115</v>
          </cell>
          <cell r="P2">
            <v>135</v>
          </cell>
        </row>
        <row r="3">
          <cell r="A3" t="str">
            <v>Plains</v>
          </cell>
          <cell r="B3" t="str">
            <v>61-70</v>
          </cell>
          <cell r="C3">
            <v>150</v>
          </cell>
          <cell r="D3">
            <v>160</v>
          </cell>
          <cell r="E3">
            <v>175</v>
          </cell>
          <cell r="F3">
            <v>200</v>
          </cell>
          <cell r="G3">
            <v>250</v>
          </cell>
          <cell r="H3">
            <v>250</v>
          </cell>
          <cell r="I3">
            <v>280</v>
          </cell>
          <cell r="J3">
            <v>300</v>
          </cell>
          <cell r="K3">
            <v>315</v>
          </cell>
          <cell r="L3">
            <v>350</v>
          </cell>
          <cell r="M3">
            <v>370</v>
          </cell>
          <cell r="N3">
            <v>370</v>
          </cell>
          <cell r="O3">
            <v>390</v>
          </cell>
          <cell r="P3">
            <v>450</v>
          </cell>
        </row>
        <row r="4">
          <cell r="A4" t="str">
            <v>Filter - Regular</v>
          </cell>
          <cell r="B4" t="str">
            <v>&lt;70</v>
          </cell>
          <cell r="C4">
            <v>200</v>
          </cell>
          <cell r="D4">
            <v>210</v>
          </cell>
          <cell r="E4">
            <v>225</v>
          </cell>
          <cell r="F4">
            <v>260</v>
          </cell>
          <cell r="G4">
            <v>330</v>
          </cell>
          <cell r="H4">
            <v>330</v>
          </cell>
          <cell r="I4">
            <v>370</v>
          </cell>
          <cell r="J4">
            <v>400</v>
          </cell>
          <cell r="K4">
            <v>430</v>
          </cell>
          <cell r="L4">
            <v>500</v>
          </cell>
          <cell r="M4">
            <v>550</v>
          </cell>
          <cell r="N4">
            <v>550</v>
          </cell>
          <cell r="O4">
            <v>580</v>
          </cell>
          <cell r="P4">
            <v>670</v>
          </cell>
        </row>
        <row r="5">
          <cell r="A5" t="str">
            <v>Filter - Long</v>
          </cell>
          <cell r="B5" t="str">
            <v>71-75</v>
          </cell>
          <cell r="C5">
            <v>300</v>
          </cell>
          <cell r="D5">
            <v>375</v>
          </cell>
          <cell r="E5">
            <v>400</v>
          </cell>
          <cell r="F5">
            <v>500</v>
          </cell>
          <cell r="G5">
            <v>630</v>
          </cell>
          <cell r="H5">
            <v>630</v>
          </cell>
          <cell r="I5">
            <v>710</v>
          </cell>
          <cell r="J5">
            <v>750</v>
          </cell>
          <cell r="K5">
            <v>800</v>
          </cell>
          <cell r="L5">
            <v>820</v>
          </cell>
          <cell r="M5">
            <v>900</v>
          </cell>
          <cell r="N5">
            <v>900</v>
          </cell>
          <cell r="O5">
            <v>945</v>
          </cell>
          <cell r="P5">
            <v>1090</v>
          </cell>
        </row>
        <row r="6">
          <cell r="A6" t="str">
            <v>Filter - King</v>
          </cell>
          <cell r="B6" t="str">
            <v>76-85</v>
          </cell>
          <cell r="C6">
            <v>400</v>
          </cell>
          <cell r="D6">
            <v>475</v>
          </cell>
          <cell r="E6">
            <v>550</v>
          </cell>
          <cell r="F6">
            <v>675</v>
          </cell>
          <cell r="G6">
            <v>850</v>
          </cell>
          <cell r="H6">
            <v>850</v>
          </cell>
          <cell r="I6">
            <v>950</v>
          </cell>
          <cell r="J6">
            <v>1000</v>
          </cell>
          <cell r="K6">
            <v>1070</v>
          </cell>
          <cell r="L6">
            <v>1100</v>
          </cell>
          <cell r="M6">
            <v>1200</v>
          </cell>
          <cell r="N6">
            <v>1200</v>
          </cell>
          <cell r="O6">
            <v>1260</v>
          </cell>
          <cell r="P6">
            <v>1450</v>
          </cell>
        </row>
        <row r="7">
          <cell r="A7" t="str">
            <v>Filter - Extra large</v>
          </cell>
          <cell r="B7" t="str">
            <v>86-100</v>
          </cell>
          <cell r="C7">
            <v>600</v>
          </cell>
          <cell r="D7">
            <v>675</v>
          </cell>
          <cell r="E7">
            <v>750</v>
          </cell>
          <cell r="F7">
            <v>0</v>
          </cell>
          <cell r="G7">
            <v>0</v>
          </cell>
          <cell r="H7">
            <v>0</v>
          </cell>
          <cell r="I7">
            <v>0</v>
          </cell>
          <cell r="J7">
            <v>0</v>
          </cell>
          <cell r="K7">
            <v>0</v>
          </cell>
          <cell r="L7">
            <v>0</v>
          </cell>
          <cell r="M7">
            <v>0</v>
          </cell>
          <cell r="N7">
            <v>0</v>
          </cell>
          <cell r="O7">
            <v>1545</v>
          </cell>
          <cell r="P7">
            <v>1780</v>
          </cell>
        </row>
        <row r="9">
          <cell r="A9" t="str">
            <v>% change</v>
          </cell>
          <cell r="B9">
            <v>0</v>
          </cell>
          <cell r="C9" t="str">
            <v>FY89</v>
          </cell>
          <cell r="D9" t="str">
            <v>FY90</v>
          </cell>
          <cell r="E9" t="str">
            <v>FY91</v>
          </cell>
          <cell r="F9" t="str">
            <v>FY92</v>
          </cell>
          <cell r="G9" t="str">
            <v>FY93</v>
          </cell>
          <cell r="H9" t="str">
            <v>FY94</v>
          </cell>
          <cell r="I9" t="str">
            <v>FY95</v>
          </cell>
          <cell r="J9" t="str">
            <v>FY96</v>
          </cell>
          <cell r="K9" t="str">
            <v>FY97</v>
          </cell>
          <cell r="L9" t="str">
            <v>FY98</v>
          </cell>
          <cell r="M9" t="str">
            <v>FY99</v>
          </cell>
          <cell r="N9" t="str">
            <v>FY00</v>
          </cell>
          <cell r="O9" t="str">
            <v>FY01</v>
          </cell>
          <cell r="P9" t="str">
            <v>FY02</v>
          </cell>
        </row>
        <row r="10">
          <cell r="A10" t="str">
            <v>Micros</v>
          </cell>
          <cell r="B10">
            <v>0</v>
          </cell>
          <cell r="C10">
            <v>0</v>
          </cell>
          <cell r="D10">
            <v>0</v>
          </cell>
          <cell r="E10">
            <v>0</v>
          </cell>
          <cell r="F10">
            <v>0.10000000000000009</v>
          </cell>
          <cell r="G10">
            <v>9.0909090909090828E-2</v>
          </cell>
          <cell r="H10">
            <v>0</v>
          </cell>
          <cell r="I10">
            <v>-0.5</v>
          </cell>
          <cell r="J10">
            <v>0</v>
          </cell>
          <cell r="K10">
            <v>0.25</v>
          </cell>
          <cell r="L10">
            <v>0.19999999999999996</v>
          </cell>
          <cell r="M10">
            <v>0.11111111111111116</v>
          </cell>
          <cell r="N10">
            <v>0.10000000000000009</v>
          </cell>
          <cell r="O10">
            <v>4.5454545454545414E-2</v>
          </cell>
          <cell r="P10">
            <v>0.17391304347826098</v>
          </cell>
        </row>
        <row r="11">
          <cell r="A11" t="str">
            <v>Plains</v>
          </cell>
          <cell r="B11">
            <v>0</v>
          </cell>
          <cell r="C11">
            <v>0</v>
          </cell>
          <cell r="D11">
            <v>6.6666666666666652E-2</v>
          </cell>
          <cell r="E11">
            <v>9.375E-2</v>
          </cell>
          <cell r="F11">
            <v>0.14285714285714279</v>
          </cell>
          <cell r="G11">
            <v>0.25</v>
          </cell>
          <cell r="H11">
            <v>0</v>
          </cell>
          <cell r="I11">
            <v>0.12000000000000011</v>
          </cell>
          <cell r="J11">
            <v>7.1428571428571397E-2</v>
          </cell>
          <cell r="K11">
            <v>5.0000000000000044E-2</v>
          </cell>
          <cell r="L11">
            <v>0.11111111111111116</v>
          </cell>
          <cell r="M11">
            <v>5.7142857142857162E-2</v>
          </cell>
          <cell r="N11">
            <v>0</v>
          </cell>
          <cell r="O11">
            <v>5.4054054054053946E-2</v>
          </cell>
          <cell r="P11">
            <v>0.15384615384615374</v>
          </cell>
        </row>
        <row r="12">
          <cell r="A12" t="str">
            <v>Filter - Regular</v>
          </cell>
          <cell r="B12">
            <v>0</v>
          </cell>
          <cell r="C12">
            <v>0</v>
          </cell>
          <cell r="D12">
            <v>5.0000000000000044E-2</v>
          </cell>
          <cell r="E12">
            <v>7.1428571428571397E-2</v>
          </cell>
          <cell r="F12">
            <v>0.15555555555555545</v>
          </cell>
          <cell r="G12">
            <v>0.26923076923076916</v>
          </cell>
          <cell r="H12">
            <v>0</v>
          </cell>
          <cell r="I12">
            <v>0.1212121212121211</v>
          </cell>
          <cell r="J12">
            <v>8.1081081081081141E-2</v>
          </cell>
          <cell r="K12">
            <v>7.4999999999999956E-2</v>
          </cell>
          <cell r="L12">
            <v>0.16279069767441867</v>
          </cell>
          <cell r="M12">
            <v>0.10000000000000009</v>
          </cell>
          <cell r="N12">
            <v>0</v>
          </cell>
          <cell r="O12">
            <v>5.4545454545454453E-2</v>
          </cell>
          <cell r="P12">
            <v>0.15517241379310343</v>
          </cell>
        </row>
        <row r="13">
          <cell r="A13" t="str">
            <v>Filter - Long</v>
          </cell>
          <cell r="B13">
            <v>0</v>
          </cell>
          <cell r="C13">
            <v>0</v>
          </cell>
          <cell r="D13">
            <v>0.25</v>
          </cell>
          <cell r="E13">
            <v>6.6666666666666652E-2</v>
          </cell>
          <cell r="F13">
            <v>0.25</v>
          </cell>
          <cell r="G13">
            <v>0.26</v>
          </cell>
          <cell r="H13">
            <v>0</v>
          </cell>
          <cell r="I13">
            <v>0.12698412698412698</v>
          </cell>
          <cell r="J13">
            <v>5.6338028169014009E-2</v>
          </cell>
          <cell r="K13">
            <v>6.6666666666666652E-2</v>
          </cell>
          <cell r="L13">
            <v>2.4999999999999911E-2</v>
          </cell>
          <cell r="M13">
            <v>9.7560975609756184E-2</v>
          </cell>
          <cell r="N13">
            <v>0</v>
          </cell>
          <cell r="O13">
            <v>5.0000000000000044E-2</v>
          </cell>
          <cell r="P13">
            <v>0.15343915343915349</v>
          </cell>
        </row>
        <row r="14">
          <cell r="A14" t="str">
            <v>Filter - King</v>
          </cell>
          <cell r="B14">
            <v>0</v>
          </cell>
          <cell r="C14">
            <v>0</v>
          </cell>
          <cell r="D14">
            <v>0.1875</v>
          </cell>
          <cell r="E14">
            <v>0.15789473684210531</v>
          </cell>
          <cell r="F14">
            <v>0.22727272727272729</v>
          </cell>
          <cell r="G14">
            <v>0.2592592592592593</v>
          </cell>
          <cell r="H14">
            <v>0</v>
          </cell>
          <cell r="I14">
            <v>0.11764705882352944</v>
          </cell>
          <cell r="J14">
            <v>5.2631578947368363E-2</v>
          </cell>
          <cell r="K14">
            <v>7.0000000000000062E-2</v>
          </cell>
          <cell r="L14">
            <v>2.8037383177569986E-2</v>
          </cell>
          <cell r="M14">
            <v>9.0909090909090828E-2</v>
          </cell>
          <cell r="N14">
            <v>0</v>
          </cell>
          <cell r="O14">
            <v>5.0000000000000044E-2</v>
          </cell>
          <cell r="P14">
            <v>0.1507936507936507</v>
          </cell>
        </row>
        <row r="15">
          <cell r="A15" t="str">
            <v>Filter - Extra large</v>
          </cell>
          <cell r="B15">
            <v>0</v>
          </cell>
          <cell r="C15">
            <v>0</v>
          </cell>
          <cell r="D15">
            <v>0.125</v>
          </cell>
          <cell r="E15">
            <v>0.11111111111111116</v>
          </cell>
          <cell r="F15">
            <v>-1</v>
          </cell>
          <cell r="G15">
            <v>0</v>
          </cell>
          <cell r="H15">
            <v>0</v>
          </cell>
          <cell r="I15">
            <v>0</v>
          </cell>
          <cell r="J15">
            <v>0</v>
          </cell>
          <cell r="K15">
            <v>0</v>
          </cell>
          <cell r="L15">
            <v>0</v>
          </cell>
          <cell r="M15">
            <v>0</v>
          </cell>
          <cell r="N15">
            <v>0</v>
          </cell>
          <cell r="O15">
            <v>0</v>
          </cell>
          <cell r="P15">
            <v>0.15210355987055024</v>
          </cell>
        </row>
        <row r="16">
          <cell r="A16" t="str">
            <v>wtd avg increase</v>
          </cell>
          <cell r="B16">
            <v>0</v>
          </cell>
          <cell r="C16">
            <v>0</v>
          </cell>
          <cell r="D16">
            <v>0</v>
          </cell>
          <cell r="E16">
            <v>0</v>
          </cell>
          <cell r="F16">
            <v>0</v>
          </cell>
          <cell r="G16">
            <v>0</v>
          </cell>
          <cell r="H16">
            <v>0</v>
          </cell>
          <cell r="I16">
            <v>0.1215222900313484</v>
          </cell>
          <cell r="J16">
            <v>6.8025198853667562E-2</v>
          </cell>
          <cell r="K16">
            <v>9.0138312586445363E-2</v>
          </cell>
          <cell r="L16">
            <v>0.13141961787790413</v>
          </cell>
          <cell r="M16">
            <v>9.1465968198620337E-2</v>
          </cell>
          <cell r="N16">
            <v>1.1853507315926491E-2</v>
          </cell>
          <cell r="O16">
            <v>5.2551728501988582E-2</v>
          </cell>
          <cell r="P16">
            <v>0.15622374275380801</v>
          </cell>
        </row>
      </sheetData>
      <sheetData sheetId="16" refreshError="1"/>
      <sheetData sheetId="17" refreshError="1"/>
      <sheetData sheetId="18" refreshError="1"/>
      <sheetData sheetId="19" refreshError="1"/>
      <sheetData sheetId="20" refreshError="1">
        <row r="2">
          <cell r="A2" t="str">
            <v>Dividend</v>
          </cell>
          <cell r="B2" t="str">
            <v>Sensitivity Analysis - impact on EPS</v>
          </cell>
        </row>
        <row r="4">
          <cell r="C4" t="str">
            <v>FY2000</v>
          </cell>
          <cell r="D4" t="str">
            <v>FY2001</v>
          </cell>
        </row>
        <row r="5">
          <cell r="B5" t="str">
            <v>Base case</v>
          </cell>
          <cell r="C5">
            <v>32.289965882100205</v>
          </cell>
          <cell r="D5">
            <v>38.180116370669602</v>
          </cell>
        </row>
        <row r="6">
          <cell r="B6" t="str">
            <v>1% increase in retail prices</v>
          </cell>
          <cell r="C6">
            <v>28.249655117738115</v>
          </cell>
          <cell r="D6">
            <v>36.423724934795167</v>
          </cell>
        </row>
        <row r="7">
          <cell r="B7" t="str">
            <v>% change</v>
          </cell>
          <cell r="C7">
            <v>-0.12512589140274744</v>
          </cell>
          <cell r="D7">
            <v>-4.6002778483507034E-2</v>
          </cell>
        </row>
        <row r="8">
          <cell r="B8" t="str">
            <v>1% inc in excise</v>
          </cell>
          <cell r="C8">
            <v>25.319981389018796</v>
          </cell>
          <cell r="D8">
            <v>33.123814315286069</v>
          </cell>
        </row>
        <row r="9">
          <cell r="B9" t="str">
            <v>% change</v>
          </cell>
          <cell r="C9">
            <v>-0.21585605009713521</v>
          </cell>
          <cell r="D9">
            <v>-0.13243286129080115</v>
          </cell>
        </row>
        <row r="10">
          <cell r="B10" t="str">
            <v>1% increase in cigarette volumes</v>
          </cell>
          <cell r="C10">
            <v>26.937275020616941</v>
          </cell>
          <cell r="D10">
            <v>35.198668925802501</v>
          </cell>
        </row>
        <row r="11">
          <cell r="B11" t="str">
            <v>% change</v>
          </cell>
          <cell r="C11">
            <v>-0.16576948024743823</v>
          </cell>
          <cell r="D11">
            <v>-7.8089008842243401E-2</v>
          </cell>
        </row>
        <row r="12">
          <cell r="B12" t="str">
            <v>1% shift to next higher segment</v>
          </cell>
          <cell r="C12">
            <v>26.657981159913021</v>
          </cell>
          <cell r="D12">
            <v>34.528796517658286</v>
          </cell>
        </row>
        <row r="13">
          <cell r="B13" t="str">
            <v>% change</v>
          </cell>
          <cell r="C13">
            <v>-0.17441903601729258</v>
          </cell>
          <cell r="D13">
            <v>-9.5634068203529654E-2</v>
          </cell>
        </row>
        <row r="14">
          <cell r="B14" t="str">
            <v>1% increase in tobacco prices</v>
          </cell>
          <cell r="C14">
            <v>26.343461014768614</v>
          </cell>
          <cell r="D14">
            <v>34.115741048087592</v>
          </cell>
        </row>
        <row r="15">
          <cell r="B15" t="str">
            <v>% change</v>
          </cell>
          <cell r="C15">
            <v>-0.1841595277320503</v>
          </cell>
          <cell r="D15">
            <v>-0.10645266984320426</v>
          </cell>
        </row>
      </sheetData>
      <sheetData sheetId="21" refreshError="1"/>
      <sheetData sheetId="22" refreshError="1">
        <row r="2">
          <cell r="A2" t="str">
            <v>Dividend</v>
          </cell>
        </row>
        <row r="18">
          <cell r="A18" t="str">
            <v>Opening share premium</v>
          </cell>
        </row>
        <row r="89">
          <cell r="A89" t="str">
            <v>Inventories</v>
          </cell>
        </row>
        <row r="109">
          <cell r="A109" t="str">
            <v>Other current assets</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ow r="1">
          <cell r="A1" t="str">
            <v>Excise rates Rs/1000 cig</v>
          </cell>
        </row>
      </sheetData>
      <sheetData sheetId="100">
        <row r="1">
          <cell r="A1" t="str">
            <v>Excise rates Rs/1000 cig</v>
          </cell>
        </row>
      </sheetData>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for word"/>
      <sheetName val="QoQ"/>
      <sheetName val="price table"/>
      <sheetName val="BANK^CO"/>
      <sheetName val="Forcast Details"/>
      <sheetName val="Consolidated"/>
      <sheetName val="Ratios"/>
      <sheetName val="Database"/>
      <sheetName val="DU PONT ANA"/>
      <sheetName val="Sensitivity"/>
      <sheetName val="RIBs"/>
      <sheetName val="Quarterly"/>
      <sheetName val="Half Yearly"/>
      <sheetName val="CLcpd"/>
      <sheetName val="Cover"/>
      <sheetName val="Profit"/>
      <sheetName val="Cashflow"/>
      <sheetName val="FDEPS"/>
      <sheetName val="Adj book value"/>
      <sheetName val="Sheet1"/>
      <sheetName val="Maturity profile"/>
      <sheetName val="Associates"/>
      <sheetName val="Earnings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ETAIL"/>
      <sheetName val="SUMMARY"/>
      <sheetName val="Earning_Char"/>
      <sheetName val="Asset_Char"/>
      <sheetName val="PBDIT_Char"/>
      <sheetName val="Final_Char"/>
      <sheetName val="Earning_Assum (2)"/>
      <sheetName val="Sheet3"/>
      <sheetName val="Sheet2"/>
      <sheetName val="Calculation (2)"/>
      <sheetName val="Earning_Assum"/>
      <sheetName val="EXIS-COMBINED"/>
      <sheetName val="Settings"/>
      <sheetName val="Database"/>
      <sheetName val="update"/>
      <sheetName val="Inc Mod cigs"/>
      <sheetName val="bs_related"/>
      <sheetName val="sensity"/>
      <sheetName val="Earnings model"/>
      <sheetName val="INDG0395"/>
      <sheetName val="annex II"/>
      <sheetName val="Debt"/>
      <sheetName val="Earning_Assum_(2)"/>
      <sheetName val="Calculation_(2)"/>
      <sheetName val="Inc_Mod_cigs"/>
      <sheetName val="Earnings_model"/>
      <sheetName val="Template"/>
      <sheetName val="Schedule_6_Template"/>
      <sheetName val="Qtrly_Template"/>
      <sheetName val="Financials "/>
      <sheetName val="Market Info"/>
      <sheetName val="Introduction"/>
      <sheetName val="Operating Statistics"/>
      <sheetName val="Capex &amp; Depreciation"/>
      <sheetName val="Earning_Assum_(2)1"/>
      <sheetName val="Calculation_(2)1"/>
      <sheetName val="Inc_Mod_cigs1"/>
      <sheetName val="Earnings_model1"/>
      <sheetName val="annex_II"/>
      <sheetName val="Earning_Assum_(2)2"/>
      <sheetName val="Calculation_(2)2"/>
      <sheetName val="Inc_Mod_cigs2"/>
      <sheetName val="Earnings_model2"/>
      <sheetName val="annex_II1"/>
    </sheetNames>
    <sheetDataSet>
      <sheetData sheetId="0"/>
      <sheetData sheetId="1"/>
      <sheetData sheetId="2"/>
      <sheetData sheetId="3"/>
      <sheetData sheetId="4"/>
      <sheetData sheetId="5" refreshError="1">
        <row r="4">
          <cell r="W4" t="str">
            <v>2004-2005</v>
          </cell>
        </row>
      </sheetData>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BANK^CO"/>
      <sheetName val="Forcast Details"/>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
      <sheetName val="p&amp;l"/>
      <sheetName val="liab"/>
      <sheetName val="asset"/>
      <sheetName val="npa"/>
      <sheetName val="tax"/>
      <sheetName val="s16"/>
      <sheetName val="AE"/>
      <sheetName val="FCF"/>
      <sheetName val="ALM&amp;CoD"/>
      <sheetName val="ratio"/>
      <sheetName val="ss"/>
      <sheetName val="QoQ-format"/>
      <sheetName val="QoQ"/>
      <sheetName val="CP&amp;L"/>
      <sheetName val="CLiab"/>
      <sheetName val="Cassets"/>
      <sheetName val="SH-pattern"/>
      <sheetName val="QoQ (2)"/>
      <sheetName val="Database"/>
      <sheetName val="Sheet1"/>
      <sheetName val="STORY"/>
      <sheetName val="PBDIT_Ch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 val="main"/>
      <sheetName val="coal"/>
      <sheetName val="Gas"/>
      <sheetName val="ResNetUpdate 1a"/>
      <sheetName val="consumption"/>
      <sheetName val="excise"/>
      <sheetName val="demo"/>
      <sheetName val="global"/>
      <sheetName val="rural"/>
      <sheetName val="InQuart BAL"/>
      <sheetName val="PBDIT_Char"/>
      <sheetName val="p&amp;l"/>
      <sheetName val="Amtek model"/>
      <sheetName val="MenuData"/>
      <sheetName val="_Control"/>
      <sheetName val="CheckLabels_(2)"/>
      <sheetName val="Summary_(2)"/>
      <sheetName val="Aladdin Macro1"/>
      <sheetName val="Financials"/>
      <sheetName val="Corrupt SSCI"/>
      <sheetName val="Monthly Ship+Prod"/>
      <sheetName val="Perform"/>
      <sheetName val="Bajaj Allianz"/>
      <sheetName val="Qtr"/>
      <sheetName val="Inc-Yr Summary Calendar"/>
      <sheetName val="Template- Standalone"/>
      <sheetName val="Template"/>
      <sheetName val="CheckLabels_(2)1"/>
      <sheetName val="Summary_(2)1"/>
      <sheetName val="ResNetUpdate_1a"/>
      <sheetName val="InQuart_BAL"/>
      <sheetName val="Amtek_model"/>
      <sheetName val="Aladdin_Macro1"/>
      <sheetName val="Corrupt_SSCI"/>
      <sheetName val="Monthly_Ship+Prod"/>
      <sheetName val="Bajaj_Allianz"/>
      <sheetName val="Sheet2"/>
      <sheetName val="Sheet1"/>
      <sheetName val="Quarter"/>
      <sheetName val="rm"/>
      <sheetName val="bs_related"/>
      <sheetName val="fg"/>
      <sheetName val="res 2002"/>
      <sheetName val="Sales"/>
      <sheetName val="Inc Mod cigs"/>
      <sheetName val="prices"/>
      <sheetName val="acctmod"/>
      <sheetName val="CheckLabels_(2)2"/>
      <sheetName val="Summary_(2)2"/>
      <sheetName val="ResNetUpdate_1a1"/>
      <sheetName val="InQuart_BAL1"/>
      <sheetName val="Amtek_model1"/>
      <sheetName val="Aladdin_Macro11"/>
      <sheetName val="Corrupt_SSCI1"/>
      <sheetName val="Monthly_Ship+Prod1"/>
      <sheetName val="Bajaj_Allianz1"/>
      <sheetName val="Inc-Yr_Summary_Calendar"/>
      <sheetName val="Template-_Standalone"/>
      <sheetName val="CheckLabels_(2)3"/>
      <sheetName val="Summary_(2)3"/>
      <sheetName val="ResNetUpdate_1a2"/>
      <sheetName val="InQuart_BAL2"/>
      <sheetName val="Amtek_model2"/>
      <sheetName val="Aladdin_Macro12"/>
      <sheetName val="Corrupt_SSCI2"/>
      <sheetName val="Monthly_Ship+Prod2"/>
      <sheetName val="Bajaj_Allianz2"/>
      <sheetName val="Inc-Yr_Summary_Calendar1"/>
      <sheetName val="Template-_Standalon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row r="2">
          <cell r="A2">
            <v>0.9</v>
          </cell>
          <cell r="B2" t="str">
            <v>--</v>
          </cell>
          <cell r="C2" t="str">
            <v>Company level data</v>
          </cell>
          <cell r="D2">
            <v>0</v>
          </cell>
          <cell r="E2">
            <v>0</v>
          </cell>
          <cell r="F2">
            <v>0</v>
          </cell>
          <cell r="G2">
            <v>0</v>
          </cell>
          <cell r="H2">
            <v>0</v>
          </cell>
          <cell r="I2">
            <v>0</v>
          </cell>
          <cell r="J2">
            <v>0</v>
          </cell>
          <cell r="K2">
            <v>0</v>
          </cell>
          <cell r="L2">
            <v>0</v>
          </cell>
          <cell r="M2">
            <v>0</v>
          </cell>
          <cell r="N2" t="str">
            <v>-</v>
          </cell>
          <cell r="O2" t="str">
            <v>-</v>
          </cell>
          <cell r="P2">
            <v>0</v>
          </cell>
          <cell r="Q2" t="str">
            <v>-</v>
          </cell>
          <cell r="R2" t="str">
            <v>Heading</v>
          </cell>
          <cell r="S2" t="str">
            <v>-</v>
          </cell>
          <cell r="T2">
            <v>1006</v>
          </cell>
          <cell r="U2" t="str">
            <v>-</v>
          </cell>
          <cell r="V2">
            <v>0</v>
          </cell>
          <cell r="W2">
            <v>0</v>
          </cell>
          <cell r="X2">
            <v>0</v>
          </cell>
          <cell r="Y2">
            <v>0</v>
          </cell>
          <cell r="Z2">
            <v>0</v>
          </cell>
          <cell r="AA2">
            <v>89</v>
          </cell>
          <cell r="AB2" t="str">
            <v>company level data</v>
          </cell>
          <cell r="AC2">
            <v>1</v>
          </cell>
          <cell r="AD2">
            <v>0</v>
          </cell>
          <cell r="AE2">
            <v>0</v>
          </cell>
          <cell r="AF2">
            <v>0</v>
          </cell>
          <cell r="AG2">
            <v>0</v>
          </cell>
          <cell r="AH2">
            <v>0</v>
          </cell>
          <cell r="AI2">
            <v>0</v>
          </cell>
          <cell r="AJ2">
            <v>0</v>
          </cell>
          <cell r="AK2">
            <v>0</v>
          </cell>
          <cell r="AL2">
            <v>0</v>
          </cell>
          <cell r="AM2">
            <v>0</v>
          </cell>
          <cell r="AN2" t="e">
            <v>#N/A</v>
          </cell>
          <cell r="AO2" t="e">
            <v>#N/A</v>
          </cell>
          <cell r="AP2" t="e">
            <v>#N/A</v>
          </cell>
          <cell r="AQ2" t="e">
            <v>#N/A</v>
          </cell>
          <cell r="AR2" t="e">
            <v>#N/A</v>
          </cell>
          <cell r="AS2" t="e">
            <v>#N/A</v>
          </cell>
          <cell r="AT2" t="e">
            <v>#N/A</v>
          </cell>
          <cell r="AU2" t="e">
            <v>#N/A</v>
          </cell>
          <cell r="AV2" t="e">
            <v>#N/A</v>
          </cell>
        </row>
        <row r="3">
          <cell r="A3">
            <v>0.95</v>
          </cell>
          <cell r="B3" t="str">
            <v>--</v>
          </cell>
          <cell r="C3" t="str">
            <v>Company data</v>
          </cell>
          <cell r="D3">
            <v>0</v>
          </cell>
          <cell r="E3">
            <v>0</v>
          </cell>
          <cell r="F3">
            <v>0</v>
          </cell>
          <cell r="G3">
            <v>0</v>
          </cell>
          <cell r="H3">
            <v>0</v>
          </cell>
          <cell r="I3">
            <v>0</v>
          </cell>
          <cell r="J3">
            <v>0</v>
          </cell>
          <cell r="K3">
            <v>0</v>
          </cell>
          <cell r="L3">
            <v>0</v>
          </cell>
          <cell r="M3">
            <v>0</v>
          </cell>
          <cell r="N3" t="str">
            <v>-</v>
          </cell>
          <cell r="O3" t="str">
            <v>-</v>
          </cell>
          <cell r="P3">
            <v>0</v>
          </cell>
          <cell r="Q3" t="str">
            <v>-</v>
          </cell>
          <cell r="R3" t="str">
            <v>Heading</v>
          </cell>
          <cell r="S3" t="str">
            <v>-</v>
          </cell>
          <cell r="T3">
            <v>1010</v>
          </cell>
          <cell r="U3" t="str">
            <v>-</v>
          </cell>
          <cell r="V3">
            <v>0</v>
          </cell>
          <cell r="W3">
            <v>0</v>
          </cell>
          <cell r="X3">
            <v>0</v>
          </cell>
          <cell r="Y3">
            <v>0</v>
          </cell>
          <cell r="Z3">
            <v>0</v>
          </cell>
          <cell r="AA3">
            <v>89.5</v>
          </cell>
          <cell r="AB3" t="str">
            <v>company level data</v>
          </cell>
          <cell r="AC3">
            <v>1.5</v>
          </cell>
          <cell r="AD3">
            <v>0</v>
          </cell>
          <cell r="AE3">
            <v>0</v>
          </cell>
          <cell r="AF3">
            <v>0</v>
          </cell>
          <cell r="AG3">
            <v>0</v>
          </cell>
          <cell r="AH3">
            <v>0</v>
          </cell>
          <cell r="AI3">
            <v>0</v>
          </cell>
          <cell r="AJ3">
            <v>0</v>
          </cell>
          <cell r="AK3">
            <v>0</v>
          </cell>
          <cell r="AL3">
            <v>0</v>
          </cell>
          <cell r="AM3">
            <v>0</v>
          </cell>
          <cell r="AN3" t="e">
            <v>#N/A</v>
          </cell>
          <cell r="AO3" t="e">
            <v>#N/A</v>
          </cell>
          <cell r="AP3" t="e">
            <v>#N/A</v>
          </cell>
          <cell r="AQ3" t="e">
            <v>#N/A</v>
          </cell>
          <cell r="AR3" t="e">
            <v>#N/A</v>
          </cell>
          <cell r="AS3" t="e">
            <v>#N/A</v>
          </cell>
          <cell r="AT3" t="e">
            <v>#N/A</v>
          </cell>
          <cell r="AU3" t="e">
            <v>#N/A</v>
          </cell>
          <cell r="AV3" t="e">
            <v>#N/A</v>
          </cell>
        </row>
        <row r="4">
          <cell r="A4">
            <v>0</v>
          </cell>
          <cell r="B4" t="str">
            <v>--</v>
          </cell>
          <cell r="C4">
            <v>0</v>
          </cell>
          <cell r="D4">
            <v>0</v>
          </cell>
          <cell r="E4">
            <v>0</v>
          </cell>
          <cell r="F4">
            <v>0</v>
          </cell>
          <cell r="G4">
            <v>0</v>
          </cell>
          <cell r="H4">
            <v>0</v>
          </cell>
          <cell r="I4">
            <v>0</v>
          </cell>
          <cell r="J4">
            <v>0</v>
          </cell>
          <cell r="K4">
            <v>0</v>
          </cell>
          <cell r="L4">
            <v>0</v>
          </cell>
          <cell r="M4">
            <v>0</v>
          </cell>
          <cell r="N4" t="str">
            <v>-</v>
          </cell>
          <cell r="O4" t="str">
            <v>-</v>
          </cell>
          <cell r="P4">
            <v>0</v>
          </cell>
          <cell r="Q4" t="str">
            <v>-</v>
          </cell>
          <cell r="R4" t="str">
            <v>Heading</v>
          </cell>
          <cell r="S4" t="str">
            <v>-</v>
          </cell>
          <cell r="T4" t="str">
            <v>Heading</v>
          </cell>
          <cell r="U4" t="str">
            <v>-</v>
          </cell>
          <cell r="V4">
            <v>0</v>
          </cell>
          <cell r="W4">
            <v>0</v>
          </cell>
          <cell r="X4">
            <v>0</v>
          </cell>
          <cell r="Y4">
            <v>0</v>
          </cell>
          <cell r="Z4">
            <v>0</v>
          </cell>
          <cell r="AA4">
            <v>1</v>
          </cell>
          <cell r="AB4" t="str">
            <v>company level data</v>
          </cell>
          <cell r="AC4">
            <v>1.6</v>
          </cell>
          <cell r="AD4">
            <v>0</v>
          </cell>
          <cell r="AE4">
            <v>0</v>
          </cell>
          <cell r="AF4">
            <v>0</v>
          </cell>
          <cell r="AG4">
            <v>0</v>
          </cell>
          <cell r="AH4">
            <v>0</v>
          </cell>
          <cell r="AI4">
            <v>0</v>
          </cell>
          <cell r="AJ4">
            <v>0</v>
          </cell>
          <cell r="AK4">
            <v>0</v>
          </cell>
          <cell r="AL4">
            <v>0</v>
          </cell>
          <cell r="AM4">
            <v>0</v>
          </cell>
          <cell r="AN4" t="e">
            <v>#N/A</v>
          </cell>
          <cell r="AO4" t="e">
            <v>#N/A</v>
          </cell>
          <cell r="AP4" t="e">
            <v>#N/A</v>
          </cell>
          <cell r="AQ4" t="e">
            <v>#N/A</v>
          </cell>
          <cell r="AR4" t="e">
            <v>#N/A</v>
          </cell>
          <cell r="AS4" t="e">
            <v>#N/A</v>
          </cell>
          <cell r="AT4" t="e">
            <v>#N/A</v>
          </cell>
          <cell r="AU4" t="e">
            <v>#N/A</v>
          </cell>
          <cell r="AV4" t="e">
            <v>#N/A</v>
          </cell>
        </row>
        <row r="5">
          <cell r="A5">
            <v>1</v>
          </cell>
          <cell r="B5" t="str">
            <v>&lt;EMPTY&gt;#############&lt;EMPTY&gt;#############</v>
          </cell>
          <cell r="C5" t="str">
            <v>###delete - Recommendation</v>
          </cell>
          <cell r="D5">
            <v>0</v>
          </cell>
          <cell r="E5">
            <v>0</v>
          </cell>
          <cell r="F5">
            <v>0</v>
          </cell>
          <cell r="G5">
            <v>0</v>
          </cell>
          <cell r="H5">
            <v>0</v>
          </cell>
          <cell r="I5">
            <v>0</v>
          </cell>
          <cell r="J5">
            <v>0</v>
          </cell>
          <cell r="K5">
            <v>0</v>
          </cell>
          <cell r="L5">
            <v>0</v>
          </cell>
          <cell r="M5">
            <v>0</v>
          </cell>
          <cell r="N5" t="str">
            <v>&lt;EMPTY&gt;#############</v>
          </cell>
          <cell r="O5" t="str">
            <v>&lt;EMPTY&gt;#############</v>
          </cell>
          <cell r="P5">
            <v>0</v>
          </cell>
          <cell r="Q5" t="str">
            <v>&lt;EMPTY&gt;#############</v>
          </cell>
          <cell r="R5" t="str">
            <v>&lt;EMPTY&gt;#############</v>
          </cell>
          <cell r="S5" t="str">
            <v>&lt;EMPTY&gt;#############</v>
          </cell>
          <cell r="T5" t="str">
            <v>&lt;EMPTY&gt;#############</v>
          </cell>
          <cell r="U5" t="str">
            <v>&lt;EMPTY&gt;#############</v>
          </cell>
          <cell r="V5">
            <v>0</v>
          </cell>
          <cell r="W5">
            <v>0</v>
          </cell>
          <cell r="X5">
            <v>0</v>
          </cell>
          <cell r="Y5">
            <v>0</v>
          </cell>
          <cell r="Z5">
            <v>0</v>
          </cell>
          <cell r="AA5">
            <v>113</v>
          </cell>
          <cell r="AB5" t="str">
            <v>company level data</v>
          </cell>
          <cell r="AC5">
            <v>2</v>
          </cell>
          <cell r="AD5" t="str">
            <v>&lt;EMPTY&gt;#############</v>
          </cell>
          <cell r="AE5">
            <v>0</v>
          </cell>
          <cell r="AF5">
            <v>0</v>
          </cell>
          <cell r="AG5">
            <v>0</v>
          </cell>
          <cell r="AH5">
            <v>0</v>
          </cell>
          <cell r="AI5">
            <v>0</v>
          </cell>
          <cell r="AJ5">
            <v>0</v>
          </cell>
          <cell r="AK5">
            <v>0</v>
          </cell>
          <cell r="AL5">
            <v>0</v>
          </cell>
          <cell r="AM5">
            <v>0</v>
          </cell>
          <cell r="AN5">
            <v>1</v>
          </cell>
          <cell r="AO5" t="str">
            <v>Recommendation</v>
          </cell>
          <cell r="AP5" t="str">
            <v>text</v>
          </cell>
          <cell r="AQ5">
            <v>0</v>
          </cell>
          <cell r="AR5">
            <v>0</v>
          </cell>
          <cell r="AS5">
            <v>0</v>
          </cell>
          <cell r="AT5">
            <v>0</v>
          </cell>
          <cell r="AU5" t="e">
            <v>#VALUE!</v>
          </cell>
          <cell r="AV5" t="e">
            <v>#VALUE!</v>
          </cell>
        </row>
        <row r="6">
          <cell r="A6">
            <v>2</v>
          </cell>
          <cell r="B6" t="str">
            <v>&lt;EMPTY&gt;#############&lt;EMPTY&gt;#############</v>
          </cell>
          <cell r="C6" t="str">
            <v>###delete - Market capitalisation</v>
          </cell>
          <cell r="D6" t="str">
            <v>(m)</v>
          </cell>
          <cell r="E6">
            <v>0</v>
          </cell>
          <cell r="F6">
            <v>0</v>
          </cell>
          <cell r="G6">
            <v>0</v>
          </cell>
          <cell r="H6">
            <v>0</v>
          </cell>
          <cell r="I6">
            <v>0</v>
          </cell>
          <cell r="J6">
            <v>0</v>
          </cell>
          <cell r="K6">
            <v>0</v>
          </cell>
          <cell r="L6">
            <v>0</v>
          </cell>
          <cell r="M6">
            <v>0</v>
          </cell>
          <cell r="N6" t="str">
            <v>&lt;EMPTY&gt;#############</v>
          </cell>
          <cell r="O6" t="str">
            <v>&lt;EMPTY&gt;#############</v>
          </cell>
          <cell r="P6">
            <v>0</v>
          </cell>
          <cell r="Q6" t="str">
            <v>&lt;EMPTY&gt;#############</v>
          </cell>
          <cell r="R6" t="str">
            <v>&lt;EMPTY&gt;#############</v>
          </cell>
          <cell r="S6" t="str">
            <v>&lt;EMPTY&gt;#############</v>
          </cell>
          <cell r="T6" t="str">
            <v>&lt;EMPTY&gt;#############</v>
          </cell>
          <cell r="U6" t="str">
            <v>&lt;EMPTY&gt;#############</v>
          </cell>
          <cell r="V6">
            <v>0</v>
          </cell>
          <cell r="W6">
            <v>0</v>
          </cell>
          <cell r="X6">
            <v>0</v>
          </cell>
          <cell r="Y6">
            <v>0</v>
          </cell>
          <cell r="Z6">
            <v>0</v>
          </cell>
          <cell r="AA6">
            <v>110</v>
          </cell>
          <cell r="AB6" t="str">
            <v>company level data</v>
          </cell>
          <cell r="AC6">
            <v>4</v>
          </cell>
          <cell r="AD6" t="str">
            <v>&lt;EMPTY&gt;#############</v>
          </cell>
          <cell r="AE6">
            <v>0</v>
          </cell>
          <cell r="AF6">
            <v>0</v>
          </cell>
          <cell r="AG6">
            <v>0</v>
          </cell>
          <cell r="AH6">
            <v>0</v>
          </cell>
          <cell r="AI6">
            <v>0</v>
          </cell>
          <cell r="AJ6">
            <v>0</v>
          </cell>
          <cell r="AK6">
            <v>0</v>
          </cell>
          <cell r="AL6">
            <v>0</v>
          </cell>
          <cell r="AM6">
            <v>0</v>
          </cell>
          <cell r="AN6">
            <v>2</v>
          </cell>
          <cell r="AO6" t="str">
            <v>Market Capitalisation</v>
          </cell>
          <cell r="AP6" t="str">
            <v>m</v>
          </cell>
          <cell r="AQ6">
            <v>0</v>
          </cell>
          <cell r="AR6">
            <v>0</v>
          </cell>
          <cell r="AS6" t="str">
            <v>(13/100) * 32</v>
          </cell>
          <cell r="AT6" t="str">
            <v>see note on price(13)</v>
          </cell>
          <cell r="AU6" t="str">
            <v>(13</v>
          </cell>
          <cell r="AV6" t="str">
            <v>100) * 32</v>
          </cell>
        </row>
        <row r="7">
          <cell r="A7">
            <v>3</v>
          </cell>
          <cell r="B7" t="str">
            <v>&lt;EMPTY&gt;#############&lt;EMPTY&gt;#############</v>
          </cell>
          <cell r="C7" t="str">
            <v>###delete - Enterprise value</v>
          </cell>
          <cell r="D7" t="str">
            <v>(m)</v>
          </cell>
          <cell r="E7">
            <v>0</v>
          </cell>
          <cell r="F7">
            <v>0</v>
          </cell>
          <cell r="G7">
            <v>0</v>
          </cell>
          <cell r="H7">
            <v>0</v>
          </cell>
          <cell r="I7">
            <v>0</v>
          </cell>
          <cell r="J7">
            <v>0</v>
          </cell>
          <cell r="K7">
            <v>0</v>
          </cell>
          <cell r="L7">
            <v>0</v>
          </cell>
          <cell r="M7">
            <v>0</v>
          </cell>
          <cell r="N7" t="str">
            <v>&lt;EMPTY&gt;#############</v>
          </cell>
          <cell r="O7" t="str">
            <v>&lt;EMPTY&gt;#############</v>
          </cell>
          <cell r="P7">
            <v>0</v>
          </cell>
          <cell r="Q7" t="str">
            <v>&lt;EMPTY&gt;#############</v>
          </cell>
          <cell r="R7" t="str">
            <v>&lt;EMPTY&gt;#############</v>
          </cell>
          <cell r="S7" t="str">
            <v>&lt;EMPTY&gt;#############</v>
          </cell>
          <cell r="T7" t="str">
            <v>&lt;EMPTY&gt;#############</v>
          </cell>
          <cell r="U7" t="str">
            <v>&lt;EMPTY&gt;#############</v>
          </cell>
          <cell r="V7">
            <v>0</v>
          </cell>
          <cell r="W7">
            <v>0</v>
          </cell>
          <cell r="X7">
            <v>0</v>
          </cell>
          <cell r="Y7">
            <v>0</v>
          </cell>
          <cell r="Z7">
            <v>0</v>
          </cell>
          <cell r="AA7">
            <v>108</v>
          </cell>
          <cell r="AB7" t="str">
            <v>company level data</v>
          </cell>
          <cell r="AC7">
            <v>5</v>
          </cell>
          <cell r="AD7" t="str">
            <v>&lt;EMPTY&gt;#############</v>
          </cell>
          <cell r="AE7">
            <v>0</v>
          </cell>
          <cell r="AF7">
            <v>0</v>
          </cell>
          <cell r="AG7">
            <v>0</v>
          </cell>
          <cell r="AH7">
            <v>0</v>
          </cell>
          <cell r="AI7">
            <v>0</v>
          </cell>
          <cell r="AJ7">
            <v>0</v>
          </cell>
          <cell r="AK7">
            <v>0</v>
          </cell>
          <cell r="AL7">
            <v>0</v>
          </cell>
          <cell r="AM7">
            <v>0</v>
          </cell>
          <cell r="AN7">
            <v>3</v>
          </cell>
          <cell r="AO7" t="str">
            <v>Enterprise Value</v>
          </cell>
          <cell r="AP7" t="str">
            <v>m</v>
          </cell>
          <cell r="AQ7">
            <v>0</v>
          </cell>
          <cell r="AR7">
            <v>0</v>
          </cell>
          <cell r="AS7" t="str">
            <v>2(for each participating share!)+10-11+12</v>
          </cell>
          <cell r="AT7">
            <v>0</v>
          </cell>
          <cell r="AU7" t="e">
            <v>#VALUE!</v>
          </cell>
          <cell r="AV7" t="e">
            <v>#VALUE!</v>
          </cell>
        </row>
        <row r="8">
          <cell r="A8">
            <v>4</v>
          </cell>
          <cell r="B8" t="str">
            <v>&lt;EMPTY&gt;#############&lt;EMPTY&gt;#############</v>
          </cell>
          <cell r="C8" t="str">
            <v>###delete - Next results due</v>
          </cell>
          <cell r="D8" t="str">
            <v>dd/mm/yyyy</v>
          </cell>
          <cell r="E8">
            <v>0</v>
          </cell>
          <cell r="F8">
            <v>0</v>
          </cell>
          <cell r="G8">
            <v>0</v>
          </cell>
          <cell r="H8">
            <v>0</v>
          </cell>
          <cell r="I8">
            <v>0</v>
          </cell>
          <cell r="J8">
            <v>0</v>
          </cell>
          <cell r="K8">
            <v>0</v>
          </cell>
          <cell r="L8">
            <v>0</v>
          </cell>
          <cell r="M8">
            <v>0</v>
          </cell>
          <cell r="N8" t="str">
            <v>&lt;EMPTY&gt;#############</v>
          </cell>
          <cell r="O8" t="str">
            <v>&lt;EMPTY&gt;#############</v>
          </cell>
          <cell r="P8">
            <v>0</v>
          </cell>
          <cell r="Q8" t="str">
            <v>&lt;EMPTY&gt;#############</v>
          </cell>
          <cell r="R8" t="str">
            <v>&lt;EMPTY&gt;#############</v>
          </cell>
          <cell r="S8" t="str">
            <v>&lt;EMPTY&gt;#############</v>
          </cell>
          <cell r="T8" t="str">
            <v>&lt;EMPTY&gt;#############</v>
          </cell>
          <cell r="U8" t="str">
            <v>&lt;EMPTY&gt;#############</v>
          </cell>
          <cell r="V8">
            <v>0</v>
          </cell>
          <cell r="W8">
            <v>0</v>
          </cell>
          <cell r="X8">
            <v>0</v>
          </cell>
          <cell r="Y8">
            <v>0</v>
          </cell>
          <cell r="Z8">
            <v>0</v>
          </cell>
          <cell r="AA8">
            <v>111</v>
          </cell>
          <cell r="AB8" t="str">
            <v>company level data</v>
          </cell>
          <cell r="AC8">
            <v>6</v>
          </cell>
          <cell r="AD8" t="str">
            <v>&lt;EMPTY&gt;#############</v>
          </cell>
          <cell r="AE8">
            <v>0</v>
          </cell>
          <cell r="AF8">
            <v>0</v>
          </cell>
          <cell r="AG8">
            <v>0</v>
          </cell>
          <cell r="AH8">
            <v>0</v>
          </cell>
          <cell r="AI8">
            <v>0</v>
          </cell>
          <cell r="AJ8">
            <v>0</v>
          </cell>
          <cell r="AK8">
            <v>0</v>
          </cell>
          <cell r="AL8">
            <v>0</v>
          </cell>
          <cell r="AM8">
            <v>0</v>
          </cell>
          <cell r="AN8">
            <v>4</v>
          </cell>
          <cell r="AO8" t="str">
            <v>Next results due</v>
          </cell>
          <cell r="AP8" t="str">
            <v>date</v>
          </cell>
          <cell r="AQ8">
            <v>0</v>
          </cell>
          <cell r="AR8">
            <v>0</v>
          </cell>
          <cell r="AS8">
            <v>0</v>
          </cell>
          <cell r="AT8">
            <v>0</v>
          </cell>
          <cell r="AU8" t="e">
            <v>#VALUE!</v>
          </cell>
          <cell r="AV8" t="e">
            <v>#VALUE!</v>
          </cell>
        </row>
        <row r="9">
          <cell r="A9">
            <v>5</v>
          </cell>
          <cell r="B9" t="str">
            <v>&lt;EMPTY&gt;#############&lt;EMPTY&gt;#############</v>
          </cell>
          <cell r="C9" t="str">
            <v>###delete - Last results</v>
          </cell>
          <cell r="D9" t="str">
            <v>dd/mm/yyyy</v>
          </cell>
          <cell r="E9">
            <v>0</v>
          </cell>
          <cell r="F9">
            <v>0</v>
          </cell>
          <cell r="G9">
            <v>0</v>
          </cell>
          <cell r="H9">
            <v>0</v>
          </cell>
          <cell r="I9">
            <v>0</v>
          </cell>
          <cell r="J9">
            <v>0</v>
          </cell>
          <cell r="K9">
            <v>0</v>
          </cell>
          <cell r="L9">
            <v>0</v>
          </cell>
          <cell r="M9">
            <v>0</v>
          </cell>
          <cell r="N9" t="str">
            <v>&lt;EMPTY&gt;#############</v>
          </cell>
          <cell r="O9" t="str">
            <v>&lt;EMPTY&gt;#############</v>
          </cell>
          <cell r="P9">
            <v>0</v>
          </cell>
          <cell r="Q9" t="str">
            <v>&lt;EMPTY&gt;#############</v>
          </cell>
          <cell r="R9" t="str">
            <v>&lt;EMPTY&gt;#############</v>
          </cell>
          <cell r="S9" t="str">
            <v>&lt;EMPTY&gt;#############</v>
          </cell>
          <cell r="T9" t="str">
            <v>&lt;EMPTY&gt;#############</v>
          </cell>
          <cell r="U9" t="str">
            <v>&lt;EMPTY&gt;#############</v>
          </cell>
          <cell r="V9">
            <v>0</v>
          </cell>
          <cell r="W9">
            <v>0</v>
          </cell>
          <cell r="X9">
            <v>0</v>
          </cell>
          <cell r="Y9">
            <v>0</v>
          </cell>
          <cell r="Z9">
            <v>0</v>
          </cell>
          <cell r="AA9">
            <v>109</v>
          </cell>
          <cell r="AB9" t="str">
            <v>company level data</v>
          </cell>
          <cell r="AC9">
            <v>7</v>
          </cell>
          <cell r="AD9" t="str">
            <v>&lt;EMPTY&gt;#############</v>
          </cell>
          <cell r="AE9">
            <v>0</v>
          </cell>
          <cell r="AF9">
            <v>0</v>
          </cell>
          <cell r="AG9">
            <v>0</v>
          </cell>
          <cell r="AH9">
            <v>0</v>
          </cell>
          <cell r="AI9">
            <v>0</v>
          </cell>
          <cell r="AJ9">
            <v>0</v>
          </cell>
          <cell r="AK9">
            <v>0</v>
          </cell>
          <cell r="AL9">
            <v>0</v>
          </cell>
          <cell r="AM9">
            <v>0</v>
          </cell>
          <cell r="AN9">
            <v>5</v>
          </cell>
          <cell r="AO9" t="str">
            <v>Last results</v>
          </cell>
          <cell r="AP9" t="str">
            <v>date</v>
          </cell>
          <cell r="AQ9">
            <v>0</v>
          </cell>
          <cell r="AR9">
            <v>0</v>
          </cell>
          <cell r="AS9">
            <v>0</v>
          </cell>
          <cell r="AT9">
            <v>0</v>
          </cell>
          <cell r="AU9" t="e">
            <v>#VALUE!</v>
          </cell>
          <cell r="AV9" t="e">
            <v>#VALUE!</v>
          </cell>
        </row>
        <row r="10">
          <cell r="A10">
            <v>6</v>
          </cell>
          <cell r="B10" t="str">
            <v>&lt;EMPTY&gt;#############&lt;EMPTY&gt;#############</v>
          </cell>
          <cell r="C10" t="str">
            <v>###delete - Reporting currency</v>
          </cell>
          <cell r="D10">
            <v>0</v>
          </cell>
          <cell r="E10">
            <v>0</v>
          </cell>
          <cell r="F10">
            <v>0</v>
          </cell>
          <cell r="G10">
            <v>0</v>
          </cell>
          <cell r="H10">
            <v>0</v>
          </cell>
          <cell r="I10">
            <v>0</v>
          </cell>
          <cell r="J10">
            <v>0</v>
          </cell>
          <cell r="K10">
            <v>0</v>
          </cell>
          <cell r="L10">
            <v>0</v>
          </cell>
          <cell r="M10">
            <v>0</v>
          </cell>
          <cell r="N10" t="str">
            <v>&lt;EMPTY&gt;#############</v>
          </cell>
          <cell r="O10" t="str">
            <v>&lt;EMPTY&gt;#############</v>
          </cell>
          <cell r="P10">
            <v>0</v>
          </cell>
          <cell r="Q10" t="str">
            <v>&lt;EMPTY&gt;#############</v>
          </cell>
          <cell r="R10" t="str">
            <v>&lt;EMPTY&gt;#############</v>
          </cell>
          <cell r="S10" t="str">
            <v>&lt;EMPTY&gt;#############</v>
          </cell>
          <cell r="T10" t="str">
            <v>&lt;EMPTY&gt;#############</v>
          </cell>
          <cell r="U10" t="str">
            <v>&lt;EMPTY&gt;#############</v>
          </cell>
          <cell r="V10">
            <v>0</v>
          </cell>
          <cell r="W10">
            <v>0</v>
          </cell>
          <cell r="X10">
            <v>0</v>
          </cell>
          <cell r="Y10">
            <v>0</v>
          </cell>
          <cell r="Z10">
            <v>0</v>
          </cell>
          <cell r="AA10">
            <v>114</v>
          </cell>
          <cell r="AB10" t="str">
            <v>company level data</v>
          </cell>
          <cell r="AC10">
            <v>8</v>
          </cell>
          <cell r="AD10" t="str">
            <v>&lt;EMPTY&gt;#############</v>
          </cell>
          <cell r="AE10">
            <v>0</v>
          </cell>
          <cell r="AF10">
            <v>0</v>
          </cell>
          <cell r="AG10">
            <v>0</v>
          </cell>
          <cell r="AH10">
            <v>0</v>
          </cell>
          <cell r="AI10">
            <v>0</v>
          </cell>
          <cell r="AJ10">
            <v>0</v>
          </cell>
          <cell r="AK10">
            <v>0</v>
          </cell>
          <cell r="AL10">
            <v>0</v>
          </cell>
          <cell r="AM10">
            <v>0</v>
          </cell>
          <cell r="AN10">
            <v>6</v>
          </cell>
          <cell r="AO10" t="str">
            <v>Reporting currency</v>
          </cell>
          <cell r="AP10">
            <v>0</v>
          </cell>
          <cell r="AQ10">
            <v>0</v>
          </cell>
          <cell r="AR10">
            <v>0</v>
          </cell>
          <cell r="AS10">
            <v>0</v>
          </cell>
          <cell r="AT10">
            <v>0</v>
          </cell>
          <cell r="AU10" t="e">
            <v>#VALUE!</v>
          </cell>
          <cell r="AV10" t="e">
            <v>#VALUE!</v>
          </cell>
        </row>
        <row r="11">
          <cell r="A11">
            <v>7</v>
          </cell>
          <cell r="B11" t="str">
            <v>-c_st_c_st_major_shareholder</v>
          </cell>
          <cell r="C11" t="str">
            <v>Major shareholder</v>
          </cell>
          <cell r="D11" t="str">
            <v>(text)</v>
          </cell>
          <cell r="E11">
            <v>0</v>
          </cell>
          <cell r="F11">
            <v>0</v>
          </cell>
          <cell r="G11">
            <v>0</v>
          </cell>
          <cell r="H11">
            <v>0</v>
          </cell>
          <cell r="I11">
            <v>0</v>
          </cell>
          <cell r="J11">
            <v>0</v>
          </cell>
          <cell r="K11">
            <v>0</v>
          </cell>
          <cell r="L11">
            <v>0</v>
          </cell>
          <cell r="M11">
            <v>0</v>
          </cell>
          <cell r="N11" t="str">
            <v>c_st_c_st_major_shareholder</v>
          </cell>
          <cell r="O11">
            <v>1</v>
          </cell>
          <cell r="P11">
            <v>0</v>
          </cell>
          <cell r="Q11">
            <v>1</v>
          </cell>
          <cell r="R11" t="str">
            <v>ST</v>
          </cell>
          <cell r="S11" t="str">
            <v>-</v>
          </cell>
          <cell r="T11">
            <v>1020</v>
          </cell>
          <cell r="U11" t="str">
            <v>-</v>
          </cell>
          <cell r="V11">
            <v>0</v>
          </cell>
          <cell r="W11">
            <v>0</v>
          </cell>
          <cell r="X11">
            <v>0</v>
          </cell>
          <cell r="Y11">
            <v>0</v>
          </cell>
          <cell r="Z11">
            <v>0</v>
          </cell>
          <cell r="AA11">
            <v>332</v>
          </cell>
          <cell r="AB11" t="str">
            <v>company level data</v>
          </cell>
          <cell r="AC11">
            <v>9</v>
          </cell>
          <cell r="AD11">
            <v>0</v>
          </cell>
          <cell r="AE11">
            <v>0</v>
          </cell>
          <cell r="AF11">
            <v>0</v>
          </cell>
          <cell r="AG11">
            <v>0</v>
          </cell>
          <cell r="AH11">
            <v>0</v>
          </cell>
          <cell r="AI11">
            <v>0</v>
          </cell>
          <cell r="AJ11">
            <v>0</v>
          </cell>
          <cell r="AK11">
            <v>0</v>
          </cell>
          <cell r="AL11">
            <v>0</v>
          </cell>
          <cell r="AM11">
            <v>0</v>
          </cell>
          <cell r="AN11">
            <v>7</v>
          </cell>
          <cell r="AO11" t="str">
            <v>Major shareholder</v>
          </cell>
          <cell r="AP11" t="str">
            <v>text</v>
          </cell>
          <cell r="AQ11">
            <v>0</v>
          </cell>
          <cell r="AR11">
            <v>0</v>
          </cell>
          <cell r="AS11">
            <v>0</v>
          </cell>
          <cell r="AT11">
            <v>0</v>
          </cell>
          <cell r="AU11" t="e">
            <v>#VALUE!</v>
          </cell>
          <cell r="AV11" t="e">
            <v>#VALUE!</v>
          </cell>
        </row>
        <row r="12">
          <cell r="A12">
            <v>7.2</v>
          </cell>
          <cell r="B12" t="str">
            <v>2major_shareholder</v>
          </cell>
          <cell r="C12" t="str">
            <v>Major shareholder</v>
          </cell>
          <cell r="D12" t="str">
            <v>(text)</v>
          </cell>
          <cell r="E12">
            <v>0</v>
          </cell>
          <cell r="F12">
            <v>0</v>
          </cell>
          <cell r="G12">
            <v>0</v>
          </cell>
          <cell r="H12">
            <v>0</v>
          </cell>
          <cell r="I12">
            <v>0</v>
          </cell>
          <cell r="J12">
            <v>0</v>
          </cell>
          <cell r="K12">
            <v>0</v>
          </cell>
          <cell r="L12">
            <v>0</v>
          </cell>
          <cell r="M12">
            <v>0</v>
          </cell>
          <cell r="N12" t="str">
            <v>major_shareholder</v>
          </cell>
          <cell r="O12">
            <v>1</v>
          </cell>
          <cell r="P12">
            <v>0</v>
          </cell>
          <cell r="Q12">
            <v>1</v>
          </cell>
          <cell r="R12" t="str">
            <v>E</v>
          </cell>
          <cell r="S12">
            <v>2</v>
          </cell>
          <cell r="T12" t="str">
            <v>null</v>
          </cell>
          <cell r="U12">
            <v>2</v>
          </cell>
          <cell r="V12">
            <v>0</v>
          </cell>
          <cell r="W12">
            <v>0</v>
          </cell>
          <cell r="X12">
            <v>0</v>
          </cell>
          <cell r="Y12">
            <v>0</v>
          </cell>
          <cell r="Z12">
            <v>0</v>
          </cell>
          <cell r="AA12">
            <v>331</v>
          </cell>
          <cell r="AB12" t="str">
            <v>company level data</v>
          </cell>
          <cell r="AC12">
            <v>10</v>
          </cell>
          <cell r="AD12">
            <v>0</v>
          </cell>
          <cell r="AE12" t="str">
            <v>c_st_c_st_major_shareholder</v>
          </cell>
          <cell r="AF12">
            <v>0</v>
          </cell>
          <cell r="AG12">
            <v>0</v>
          </cell>
          <cell r="AH12">
            <v>0</v>
          </cell>
          <cell r="AI12">
            <v>0</v>
          </cell>
          <cell r="AJ12">
            <v>0</v>
          </cell>
          <cell r="AK12">
            <v>0</v>
          </cell>
          <cell r="AL12">
            <v>0</v>
          </cell>
          <cell r="AM12">
            <v>0</v>
          </cell>
          <cell r="AN12" t="e">
            <v>#N/A</v>
          </cell>
          <cell r="AO12" t="e">
            <v>#N/A</v>
          </cell>
          <cell r="AP12" t="e">
            <v>#N/A</v>
          </cell>
          <cell r="AQ12" t="e">
            <v>#N/A</v>
          </cell>
          <cell r="AR12" t="e">
            <v>#N/A</v>
          </cell>
          <cell r="AS12" t="e">
            <v>#N/A</v>
          </cell>
          <cell r="AT12" t="e">
            <v>#N/A</v>
          </cell>
          <cell r="AU12" t="e">
            <v>#N/A</v>
          </cell>
          <cell r="AV12" t="e">
            <v>#N/A</v>
          </cell>
        </row>
        <row r="13">
          <cell r="A13">
            <v>8</v>
          </cell>
          <cell r="B13" t="str">
            <v>-c_st_c_st_foreign_shareholding</v>
          </cell>
          <cell r="C13" t="str">
            <v>Foreign shareholding</v>
          </cell>
          <cell r="D13" t="str">
            <v>(%)</v>
          </cell>
          <cell r="E13">
            <v>0</v>
          </cell>
          <cell r="F13">
            <v>0</v>
          </cell>
          <cell r="G13">
            <v>0</v>
          </cell>
          <cell r="H13">
            <v>0</v>
          </cell>
          <cell r="I13">
            <v>0</v>
          </cell>
          <cell r="J13">
            <v>0</v>
          </cell>
          <cell r="K13">
            <v>0</v>
          </cell>
          <cell r="L13">
            <v>0</v>
          </cell>
          <cell r="M13">
            <v>0</v>
          </cell>
          <cell r="N13" t="str">
            <v>c_st_c_st_foreign_shareholding</v>
          </cell>
          <cell r="O13">
            <v>0</v>
          </cell>
          <cell r="P13">
            <v>0</v>
          </cell>
          <cell r="Q13">
            <v>0.01</v>
          </cell>
          <cell r="R13" t="str">
            <v>ST</v>
          </cell>
          <cell r="S13" t="str">
            <v>-</v>
          </cell>
          <cell r="T13">
            <v>1021</v>
          </cell>
          <cell r="U13" t="str">
            <v>-</v>
          </cell>
          <cell r="V13">
            <v>0</v>
          </cell>
          <cell r="W13">
            <v>0</v>
          </cell>
          <cell r="X13">
            <v>0</v>
          </cell>
          <cell r="Y13">
            <v>0</v>
          </cell>
          <cell r="Z13">
            <v>0</v>
          </cell>
          <cell r="AA13">
            <v>251</v>
          </cell>
          <cell r="AB13" t="str">
            <v>company level data</v>
          </cell>
          <cell r="AC13">
            <v>11</v>
          </cell>
          <cell r="AD13">
            <v>0</v>
          </cell>
          <cell r="AE13">
            <v>0</v>
          </cell>
          <cell r="AF13">
            <v>0</v>
          </cell>
          <cell r="AG13">
            <v>0</v>
          </cell>
          <cell r="AH13">
            <v>0</v>
          </cell>
          <cell r="AI13">
            <v>0</v>
          </cell>
          <cell r="AJ13">
            <v>0</v>
          </cell>
          <cell r="AK13">
            <v>0</v>
          </cell>
          <cell r="AL13">
            <v>0</v>
          </cell>
          <cell r="AM13">
            <v>0</v>
          </cell>
          <cell r="AN13">
            <v>8</v>
          </cell>
          <cell r="AO13" t="str">
            <v xml:space="preserve">Foreign shareholding </v>
          </cell>
          <cell r="AP13" t="str">
            <v>%</v>
          </cell>
          <cell r="AQ13">
            <v>0</v>
          </cell>
          <cell r="AR13">
            <v>0</v>
          </cell>
          <cell r="AS13">
            <v>0</v>
          </cell>
          <cell r="AT13">
            <v>0</v>
          </cell>
          <cell r="AU13" t="e">
            <v>#VALUE!</v>
          </cell>
          <cell r="AV13" t="e">
            <v>#VALUE!</v>
          </cell>
        </row>
        <row r="14">
          <cell r="A14">
            <v>8.1999999999999993</v>
          </cell>
          <cell r="B14" t="str">
            <v>2foreign_shareholding</v>
          </cell>
          <cell r="C14" t="str">
            <v>Foreign shareholding</v>
          </cell>
          <cell r="D14" t="str">
            <v>(%)</v>
          </cell>
          <cell r="E14">
            <v>0</v>
          </cell>
          <cell r="F14">
            <v>0</v>
          </cell>
          <cell r="G14">
            <v>0</v>
          </cell>
          <cell r="H14">
            <v>0</v>
          </cell>
          <cell r="I14">
            <v>0</v>
          </cell>
          <cell r="J14">
            <v>0</v>
          </cell>
          <cell r="K14">
            <v>0</v>
          </cell>
          <cell r="L14">
            <v>0</v>
          </cell>
          <cell r="M14">
            <v>0</v>
          </cell>
          <cell r="N14" t="str">
            <v>foreign_shareholding</v>
          </cell>
          <cell r="O14">
            <v>0</v>
          </cell>
          <cell r="P14">
            <v>0</v>
          </cell>
          <cell r="Q14">
            <v>0.01</v>
          </cell>
          <cell r="R14" t="str">
            <v>E</v>
          </cell>
          <cell r="S14">
            <v>2</v>
          </cell>
          <cell r="T14" t="str">
            <v>null</v>
          </cell>
          <cell r="U14">
            <v>2</v>
          </cell>
          <cell r="V14">
            <v>0</v>
          </cell>
          <cell r="W14">
            <v>0</v>
          </cell>
          <cell r="X14">
            <v>0</v>
          </cell>
          <cell r="Y14">
            <v>0</v>
          </cell>
          <cell r="Z14">
            <v>0</v>
          </cell>
          <cell r="AA14">
            <v>250</v>
          </cell>
          <cell r="AB14" t="str">
            <v>company level data</v>
          </cell>
          <cell r="AC14">
            <v>12</v>
          </cell>
          <cell r="AD14">
            <v>0</v>
          </cell>
          <cell r="AE14" t="str">
            <v>c_st_c_st_foreign_shareholding</v>
          </cell>
          <cell r="AF14">
            <v>0</v>
          </cell>
          <cell r="AG14">
            <v>0</v>
          </cell>
          <cell r="AH14">
            <v>0</v>
          </cell>
          <cell r="AI14">
            <v>0</v>
          </cell>
          <cell r="AJ14">
            <v>0</v>
          </cell>
          <cell r="AK14">
            <v>0</v>
          </cell>
          <cell r="AL14">
            <v>0</v>
          </cell>
          <cell r="AM14">
            <v>0</v>
          </cell>
          <cell r="AN14" t="e">
            <v>#N/A</v>
          </cell>
          <cell r="AO14" t="e">
            <v>#N/A</v>
          </cell>
          <cell r="AP14" t="e">
            <v>#N/A</v>
          </cell>
          <cell r="AQ14" t="e">
            <v>#N/A</v>
          </cell>
          <cell r="AR14" t="e">
            <v>#N/A</v>
          </cell>
          <cell r="AS14" t="e">
            <v>#N/A</v>
          </cell>
          <cell r="AT14" t="e">
            <v>#N/A</v>
          </cell>
          <cell r="AU14" t="e">
            <v>#N/A</v>
          </cell>
          <cell r="AV14" t="e">
            <v>#N/A</v>
          </cell>
        </row>
        <row r="15">
          <cell r="A15">
            <v>369</v>
          </cell>
          <cell r="B15" t="str">
            <v>-c_st_uk_shareholding</v>
          </cell>
          <cell r="C15" t="str">
            <v>UK shareholding</v>
          </cell>
          <cell r="D15" t="str">
            <v>(%)</v>
          </cell>
          <cell r="E15">
            <v>0</v>
          </cell>
          <cell r="F15">
            <v>0</v>
          </cell>
          <cell r="G15">
            <v>0</v>
          </cell>
          <cell r="H15">
            <v>0</v>
          </cell>
          <cell r="I15">
            <v>0</v>
          </cell>
          <cell r="J15">
            <v>0</v>
          </cell>
          <cell r="K15">
            <v>0</v>
          </cell>
          <cell r="L15">
            <v>0</v>
          </cell>
          <cell r="M15">
            <v>0</v>
          </cell>
          <cell r="N15" t="str">
            <v>c_st_uk_shareholding</v>
          </cell>
          <cell r="O15">
            <v>0</v>
          </cell>
          <cell r="P15">
            <v>0</v>
          </cell>
          <cell r="Q15">
            <v>1</v>
          </cell>
          <cell r="R15" t="str">
            <v>ST</v>
          </cell>
          <cell r="S15" t="str">
            <v>-</v>
          </cell>
          <cell r="T15">
            <v>1046</v>
          </cell>
          <cell r="U15" t="str">
            <v>-</v>
          </cell>
          <cell r="V15">
            <v>0</v>
          </cell>
          <cell r="W15">
            <v>0</v>
          </cell>
          <cell r="X15">
            <v>0</v>
          </cell>
          <cell r="Y15">
            <v>0</v>
          </cell>
          <cell r="Z15">
            <v>0</v>
          </cell>
          <cell r="AA15">
            <v>580</v>
          </cell>
          <cell r="AB15" t="str">
            <v>company level data</v>
          </cell>
          <cell r="AC15">
            <v>13</v>
          </cell>
          <cell r="AD15">
            <v>0</v>
          </cell>
          <cell r="AE15">
            <v>0</v>
          </cell>
          <cell r="AF15">
            <v>0</v>
          </cell>
          <cell r="AG15">
            <v>0</v>
          </cell>
          <cell r="AH15">
            <v>0</v>
          </cell>
          <cell r="AI15">
            <v>0</v>
          </cell>
          <cell r="AJ15">
            <v>0</v>
          </cell>
          <cell r="AK15">
            <v>0</v>
          </cell>
          <cell r="AL15">
            <v>0</v>
          </cell>
          <cell r="AM15">
            <v>0</v>
          </cell>
          <cell r="AN15" t="e">
            <v>#N/A</v>
          </cell>
          <cell r="AO15" t="e">
            <v>#N/A</v>
          </cell>
          <cell r="AP15" t="e">
            <v>#N/A</v>
          </cell>
          <cell r="AQ15" t="e">
            <v>#N/A</v>
          </cell>
          <cell r="AR15" t="e">
            <v>#N/A</v>
          </cell>
          <cell r="AS15" t="e">
            <v>#N/A</v>
          </cell>
          <cell r="AT15" t="e">
            <v>#N/A</v>
          </cell>
          <cell r="AU15" t="e">
            <v>#N/A</v>
          </cell>
          <cell r="AV15" t="e">
            <v>#N/A</v>
          </cell>
        </row>
        <row r="16">
          <cell r="A16">
            <v>369.2</v>
          </cell>
          <cell r="B16" t="str">
            <v>2uk_shareholding</v>
          </cell>
          <cell r="C16" t="str">
            <v>UK shareholding</v>
          </cell>
          <cell r="D16" t="str">
            <v>(%)</v>
          </cell>
          <cell r="E16">
            <v>0</v>
          </cell>
          <cell r="F16">
            <v>0</v>
          </cell>
          <cell r="G16">
            <v>0</v>
          </cell>
          <cell r="H16">
            <v>0</v>
          </cell>
          <cell r="I16">
            <v>0</v>
          </cell>
          <cell r="J16">
            <v>0</v>
          </cell>
          <cell r="K16">
            <v>0</v>
          </cell>
          <cell r="L16">
            <v>0</v>
          </cell>
          <cell r="M16">
            <v>0</v>
          </cell>
          <cell r="N16" t="str">
            <v>uk_shareholding</v>
          </cell>
          <cell r="O16">
            <v>0</v>
          </cell>
          <cell r="P16">
            <v>0</v>
          </cell>
          <cell r="Q16">
            <v>0.01</v>
          </cell>
          <cell r="R16" t="str">
            <v>E</v>
          </cell>
          <cell r="S16">
            <v>2</v>
          </cell>
          <cell r="T16" t="str">
            <v>null</v>
          </cell>
          <cell r="U16">
            <v>2</v>
          </cell>
          <cell r="V16">
            <v>0</v>
          </cell>
          <cell r="W16">
            <v>0</v>
          </cell>
          <cell r="X16">
            <v>0</v>
          </cell>
          <cell r="Y16">
            <v>0</v>
          </cell>
          <cell r="Z16">
            <v>0</v>
          </cell>
          <cell r="AA16">
            <v>579</v>
          </cell>
          <cell r="AB16" t="str">
            <v>company level data</v>
          </cell>
          <cell r="AC16">
            <v>14</v>
          </cell>
          <cell r="AD16">
            <v>0</v>
          </cell>
          <cell r="AE16" t="str">
            <v>c_st_uk_shareholding</v>
          </cell>
          <cell r="AF16">
            <v>0</v>
          </cell>
          <cell r="AG16">
            <v>0</v>
          </cell>
          <cell r="AH16">
            <v>0</v>
          </cell>
          <cell r="AI16">
            <v>0</v>
          </cell>
          <cell r="AJ16">
            <v>0</v>
          </cell>
          <cell r="AK16">
            <v>0</v>
          </cell>
          <cell r="AL16">
            <v>0</v>
          </cell>
          <cell r="AM16">
            <v>0</v>
          </cell>
          <cell r="AN16" t="e">
            <v>#N/A</v>
          </cell>
          <cell r="AO16" t="e">
            <v>#N/A</v>
          </cell>
          <cell r="AP16" t="e">
            <v>#N/A</v>
          </cell>
          <cell r="AQ16" t="e">
            <v>#N/A</v>
          </cell>
          <cell r="AR16" t="e">
            <v>#N/A</v>
          </cell>
          <cell r="AS16" t="e">
            <v>#N/A</v>
          </cell>
          <cell r="AT16" t="e">
            <v>#N/A</v>
          </cell>
          <cell r="AU16" t="e">
            <v>#N/A</v>
          </cell>
          <cell r="AV16" t="e">
            <v>#N/A</v>
          </cell>
        </row>
        <row r="17">
          <cell r="A17">
            <v>370</v>
          </cell>
          <cell r="B17" t="str">
            <v>-c_st_us_shareholding</v>
          </cell>
          <cell r="C17" t="str">
            <v>US shareholding</v>
          </cell>
          <cell r="D17" t="str">
            <v>(%)</v>
          </cell>
          <cell r="E17">
            <v>0</v>
          </cell>
          <cell r="F17">
            <v>0</v>
          </cell>
          <cell r="G17">
            <v>0</v>
          </cell>
          <cell r="H17">
            <v>0</v>
          </cell>
          <cell r="I17">
            <v>0</v>
          </cell>
          <cell r="J17">
            <v>0</v>
          </cell>
          <cell r="K17">
            <v>0</v>
          </cell>
          <cell r="L17">
            <v>0</v>
          </cell>
          <cell r="M17">
            <v>0</v>
          </cell>
          <cell r="N17" t="str">
            <v>c_st_us_shareholding</v>
          </cell>
          <cell r="O17">
            <v>0</v>
          </cell>
          <cell r="P17">
            <v>0</v>
          </cell>
          <cell r="Q17">
            <v>1</v>
          </cell>
          <cell r="R17" t="str">
            <v>ST</v>
          </cell>
          <cell r="S17" t="str">
            <v>-</v>
          </cell>
          <cell r="T17">
            <v>1047</v>
          </cell>
          <cell r="U17" t="str">
            <v>-</v>
          </cell>
          <cell r="V17">
            <v>0</v>
          </cell>
          <cell r="W17">
            <v>0</v>
          </cell>
          <cell r="X17">
            <v>0</v>
          </cell>
          <cell r="Y17">
            <v>0</v>
          </cell>
          <cell r="Z17">
            <v>0</v>
          </cell>
          <cell r="AA17">
            <v>595</v>
          </cell>
          <cell r="AB17" t="str">
            <v>company level data</v>
          </cell>
          <cell r="AC17">
            <v>15</v>
          </cell>
          <cell r="AD17">
            <v>0</v>
          </cell>
          <cell r="AE17">
            <v>0</v>
          </cell>
          <cell r="AF17">
            <v>0</v>
          </cell>
          <cell r="AG17">
            <v>0</v>
          </cell>
          <cell r="AH17">
            <v>0</v>
          </cell>
          <cell r="AI17">
            <v>0</v>
          </cell>
          <cell r="AJ17">
            <v>0</v>
          </cell>
          <cell r="AK17">
            <v>0</v>
          </cell>
          <cell r="AL17">
            <v>0</v>
          </cell>
          <cell r="AM17">
            <v>0</v>
          </cell>
          <cell r="AN17" t="e">
            <v>#N/A</v>
          </cell>
          <cell r="AO17" t="e">
            <v>#N/A</v>
          </cell>
          <cell r="AP17" t="e">
            <v>#N/A</v>
          </cell>
          <cell r="AQ17" t="e">
            <v>#N/A</v>
          </cell>
          <cell r="AR17" t="e">
            <v>#N/A</v>
          </cell>
          <cell r="AS17" t="e">
            <v>#N/A</v>
          </cell>
          <cell r="AT17" t="e">
            <v>#N/A</v>
          </cell>
          <cell r="AU17" t="e">
            <v>#N/A</v>
          </cell>
          <cell r="AV17" t="e">
            <v>#N/A</v>
          </cell>
        </row>
        <row r="18">
          <cell r="A18">
            <v>370.2</v>
          </cell>
          <cell r="B18" t="str">
            <v>2us_shareholding</v>
          </cell>
          <cell r="C18" t="str">
            <v>US shareholding</v>
          </cell>
          <cell r="D18" t="str">
            <v>(%)</v>
          </cell>
          <cell r="E18">
            <v>0</v>
          </cell>
          <cell r="F18">
            <v>0</v>
          </cell>
          <cell r="G18">
            <v>0</v>
          </cell>
          <cell r="H18">
            <v>0</v>
          </cell>
          <cell r="I18">
            <v>0</v>
          </cell>
          <cell r="J18">
            <v>0</v>
          </cell>
          <cell r="K18">
            <v>0</v>
          </cell>
          <cell r="L18">
            <v>0</v>
          </cell>
          <cell r="M18">
            <v>0</v>
          </cell>
          <cell r="N18" t="str">
            <v>us_shareholding</v>
          </cell>
          <cell r="O18">
            <v>0</v>
          </cell>
          <cell r="P18">
            <v>0</v>
          </cell>
          <cell r="Q18">
            <v>0.01</v>
          </cell>
          <cell r="R18" t="str">
            <v>E</v>
          </cell>
          <cell r="S18">
            <v>2</v>
          </cell>
          <cell r="T18" t="str">
            <v>null</v>
          </cell>
          <cell r="U18">
            <v>2</v>
          </cell>
          <cell r="V18">
            <v>0</v>
          </cell>
          <cell r="W18">
            <v>0</v>
          </cell>
          <cell r="X18">
            <v>0</v>
          </cell>
          <cell r="Y18">
            <v>0</v>
          </cell>
          <cell r="Z18">
            <v>0</v>
          </cell>
          <cell r="AA18">
            <v>594</v>
          </cell>
          <cell r="AB18" t="str">
            <v>company level data</v>
          </cell>
          <cell r="AC18">
            <v>16</v>
          </cell>
          <cell r="AD18">
            <v>0</v>
          </cell>
          <cell r="AE18" t="str">
            <v>c_st_us_shareholding</v>
          </cell>
          <cell r="AF18">
            <v>0</v>
          </cell>
          <cell r="AG18">
            <v>0</v>
          </cell>
          <cell r="AH18">
            <v>0</v>
          </cell>
          <cell r="AI18">
            <v>0</v>
          </cell>
          <cell r="AJ18">
            <v>0</v>
          </cell>
          <cell r="AK18">
            <v>0</v>
          </cell>
          <cell r="AL18">
            <v>0</v>
          </cell>
          <cell r="AM18">
            <v>0</v>
          </cell>
          <cell r="AN18" t="e">
            <v>#N/A</v>
          </cell>
          <cell r="AO18" t="e">
            <v>#N/A</v>
          </cell>
          <cell r="AP18" t="e">
            <v>#N/A</v>
          </cell>
          <cell r="AQ18" t="e">
            <v>#N/A</v>
          </cell>
          <cell r="AR18" t="e">
            <v>#N/A</v>
          </cell>
          <cell r="AS18" t="e">
            <v>#N/A</v>
          </cell>
          <cell r="AT18" t="e">
            <v>#N/A</v>
          </cell>
          <cell r="AU18" t="e">
            <v>#N/A</v>
          </cell>
          <cell r="AV18" t="e">
            <v>#N/A</v>
          </cell>
        </row>
        <row r="19">
          <cell r="A19">
            <v>371</v>
          </cell>
          <cell r="B19" t="str">
            <v>-c_st_row_shareholding</v>
          </cell>
          <cell r="C19" t="str">
            <v>RoW shareholding</v>
          </cell>
          <cell r="D19" t="str">
            <v>(%)</v>
          </cell>
          <cell r="E19">
            <v>0</v>
          </cell>
          <cell r="F19">
            <v>0</v>
          </cell>
          <cell r="G19">
            <v>0</v>
          </cell>
          <cell r="H19">
            <v>0</v>
          </cell>
          <cell r="I19">
            <v>0</v>
          </cell>
          <cell r="J19">
            <v>0</v>
          </cell>
          <cell r="K19">
            <v>0</v>
          </cell>
          <cell r="L19">
            <v>0</v>
          </cell>
          <cell r="M19">
            <v>0</v>
          </cell>
          <cell r="N19" t="str">
            <v>c_st_row_shareholding</v>
          </cell>
          <cell r="O19">
            <v>0</v>
          </cell>
          <cell r="P19">
            <v>0</v>
          </cell>
          <cell r="Q19">
            <v>1</v>
          </cell>
          <cell r="R19" t="str">
            <v>ST</v>
          </cell>
          <cell r="S19" t="str">
            <v>-</v>
          </cell>
          <cell r="T19">
            <v>1048</v>
          </cell>
          <cell r="U19" t="str">
            <v>-</v>
          </cell>
          <cell r="V19">
            <v>0</v>
          </cell>
          <cell r="W19">
            <v>0</v>
          </cell>
          <cell r="X19">
            <v>0</v>
          </cell>
          <cell r="Y19">
            <v>0</v>
          </cell>
          <cell r="Z19">
            <v>0</v>
          </cell>
          <cell r="AA19">
            <v>518</v>
          </cell>
          <cell r="AB19" t="str">
            <v>company level data</v>
          </cell>
          <cell r="AC19">
            <v>17</v>
          </cell>
          <cell r="AD19">
            <v>0</v>
          </cell>
          <cell r="AE19">
            <v>0</v>
          </cell>
          <cell r="AF19">
            <v>0</v>
          </cell>
          <cell r="AG19">
            <v>0</v>
          </cell>
          <cell r="AH19">
            <v>0</v>
          </cell>
          <cell r="AI19">
            <v>0</v>
          </cell>
          <cell r="AJ19">
            <v>0</v>
          </cell>
          <cell r="AK19">
            <v>0</v>
          </cell>
          <cell r="AL19">
            <v>0</v>
          </cell>
          <cell r="AM19">
            <v>0</v>
          </cell>
          <cell r="AN19" t="e">
            <v>#N/A</v>
          </cell>
          <cell r="AO19" t="e">
            <v>#N/A</v>
          </cell>
          <cell r="AP19" t="e">
            <v>#N/A</v>
          </cell>
          <cell r="AQ19" t="e">
            <v>#N/A</v>
          </cell>
          <cell r="AR19" t="e">
            <v>#N/A</v>
          </cell>
          <cell r="AS19" t="e">
            <v>#N/A</v>
          </cell>
          <cell r="AT19" t="e">
            <v>#N/A</v>
          </cell>
          <cell r="AU19" t="e">
            <v>#N/A</v>
          </cell>
          <cell r="AV19" t="e">
            <v>#N/A</v>
          </cell>
        </row>
        <row r="20">
          <cell r="A20">
            <v>371.2</v>
          </cell>
          <cell r="B20" t="str">
            <v>2row_shareholding</v>
          </cell>
          <cell r="C20" t="str">
            <v>RoW shareholding</v>
          </cell>
          <cell r="D20" t="str">
            <v>(%)</v>
          </cell>
          <cell r="E20">
            <v>0</v>
          </cell>
          <cell r="F20">
            <v>0</v>
          </cell>
          <cell r="G20">
            <v>0</v>
          </cell>
          <cell r="H20">
            <v>0</v>
          </cell>
          <cell r="I20">
            <v>0</v>
          </cell>
          <cell r="J20">
            <v>0</v>
          </cell>
          <cell r="K20">
            <v>0</v>
          </cell>
          <cell r="L20">
            <v>0</v>
          </cell>
          <cell r="M20">
            <v>0</v>
          </cell>
          <cell r="N20" t="str">
            <v>row_shareholding</v>
          </cell>
          <cell r="O20">
            <v>0</v>
          </cell>
          <cell r="P20">
            <v>0</v>
          </cell>
          <cell r="Q20">
            <v>0.01</v>
          </cell>
          <cell r="R20" t="str">
            <v>E</v>
          </cell>
          <cell r="S20">
            <v>2</v>
          </cell>
          <cell r="T20" t="str">
            <v>null</v>
          </cell>
          <cell r="U20">
            <v>2</v>
          </cell>
          <cell r="V20">
            <v>0</v>
          </cell>
          <cell r="W20">
            <v>0</v>
          </cell>
          <cell r="X20">
            <v>0</v>
          </cell>
          <cell r="Y20">
            <v>0</v>
          </cell>
          <cell r="Z20">
            <v>0</v>
          </cell>
          <cell r="AA20">
            <v>517</v>
          </cell>
          <cell r="AB20" t="str">
            <v>company level data</v>
          </cell>
          <cell r="AC20">
            <v>18</v>
          </cell>
          <cell r="AD20">
            <v>0</v>
          </cell>
          <cell r="AE20" t="str">
            <v>c_st_row_shareholding</v>
          </cell>
          <cell r="AF20">
            <v>0</v>
          </cell>
          <cell r="AG20">
            <v>0</v>
          </cell>
          <cell r="AH20">
            <v>0</v>
          </cell>
          <cell r="AI20">
            <v>0</v>
          </cell>
          <cell r="AJ20">
            <v>0</v>
          </cell>
          <cell r="AK20">
            <v>0</v>
          </cell>
          <cell r="AL20">
            <v>0</v>
          </cell>
          <cell r="AM20">
            <v>0</v>
          </cell>
          <cell r="AN20" t="e">
            <v>#N/A</v>
          </cell>
          <cell r="AO20" t="e">
            <v>#N/A</v>
          </cell>
          <cell r="AP20" t="e">
            <v>#N/A</v>
          </cell>
          <cell r="AQ20" t="e">
            <v>#N/A</v>
          </cell>
          <cell r="AR20" t="e">
            <v>#N/A</v>
          </cell>
          <cell r="AS20" t="e">
            <v>#N/A</v>
          </cell>
          <cell r="AT20" t="e">
            <v>#N/A</v>
          </cell>
          <cell r="AU20" t="e">
            <v>#N/A</v>
          </cell>
          <cell r="AV20" t="e">
            <v>#N/A</v>
          </cell>
        </row>
        <row r="21">
          <cell r="A21">
            <v>9</v>
          </cell>
          <cell r="B21" t="str">
            <v>-c_st_c_st_free_float</v>
          </cell>
          <cell r="C21" t="str">
            <v>Free float</v>
          </cell>
          <cell r="D21" t="str">
            <v>(%)</v>
          </cell>
          <cell r="E21">
            <v>0</v>
          </cell>
          <cell r="F21">
            <v>0</v>
          </cell>
          <cell r="G21">
            <v>0</v>
          </cell>
          <cell r="H21">
            <v>0</v>
          </cell>
          <cell r="I21">
            <v>0</v>
          </cell>
          <cell r="J21">
            <v>0</v>
          </cell>
          <cell r="K21">
            <v>0</v>
          </cell>
          <cell r="L21">
            <v>0</v>
          </cell>
          <cell r="M21">
            <v>0</v>
          </cell>
          <cell r="N21" t="str">
            <v>c_st_c_st_free_float</v>
          </cell>
          <cell r="O21">
            <v>0</v>
          </cell>
          <cell r="P21">
            <v>0</v>
          </cell>
          <cell r="Q21">
            <v>0.01</v>
          </cell>
          <cell r="R21" t="str">
            <v>ST</v>
          </cell>
          <cell r="S21" t="str">
            <v>-</v>
          </cell>
          <cell r="T21">
            <v>1022</v>
          </cell>
          <cell r="U21" t="str">
            <v>-</v>
          </cell>
          <cell r="V21">
            <v>0</v>
          </cell>
          <cell r="W21">
            <v>0</v>
          </cell>
          <cell r="X21">
            <v>0</v>
          </cell>
          <cell r="Y21">
            <v>0</v>
          </cell>
          <cell r="Z21">
            <v>0</v>
          </cell>
          <cell r="AA21">
            <v>254</v>
          </cell>
          <cell r="AB21" t="str">
            <v>company level data</v>
          </cell>
          <cell r="AC21">
            <v>19</v>
          </cell>
          <cell r="AD21">
            <v>0</v>
          </cell>
          <cell r="AE21">
            <v>0</v>
          </cell>
          <cell r="AF21">
            <v>0</v>
          </cell>
          <cell r="AG21">
            <v>0</v>
          </cell>
          <cell r="AH21">
            <v>0</v>
          </cell>
          <cell r="AI21">
            <v>0</v>
          </cell>
          <cell r="AJ21">
            <v>0</v>
          </cell>
          <cell r="AK21">
            <v>0</v>
          </cell>
          <cell r="AL21">
            <v>0</v>
          </cell>
          <cell r="AM21">
            <v>0</v>
          </cell>
          <cell r="AN21">
            <v>9</v>
          </cell>
          <cell r="AO21" t="str">
            <v xml:space="preserve">Free float </v>
          </cell>
          <cell r="AP21" t="str">
            <v>%</v>
          </cell>
          <cell r="AQ21">
            <v>0</v>
          </cell>
          <cell r="AR21">
            <v>0</v>
          </cell>
          <cell r="AS21">
            <v>0</v>
          </cell>
          <cell r="AT21">
            <v>0</v>
          </cell>
          <cell r="AU21" t="e">
            <v>#VALUE!</v>
          </cell>
          <cell r="AV21" t="e">
            <v>#VALUE!</v>
          </cell>
        </row>
        <row r="22">
          <cell r="A22">
            <v>9.1999999999999993</v>
          </cell>
          <cell r="B22" t="str">
            <v>2fd_free_float</v>
          </cell>
          <cell r="C22" t="str">
            <v>Free float</v>
          </cell>
          <cell r="D22" t="str">
            <v>(%)</v>
          </cell>
          <cell r="E22">
            <v>0</v>
          </cell>
          <cell r="F22">
            <v>0</v>
          </cell>
          <cell r="G22">
            <v>0</v>
          </cell>
          <cell r="H22">
            <v>0</v>
          </cell>
          <cell r="I22">
            <v>0</v>
          </cell>
          <cell r="J22">
            <v>0</v>
          </cell>
          <cell r="K22">
            <v>0</v>
          </cell>
          <cell r="L22">
            <v>0</v>
          </cell>
          <cell r="M22">
            <v>0</v>
          </cell>
          <cell r="N22" t="str">
            <v>fd_free_float</v>
          </cell>
          <cell r="O22">
            <v>0</v>
          </cell>
          <cell r="P22">
            <v>0</v>
          </cell>
          <cell r="Q22">
            <v>0.01</v>
          </cell>
          <cell r="R22" t="str">
            <v>E</v>
          </cell>
          <cell r="S22">
            <v>2</v>
          </cell>
          <cell r="T22" t="str">
            <v>null</v>
          </cell>
          <cell r="U22">
            <v>2</v>
          </cell>
          <cell r="V22">
            <v>0</v>
          </cell>
          <cell r="W22">
            <v>0</v>
          </cell>
          <cell r="X22">
            <v>0</v>
          </cell>
          <cell r="Y22">
            <v>0</v>
          </cell>
          <cell r="Z22">
            <v>0</v>
          </cell>
          <cell r="AA22">
            <v>253</v>
          </cell>
          <cell r="AB22" t="str">
            <v>company level data</v>
          </cell>
          <cell r="AC22">
            <v>20</v>
          </cell>
          <cell r="AD22">
            <v>0</v>
          </cell>
          <cell r="AE22" t="str">
            <v>c_st_c_st_free_float</v>
          </cell>
          <cell r="AF22">
            <v>0</v>
          </cell>
          <cell r="AG22">
            <v>0</v>
          </cell>
          <cell r="AH22">
            <v>0</v>
          </cell>
          <cell r="AI22">
            <v>0</v>
          </cell>
          <cell r="AJ22">
            <v>0</v>
          </cell>
          <cell r="AK22">
            <v>0</v>
          </cell>
          <cell r="AL22">
            <v>0</v>
          </cell>
          <cell r="AM22">
            <v>0</v>
          </cell>
          <cell r="AN22" t="e">
            <v>#N/A</v>
          </cell>
          <cell r="AO22" t="e">
            <v>#N/A</v>
          </cell>
          <cell r="AP22" t="e">
            <v>#N/A</v>
          </cell>
          <cell r="AQ22" t="e">
            <v>#N/A</v>
          </cell>
          <cell r="AR22" t="e">
            <v>#N/A</v>
          </cell>
          <cell r="AS22" t="e">
            <v>#N/A</v>
          </cell>
          <cell r="AT22" t="e">
            <v>#N/A</v>
          </cell>
          <cell r="AU22" t="e">
            <v>#N/A</v>
          </cell>
          <cell r="AV22" t="e">
            <v>#N/A</v>
          </cell>
        </row>
        <row r="23">
          <cell r="A23">
            <v>9.5</v>
          </cell>
          <cell r="B23" t="str">
            <v>-c_st_fleet_rentals</v>
          </cell>
          <cell r="C23" t="str">
            <v>Fleet rentals (for MV calculation)</v>
          </cell>
          <cell r="D23" t="str">
            <v>(m)</v>
          </cell>
          <cell r="E23">
            <v>0</v>
          </cell>
          <cell r="F23">
            <v>0</v>
          </cell>
          <cell r="G23">
            <v>0</v>
          </cell>
          <cell r="H23">
            <v>0</v>
          </cell>
          <cell r="I23">
            <v>0</v>
          </cell>
          <cell r="J23">
            <v>0</v>
          </cell>
          <cell r="K23">
            <v>0</v>
          </cell>
          <cell r="L23">
            <v>0</v>
          </cell>
          <cell r="M23">
            <v>0</v>
          </cell>
          <cell r="N23" t="str">
            <v>c_st_fleet_rentals</v>
          </cell>
          <cell r="O23">
            <v>0</v>
          </cell>
          <cell r="P23">
            <v>0</v>
          </cell>
          <cell r="Q23">
            <v>1000000</v>
          </cell>
          <cell r="R23" t="str">
            <v>ST</v>
          </cell>
          <cell r="S23" t="str">
            <v>-</v>
          </cell>
          <cell r="T23">
            <v>1045</v>
          </cell>
          <cell r="U23" t="str">
            <v>-</v>
          </cell>
          <cell r="V23">
            <v>0</v>
          </cell>
          <cell r="W23">
            <v>0</v>
          </cell>
          <cell r="X23">
            <v>0</v>
          </cell>
          <cell r="Y23">
            <v>0</v>
          </cell>
          <cell r="Z23">
            <v>0</v>
          </cell>
          <cell r="AA23">
            <v>248</v>
          </cell>
          <cell r="AB23" t="str">
            <v>company level data</v>
          </cell>
          <cell r="AC23">
            <v>21</v>
          </cell>
          <cell r="AD23">
            <v>0</v>
          </cell>
          <cell r="AE23">
            <v>0</v>
          </cell>
          <cell r="AF23">
            <v>0</v>
          </cell>
          <cell r="AG23">
            <v>0</v>
          </cell>
          <cell r="AH23">
            <v>0</v>
          </cell>
          <cell r="AI23">
            <v>0</v>
          </cell>
          <cell r="AJ23">
            <v>0</v>
          </cell>
          <cell r="AK23">
            <v>0</v>
          </cell>
          <cell r="AL23">
            <v>0</v>
          </cell>
          <cell r="AM23">
            <v>0</v>
          </cell>
          <cell r="AN23" t="e">
            <v>#N/A</v>
          </cell>
          <cell r="AO23" t="e">
            <v>#N/A</v>
          </cell>
          <cell r="AP23" t="e">
            <v>#N/A</v>
          </cell>
          <cell r="AQ23" t="e">
            <v>#N/A</v>
          </cell>
          <cell r="AR23" t="e">
            <v>#N/A</v>
          </cell>
          <cell r="AS23" t="e">
            <v>#N/A</v>
          </cell>
          <cell r="AT23" t="e">
            <v>#N/A</v>
          </cell>
          <cell r="AU23" t="e">
            <v>#N/A</v>
          </cell>
          <cell r="AV23" t="e">
            <v>#N/A</v>
          </cell>
        </row>
        <row r="24">
          <cell r="A24">
            <v>9.6</v>
          </cell>
          <cell r="B24" t="str">
            <v>2fleet_rentals</v>
          </cell>
          <cell r="C24" t="str">
            <v>Fleet rentals (for MV calculation)</v>
          </cell>
          <cell r="D24" t="str">
            <v>(m)</v>
          </cell>
          <cell r="E24">
            <v>0</v>
          </cell>
          <cell r="F24">
            <v>0</v>
          </cell>
          <cell r="G24">
            <v>0</v>
          </cell>
          <cell r="H24">
            <v>0</v>
          </cell>
          <cell r="I24">
            <v>0</v>
          </cell>
          <cell r="J24">
            <v>0</v>
          </cell>
          <cell r="K24">
            <v>0</v>
          </cell>
          <cell r="L24">
            <v>0</v>
          </cell>
          <cell r="M24">
            <v>0</v>
          </cell>
          <cell r="N24" t="str">
            <v>fleet_rentals</v>
          </cell>
          <cell r="O24">
            <v>0</v>
          </cell>
          <cell r="P24">
            <v>0</v>
          </cell>
          <cell r="Q24">
            <v>1000000</v>
          </cell>
          <cell r="R24" t="str">
            <v>E</v>
          </cell>
          <cell r="S24">
            <v>2</v>
          </cell>
          <cell r="T24" t="str">
            <v>null</v>
          </cell>
          <cell r="U24">
            <v>2</v>
          </cell>
          <cell r="V24">
            <v>0</v>
          </cell>
          <cell r="W24">
            <v>0</v>
          </cell>
          <cell r="X24">
            <v>0</v>
          </cell>
          <cell r="Y24">
            <v>0</v>
          </cell>
          <cell r="Z24">
            <v>0</v>
          </cell>
          <cell r="AA24">
            <v>247</v>
          </cell>
          <cell r="AB24" t="str">
            <v>company level data</v>
          </cell>
          <cell r="AC24">
            <v>22</v>
          </cell>
          <cell r="AD24">
            <v>0</v>
          </cell>
          <cell r="AE24" t="str">
            <v>c_st_fleet_rentals</v>
          </cell>
          <cell r="AF24">
            <v>0</v>
          </cell>
          <cell r="AG24">
            <v>0</v>
          </cell>
          <cell r="AH24">
            <v>0</v>
          </cell>
          <cell r="AI24">
            <v>0</v>
          </cell>
          <cell r="AJ24">
            <v>0</v>
          </cell>
          <cell r="AK24">
            <v>0</v>
          </cell>
          <cell r="AL24">
            <v>0</v>
          </cell>
          <cell r="AM24">
            <v>0</v>
          </cell>
          <cell r="AN24" t="e">
            <v>#N/A</v>
          </cell>
          <cell r="AO24" t="e">
            <v>#N/A</v>
          </cell>
          <cell r="AP24" t="e">
            <v>#N/A</v>
          </cell>
          <cell r="AQ24" t="e">
            <v>#N/A</v>
          </cell>
          <cell r="AR24" t="e">
            <v>#N/A</v>
          </cell>
          <cell r="AS24" t="e">
            <v>#N/A</v>
          </cell>
          <cell r="AT24" t="e">
            <v>#N/A</v>
          </cell>
          <cell r="AU24" t="e">
            <v>#N/A</v>
          </cell>
          <cell r="AV24" t="e">
            <v>#N/A</v>
          </cell>
        </row>
        <row r="25">
          <cell r="A25">
            <v>11.2</v>
          </cell>
          <cell r="B25" t="str">
            <v>-c_st_mv_of_assets</v>
          </cell>
          <cell r="C25" t="str">
            <v>MV of assets</v>
          </cell>
          <cell r="D25" t="str">
            <v>(m)</v>
          </cell>
          <cell r="E25">
            <v>0</v>
          </cell>
          <cell r="F25">
            <v>0</v>
          </cell>
          <cell r="G25">
            <v>0</v>
          </cell>
          <cell r="H25">
            <v>0</v>
          </cell>
          <cell r="I25">
            <v>0</v>
          </cell>
          <cell r="J25">
            <v>0</v>
          </cell>
          <cell r="K25">
            <v>0</v>
          </cell>
          <cell r="L25">
            <v>0</v>
          </cell>
          <cell r="M25">
            <v>0</v>
          </cell>
          <cell r="N25" t="str">
            <v>c_st_mv_of_assets</v>
          </cell>
          <cell r="O25">
            <v>0</v>
          </cell>
          <cell r="P25">
            <v>0</v>
          </cell>
          <cell r="Q25">
            <v>1000000</v>
          </cell>
          <cell r="R25" t="str">
            <v>ST</v>
          </cell>
          <cell r="S25" t="str">
            <v>-</v>
          </cell>
          <cell r="T25">
            <v>1051</v>
          </cell>
          <cell r="U25" t="str">
            <v>-</v>
          </cell>
          <cell r="V25">
            <v>0</v>
          </cell>
          <cell r="W25">
            <v>0</v>
          </cell>
          <cell r="X25">
            <v>0</v>
          </cell>
          <cell r="Y25">
            <v>0</v>
          </cell>
          <cell r="Z25">
            <v>0</v>
          </cell>
          <cell r="AA25">
            <v>347</v>
          </cell>
          <cell r="AB25" t="str">
            <v>company level data</v>
          </cell>
          <cell r="AC25">
            <v>23</v>
          </cell>
          <cell r="AD25">
            <v>0</v>
          </cell>
          <cell r="AE25">
            <v>0</v>
          </cell>
          <cell r="AF25">
            <v>0</v>
          </cell>
          <cell r="AG25">
            <v>0</v>
          </cell>
          <cell r="AH25">
            <v>0</v>
          </cell>
          <cell r="AI25">
            <v>0</v>
          </cell>
          <cell r="AJ25">
            <v>0</v>
          </cell>
          <cell r="AK25">
            <v>0</v>
          </cell>
          <cell r="AL25">
            <v>0</v>
          </cell>
          <cell r="AM25">
            <v>0</v>
          </cell>
          <cell r="AN25" t="e">
            <v>#N/A</v>
          </cell>
          <cell r="AO25" t="e">
            <v>#N/A</v>
          </cell>
          <cell r="AP25" t="e">
            <v>#N/A</v>
          </cell>
          <cell r="AQ25" t="e">
            <v>#N/A</v>
          </cell>
          <cell r="AR25" t="e">
            <v>#N/A</v>
          </cell>
          <cell r="AS25" t="e">
            <v>#N/A</v>
          </cell>
          <cell r="AT25" t="e">
            <v>#N/A</v>
          </cell>
          <cell r="AU25" t="e">
            <v>#N/A</v>
          </cell>
          <cell r="AV25" t="e">
            <v>#N/A</v>
          </cell>
        </row>
        <row r="26">
          <cell r="A26">
            <v>10</v>
          </cell>
          <cell r="B26" t="str">
            <v>-c_st_mv_of_minorities</v>
          </cell>
          <cell r="C26" t="str">
            <v>MV of minorities</v>
          </cell>
          <cell r="D26" t="str">
            <v>(m)</v>
          </cell>
          <cell r="E26">
            <v>0</v>
          </cell>
          <cell r="F26">
            <v>0</v>
          </cell>
          <cell r="G26">
            <v>0</v>
          </cell>
          <cell r="H26">
            <v>0</v>
          </cell>
          <cell r="I26">
            <v>0</v>
          </cell>
          <cell r="J26">
            <v>0</v>
          </cell>
          <cell r="K26">
            <v>0</v>
          </cell>
          <cell r="L26">
            <v>0</v>
          </cell>
          <cell r="M26">
            <v>0</v>
          </cell>
          <cell r="N26" t="str">
            <v>c_st_mv_of_minorities</v>
          </cell>
          <cell r="O26">
            <v>0</v>
          </cell>
          <cell r="P26">
            <v>0</v>
          </cell>
          <cell r="Q26">
            <v>1000000</v>
          </cell>
          <cell r="R26" t="str">
            <v>ST</v>
          </cell>
          <cell r="S26" t="str">
            <v>-</v>
          </cell>
          <cell r="T26">
            <v>1023</v>
          </cell>
          <cell r="U26" t="str">
            <v>-</v>
          </cell>
          <cell r="V26">
            <v>0</v>
          </cell>
          <cell r="W26">
            <v>0</v>
          </cell>
          <cell r="X26">
            <v>0</v>
          </cell>
          <cell r="Y26">
            <v>0</v>
          </cell>
          <cell r="Z26">
            <v>0</v>
          </cell>
          <cell r="AA26">
            <v>347</v>
          </cell>
          <cell r="AB26" t="str">
            <v>company level data</v>
          </cell>
          <cell r="AC26">
            <v>23</v>
          </cell>
          <cell r="AD26">
            <v>0</v>
          </cell>
          <cell r="AE26">
            <v>0</v>
          </cell>
          <cell r="AF26">
            <v>0</v>
          </cell>
          <cell r="AG26">
            <v>0</v>
          </cell>
          <cell r="AH26">
            <v>0</v>
          </cell>
          <cell r="AI26">
            <v>0</v>
          </cell>
          <cell r="AJ26">
            <v>0</v>
          </cell>
          <cell r="AK26">
            <v>0</v>
          </cell>
          <cell r="AL26">
            <v>0</v>
          </cell>
          <cell r="AM26">
            <v>0</v>
          </cell>
          <cell r="AN26">
            <v>10</v>
          </cell>
          <cell r="AO26" t="str">
            <v>MV of minorities</v>
          </cell>
          <cell r="AP26" t="str">
            <v>m</v>
          </cell>
          <cell r="AQ26">
            <v>0</v>
          </cell>
          <cell r="AR26">
            <v>0</v>
          </cell>
          <cell r="AS26">
            <v>0</v>
          </cell>
          <cell r="AT26">
            <v>0</v>
          </cell>
          <cell r="AU26" t="e">
            <v>#VALUE!</v>
          </cell>
          <cell r="AV26" t="e">
            <v>#VALUE!</v>
          </cell>
        </row>
        <row r="27">
          <cell r="A27">
            <v>11</v>
          </cell>
          <cell r="B27" t="str">
            <v>-c_st_mv_of_investments</v>
          </cell>
          <cell r="C27" t="str">
            <v>MV of investments</v>
          </cell>
          <cell r="D27" t="str">
            <v>(m)</v>
          </cell>
          <cell r="E27">
            <v>0</v>
          </cell>
          <cell r="F27">
            <v>0</v>
          </cell>
          <cell r="G27">
            <v>0</v>
          </cell>
          <cell r="H27">
            <v>0</v>
          </cell>
          <cell r="I27">
            <v>0</v>
          </cell>
          <cell r="J27">
            <v>0</v>
          </cell>
          <cell r="K27">
            <v>0</v>
          </cell>
          <cell r="L27">
            <v>0</v>
          </cell>
          <cell r="M27">
            <v>0</v>
          </cell>
          <cell r="N27" t="str">
            <v>c_st_mv_of_investments</v>
          </cell>
          <cell r="O27">
            <v>0</v>
          </cell>
          <cell r="P27">
            <v>0</v>
          </cell>
          <cell r="Q27">
            <v>1000000</v>
          </cell>
          <cell r="R27" t="str">
            <v>ST</v>
          </cell>
          <cell r="S27" t="str">
            <v>-</v>
          </cell>
          <cell r="T27">
            <v>1024</v>
          </cell>
          <cell r="U27" t="str">
            <v>-</v>
          </cell>
          <cell r="V27">
            <v>0</v>
          </cell>
          <cell r="W27">
            <v>0</v>
          </cell>
          <cell r="X27">
            <v>0</v>
          </cell>
          <cell r="Y27">
            <v>0</v>
          </cell>
          <cell r="Z27">
            <v>0</v>
          </cell>
          <cell r="AA27">
            <v>345</v>
          </cell>
          <cell r="AB27" t="str">
            <v>company level data</v>
          </cell>
          <cell r="AC27">
            <v>24</v>
          </cell>
          <cell r="AD27">
            <v>0</v>
          </cell>
          <cell r="AE27">
            <v>0</v>
          </cell>
          <cell r="AF27">
            <v>0</v>
          </cell>
          <cell r="AG27">
            <v>0</v>
          </cell>
          <cell r="AH27">
            <v>0</v>
          </cell>
          <cell r="AI27">
            <v>0</v>
          </cell>
          <cell r="AJ27">
            <v>0</v>
          </cell>
          <cell r="AK27">
            <v>0</v>
          </cell>
          <cell r="AL27">
            <v>0</v>
          </cell>
          <cell r="AM27">
            <v>0</v>
          </cell>
          <cell r="AN27">
            <v>11</v>
          </cell>
          <cell r="AO27" t="str">
            <v>MV of investments</v>
          </cell>
          <cell r="AP27" t="str">
            <v>m</v>
          </cell>
          <cell r="AQ27">
            <v>0</v>
          </cell>
          <cell r="AR27">
            <v>0</v>
          </cell>
          <cell r="AS27">
            <v>0</v>
          </cell>
          <cell r="AT27">
            <v>0</v>
          </cell>
          <cell r="AU27" t="e">
            <v>#VALUE!</v>
          </cell>
          <cell r="AV27" t="e">
            <v>#VALUE!</v>
          </cell>
        </row>
        <row r="28">
          <cell r="A28">
            <v>42</v>
          </cell>
          <cell r="B28" t="str">
            <v>-c_st_3yr_ebitda_growth</v>
          </cell>
          <cell r="C28" t="str">
            <v>3yr average EBITDA growth</v>
          </cell>
          <cell r="D28" t="str">
            <v>(%)</v>
          </cell>
          <cell r="E28">
            <v>0</v>
          </cell>
          <cell r="F28">
            <v>0</v>
          </cell>
          <cell r="G28">
            <v>0</v>
          </cell>
          <cell r="H28">
            <v>0</v>
          </cell>
          <cell r="I28">
            <v>0</v>
          </cell>
          <cell r="J28">
            <v>0</v>
          </cell>
          <cell r="K28">
            <v>0</v>
          </cell>
          <cell r="L28">
            <v>0</v>
          </cell>
          <cell r="M28">
            <v>0</v>
          </cell>
          <cell r="N28" t="str">
            <v>c_st_3yr_ebitda_growth</v>
          </cell>
          <cell r="O28">
            <v>0</v>
          </cell>
          <cell r="P28">
            <v>0</v>
          </cell>
          <cell r="Q28">
            <v>0.01</v>
          </cell>
          <cell r="R28" t="str">
            <v>ST</v>
          </cell>
          <cell r="S28" t="str">
            <v>-</v>
          </cell>
          <cell r="T28">
            <v>1029</v>
          </cell>
          <cell r="U28" t="str">
            <v>-</v>
          </cell>
          <cell r="V28">
            <v>0</v>
          </cell>
          <cell r="W28">
            <v>0</v>
          </cell>
          <cell r="X28">
            <v>0</v>
          </cell>
          <cell r="Y28">
            <v>0</v>
          </cell>
          <cell r="Z28">
            <v>0</v>
          </cell>
          <cell r="AA28">
            <v>3</v>
          </cell>
          <cell r="AB28" t="str">
            <v>company level data</v>
          </cell>
          <cell r="AC28">
            <v>26</v>
          </cell>
          <cell r="AD28">
            <v>0</v>
          </cell>
          <cell r="AE28">
            <v>0</v>
          </cell>
          <cell r="AF28">
            <v>0</v>
          </cell>
          <cell r="AG28">
            <v>0</v>
          </cell>
          <cell r="AH28">
            <v>0</v>
          </cell>
          <cell r="AI28">
            <v>0</v>
          </cell>
          <cell r="AJ28">
            <v>0</v>
          </cell>
          <cell r="AK28">
            <v>0</v>
          </cell>
          <cell r="AL28">
            <v>0</v>
          </cell>
          <cell r="AM28">
            <v>0</v>
          </cell>
          <cell r="AN28">
            <v>42</v>
          </cell>
          <cell r="AO28" t="str">
            <v>3 yr EBITDA growth %</v>
          </cell>
          <cell r="AP28" t="str">
            <v>%</v>
          </cell>
          <cell r="AQ28">
            <v>0</v>
          </cell>
          <cell r="AR28">
            <v>0</v>
          </cell>
          <cell r="AS28">
            <v>0</v>
          </cell>
          <cell r="AT28">
            <v>0</v>
          </cell>
          <cell r="AU28" t="e">
            <v>#VALUE!</v>
          </cell>
          <cell r="AV28" t="e">
            <v>#VALUE!</v>
          </cell>
        </row>
        <row r="29">
          <cell r="A29">
            <v>37.200000000000003</v>
          </cell>
          <cell r="B29" t="str">
            <v>-c_st_3yr_av_sales_growth</v>
          </cell>
          <cell r="C29" t="str">
            <v>3yr average sales growth</v>
          </cell>
          <cell r="D29" t="str">
            <v>(%)</v>
          </cell>
          <cell r="E29">
            <v>0</v>
          </cell>
          <cell r="F29">
            <v>0</v>
          </cell>
          <cell r="G29">
            <v>0</v>
          </cell>
          <cell r="H29">
            <v>0</v>
          </cell>
          <cell r="I29">
            <v>0</v>
          </cell>
          <cell r="J29">
            <v>0</v>
          </cell>
          <cell r="K29">
            <v>0</v>
          </cell>
          <cell r="L29">
            <v>0</v>
          </cell>
          <cell r="M29">
            <v>0</v>
          </cell>
          <cell r="N29" t="str">
            <v>c_st_3yr_av_sales_growth</v>
          </cell>
          <cell r="O29">
            <v>0</v>
          </cell>
          <cell r="P29">
            <v>0</v>
          </cell>
          <cell r="Q29">
            <v>0.01</v>
          </cell>
          <cell r="R29" t="str">
            <v>ST</v>
          </cell>
          <cell r="S29" t="str">
            <v>-</v>
          </cell>
          <cell r="T29">
            <v>1027</v>
          </cell>
          <cell r="U29" t="str">
            <v>-</v>
          </cell>
          <cell r="V29">
            <v>0</v>
          </cell>
          <cell r="W29">
            <v>0</v>
          </cell>
          <cell r="X29">
            <v>0</v>
          </cell>
          <cell r="Y29">
            <v>0</v>
          </cell>
          <cell r="Z29">
            <v>0</v>
          </cell>
          <cell r="AA29">
            <v>5</v>
          </cell>
          <cell r="AB29" t="str">
            <v>company level data</v>
          </cell>
          <cell r="AC29">
            <v>26</v>
          </cell>
          <cell r="AD29">
            <v>0</v>
          </cell>
          <cell r="AE29">
            <v>0</v>
          </cell>
          <cell r="AF29">
            <v>0</v>
          </cell>
          <cell r="AG29">
            <v>0</v>
          </cell>
          <cell r="AH29">
            <v>0</v>
          </cell>
          <cell r="AI29">
            <v>0</v>
          </cell>
          <cell r="AJ29">
            <v>0</v>
          </cell>
          <cell r="AK29">
            <v>0</v>
          </cell>
          <cell r="AL29">
            <v>0</v>
          </cell>
          <cell r="AM29">
            <v>0</v>
          </cell>
          <cell r="AN29" t="e">
            <v>#N/A</v>
          </cell>
          <cell r="AO29" t="e">
            <v>#N/A</v>
          </cell>
          <cell r="AP29" t="e">
            <v>#N/A</v>
          </cell>
          <cell r="AQ29" t="e">
            <v>#N/A</v>
          </cell>
          <cell r="AR29" t="e">
            <v>#N/A</v>
          </cell>
          <cell r="AS29" t="e">
            <v>#N/A</v>
          </cell>
          <cell r="AT29" t="e">
            <v>#N/A</v>
          </cell>
          <cell r="AU29" t="e">
            <v>#N/A</v>
          </cell>
          <cell r="AV29" t="e">
            <v>#N/A</v>
          </cell>
        </row>
        <row r="30">
          <cell r="A30">
            <v>41</v>
          </cell>
          <cell r="B30" t="str">
            <v>-c_st_5yr_ebitda_growth</v>
          </cell>
          <cell r="C30" t="str">
            <v>5yr average EBITDA growth</v>
          </cell>
          <cell r="D30" t="str">
            <v>(%)</v>
          </cell>
          <cell r="E30">
            <v>0</v>
          </cell>
          <cell r="F30">
            <v>0</v>
          </cell>
          <cell r="G30">
            <v>0</v>
          </cell>
          <cell r="H30">
            <v>0</v>
          </cell>
          <cell r="I30">
            <v>0</v>
          </cell>
          <cell r="J30">
            <v>0</v>
          </cell>
          <cell r="K30">
            <v>0</v>
          </cell>
          <cell r="L30">
            <v>0</v>
          </cell>
          <cell r="M30">
            <v>0</v>
          </cell>
          <cell r="N30" t="str">
            <v>c_st_5yr_ebitda_growth</v>
          </cell>
          <cell r="O30">
            <v>0</v>
          </cell>
          <cell r="P30">
            <v>0</v>
          </cell>
          <cell r="Q30">
            <v>0.01</v>
          </cell>
          <cell r="R30" t="str">
            <v>ST</v>
          </cell>
          <cell r="S30" t="str">
            <v>-</v>
          </cell>
          <cell r="T30">
            <v>1028</v>
          </cell>
          <cell r="U30" t="str">
            <v>-</v>
          </cell>
          <cell r="V30">
            <v>0</v>
          </cell>
          <cell r="W30">
            <v>0</v>
          </cell>
          <cell r="X30">
            <v>0</v>
          </cell>
          <cell r="Y30">
            <v>0</v>
          </cell>
          <cell r="Z30">
            <v>0</v>
          </cell>
          <cell r="AA30">
            <v>7</v>
          </cell>
          <cell r="AB30" t="str">
            <v>company level data</v>
          </cell>
          <cell r="AC30">
            <v>26</v>
          </cell>
          <cell r="AD30">
            <v>0</v>
          </cell>
          <cell r="AE30">
            <v>0</v>
          </cell>
          <cell r="AF30">
            <v>0</v>
          </cell>
          <cell r="AG30">
            <v>0</v>
          </cell>
          <cell r="AH30">
            <v>0</v>
          </cell>
          <cell r="AI30">
            <v>0</v>
          </cell>
          <cell r="AJ30">
            <v>0</v>
          </cell>
          <cell r="AK30">
            <v>0</v>
          </cell>
          <cell r="AL30">
            <v>0</v>
          </cell>
          <cell r="AM30">
            <v>0</v>
          </cell>
          <cell r="AN30">
            <v>41</v>
          </cell>
          <cell r="AO30" t="str">
            <v>5 yr EBITDA growth %</v>
          </cell>
          <cell r="AP30" t="str">
            <v>%</v>
          </cell>
          <cell r="AQ30">
            <v>0</v>
          </cell>
          <cell r="AR30">
            <v>0</v>
          </cell>
          <cell r="AS30">
            <v>0</v>
          </cell>
          <cell r="AT30">
            <v>0</v>
          </cell>
          <cell r="AU30" t="e">
            <v>#VALUE!</v>
          </cell>
          <cell r="AV30" t="e">
            <v>#VALUE!</v>
          </cell>
        </row>
        <row r="31">
          <cell r="A31">
            <v>37.1</v>
          </cell>
          <cell r="B31" t="str">
            <v>-c_st_5yr_av_sales_growth</v>
          </cell>
          <cell r="C31" t="str">
            <v>5yr average rental growth</v>
          </cell>
          <cell r="D31" t="str">
            <v>(%)</v>
          </cell>
          <cell r="E31">
            <v>0</v>
          </cell>
          <cell r="F31">
            <v>0</v>
          </cell>
          <cell r="G31">
            <v>0</v>
          </cell>
          <cell r="H31">
            <v>0</v>
          </cell>
          <cell r="I31">
            <v>0</v>
          </cell>
          <cell r="J31">
            <v>0</v>
          </cell>
          <cell r="K31">
            <v>0</v>
          </cell>
          <cell r="L31">
            <v>0</v>
          </cell>
          <cell r="M31">
            <v>0</v>
          </cell>
          <cell r="N31" t="str">
            <v>c_st_5yr_av_sales_growth</v>
          </cell>
          <cell r="O31">
            <v>0</v>
          </cell>
          <cell r="P31">
            <v>0</v>
          </cell>
          <cell r="Q31">
            <v>0.01</v>
          </cell>
          <cell r="R31" t="str">
            <v>ST</v>
          </cell>
          <cell r="S31" t="str">
            <v>-</v>
          </cell>
          <cell r="T31">
            <v>1026</v>
          </cell>
          <cell r="U31" t="str">
            <v>-</v>
          </cell>
          <cell r="V31">
            <v>0</v>
          </cell>
          <cell r="W31">
            <v>0</v>
          </cell>
          <cell r="X31">
            <v>0</v>
          </cell>
          <cell r="Y31">
            <v>0</v>
          </cell>
          <cell r="Z31">
            <v>0</v>
          </cell>
          <cell r="AA31">
            <v>9</v>
          </cell>
          <cell r="AB31" t="str">
            <v>company level data</v>
          </cell>
          <cell r="AC31">
            <v>26</v>
          </cell>
          <cell r="AD31">
            <v>0</v>
          </cell>
          <cell r="AE31">
            <v>0</v>
          </cell>
          <cell r="AF31">
            <v>0</v>
          </cell>
          <cell r="AG31">
            <v>0</v>
          </cell>
          <cell r="AH31">
            <v>0</v>
          </cell>
          <cell r="AI31">
            <v>0</v>
          </cell>
          <cell r="AJ31">
            <v>0</v>
          </cell>
          <cell r="AK31">
            <v>0</v>
          </cell>
          <cell r="AL31">
            <v>0</v>
          </cell>
          <cell r="AM31">
            <v>0</v>
          </cell>
          <cell r="AN31" t="e">
            <v>#N/A</v>
          </cell>
          <cell r="AO31" t="e">
            <v>#N/A</v>
          </cell>
          <cell r="AP31" t="e">
            <v>#N/A</v>
          </cell>
          <cell r="AQ31" t="e">
            <v>#N/A</v>
          </cell>
          <cell r="AR31" t="e">
            <v>#N/A</v>
          </cell>
          <cell r="AS31" t="e">
            <v>#N/A</v>
          </cell>
          <cell r="AT31" t="e">
            <v>#N/A</v>
          </cell>
          <cell r="AU31" t="e">
            <v>#N/A</v>
          </cell>
          <cell r="AV31" t="e">
            <v>#N/A</v>
          </cell>
        </row>
        <row r="32">
          <cell r="A32">
            <v>37</v>
          </cell>
          <cell r="B32" t="str">
            <v>-c_st_5yr_av_sales_growth</v>
          </cell>
          <cell r="C32" t="str">
            <v>5yr average sales growth</v>
          </cell>
          <cell r="D32" t="str">
            <v>(%)</v>
          </cell>
          <cell r="E32">
            <v>0</v>
          </cell>
          <cell r="F32">
            <v>0</v>
          </cell>
          <cell r="G32">
            <v>0</v>
          </cell>
          <cell r="H32">
            <v>0</v>
          </cell>
          <cell r="I32">
            <v>0</v>
          </cell>
          <cell r="J32">
            <v>0</v>
          </cell>
          <cell r="K32">
            <v>0</v>
          </cell>
          <cell r="L32">
            <v>0</v>
          </cell>
          <cell r="M32">
            <v>0</v>
          </cell>
          <cell r="N32" t="str">
            <v>c_st_5yr_av_sales_growth</v>
          </cell>
          <cell r="O32">
            <v>0</v>
          </cell>
          <cell r="P32">
            <v>0</v>
          </cell>
          <cell r="Q32">
            <v>0.01</v>
          </cell>
          <cell r="R32" t="str">
            <v>ST</v>
          </cell>
          <cell r="S32" t="str">
            <v>-</v>
          </cell>
          <cell r="T32">
            <v>1026</v>
          </cell>
          <cell r="U32" t="str">
            <v>-</v>
          </cell>
          <cell r="V32">
            <v>0</v>
          </cell>
          <cell r="W32">
            <v>0</v>
          </cell>
          <cell r="X32">
            <v>0</v>
          </cell>
          <cell r="Y32">
            <v>0</v>
          </cell>
          <cell r="Z32">
            <v>0</v>
          </cell>
          <cell r="AA32">
            <v>11</v>
          </cell>
          <cell r="AB32" t="str">
            <v>company level data</v>
          </cell>
          <cell r="AC32">
            <v>26</v>
          </cell>
          <cell r="AD32">
            <v>0</v>
          </cell>
          <cell r="AE32">
            <v>0</v>
          </cell>
          <cell r="AF32">
            <v>0</v>
          </cell>
          <cell r="AG32">
            <v>0</v>
          </cell>
          <cell r="AH32">
            <v>0</v>
          </cell>
          <cell r="AI32">
            <v>0</v>
          </cell>
          <cell r="AJ32">
            <v>0</v>
          </cell>
          <cell r="AK32">
            <v>0</v>
          </cell>
          <cell r="AL32">
            <v>0</v>
          </cell>
          <cell r="AM32">
            <v>0</v>
          </cell>
          <cell r="AN32">
            <v>37</v>
          </cell>
          <cell r="AO32" t="str">
            <v xml:space="preserve">5 yr average sales growth </v>
          </cell>
          <cell r="AP32" t="str">
            <v>%</v>
          </cell>
          <cell r="AQ32">
            <v>0</v>
          </cell>
          <cell r="AR32">
            <v>0</v>
          </cell>
          <cell r="AS32">
            <v>0</v>
          </cell>
          <cell r="AT32">
            <v>0</v>
          </cell>
          <cell r="AU32" t="e">
            <v>#VALUE!</v>
          </cell>
          <cell r="AV32" t="e">
            <v>#VALUE!</v>
          </cell>
        </row>
        <row r="33">
          <cell r="A33">
            <v>14</v>
          </cell>
          <cell r="B33" t="str">
            <v>-c_st_adr_price</v>
          </cell>
          <cell r="C33" t="str">
            <v>ADR price</v>
          </cell>
          <cell r="D33" t="str">
            <v>$</v>
          </cell>
          <cell r="E33">
            <v>0</v>
          </cell>
          <cell r="F33">
            <v>0</v>
          </cell>
          <cell r="G33">
            <v>0</v>
          </cell>
          <cell r="H33">
            <v>0</v>
          </cell>
          <cell r="I33">
            <v>0</v>
          </cell>
          <cell r="J33">
            <v>0</v>
          </cell>
          <cell r="K33">
            <v>0</v>
          </cell>
          <cell r="L33">
            <v>0</v>
          </cell>
          <cell r="M33">
            <v>0</v>
          </cell>
          <cell r="N33" t="str">
            <v>c_st_adr_price</v>
          </cell>
          <cell r="O33">
            <v>0</v>
          </cell>
          <cell r="P33">
            <v>0</v>
          </cell>
          <cell r="Q33">
            <v>1</v>
          </cell>
          <cell r="R33" t="str">
            <v>ST</v>
          </cell>
          <cell r="S33" t="str">
            <v>-</v>
          </cell>
          <cell r="T33">
            <v>1044</v>
          </cell>
          <cell r="U33" t="str">
            <v>-</v>
          </cell>
          <cell r="V33">
            <v>0</v>
          </cell>
          <cell r="W33">
            <v>0</v>
          </cell>
          <cell r="X33">
            <v>0</v>
          </cell>
          <cell r="Y33">
            <v>0</v>
          </cell>
          <cell r="Z33">
            <v>0</v>
          </cell>
          <cell r="AA33">
            <v>17</v>
          </cell>
          <cell r="AB33" t="str">
            <v>company level data</v>
          </cell>
          <cell r="AC33">
            <v>26</v>
          </cell>
          <cell r="AD33">
            <v>0</v>
          </cell>
          <cell r="AE33">
            <v>0</v>
          </cell>
          <cell r="AF33">
            <v>0</v>
          </cell>
          <cell r="AG33">
            <v>0</v>
          </cell>
          <cell r="AH33">
            <v>0</v>
          </cell>
          <cell r="AI33">
            <v>0</v>
          </cell>
          <cell r="AJ33">
            <v>0</v>
          </cell>
          <cell r="AK33">
            <v>0</v>
          </cell>
          <cell r="AL33">
            <v>0</v>
          </cell>
          <cell r="AM33">
            <v>0</v>
          </cell>
          <cell r="AN33">
            <v>14</v>
          </cell>
          <cell r="AO33" t="str">
            <v>ADR price</v>
          </cell>
          <cell r="AP33" t="str">
            <v>$</v>
          </cell>
          <cell r="AQ33">
            <v>0</v>
          </cell>
          <cell r="AR33" t="str">
            <v>future market data feed</v>
          </cell>
          <cell r="AS33">
            <v>0</v>
          </cell>
          <cell r="AT33">
            <v>0</v>
          </cell>
          <cell r="AU33" t="e">
            <v>#VALUE!</v>
          </cell>
          <cell r="AV33" t="e">
            <v>#VALUE!</v>
          </cell>
        </row>
        <row r="34">
          <cell r="A34">
            <v>70</v>
          </cell>
          <cell r="B34" t="str">
            <v>-c_st_est_3yr_av_eps_growth</v>
          </cell>
          <cell r="C34" t="str">
            <v>Estimated 3yr average EPS growth</v>
          </cell>
          <cell r="D34" t="str">
            <v>(%)</v>
          </cell>
          <cell r="E34">
            <v>0</v>
          </cell>
          <cell r="F34">
            <v>0</v>
          </cell>
          <cell r="G34">
            <v>0</v>
          </cell>
          <cell r="H34">
            <v>0</v>
          </cell>
          <cell r="I34">
            <v>0</v>
          </cell>
          <cell r="J34">
            <v>0</v>
          </cell>
          <cell r="K34">
            <v>0</v>
          </cell>
          <cell r="L34">
            <v>0</v>
          </cell>
          <cell r="M34">
            <v>0</v>
          </cell>
          <cell r="N34" t="str">
            <v>c_st_est_3yr_av_eps_growth</v>
          </cell>
          <cell r="O34">
            <v>0</v>
          </cell>
          <cell r="P34">
            <v>0</v>
          </cell>
          <cell r="Q34">
            <v>0.01</v>
          </cell>
          <cell r="R34" t="str">
            <v>ST</v>
          </cell>
          <cell r="S34" t="str">
            <v>-</v>
          </cell>
          <cell r="T34">
            <v>1031</v>
          </cell>
          <cell r="U34" t="str">
            <v>-</v>
          </cell>
          <cell r="V34">
            <v>0</v>
          </cell>
          <cell r="W34">
            <v>0</v>
          </cell>
          <cell r="X34">
            <v>0</v>
          </cell>
          <cell r="Y34">
            <v>0</v>
          </cell>
          <cell r="Z34">
            <v>0</v>
          </cell>
          <cell r="AA34">
            <v>199</v>
          </cell>
          <cell r="AB34" t="str">
            <v>company level data</v>
          </cell>
          <cell r="AC34">
            <v>26</v>
          </cell>
          <cell r="AD34">
            <v>0</v>
          </cell>
          <cell r="AE34">
            <v>0</v>
          </cell>
          <cell r="AF34">
            <v>0</v>
          </cell>
          <cell r="AG34">
            <v>0</v>
          </cell>
          <cell r="AH34">
            <v>0</v>
          </cell>
          <cell r="AI34">
            <v>0</v>
          </cell>
          <cell r="AJ34">
            <v>0</v>
          </cell>
          <cell r="AK34">
            <v>0</v>
          </cell>
          <cell r="AL34">
            <v>0</v>
          </cell>
          <cell r="AM34">
            <v>0</v>
          </cell>
          <cell r="AN34">
            <v>70</v>
          </cell>
          <cell r="AO34" t="str">
            <v>Estimated 3 yr average EPS growth</v>
          </cell>
          <cell r="AP34" t="str">
            <v>%</v>
          </cell>
          <cell r="AQ34">
            <v>0</v>
          </cell>
          <cell r="AR34">
            <v>0</v>
          </cell>
          <cell r="AS34">
            <v>0</v>
          </cell>
          <cell r="AT34">
            <v>0</v>
          </cell>
          <cell r="AU34" t="e">
            <v>#VALUE!</v>
          </cell>
          <cell r="AV34" t="e">
            <v>#VALUE!</v>
          </cell>
        </row>
        <row r="35">
          <cell r="A35">
            <v>69</v>
          </cell>
          <cell r="B35" t="str">
            <v>-c_st_est_5yr_av_eps_growth</v>
          </cell>
          <cell r="C35" t="str">
            <v>Estimated 5yr average EPS growth</v>
          </cell>
          <cell r="D35" t="str">
            <v>(%)</v>
          </cell>
          <cell r="E35">
            <v>0</v>
          </cell>
          <cell r="F35">
            <v>0</v>
          </cell>
          <cell r="G35">
            <v>0</v>
          </cell>
          <cell r="H35">
            <v>0</v>
          </cell>
          <cell r="I35">
            <v>0</v>
          </cell>
          <cell r="J35">
            <v>0</v>
          </cell>
          <cell r="K35">
            <v>0</v>
          </cell>
          <cell r="L35">
            <v>0</v>
          </cell>
          <cell r="M35">
            <v>0</v>
          </cell>
          <cell r="N35" t="str">
            <v>c_st_est_5yr_av_eps_growth</v>
          </cell>
          <cell r="O35">
            <v>0</v>
          </cell>
          <cell r="P35">
            <v>0</v>
          </cell>
          <cell r="Q35">
            <v>0.01</v>
          </cell>
          <cell r="R35" t="str">
            <v>ST</v>
          </cell>
          <cell r="S35" t="str">
            <v>-</v>
          </cell>
          <cell r="T35">
            <v>1030</v>
          </cell>
          <cell r="U35" t="str">
            <v>-</v>
          </cell>
          <cell r="V35">
            <v>0</v>
          </cell>
          <cell r="W35">
            <v>0</v>
          </cell>
          <cell r="X35">
            <v>0</v>
          </cell>
          <cell r="Y35">
            <v>0</v>
          </cell>
          <cell r="Z35">
            <v>0</v>
          </cell>
          <cell r="AA35">
            <v>201</v>
          </cell>
          <cell r="AB35" t="str">
            <v>company level data</v>
          </cell>
          <cell r="AC35">
            <v>26</v>
          </cell>
          <cell r="AD35">
            <v>0</v>
          </cell>
          <cell r="AE35">
            <v>0</v>
          </cell>
          <cell r="AF35">
            <v>0</v>
          </cell>
          <cell r="AG35">
            <v>0</v>
          </cell>
          <cell r="AH35">
            <v>0</v>
          </cell>
          <cell r="AI35">
            <v>0</v>
          </cell>
          <cell r="AJ35">
            <v>0</v>
          </cell>
          <cell r="AK35">
            <v>0</v>
          </cell>
          <cell r="AL35">
            <v>0</v>
          </cell>
          <cell r="AM35">
            <v>0</v>
          </cell>
          <cell r="AN35">
            <v>69</v>
          </cell>
          <cell r="AO35" t="str">
            <v>Estimated 5 yr average EPS growth</v>
          </cell>
          <cell r="AP35" t="str">
            <v>%</v>
          </cell>
          <cell r="AQ35">
            <v>0</v>
          </cell>
          <cell r="AR35">
            <v>0</v>
          </cell>
          <cell r="AS35">
            <v>0</v>
          </cell>
          <cell r="AT35">
            <v>0</v>
          </cell>
          <cell r="AU35" t="e">
            <v>#VALUE!</v>
          </cell>
          <cell r="AV35" t="e">
            <v>#VALUE!</v>
          </cell>
        </row>
        <row r="36">
          <cell r="A36">
            <v>12.3</v>
          </cell>
          <cell r="B36" t="str">
            <v>-c_st_net_cash_debt_mv</v>
          </cell>
          <cell r="C36" t="str">
            <v>Long term debt</v>
          </cell>
          <cell r="D36" t="str">
            <v>(m)</v>
          </cell>
          <cell r="E36">
            <v>0</v>
          </cell>
          <cell r="F36">
            <v>0</v>
          </cell>
          <cell r="G36">
            <v>0</v>
          </cell>
          <cell r="H36">
            <v>0</v>
          </cell>
          <cell r="I36">
            <v>0</v>
          </cell>
          <cell r="J36">
            <v>0</v>
          </cell>
          <cell r="K36">
            <v>0</v>
          </cell>
          <cell r="L36">
            <v>0</v>
          </cell>
          <cell r="M36">
            <v>0</v>
          </cell>
          <cell r="N36" t="str">
            <v>c_st_net_cash_debt_mv</v>
          </cell>
          <cell r="O36">
            <v>0</v>
          </cell>
          <cell r="P36">
            <v>0</v>
          </cell>
          <cell r="Q36">
            <v>1000000</v>
          </cell>
          <cell r="R36" t="str">
            <v>ST</v>
          </cell>
          <cell r="S36" t="str">
            <v>-</v>
          </cell>
          <cell r="T36">
            <v>1025</v>
          </cell>
          <cell r="U36" t="str">
            <v>-</v>
          </cell>
          <cell r="V36">
            <v>0</v>
          </cell>
          <cell r="W36">
            <v>0</v>
          </cell>
          <cell r="X36">
            <v>0</v>
          </cell>
          <cell r="Y36">
            <v>0</v>
          </cell>
          <cell r="Z36">
            <v>0</v>
          </cell>
          <cell r="AA36">
            <v>358</v>
          </cell>
          <cell r="AB36" t="str">
            <v>company level data</v>
          </cell>
          <cell r="AC36">
            <v>26</v>
          </cell>
          <cell r="AD36">
            <v>0</v>
          </cell>
          <cell r="AE36">
            <v>0</v>
          </cell>
          <cell r="AF36">
            <v>0</v>
          </cell>
          <cell r="AG36">
            <v>0</v>
          </cell>
          <cell r="AH36">
            <v>0</v>
          </cell>
          <cell r="AI36">
            <v>0</v>
          </cell>
          <cell r="AJ36">
            <v>0</v>
          </cell>
          <cell r="AK36">
            <v>0</v>
          </cell>
          <cell r="AL36">
            <v>0</v>
          </cell>
          <cell r="AM36">
            <v>0</v>
          </cell>
          <cell r="AN36">
            <v>12</v>
          </cell>
          <cell r="AO36" t="str">
            <v>Net cash/(debt) (MV)</v>
          </cell>
          <cell r="AP36" t="str">
            <v>m</v>
          </cell>
          <cell r="AQ36">
            <v>0</v>
          </cell>
          <cell r="AR36">
            <v>0</v>
          </cell>
          <cell r="AS36">
            <v>0</v>
          </cell>
          <cell r="AT36">
            <v>0</v>
          </cell>
          <cell r="AU36" t="e">
            <v>#VALUE!</v>
          </cell>
          <cell r="AV36" t="e">
            <v>#VALUE!</v>
          </cell>
        </row>
        <row r="37">
          <cell r="A37">
            <v>12</v>
          </cell>
          <cell r="B37" t="str">
            <v>-c_st_net_cash_debt_mv</v>
          </cell>
          <cell r="C37" t="str">
            <v>Net cash/(debt)(MV)</v>
          </cell>
          <cell r="D37" t="str">
            <v>(m)</v>
          </cell>
          <cell r="E37">
            <v>0</v>
          </cell>
          <cell r="F37">
            <v>0</v>
          </cell>
          <cell r="G37">
            <v>0</v>
          </cell>
          <cell r="H37">
            <v>0</v>
          </cell>
          <cell r="I37">
            <v>0</v>
          </cell>
          <cell r="J37">
            <v>0</v>
          </cell>
          <cell r="K37">
            <v>0</v>
          </cell>
          <cell r="L37">
            <v>0</v>
          </cell>
          <cell r="M37">
            <v>0</v>
          </cell>
          <cell r="N37" t="str">
            <v>c_st_net_cash_debt_mv</v>
          </cell>
          <cell r="O37">
            <v>0</v>
          </cell>
          <cell r="P37">
            <v>0</v>
          </cell>
          <cell r="Q37">
            <v>1000000</v>
          </cell>
          <cell r="R37" t="str">
            <v>ST</v>
          </cell>
          <cell r="S37" t="str">
            <v>-</v>
          </cell>
          <cell r="T37">
            <v>1025</v>
          </cell>
          <cell r="U37" t="str">
            <v>-</v>
          </cell>
          <cell r="V37">
            <v>0</v>
          </cell>
          <cell r="W37">
            <v>0</v>
          </cell>
          <cell r="X37">
            <v>0</v>
          </cell>
          <cell r="Y37">
            <v>0</v>
          </cell>
          <cell r="Z37">
            <v>0</v>
          </cell>
          <cell r="AA37">
            <v>358</v>
          </cell>
          <cell r="AB37" t="str">
            <v>company level data</v>
          </cell>
          <cell r="AC37">
            <v>26</v>
          </cell>
          <cell r="AD37">
            <v>0</v>
          </cell>
          <cell r="AE37">
            <v>0</v>
          </cell>
          <cell r="AF37">
            <v>0</v>
          </cell>
          <cell r="AG37">
            <v>0</v>
          </cell>
          <cell r="AH37">
            <v>0</v>
          </cell>
          <cell r="AI37">
            <v>0</v>
          </cell>
          <cell r="AJ37">
            <v>0</v>
          </cell>
          <cell r="AK37">
            <v>0</v>
          </cell>
          <cell r="AL37">
            <v>0</v>
          </cell>
          <cell r="AM37">
            <v>0</v>
          </cell>
          <cell r="AN37">
            <v>12</v>
          </cell>
          <cell r="AO37" t="str">
            <v>Net cash/(debt) (MV)</v>
          </cell>
          <cell r="AP37" t="str">
            <v>m</v>
          </cell>
          <cell r="AQ37">
            <v>0</v>
          </cell>
          <cell r="AR37">
            <v>0</v>
          </cell>
          <cell r="AS37">
            <v>0</v>
          </cell>
          <cell r="AT37">
            <v>0</v>
          </cell>
          <cell r="AU37" t="e">
            <v>#VALUE!</v>
          </cell>
          <cell r="AV37" t="e">
            <v>#VALUE!</v>
          </cell>
        </row>
        <row r="38">
          <cell r="A38">
            <v>33</v>
          </cell>
          <cell r="B38" t="str">
            <v>-c_st_target_price</v>
          </cell>
          <cell r="C38" t="str">
            <v>Target price</v>
          </cell>
          <cell r="D38" t="str">
            <v>(unit)</v>
          </cell>
          <cell r="E38">
            <v>0</v>
          </cell>
          <cell r="F38">
            <v>0</v>
          </cell>
          <cell r="G38">
            <v>0</v>
          </cell>
          <cell r="H38">
            <v>0</v>
          </cell>
          <cell r="I38">
            <v>0</v>
          </cell>
          <cell r="J38">
            <v>0</v>
          </cell>
          <cell r="K38">
            <v>0</v>
          </cell>
          <cell r="L38">
            <v>0</v>
          </cell>
          <cell r="M38">
            <v>0</v>
          </cell>
          <cell r="N38" t="str">
            <v>c_st_target_price</v>
          </cell>
          <cell r="O38">
            <v>0</v>
          </cell>
          <cell r="P38">
            <v>0</v>
          </cell>
          <cell r="Q38">
            <v>1</v>
          </cell>
          <cell r="R38" t="str">
            <v>ST</v>
          </cell>
          <cell r="S38" t="str">
            <v>-</v>
          </cell>
          <cell r="T38">
            <v>1043</v>
          </cell>
          <cell r="U38" t="str">
            <v>-</v>
          </cell>
          <cell r="V38">
            <v>0</v>
          </cell>
          <cell r="W38">
            <v>0</v>
          </cell>
          <cell r="X38">
            <v>0</v>
          </cell>
          <cell r="Y38">
            <v>0</v>
          </cell>
          <cell r="Z38">
            <v>0</v>
          </cell>
          <cell r="AA38">
            <v>551</v>
          </cell>
          <cell r="AB38" t="str">
            <v>company level data</v>
          </cell>
          <cell r="AC38">
            <v>26</v>
          </cell>
          <cell r="AD38">
            <v>0</v>
          </cell>
          <cell r="AE38">
            <v>0</v>
          </cell>
          <cell r="AF38">
            <v>0</v>
          </cell>
          <cell r="AG38">
            <v>0</v>
          </cell>
          <cell r="AH38">
            <v>0</v>
          </cell>
          <cell r="AI38">
            <v>0</v>
          </cell>
          <cell r="AJ38">
            <v>0</v>
          </cell>
          <cell r="AK38">
            <v>0</v>
          </cell>
          <cell r="AL38">
            <v>0</v>
          </cell>
          <cell r="AM38">
            <v>0</v>
          </cell>
          <cell r="AN38">
            <v>33</v>
          </cell>
          <cell r="AO38" t="str">
            <v>Target price</v>
          </cell>
          <cell r="AP38" t="str">
            <v>p</v>
          </cell>
          <cell r="AQ38">
            <v>0</v>
          </cell>
          <cell r="AR38">
            <v>0</v>
          </cell>
          <cell r="AS38">
            <v>0</v>
          </cell>
          <cell r="AT38">
            <v>0</v>
          </cell>
          <cell r="AU38" t="e">
            <v>#VALUE!</v>
          </cell>
          <cell r="AV38" t="e">
            <v>#VALUE!</v>
          </cell>
        </row>
        <row r="39">
          <cell r="A39">
            <v>34</v>
          </cell>
          <cell r="B39" t="str">
            <v>-c_st_us_adr_shareholding</v>
          </cell>
          <cell r="C39" t="str">
            <v>US ADR shareholding</v>
          </cell>
          <cell r="D39" t="str">
            <v>(%)</v>
          </cell>
          <cell r="E39">
            <v>0</v>
          </cell>
          <cell r="F39">
            <v>0</v>
          </cell>
          <cell r="G39">
            <v>0</v>
          </cell>
          <cell r="H39">
            <v>0</v>
          </cell>
          <cell r="I39">
            <v>0</v>
          </cell>
          <cell r="J39">
            <v>0</v>
          </cell>
          <cell r="K39">
            <v>0</v>
          </cell>
          <cell r="L39">
            <v>0</v>
          </cell>
          <cell r="M39">
            <v>0</v>
          </cell>
          <cell r="N39" t="str">
            <v>c_st_us_adr_shareholding</v>
          </cell>
          <cell r="O39">
            <v>0</v>
          </cell>
          <cell r="P39">
            <v>0</v>
          </cell>
          <cell r="Q39">
            <v>1</v>
          </cell>
          <cell r="R39" t="str">
            <v>ST</v>
          </cell>
          <cell r="S39" t="str">
            <v>-</v>
          </cell>
          <cell r="T39">
            <v>1042</v>
          </cell>
          <cell r="U39" t="str">
            <v>-</v>
          </cell>
          <cell r="V39">
            <v>0</v>
          </cell>
          <cell r="W39">
            <v>0</v>
          </cell>
          <cell r="X39">
            <v>0</v>
          </cell>
          <cell r="Y39">
            <v>0</v>
          </cell>
          <cell r="Z39">
            <v>0</v>
          </cell>
          <cell r="AA39">
            <v>593</v>
          </cell>
          <cell r="AB39" t="str">
            <v>company level data</v>
          </cell>
          <cell r="AC39">
            <v>26</v>
          </cell>
          <cell r="AD39">
            <v>0</v>
          </cell>
          <cell r="AE39">
            <v>0</v>
          </cell>
          <cell r="AF39">
            <v>0</v>
          </cell>
          <cell r="AG39">
            <v>0</v>
          </cell>
          <cell r="AH39">
            <v>0</v>
          </cell>
          <cell r="AI39">
            <v>0</v>
          </cell>
          <cell r="AJ39">
            <v>0</v>
          </cell>
          <cell r="AK39">
            <v>0</v>
          </cell>
          <cell r="AL39">
            <v>0</v>
          </cell>
          <cell r="AM39">
            <v>0</v>
          </cell>
          <cell r="AN39">
            <v>34</v>
          </cell>
          <cell r="AO39" t="str">
            <v xml:space="preserve">US ADR Shareholding </v>
          </cell>
          <cell r="AP39" t="str">
            <v>%</v>
          </cell>
          <cell r="AQ39">
            <v>0</v>
          </cell>
          <cell r="AR39">
            <v>0</v>
          </cell>
          <cell r="AS39">
            <v>0</v>
          </cell>
          <cell r="AT39">
            <v>0</v>
          </cell>
          <cell r="AU39" t="e">
            <v>#VALUE!</v>
          </cell>
          <cell r="AV39" t="e">
            <v>#VALUE!</v>
          </cell>
        </row>
        <row r="40">
          <cell r="A40">
            <v>10.199999999999999</v>
          </cell>
          <cell r="B40" t="str">
            <v>2mv_of_minorities</v>
          </cell>
          <cell r="C40" t="str">
            <v>MV of minorities</v>
          </cell>
          <cell r="D40" t="str">
            <v>(m)</v>
          </cell>
          <cell r="E40">
            <v>0</v>
          </cell>
          <cell r="F40">
            <v>0</v>
          </cell>
          <cell r="G40">
            <v>0</v>
          </cell>
          <cell r="H40">
            <v>0</v>
          </cell>
          <cell r="I40">
            <v>0</v>
          </cell>
          <cell r="J40">
            <v>0</v>
          </cell>
          <cell r="K40">
            <v>0</v>
          </cell>
          <cell r="L40">
            <v>0</v>
          </cell>
          <cell r="M40">
            <v>0</v>
          </cell>
          <cell r="N40" t="str">
            <v>mv_of_minorities</v>
          </cell>
          <cell r="O40">
            <v>0</v>
          </cell>
          <cell r="P40">
            <v>0</v>
          </cell>
          <cell r="Q40">
            <v>1000000</v>
          </cell>
          <cell r="R40" t="str">
            <v>E</v>
          </cell>
          <cell r="S40">
            <v>2</v>
          </cell>
          <cell r="T40" t="str">
            <v>null</v>
          </cell>
          <cell r="U40">
            <v>2</v>
          </cell>
          <cell r="V40">
            <v>0</v>
          </cell>
          <cell r="W40">
            <v>0</v>
          </cell>
          <cell r="X40">
            <v>0</v>
          </cell>
          <cell r="Y40">
            <v>0</v>
          </cell>
          <cell r="Z40">
            <v>0</v>
          </cell>
          <cell r="AA40">
            <v>346</v>
          </cell>
          <cell r="AB40" t="str">
            <v>company level data</v>
          </cell>
          <cell r="AC40">
            <v>27</v>
          </cell>
          <cell r="AD40">
            <v>0</v>
          </cell>
          <cell r="AE40" t="str">
            <v>c_st_mv_of_minorities</v>
          </cell>
          <cell r="AF40">
            <v>0</v>
          </cell>
          <cell r="AG40">
            <v>0</v>
          </cell>
          <cell r="AH40">
            <v>0</v>
          </cell>
          <cell r="AI40">
            <v>0</v>
          </cell>
          <cell r="AJ40">
            <v>0</v>
          </cell>
          <cell r="AK40">
            <v>0</v>
          </cell>
          <cell r="AL40">
            <v>0</v>
          </cell>
          <cell r="AM40">
            <v>0</v>
          </cell>
          <cell r="AN40" t="e">
            <v>#N/A</v>
          </cell>
          <cell r="AO40" t="e">
            <v>#N/A</v>
          </cell>
          <cell r="AP40" t="e">
            <v>#N/A</v>
          </cell>
          <cell r="AQ40" t="e">
            <v>#N/A</v>
          </cell>
          <cell r="AR40" t="e">
            <v>#N/A</v>
          </cell>
          <cell r="AS40" t="e">
            <v>#N/A</v>
          </cell>
          <cell r="AT40" t="e">
            <v>#N/A</v>
          </cell>
          <cell r="AU40" t="e">
            <v>#N/A</v>
          </cell>
          <cell r="AV40" t="e">
            <v>#N/A</v>
          </cell>
        </row>
        <row r="41">
          <cell r="A41">
            <v>11.6</v>
          </cell>
          <cell r="B41" t="str">
            <v>2mv_of_assets</v>
          </cell>
          <cell r="C41" t="str">
            <v>MV of assets</v>
          </cell>
          <cell r="D41" t="str">
            <v>(m)</v>
          </cell>
          <cell r="E41">
            <v>0</v>
          </cell>
          <cell r="F41">
            <v>0</v>
          </cell>
          <cell r="G41">
            <v>0</v>
          </cell>
          <cell r="H41">
            <v>0</v>
          </cell>
          <cell r="I41">
            <v>0</v>
          </cell>
          <cell r="J41">
            <v>0</v>
          </cell>
          <cell r="K41">
            <v>0</v>
          </cell>
          <cell r="L41">
            <v>0</v>
          </cell>
          <cell r="M41">
            <v>0</v>
          </cell>
          <cell r="N41" t="str">
            <v>mv_of_assets</v>
          </cell>
          <cell r="O41">
            <v>0</v>
          </cell>
          <cell r="P41">
            <v>0</v>
          </cell>
          <cell r="Q41">
            <v>1000000</v>
          </cell>
          <cell r="R41" t="str">
            <v>E</v>
          </cell>
          <cell r="S41">
            <v>2</v>
          </cell>
          <cell r="T41" t="str">
            <v>null</v>
          </cell>
          <cell r="U41">
            <v>2</v>
          </cell>
          <cell r="V41">
            <v>0</v>
          </cell>
          <cell r="W41">
            <v>0</v>
          </cell>
          <cell r="X41">
            <v>0</v>
          </cell>
          <cell r="Y41">
            <v>0</v>
          </cell>
          <cell r="Z41">
            <v>0</v>
          </cell>
          <cell r="AA41">
            <v>344</v>
          </cell>
          <cell r="AB41" t="str">
            <v>company level data</v>
          </cell>
          <cell r="AC41">
            <v>28</v>
          </cell>
          <cell r="AD41">
            <v>0</v>
          </cell>
          <cell r="AE41" t="str">
            <v>c_st_mv_of_assets</v>
          </cell>
          <cell r="AF41">
            <v>0</v>
          </cell>
          <cell r="AG41">
            <v>0</v>
          </cell>
          <cell r="AH41">
            <v>0</v>
          </cell>
          <cell r="AI41">
            <v>0</v>
          </cell>
          <cell r="AJ41">
            <v>0</v>
          </cell>
          <cell r="AK41">
            <v>0</v>
          </cell>
          <cell r="AL41">
            <v>0</v>
          </cell>
          <cell r="AM41">
            <v>0</v>
          </cell>
          <cell r="AN41" t="e">
            <v>#N/A</v>
          </cell>
          <cell r="AO41" t="e">
            <v>#N/A</v>
          </cell>
          <cell r="AP41" t="e">
            <v>#N/A</v>
          </cell>
          <cell r="AQ41" t="e">
            <v>#N/A</v>
          </cell>
          <cell r="AR41" t="e">
            <v>#N/A</v>
          </cell>
          <cell r="AS41" t="e">
            <v>#N/A</v>
          </cell>
          <cell r="AT41" t="e">
            <v>#N/A</v>
          </cell>
          <cell r="AU41" t="e">
            <v>#N/A</v>
          </cell>
          <cell r="AV41" t="e">
            <v>#N/A</v>
          </cell>
        </row>
        <row r="42">
          <cell r="A42">
            <v>11.4</v>
          </cell>
          <cell r="B42" t="str">
            <v>2mv_of_investments</v>
          </cell>
          <cell r="C42" t="str">
            <v>MV of investments</v>
          </cell>
          <cell r="D42" t="str">
            <v>(m)</v>
          </cell>
          <cell r="E42">
            <v>0</v>
          </cell>
          <cell r="F42">
            <v>0</v>
          </cell>
          <cell r="G42">
            <v>0</v>
          </cell>
          <cell r="H42">
            <v>0</v>
          </cell>
          <cell r="I42">
            <v>0</v>
          </cell>
          <cell r="J42">
            <v>0</v>
          </cell>
          <cell r="K42">
            <v>0</v>
          </cell>
          <cell r="L42">
            <v>0</v>
          </cell>
          <cell r="M42">
            <v>0</v>
          </cell>
          <cell r="N42" t="str">
            <v>mv_of_investments</v>
          </cell>
          <cell r="O42">
            <v>0</v>
          </cell>
          <cell r="P42">
            <v>0</v>
          </cell>
          <cell r="Q42">
            <v>1000000</v>
          </cell>
          <cell r="R42" t="str">
            <v>E</v>
          </cell>
          <cell r="S42">
            <v>2</v>
          </cell>
          <cell r="T42" t="str">
            <v>null</v>
          </cell>
          <cell r="U42">
            <v>2</v>
          </cell>
          <cell r="V42">
            <v>0</v>
          </cell>
          <cell r="W42">
            <v>0</v>
          </cell>
          <cell r="X42">
            <v>0</v>
          </cell>
          <cell r="Y42">
            <v>0</v>
          </cell>
          <cell r="Z42">
            <v>0</v>
          </cell>
          <cell r="AA42">
            <v>344</v>
          </cell>
          <cell r="AB42" t="str">
            <v>company level data</v>
          </cell>
          <cell r="AC42">
            <v>28</v>
          </cell>
          <cell r="AD42">
            <v>0</v>
          </cell>
          <cell r="AE42" t="str">
            <v>c_st_mv_of_investments</v>
          </cell>
          <cell r="AF42">
            <v>0</v>
          </cell>
          <cell r="AG42">
            <v>0</v>
          </cell>
          <cell r="AH42">
            <v>0</v>
          </cell>
          <cell r="AI42">
            <v>0</v>
          </cell>
          <cell r="AJ42">
            <v>0</v>
          </cell>
          <cell r="AK42">
            <v>0</v>
          </cell>
          <cell r="AL42">
            <v>0</v>
          </cell>
          <cell r="AM42">
            <v>0</v>
          </cell>
          <cell r="AN42" t="e">
            <v>#N/A</v>
          </cell>
          <cell r="AO42" t="e">
            <v>#N/A</v>
          </cell>
          <cell r="AP42" t="e">
            <v>#N/A</v>
          </cell>
          <cell r="AQ42" t="e">
            <v>#N/A</v>
          </cell>
          <cell r="AR42" t="e">
            <v>#N/A</v>
          </cell>
          <cell r="AS42" t="e">
            <v>#N/A</v>
          </cell>
          <cell r="AT42" t="e">
            <v>#N/A</v>
          </cell>
          <cell r="AU42" t="e">
            <v>#N/A</v>
          </cell>
          <cell r="AV42" t="e">
            <v>#N/A</v>
          </cell>
        </row>
        <row r="43">
          <cell r="A43">
            <v>12.4</v>
          </cell>
          <cell r="B43" t="str">
            <v>2net_cash_debt_mv</v>
          </cell>
          <cell r="C43" t="str">
            <v>Long term debt</v>
          </cell>
          <cell r="D43" t="str">
            <v>(m)</v>
          </cell>
          <cell r="E43">
            <v>0</v>
          </cell>
          <cell r="F43">
            <v>0</v>
          </cell>
          <cell r="G43">
            <v>0</v>
          </cell>
          <cell r="H43">
            <v>0</v>
          </cell>
          <cell r="I43">
            <v>0</v>
          </cell>
          <cell r="J43">
            <v>0</v>
          </cell>
          <cell r="K43">
            <v>0</v>
          </cell>
          <cell r="L43">
            <v>0</v>
          </cell>
          <cell r="M43">
            <v>0</v>
          </cell>
          <cell r="N43" t="str">
            <v>net_cash_debt_mv</v>
          </cell>
          <cell r="O43">
            <v>0</v>
          </cell>
          <cell r="P43">
            <v>0</v>
          </cell>
          <cell r="Q43">
            <v>1000000</v>
          </cell>
          <cell r="R43" t="str">
            <v>E</v>
          </cell>
          <cell r="S43">
            <v>2</v>
          </cell>
          <cell r="T43" t="str">
            <v>null</v>
          </cell>
          <cell r="U43">
            <v>2</v>
          </cell>
          <cell r="V43">
            <v>0</v>
          </cell>
          <cell r="W43">
            <v>0</v>
          </cell>
          <cell r="X43">
            <v>0</v>
          </cell>
          <cell r="Y43">
            <v>0</v>
          </cell>
          <cell r="Z43">
            <v>0</v>
          </cell>
          <cell r="AA43">
            <v>357</v>
          </cell>
          <cell r="AB43" t="str">
            <v>company level data</v>
          </cell>
          <cell r="AC43">
            <v>30</v>
          </cell>
          <cell r="AD43">
            <v>0</v>
          </cell>
          <cell r="AE43" t="str">
            <v>c_st_net_cash_debt_mv</v>
          </cell>
          <cell r="AF43">
            <v>0</v>
          </cell>
          <cell r="AG43">
            <v>0</v>
          </cell>
          <cell r="AH43">
            <v>0</v>
          </cell>
          <cell r="AI43">
            <v>0</v>
          </cell>
          <cell r="AJ43">
            <v>0</v>
          </cell>
          <cell r="AK43">
            <v>0</v>
          </cell>
          <cell r="AL43">
            <v>0</v>
          </cell>
          <cell r="AM43">
            <v>0</v>
          </cell>
          <cell r="AN43" t="e">
            <v>#N/A</v>
          </cell>
          <cell r="AO43" t="e">
            <v>#N/A</v>
          </cell>
          <cell r="AP43" t="e">
            <v>#N/A</v>
          </cell>
          <cell r="AQ43" t="e">
            <v>#N/A</v>
          </cell>
          <cell r="AR43" t="e">
            <v>#N/A</v>
          </cell>
          <cell r="AS43" t="e">
            <v>#N/A</v>
          </cell>
          <cell r="AT43" t="e">
            <v>#N/A</v>
          </cell>
          <cell r="AU43" t="e">
            <v>#N/A</v>
          </cell>
          <cell r="AV43" t="e">
            <v>#N/A</v>
          </cell>
        </row>
        <row r="44">
          <cell r="A44">
            <v>12.2</v>
          </cell>
          <cell r="B44" t="str">
            <v>2net_cash_debt_mv</v>
          </cell>
          <cell r="C44" t="str">
            <v>Net cash/(debt)(MV)</v>
          </cell>
          <cell r="D44" t="str">
            <v>(m)</v>
          </cell>
          <cell r="E44">
            <v>0</v>
          </cell>
          <cell r="F44">
            <v>0</v>
          </cell>
          <cell r="G44">
            <v>0</v>
          </cell>
          <cell r="H44">
            <v>0</v>
          </cell>
          <cell r="I44">
            <v>0</v>
          </cell>
          <cell r="J44">
            <v>0</v>
          </cell>
          <cell r="K44">
            <v>0</v>
          </cell>
          <cell r="L44">
            <v>0</v>
          </cell>
          <cell r="M44">
            <v>0</v>
          </cell>
          <cell r="N44" t="str">
            <v>net_cash_debt_mv</v>
          </cell>
          <cell r="O44">
            <v>0</v>
          </cell>
          <cell r="P44">
            <v>0</v>
          </cell>
          <cell r="Q44">
            <v>1000000</v>
          </cell>
          <cell r="R44" t="str">
            <v>E</v>
          </cell>
          <cell r="S44">
            <v>2</v>
          </cell>
          <cell r="T44" t="str">
            <v>null</v>
          </cell>
          <cell r="U44">
            <v>2</v>
          </cell>
          <cell r="V44">
            <v>0</v>
          </cell>
          <cell r="W44">
            <v>0</v>
          </cell>
          <cell r="X44">
            <v>0</v>
          </cell>
          <cell r="Y44">
            <v>0</v>
          </cell>
          <cell r="Z44">
            <v>0</v>
          </cell>
          <cell r="AA44">
            <v>357</v>
          </cell>
          <cell r="AB44" t="str">
            <v>company level data</v>
          </cell>
          <cell r="AC44">
            <v>30</v>
          </cell>
          <cell r="AD44">
            <v>0</v>
          </cell>
          <cell r="AE44" t="str">
            <v>c_st_net_cash_debt_mv</v>
          </cell>
          <cell r="AF44">
            <v>0</v>
          </cell>
          <cell r="AG44">
            <v>0</v>
          </cell>
          <cell r="AH44">
            <v>0</v>
          </cell>
          <cell r="AI44">
            <v>0</v>
          </cell>
          <cell r="AJ44">
            <v>0</v>
          </cell>
          <cell r="AK44">
            <v>0</v>
          </cell>
          <cell r="AL44">
            <v>0</v>
          </cell>
          <cell r="AM44">
            <v>0</v>
          </cell>
          <cell r="AN44" t="e">
            <v>#N/A</v>
          </cell>
          <cell r="AO44" t="e">
            <v>#N/A</v>
          </cell>
          <cell r="AP44" t="e">
            <v>#N/A</v>
          </cell>
          <cell r="AQ44" t="e">
            <v>#N/A</v>
          </cell>
          <cell r="AR44" t="e">
            <v>#N/A</v>
          </cell>
          <cell r="AS44" t="e">
            <v>#N/A</v>
          </cell>
          <cell r="AT44" t="e">
            <v>#N/A</v>
          </cell>
          <cell r="AU44" t="e">
            <v>#N/A</v>
          </cell>
          <cell r="AV44" t="e">
            <v>#N/A</v>
          </cell>
        </row>
        <row r="45">
          <cell r="A45">
            <v>414</v>
          </cell>
          <cell r="B45" t="str">
            <v>-c_st_p_adjusted_shareholders_funds</v>
          </cell>
          <cell r="C45" t="str">
            <v>P/adjusted shareholders funds</v>
          </cell>
          <cell r="D45" t="str">
            <v>Multiple</v>
          </cell>
          <cell r="E45">
            <v>0</v>
          </cell>
          <cell r="F45">
            <v>0</v>
          </cell>
          <cell r="G45">
            <v>0</v>
          </cell>
          <cell r="H45">
            <v>0</v>
          </cell>
          <cell r="I45">
            <v>0</v>
          </cell>
          <cell r="J45">
            <v>0</v>
          </cell>
          <cell r="K45">
            <v>0</v>
          </cell>
          <cell r="L45">
            <v>0</v>
          </cell>
          <cell r="M45">
            <v>0</v>
          </cell>
          <cell r="N45" t="str">
            <v>c_st_p_adjusted_shareholders_funds</v>
          </cell>
          <cell r="O45">
            <v>0</v>
          </cell>
          <cell r="P45">
            <v>0</v>
          </cell>
          <cell r="Q45">
            <v>1</v>
          </cell>
          <cell r="R45" t="str">
            <v>ST</v>
          </cell>
          <cell r="S45" t="str">
            <v>-</v>
          </cell>
          <cell r="T45">
            <v>1040</v>
          </cell>
          <cell r="U45" t="str">
            <v>-</v>
          </cell>
          <cell r="V45">
            <v>0</v>
          </cell>
          <cell r="W45">
            <v>0</v>
          </cell>
          <cell r="X45">
            <v>0</v>
          </cell>
          <cell r="Y45">
            <v>0</v>
          </cell>
          <cell r="Z45">
            <v>0</v>
          </cell>
          <cell r="AA45">
            <v>451</v>
          </cell>
          <cell r="AB45" t="str">
            <v>company level data</v>
          </cell>
          <cell r="AC45">
            <v>30</v>
          </cell>
          <cell r="AD45">
            <v>0</v>
          </cell>
          <cell r="AE45">
            <v>0</v>
          </cell>
          <cell r="AF45">
            <v>0</v>
          </cell>
          <cell r="AG45">
            <v>0</v>
          </cell>
          <cell r="AH45">
            <v>0</v>
          </cell>
          <cell r="AI45">
            <v>0</v>
          </cell>
          <cell r="AJ45">
            <v>0</v>
          </cell>
          <cell r="AK45">
            <v>0</v>
          </cell>
          <cell r="AL45">
            <v>0</v>
          </cell>
          <cell r="AM45">
            <v>0</v>
          </cell>
          <cell r="AN45" t="e">
            <v>#N/A</v>
          </cell>
          <cell r="AO45" t="e">
            <v>#N/A</v>
          </cell>
          <cell r="AP45" t="e">
            <v>#N/A</v>
          </cell>
          <cell r="AQ45" t="e">
            <v>#N/A</v>
          </cell>
          <cell r="AR45" t="e">
            <v>#N/A</v>
          </cell>
          <cell r="AS45" t="e">
            <v>#N/A</v>
          </cell>
          <cell r="AT45" t="e">
            <v>#N/A</v>
          </cell>
          <cell r="AU45" t="e">
            <v>#N/A</v>
          </cell>
          <cell r="AV45" t="e">
            <v>#N/A</v>
          </cell>
        </row>
        <row r="46">
          <cell r="A46">
            <v>255</v>
          </cell>
          <cell r="B46" t="str">
            <v>-c_st_p_appraisal_value</v>
          </cell>
          <cell r="C46" t="str">
            <v>P/appraisal value</v>
          </cell>
          <cell r="D46" t="str">
            <v>Multiple</v>
          </cell>
          <cell r="E46">
            <v>0</v>
          </cell>
          <cell r="F46">
            <v>0</v>
          </cell>
          <cell r="G46">
            <v>0</v>
          </cell>
          <cell r="H46">
            <v>0</v>
          </cell>
          <cell r="I46">
            <v>0</v>
          </cell>
          <cell r="J46">
            <v>0</v>
          </cell>
          <cell r="K46">
            <v>0</v>
          </cell>
          <cell r="L46">
            <v>0</v>
          </cell>
          <cell r="M46">
            <v>0</v>
          </cell>
          <cell r="N46" t="str">
            <v>c_st_p_appraisal_value</v>
          </cell>
          <cell r="O46">
            <v>0</v>
          </cell>
          <cell r="P46">
            <v>0</v>
          </cell>
          <cell r="Q46">
            <v>1</v>
          </cell>
          <cell r="R46" t="str">
            <v>ST</v>
          </cell>
          <cell r="S46" t="str">
            <v>-</v>
          </cell>
          <cell r="T46">
            <v>1035</v>
          </cell>
          <cell r="U46" t="str">
            <v>-</v>
          </cell>
          <cell r="V46">
            <v>0</v>
          </cell>
          <cell r="W46">
            <v>0</v>
          </cell>
          <cell r="X46">
            <v>0</v>
          </cell>
          <cell r="Y46">
            <v>0</v>
          </cell>
          <cell r="Z46">
            <v>0</v>
          </cell>
          <cell r="AA46">
            <v>453</v>
          </cell>
          <cell r="AB46" t="str">
            <v>company level data</v>
          </cell>
          <cell r="AC46">
            <v>30</v>
          </cell>
          <cell r="AD46">
            <v>0</v>
          </cell>
          <cell r="AE46">
            <v>0</v>
          </cell>
          <cell r="AF46">
            <v>0</v>
          </cell>
          <cell r="AG46">
            <v>0</v>
          </cell>
          <cell r="AH46">
            <v>0</v>
          </cell>
          <cell r="AI46">
            <v>0</v>
          </cell>
          <cell r="AJ46">
            <v>2</v>
          </cell>
          <cell r="AK46">
            <v>187</v>
          </cell>
          <cell r="AL46">
            <v>0</v>
          </cell>
          <cell r="AM46">
            <v>0</v>
          </cell>
          <cell r="AN46">
            <v>255</v>
          </cell>
          <cell r="AO46" t="str">
            <v>P/appraisal value</v>
          </cell>
          <cell r="AP46" t="str">
            <v>x</v>
          </cell>
          <cell r="AQ46">
            <v>0</v>
          </cell>
          <cell r="AR46" t="str">
            <v>Insurance</v>
          </cell>
          <cell r="AS46" t="str">
            <v>2/187</v>
          </cell>
          <cell r="AT46">
            <v>0</v>
          </cell>
          <cell r="AU46" t="str">
            <v>2</v>
          </cell>
          <cell r="AV46" t="str">
            <v>187</v>
          </cell>
        </row>
        <row r="47">
          <cell r="A47">
            <v>262.2</v>
          </cell>
          <cell r="B47" t="str">
            <v>-c_st_p_basic_fair_value</v>
          </cell>
          <cell r="C47" t="str">
            <v>P/basic fair value</v>
          </cell>
          <cell r="D47" t="str">
            <v>Multiple</v>
          </cell>
          <cell r="E47">
            <v>0</v>
          </cell>
          <cell r="F47">
            <v>0</v>
          </cell>
          <cell r="G47">
            <v>0</v>
          </cell>
          <cell r="H47">
            <v>0</v>
          </cell>
          <cell r="I47">
            <v>0</v>
          </cell>
          <cell r="J47">
            <v>0</v>
          </cell>
          <cell r="K47">
            <v>0</v>
          </cell>
          <cell r="L47">
            <v>0</v>
          </cell>
          <cell r="M47">
            <v>0</v>
          </cell>
          <cell r="N47" t="str">
            <v>c_st_p_basic_fair_value</v>
          </cell>
          <cell r="O47">
            <v>0</v>
          </cell>
          <cell r="P47">
            <v>0</v>
          </cell>
          <cell r="Q47">
            <v>1</v>
          </cell>
          <cell r="R47" t="str">
            <v>ST</v>
          </cell>
          <cell r="S47" t="str">
            <v>-</v>
          </cell>
          <cell r="T47">
            <v>1037</v>
          </cell>
          <cell r="U47" t="str">
            <v>-</v>
          </cell>
          <cell r="V47">
            <v>0</v>
          </cell>
          <cell r="W47">
            <v>0</v>
          </cell>
          <cell r="X47">
            <v>0</v>
          </cell>
          <cell r="Y47">
            <v>0</v>
          </cell>
          <cell r="Z47">
            <v>0</v>
          </cell>
          <cell r="AA47">
            <v>455</v>
          </cell>
          <cell r="AB47" t="str">
            <v>company level data</v>
          </cell>
          <cell r="AC47">
            <v>30</v>
          </cell>
          <cell r="AD47">
            <v>0</v>
          </cell>
          <cell r="AE47">
            <v>0</v>
          </cell>
          <cell r="AF47">
            <v>0</v>
          </cell>
          <cell r="AG47">
            <v>0</v>
          </cell>
          <cell r="AH47">
            <v>0</v>
          </cell>
          <cell r="AI47">
            <v>0</v>
          </cell>
          <cell r="AJ47">
            <v>0</v>
          </cell>
          <cell r="AK47">
            <v>0</v>
          </cell>
          <cell r="AL47">
            <v>0</v>
          </cell>
          <cell r="AM47">
            <v>0</v>
          </cell>
          <cell r="AN47" t="e">
            <v>#N/A</v>
          </cell>
          <cell r="AO47" t="e">
            <v>#N/A</v>
          </cell>
          <cell r="AP47" t="e">
            <v>#N/A</v>
          </cell>
          <cell r="AQ47" t="e">
            <v>#N/A</v>
          </cell>
          <cell r="AR47" t="e">
            <v>#N/A</v>
          </cell>
          <cell r="AS47" t="e">
            <v>#N/A</v>
          </cell>
          <cell r="AT47" t="e">
            <v>#N/A</v>
          </cell>
          <cell r="AU47" t="e">
            <v>#N/A</v>
          </cell>
          <cell r="AV47" t="e">
            <v>#N/A</v>
          </cell>
        </row>
        <row r="48">
          <cell r="A48">
            <v>262</v>
          </cell>
          <cell r="B48" t="str">
            <v>-c_st_p_fair_value</v>
          </cell>
          <cell r="C48" t="str">
            <v>P/fair value</v>
          </cell>
          <cell r="D48" t="str">
            <v>Multiple</v>
          </cell>
          <cell r="E48">
            <v>0</v>
          </cell>
          <cell r="F48">
            <v>0</v>
          </cell>
          <cell r="G48">
            <v>0</v>
          </cell>
          <cell r="H48">
            <v>0</v>
          </cell>
          <cell r="I48">
            <v>0</v>
          </cell>
          <cell r="J48">
            <v>0</v>
          </cell>
          <cell r="K48">
            <v>0</v>
          </cell>
          <cell r="L48">
            <v>0</v>
          </cell>
          <cell r="M48">
            <v>0</v>
          </cell>
          <cell r="N48" t="str">
            <v>c_st_p_fair_value</v>
          </cell>
          <cell r="O48">
            <v>0</v>
          </cell>
          <cell r="P48">
            <v>0</v>
          </cell>
          <cell r="Q48">
            <v>1</v>
          </cell>
          <cell r="R48" t="str">
            <v>ST</v>
          </cell>
          <cell r="S48" t="str">
            <v>-</v>
          </cell>
          <cell r="T48">
            <v>1036</v>
          </cell>
          <cell r="U48" t="str">
            <v>-</v>
          </cell>
          <cell r="V48">
            <v>0</v>
          </cell>
          <cell r="W48">
            <v>0</v>
          </cell>
          <cell r="X48">
            <v>0</v>
          </cell>
          <cell r="Y48">
            <v>0</v>
          </cell>
          <cell r="Z48">
            <v>0</v>
          </cell>
          <cell r="AA48">
            <v>459</v>
          </cell>
          <cell r="AB48" t="str">
            <v>company level data</v>
          </cell>
          <cell r="AC48">
            <v>30</v>
          </cell>
          <cell r="AD48">
            <v>0</v>
          </cell>
          <cell r="AE48">
            <v>0</v>
          </cell>
          <cell r="AF48">
            <v>0</v>
          </cell>
          <cell r="AG48">
            <v>0</v>
          </cell>
          <cell r="AH48">
            <v>0</v>
          </cell>
          <cell r="AI48">
            <v>0</v>
          </cell>
          <cell r="AJ48">
            <v>2</v>
          </cell>
          <cell r="AK48">
            <v>190</v>
          </cell>
          <cell r="AL48">
            <v>0</v>
          </cell>
          <cell r="AM48">
            <v>0</v>
          </cell>
          <cell r="AN48">
            <v>262</v>
          </cell>
          <cell r="AO48" t="str">
            <v>P/fair value</v>
          </cell>
          <cell r="AP48" t="str">
            <v>x</v>
          </cell>
          <cell r="AQ48">
            <v>0</v>
          </cell>
          <cell r="AR48" t="str">
            <v>Insurance</v>
          </cell>
          <cell r="AS48" t="str">
            <v>2/190</v>
          </cell>
          <cell r="AT48">
            <v>0</v>
          </cell>
          <cell r="AU48" t="str">
            <v>2</v>
          </cell>
          <cell r="AV48" t="str">
            <v>190</v>
          </cell>
        </row>
        <row r="49">
          <cell r="A49">
            <v>413</v>
          </cell>
          <cell r="B49" t="str">
            <v>-c_st_p_group_embedded_value</v>
          </cell>
          <cell r="C49" t="str">
            <v>P/group embedded value</v>
          </cell>
          <cell r="D49" t="str">
            <v>Multiple</v>
          </cell>
          <cell r="E49">
            <v>0</v>
          </cell>
          <cell r="F49">
            <v>0</v>
          </cell>
          <cell r="G49">
            <v>0</v>
          </cell>
          <cell r="H49">
            <v>0</v>
          </cell>
          <cell r="I49">
            <v>0</v>
          </cell>
          <cell r="J49">
            <v>0</v>
          </cell>
          <cell r="K49">
            <v>0</v>
          </cell>
          <cell r="L49">
            <v>0</v>
          </cell>
          <cell r="M49">
            <v>0</v>
          </cell>
          <cell r="N49" t="str">
            <v>c_st_p_group_embedded_value</v>
          </cell>
          <cell r="O49">
            <v>0</v>
          </cell>
          <cell r="P49">
            <v>0</v>
          </cell>
          <cell r="Q49">
            <v>1</v>
          </cell>
          <cell r="R49" t="str">
            <v>ST</v>
          </cell>
          <cell r="S49" t="str">
            <v>-</v>
          </cell>
          <cell r="T49">
            <v>1041</v>
          </cell>
          <cell r="U49" t="str">
            <v>-</v>
          </cell>
          <cell r="V49">
            <v>0</v>
          </cell>
          <cell r="W49">
            <v>0</v>
          </cell>
          <cell r="X49">
            <v>0</v>
          </cell>
          <cell r="Y49">
            <v>0</v>
          </cell>
          <cell r="Z49">
            <v>0</v>
          </cell>
          <cell r="AA49">
            <v>461</v>
          </cell>
          <cell r="AB49" t="str">
            <v>company level data</v>
          </cell>
          <cell r="AC49">
            <v>30</v>
          </cell>
          <cell r="AD49">
            <v>0</v>
          </cell>
          <cell r="AE49">
            <v>0</v>
          </cell>
          <cell r="AF49">
            <v>0</v>
          </cell>
          <cell r="AG49">
            <v>0</v>
          </cell>
          <cell r="AH49">
            <v>0</v>
          </cell>
          <cell r="AI49">
            <v>0</v>
          </cell>
          <cell r="AJ49">
            <v>0</v>
          </cell>
          <cell r="AK49">
            <v>0</v>
          </cell>
          <cell r="AL49">
            <v>0</v>
          </cell>
          <cell r="AM49">
            <v>0</v>
          </cell>
          <cell r="AN49" t="e">
            <v>#N/A</v>
          </cell>
          <cell r="AO49" t="e">
            <v>#N/A</v>
          </cell>
          <cell r="AP49" t="e">
            <v>#N/A</v>
          </cell>
          <cell r="AQ49" t="e">
            <v>#N/A</v>
          </cell>
          <cell r="AR49" t="e">
            <v>#N/A</v>
          </cell>
          <cell r="AS49" t="e">
            <v>#N/A</v>
          </cell>
          <cell r="AT49" t="e">
            <v>#N/A</v>
          </cell>
          <cell r="AU49" t="e">
            <v>#N/A</v>
          </cell>
          <cell r="AV49" t="e">
            <v>#N/A</v>
          </cell>
        </row>
        <row r="50">
          <cell r="A50">
            <v>12.9</v>
          </cell>
          <cell r="B50" t="str">
            <v>--</v>
          </cell>
          <cell r="C50" t="str">
            <v>Share data (duplicate this section for each share)</v>
          </cell>
          <cell r="D50">
            <v>0</v>
          </cell>
          <cell r="E50">
            <v>0</v>
          </cell>
          <cell r="F50">
            <v>0</v>
          </cell>
          <cell r="G50">
            <v>0</v>
          </cell>
          <cell r="H50">
            <v>0</v>
          </cell>
          <cell r="I50">
            <v>0</v>
          </cell>
          <cell r="J50">
            <v>0</v>
          </cell>
          <cell r="K50">
            <v>0</v>
          </cell>
          <cell r="L50">
            <v>0</v>
          </cell>
          <cell r="M50">
            <v>0</v>
          </cell>
          <cell r="N50" t="str">
            <v>-</v>
          </cell>
          <cell r="O50" t="str">
            <v>-</v>
          </cell>
          <cell r="P50">
            <v>0</v>
          </cell>
          <cell r="Q50" t="str">
            <v>-</v>
          </cell>
          <cell r="R50" t="str">
            <v>Heading</v>
          </cell>
          <cell r="S50" t="str">
            <v>-</v>
          </cell>
          <cell r="T50">
            <v>1005</v>
          </cell>
          <cell r="U50" t="str">
            <v>-</v>
          </cell>
          <cell r="V50">
            <v>0</v>
          </cell>
          <cell r="W50">
            <v>0</v>
          </cell>
          <cell r="X50">
            <v>0</v>
          </cell>
          <cell r="Y50">
            <v>0</v>
          </cell>
          <cell r="Z50">
            <v>0</v>
          </cell>
          <cell r="AA50">
            <v>534</v>
          </cell>
          <cell r="AB50" t="str">
            <v>Share data</v>
          </cell>
          <cell r="AC50">
            <v>31</v>
          </cell>
          <cell r="AD50">
            <v>0</v>
          </cell>
          <cell r="AE50">
            <v>0</v>
          </cell>
          <cell r="AF50">
            <v>0</v>
          </cell>
          <cell r="AG50">
            <v>0</v>
          </cell>
          <cell r="AH50">
            <v>0</v>
          </cell>
          <cell r="AI50">
            <v>0</v>
          </cell>
          <cell r="AJ50">
            <v>0</v>
          </cell>
          <cell r="AK50">
            <v>0</v>
          </cell>
          <cell r="AL50">
            <v>0</v>
          </cell>
          <cell r="AM50">
            <v>0</v>
          </cell>
          <cell r="AN50" t="e">
            <v>#N/A</v>
          </cell>
          <cell r="AO50" t="e">
            <v>#N/A</v>
          </cell>
          <cell r="AP50" t="e">
            <v>#N/A</v>
          </cell>
          <cell r="AQ50" t="e">
            <v>#N/A</v>
          </cell>
          <cell r="AR50" t="e">
            <v>#N/A</v>
          </cell>
          <cell r="AS50" t="e">
            <v>#N/A</v>
          </cell>
          <cell r="AT50" t="e">
            <v>#N/A</v>
          </cell>
          <cell r="AU50" t="e">
            <v>#N/A</v>
          </cell>
          <cell r="AV50" t="e">
            <v>#N/A</v>
          </cell>
        </row>
        <row r="51">
          <cell r="A51">
            <v>13</v>
          </cell>
          <cell r="B51" t="str">
            <v>&lt;EMPTY&gt;#############&lt;EMPTY&gt;#############</v>
          </cell>
          <cell r="C51" t="str">
            <v>###delete - Price</v>
          </cell>
          <cell r="D51" t="str">
            <v>(unit)</v>
          </cell>
          <cell r="E51">
            <v>0</v>
          </cell>
          <cell r="F51">
            <v>0</v>
          </cell>
          <cell r="G51">
            <v>0</v>
          </cell>
          <cell r="H51">
            <v>0</v>
          </cell>
          <cell r="I51">
            <v>0</v>
          </cell>
          <cell r="J51">
            <v>0</v>
          </cell>
          <cell r="K51">
            <v>0</v>
          </cell>
          <cell r="L51">
            <v>0</v>
          </cell>
          <cell r="M51">
            <v>0</v>
          </cell>
          <cell r="N51" t="str">
            <v>&lt;EMPTY&gt;#############</v>
          </cell>
          <cell r="O51" t="str">
            <v>&lt;EMPTY&gt;#############</v>
          </cell>
          <cell r="P51">
            <v>0</v>
          </cell>
          <cell r="Q51" t="str">
            <v>&lt;EMPTY&gt;#############</v>
          </cell>
          <cell r="R51" t="str">
            <v>&lt;EMPTY&gt;#############</v>
          </cell>
          <cell r="S51" t="str">
            <v>&lt;EMPTY&gt;#############</v>
          </cell>
          <cell r="T51" t="str">
            <v>&lt;EMPTY&gt;#############</v>
          </cell>
          <cell r="U51" t="str">
            <v>&lt;EMPTY&gt;#############</v>
          </cell>
          <cell r="V51">
            <v>0</v>
          </cell>
          <cell r="W51">
            <v>0</v>
          </cell>
          <cell r="X51">
            <v>0</v>
          </cell>
          <cell r="Y51">
            <v>0</v>
          </cell>
          <cell r="Z51">
            <v>0</v>
          </cell>
          <cell r="AA51">
            <v>112</v>
          </cell>
          <cell r="AB51" t="str">
            <v>Share data</v>
          </cell>
          <cell r="AC51">
            <v>32</v>
          </cell>
          <cell r="AD51" t="str">
            <v>&lt;EMPTY&gt;#############</v>
          </cell>
          <cell r="AE51">
            <v>0</v>
          </cell>
          <cell r="AF51">
            <v>0</v>
          </cell>
          <cell r="AG51">
            <v>0</v>
          </cell>
          <cell r="AH51">
            <v>0</v>
          </cell>
          <cell r="AI51">
            <v>0</v>
          </cell>
          <cell r="AJ51">
            <v>0</v>
          </cell>
          <cell r="AK51">
            <v>0</v>
          </cell>
          <cell r="AL51">
            <v>0</v>
          </cell>
          <cell r="AM51">
            <v>0</v>
          </cell>
          <cell r="AN51">
            <v>13</v>
          </cell>
          <cell r="AO51" t="str">
            <v>Price</v>
          </cell>
          <cell r="AP51" t="str">
            <v>p</v>
          </cell>
          <cell r="AQ51">
            <v>0</v>
          </cell>
          <cell r="AR51" t="str">
            <v>Market data feed</v>
          </cell>
          <cell r="AS51">
            <v>0</v>
          </cell>
          <cell r="AT51" t="str">
            <v>Some prices, notably those in sterling and rand, come from the price feed (and are stored in the d/b?) in £/R but are shown on screen in pence/cents, as are the EPS &amp; DPS</v>
          </cell>
          <cell r="AU51" t="e">
            <v>#VALUE!</v>
          </cell>
          <cell r="AV51" t="e">
            <v>#VALUE!</v>
          </cell>
        </row>
        <row r="52">
          <cell r="A52">
            <v>14.2</v>
          </cell>
          <cell r="B52" t="str">
            <v>2adr_price</v>
          </cell>
          <cell r="C52" t="str">
            <v>ADR price</v>
          </cell>
          <cell r="D52" t="str">
            <v>$</v>
          </cell>
          <cell r="E52">
            <v>0</v>
          </cell>
          <cell r="F52">
            <v>0</v>
          </cell>
          <cell r="G52">
            <v>0</v>
          </cell>
          <cell r="H52">
            <v>0</v>
          </cell>
          <cell r="I52">
            <v>0</v>
          </cell>
          <cell r="J52">
            <v>0</v>
          </cell>
          <cell r="K52">
            <v>0</v>
          </cell>
          <cell r="L52">
            <v>0</v>
          </cell>
          <cell r="M52">
            <v>0</v>
          </cell>
          <cell r="N52" t="str">
            <v>adr_price</v>
          </cell>
          <cell r="O52">
            <v>0</v>
          </cell>
          <cell r="P52">
            <v>0</v>
          </cell>
          <cell r="Q52">
            <v>1</v>
          </cell>
          <cell r="R52" t="str">
            <v>S</v>
          </cell>
          <cell r="S52">
            <v>2</v>
          </cell>
          <cell r="T52" t="str">
            <v>null</v>
          </cell>
          <cell r="U52">
            <v>2</v>
          </cell>
          <cell r="V52">
            <v>0</v>
          </cell>
          <cell r="W52">
            <v>0</v>
          </cell>
          <cell r="X52">
            <v>0</v>
          </cell>
          <cell r="Y52">
            <v>0</v>
          </cell>
          <cell r="Z52">
            <v>0</v>
          </cell>
          <cell r="AA52">
            <v>18</v>
          </cell>
          <cell r="AB52" t="str">
            <v>Share data</v>
          </cell>
          <cell r="AC52">
            <v>34</v>
          </cell>
          <cell r="AD52">
            <v>0</v>
          </cell>
          <cell r="AE52" t="str">
            <v>c_st_adr_price</v>
          </cell>
          <cell r="AF52">
            <v>0</v>
          </cell>
          <cell r="AG52">
            <v>0</v>
          </cell>
          <cell r="AH52">
            <v>0</v>
          </cell>
          <cell r="AI52">
            <v>0</v>
          </cell>
          <cell r="AJ52">
            <v>0</v>
          </cell>
          <cell r="AK52">
            <v>0</v>
          </cell>
          <cell r="AL52">
            <v>0</v>
          </cell>
          <cell r="AM52">
            <v>0</v>
          </cell>
          <cell r="AN52" t="e">
            <v>#N/A</v>
          </cell>
          <cell r="AO52" t="e">
            <v>#N/A</v>
          </cell>
          <cell r="AP52" t="e">
            <v>#N/A</v>
          </cell>
          <cell r="AQ52" t="e">
            <v>#N/A</v>
          </cell>
          <cell r="AR52" t="e">
            <v>#N/A</v>
          </cell>
          <cell r="AS52" t="e">
            <v>#N/A</v>
          </cell>
          <cell r="AT52" t="e">
            <v>#N/A</v>
          </cell>
          <cell r="AU52" t="e">
            <v>#N/A</v>
          </cell>
          <cell r="AV52" t="e">
            <v>#N/A</v>
          </cell>
        </row>
        <row r="53">
          <cell r="A53">
            <v>14.4</v>
          </cell>
          <cell r="B53" t="str">
            <v>-c_st_gdr_price</v>
          </cell>
          <cell r="C53" t="str">
            <v>GDR price</v>
          </cell>
          <cell r="D53" t="str">
            <v>£</v>
          </cell>
          <cell r="E53">
            <v>0</v>
          </cell>
          <cell r="F53">
            <v>0</v>
          </cell>
          <cell r="G53">
            <v>0</v>
          </cell>
          <cell r="H53">
            <v>0</v>
          </cell>
          <cell r="I53">
            <v>0</v>
          </cell>
          <cell r="J53">
            <v>0</v>
          </cell>
          <cell r="K53">
            <v>0</v>
          </cell>
          <cell r="L53">
            <v>0</v>
          </cell>
          <cell r="M53">
            <v>0</v>
          </cell>
          <cell r="N53" t="str">
            <v>c_st_gdr_price</v>
          </cell>
          <cell r="O53">
            <v>0</v>
          </cell>
          <cell r="P53">
            <v>0</v>
          </cell>
          <cell r="Q53">
            <v>1</v>
          </cell>
          <cell r="R53" t="str">
            <v>ST</v>
          </cell>
          <cell r="S53" t="str">
            <v>-</v>
          </cell>
          <cell r="T53">
            <v>1901</v>
          </cell>
          <cell r="U53" t="str">
            <v>-</v>
          </cell>
          <cell r="V53">
            <v>0</v>
          </cell>
          <cell r="W53">
            <v>0</v>
          </cell>
          <cell r="X53">
            <v>0</v>
          </cell>
          <cell r="Y53">
            <v>0</v>
          </cell>
          <cell r="Z53">
            <v>0</v>
          </cell>
          <cell r="AA53">
            <v>266</v>
          </cell>
          <cell r="AB53" t="str">
            <v>Share data</v>
          </cell>
          <cell r="AC53">
            <v>36</v>
          </cell>
          <cell r="AD53">
            <v>0</v>
          </cell>
          <cell r="AE53">
            <v>0</v>
          </cell>
          <cell r="AF53">
            <v>0</v>
          </cell>
          <cell r="AG53">
            <v>0</v>
          </cell>
          <cell r="AH53">
            <v>0</v>
          </cell>
          <cell r="AI53">
            <v>0</v>
          </cell>
          <cell r="AJ53">
            <v>0</v>
          </cell>
          <cell r="AK53">
            <v>0</v>
          </cell>
          <cell r="AL53">
            <v>0</v>
          </cell>
          <cell r="AM53">
            <v>0</v>
          </cell>
          <cell r="AN53" t="e">
            <v>#N/A</v>
          </cell>
          <cell r="AO53" t="e">
            <v>#N/A</v>
          </cell>
          <cell r="AP53" t="e">
            <v>#N/A</v>
          </cell>
          <cell r="AQ53" t="e">
            <v>#N/A</v>
          </cell>
          <cell r="AR53" t="e">
            <v>#N/A</v>
          </cell>
          <cell r="AS53" t="e">
            <v>#N/A</v>
          </cell>
          <cell r="AT53" t="e">
            <v>#N/A</v>
          </cell>
          <cell r="AU53" t="e">
            <v>#N/A</v>
          </cell>
          <cell r="AV53" t="e">
            <v>#N/A</v>
          </cell>
        </row>
        <row r="54">
          <cell r="A54">
            <v>14.6</v>
          </cell>
          <cell r="B54" t="str">
            <v>2gdr_price</v>
          </cell>
          <cell r="C54" t="str">
            <v>GDR price</v>
          </cell>
          <cell r="D54" t="str">
            <v>£</v>
          </cell>
          <cell r="E54">
            <v>0</v>
          </cell>
          <cell r="F54">
            <v>0</v>
          </cell>
          <cell r="G54">
            <v>0</v>
          </cell>
          <cell r="H54">
            <v>0</v>
          </cell>
          <cell r="I54">
            <v>0</v>
          </cell>
          <cell r="J54">
            <v>0</v>
          </cell>
          <cell r="K54">
            <v>0</v>
          </cell>
          <cell r="L54">
            <v>0</v>
          </cell>
          <cell r="M54">
            <v>0</v>
          </cell>
          <cell r="N54" t="str">
            <v>gdr_price</v>
          </cell>
          <cell r="O54">
            <v>0</v>
          </cell>
          <cell r="P54">
            <v>0</v>
          </cell>
          <cell r="Q54">
            <v>1</v>
          </cell>
          <cell r="R54" t="str">
            <v>S</v>
          </cell>
          <cell r="S54">
            <v>2</v>
          </cell>
          <cell r="T54" t="str">
            <v>null</v>
          </cell>
          <cell r="U54">
            <v>2</v>
          </cell>
          <cell r="V54">
            <v>0</v>
          </cell>
          <cell r="W54">
            <v>0</v>
          </cell>
          <cell r="X54">
            <v>0</v>
          </cell>
          <cell r="Y54">
            <v>0</v>
          </cell>
          <cell r="Z54">
            <v>0</v>
          </cell>
          <cell r="AA54">
            <v>265</v>
          </cell>
          <cell r="AB54" t="str">
            <v>Share data</v>
          </cell>
          <cell r="AC54">
            <v>37</v>
          </cell>
          <cell r="AD54">
            <v>0</v>
          </cell>
          <cell r="AE54" t="str">
            <v>c_st_gdr_price</v>
          </cell>
          <cell r="AF54">
            <v>0</v>
          </cell>
          <cell r="AG54">
            <v>0</v>
          </cell>
          <cell r="AH54">
            <v>0</v>
          </cell>
          <cell r="AI54">
            <v>0</v>
          </cell>
          <cell r="AJ54">
            <v>0</v>
          </cell>
          <cell r="AK54">
            <v>0</v>
          </cell>
          <cell r="AL54">
            <v>0</v>
          </cell>
          <cell r="AM54">
            <v>0</v>
          </cell>
          <cell r="AN54" t="e">
            <v>#N/A</v>
          </cell>
          <cell r="AO54" t="e">
            <v>#N/A</v>
          </cell>
          <cell r="AP54" t="e">
            <v>#N/A</v>
          </cell>
          <cell r="AQ54" t="e">
            <v>#N/A</v>
          </cell>
          <cell r="AR54" t="e">
            <v>#N/A</v>
          </cell>
          <cell r="AS54" t="e">
            <v>#N/A</v>
          </cell>
          <cell r="AT54" t="e">
            <v>#N/A</v>
          </cell>
          <cell r="AU54" t="e">
            <v>#N/A</v>
          </cell>
          <cell r="AV54" t="e">
            <v>#N/A</v>
          </cell>
        </row>
        <row r="55">
          <cell r="A55">
            <v>15</v>
          </cell>
          <cell r="B55" t="str">
            <v>&lt;EMPTY&gt;#############&lt;EMPTY&gt;#############</v>
          </cell>
          <cell r="C55" t="str">
            <v>###delete - 12 month price high</v>
          </cell>
          <cell r="D55" t="str">
            <v>(unit)</v>
          </cell>
          <cell r="E55">
            <v>0</v>
          </cell>
          <cell r="F55">
            <v>0</v>
          </cell>
          <cell r="G55">
            <v>0</v>
          </cell>
          <cell r="H55">
            <v>0</v>
          </cell>
          <cell r="I55">
            <v>0</v>
          </cell>
          <cell r="J55">
            <v>0</v>
          </cell>
          <cell r="K55">
            <v>0</v>
          </cell>
          <cell r="L55">
            <v>0</v>
          </cell>
          <cell r="M55">
            <v>0</v>
          </cell>
          <cell r="N55" t="str">
            <v>&lt;EMPTY&gt;#############</v>
          </cell>
          <cell r="O55" t="str">
            <v>&lt;EMPTY&gt;#############</v>
          </cell>
          <cell r="P55">
            <v>0</v>
          </cell>
          <cell r="Q55" t="str">
            <v>&lt;EMPTY&gt;#############</v>
          </cell>
          <cell r="R55" t="str">
            <v>&lt;EMPTY&gt;#############</v>
          </cell>
          <cell r="S55" t="str">
            <v>&lt;EMPTY&gt;#############</v>
          </cell>
          <cell r="T55" t="str">
            <v>&lt;EMPTY&gt;#############</v>
          </cell>
          <cell r="U55" t="str">
            <v>&lt;EMPTY&gt;#############</v>
          </cell>
          <cell r="V55">
            <v>0</v>
          </cell>
          <cell r="W55">
            <v>0</v>
          </cell>
          <cell r="X55">
            <v>0</v>
          </cell>
          <cell r="Y55">
            <v>0</v>
          </cell>
          <cell r="Z55">
            <v>0</v>
          </cell>
          <cell r="AA55">
            <v>102</v>
          </cell>
          <cell r="AB55" t="str">
            <v>Share data</v>
          </cell>
          <cell r="AC55">
            <v>38</v>
          </cell>
          <cell r="AD55" t="str">
            <v>&lt;EMPTY&gt;#############</v>
          </cell>
          <cell r="AE55">
            <v>0</v>
          </cell>
          <cell r="AF55">
            <v>0</v>
          </cell>
          <cell r="AG55">
            <v>0</v>
          </cell>
          <cell r="AH55">
            <v>0</v>
          </cell>
          <cell r="AI55">
            <v>0</v>
          </cell>
          <cell r="AJ55">
            <v>0</v>
          </cell>
          <cell r="AK55">
            <v>0</v>
          </cell>
          <cell r="AL55">
            <v>0</v>
          </cell>
          <cell r="AM55">
            <v>0</v>
          </cell>
          <cell r="AN55">
            <v>15</v>
          </cell>
          <cell r="AO55" t="str">
            <v>12 month price high</v>
          </cell>
          <cell r="AP55" t="str">
            <v>p</v>
          </cell>
          <cell r="AQ55">
            <v>0</v>
          </cell>
          <cell r="AR55" t="str">
            <v>Market data feed</v>
          </cell>
          <cell r="AS55">
            <v>0</v>
          </cell>
          <cell r="AT55">
            <v>0</v>
          </cell>
          <cell r="AU55" t="e">
            <v>#VALUE!</v>
          </cell>
          <cell r="AV55" t="e">
            <v>#VALUE!</v>
          </cell>
        </row>
        <row r="56">
          <cell r="A56">
            <v>16</v>
          </cell>
          <cell r="B56" t="str">
            <v>&lt;EMPTY&gt;#############&lt;EMPTY&gt;#############</v>
          </cell>
          <cell r="C56" t="str">
            <v>###delete - 12 month price low</v>
          </cell>
          <cell r="D56" t="str">
            <v>(unit)</v>
          </cell>
          <cell r="E56">
            <v>0</v>
          </cell>
          <cell r="F56">
            <v>0</v>
          </cell>
          <cell r="G56">
            <v>0</v>
          </cell>
          <cell r="H56">
            <v>0</v>
          </cell>
          <cell r="I56">
            <v>0</v>
          </cell>
          <cell r="J56">
            <v>0</v>
          </cell>
          <cell r="K56">
            <v>0</v>
          </cell>
          <cell r="L56">
            <v>0</v>
          </cell>
          <cell r="M56">
            <v>0</v>
          </cell>
          <cell r="N56" t="str">
            <v>&lt;EMPTY&gt;#############</v>
          </cell>
          <cell r="O56" t="str">
            <v>&lt;EMPTY&gt;#############</v>
          </cell>
          <cell r="P56">
            <v>0</v>
          </cell>
          <cell r="Q56" t="str">
            <v>&lt;EMPTY&gt;#############</v>
          </cell>
          <cell r="R56" t="str">
            <v>&lt;EMPTY&gt;#############</v>
          </cell>
          <cell r="S56" t="str">
            <v>&lt;EMPTY&gt;#############</v>
          </cell>
          <cell r="T56" t="str">
            <v>&lt;EMPTY&gt;#############</v>
          </cell>
          <cell r="U56" t="str">
            <v>&lt;EMPTY&gt;#############</v>
          </cell>
          <cell r="V56">
            <v>0</v>
          </cell>
          <cell r="W56">
            <v>0</v>
          </cell>
          <cell r="X56">
            <v>0</v>
          </cell>
          <cell r="Y56">
            <v>0</v>
          </cell>
          <cell r="Z56">
            <v>0</v>
          </cell>
          <cell r="AA56">
            <v>103</v>
          </cell>
          <cell r="AB56" t="str">
            <v>Share data</v>
          </cell>
          <cell r="AC56">
            <v>39</v>
          </cell>
          <cell r="AD56" t="str">
            <v>&lt;EMPTY&gt;#############</v>
          </cell>
          <cell r="AE56">
            <v>0</v>
          </cell>
          <cell r="AF56">
            <v>0</v>
          </cell>
          <cell r="AG56">
            <v>0</v>
          </cell>
          <cell r="AH56">
            <v>0</v>
          </cell>
          <cell r="AI56">
            <v>0</v>
          </cell>
          <cell r="AJ56">
            <v>0</v>
          </cell>
          <cell r="AK56">
            <v>0</v>
          </cell>
          <cell r="AL56">
            <v>0</v>
          </cell>
          <cell r="AM56">
            <v>0</v>
          </cell>
          <cell r="AN56">
            <v>16</v>
          </cell>
          <cell r="AO56" t="str">
            <v>12 month price low</v>
          </cell>
          <cell r="AP56" t="str">
            <v>p</v>
          </cell>
          <cell r="AQ56">
            <v>0</v>
          </cell>
          <cell r="AR56" t="str">
            <v>Market data feed</v>
          </cell>
          <cell r="AS56">
            <v>0</v>
          </cell>
          <cell r="AT56">
            <v>0</v>
          </cell>
          <cell r="AU56" t="e">
            <v>#VALUE!</v>
          </cell>
          <cell r="AV56" t="e">
            <v>#VALUE!</v>
          </cell>
        </row>
        <row r="57">
          <cell r="A57">
            <v>17</v>
          </cell>
          <cell r="B57" t="str">
            <v>&lt;EMPTY&gt;#############&lt;EMPTY&gt;#############</v>
          </cell>
          <cell r="C57" t="str">
            <v>###delete - Share price movement over 1 month</v>
          </cell>
          <cell r="D57" t="str">
            <v>(unit)</v>
          </cell>
          <cell r="E57">
            <v>0</v>
          </cell>
          <cell r="F57">
            <v>0</v>
          </cell>
          <cell r="G57">
            <v>0</v>
          </cell>
          <cell r="H57">
            <v>0</v>
          </cell>
          <cell r="I57">
            <v>0</v>
          </cell>
          <cell r="J57">
            <v>0</v>
          </cell>
          <cell r="K57">
            <v>0</v>
          </cell>
          <cell r="L57">
            <v>0</v>
          </cell>
          <cell r="M57">
            <v>0</v>
          </cell>
          <cell r="N57" t="str">
            <v>&lt;EMPTY&gt;#############</v>
          </cell>
          <cell r="O57" t="str">
            <v>&lt;EMPTY&gt;#############</v>
          </cell>
          <cell r="P57">
            <v>0</v>
          </cell>
          <cell r="Q57" t="str">
            <v>&lt;EMPTY&gt;#############</v>
          </cell>
          <cell r="R57" t="str">
            <v>&lt;EMPTY&gt;#############</v>
          </cell>
          <cell r="S57" t="str">
            <v>&lt;EMPTY&gt;#############</v>
          </cell>
          <cell r="T57" t="str">
            <v>&lt;EMPTY&gt;#############</v>
          </cell>
          <cell r="U57" t="str">
            <v>&lt;EMPTY&gt;#############</v>
          </cell>
          <cell r="V57">
            <v>0</v>
          </cell>
          <cell r="W57">
            <v>0</v>
          </cell>
          <cell r="X57">
            <v>0</v>
          </cell>
          <cell r="Y57">
            <v>0</v>
          </cell>
          <cell r="Z57">
            <v>0</v>
          </cell>
          <cell r="AA57">
            <v>115</v>
          </cell>
          <cell r="AB57" t="str">
            <v>Share data</v>
          </cell>
          <cell r="AC57">
            <v>40</v>
          </cell>
          <cell r="AD57" t="str">
            <v>&lt;EMPTY&gt;#############</v>
          </cell>
          <cell r="AE57">
            <v>0</v>
          </cell>
          <cell r="AF57">
            <v>0</v>
          </cell>
          <cell r="AG57">
            <v>0</v>
          </cell>
          <cell r="AH57">
            <v>0</v>
          </cell>
          <cell r="AI57">
            <v>0</v>
          </cell>
          <cell r="AJ57">
            <v>0</v>
          </cell>
          <cell r="AK57">
            <v>0</v>
          </cell>
          <cell r="AL57">
            <v>0</v>
          </cell>
          <cell r="AM57">
            <v>0</v>
          </cell>
          <cell r="AN57">
            <v>17</v>
          </cell>
          <cell r="AO57" t="str">
            <v xml:space="preserve">Share price movement over 1 month </v>
          </cell>
          <cell r="AP57" t="str">
            <v>%</v>
          </cell>
          <cell r="AQ57">
            <v>0</v>
          </cell>
          <cell r="AR57" t="str">
            <v>Market data feed</v>
          </cell>
          <cell r="AS57">
            <v>0</v>
          </cell>
          <cell r="AT57">
            <v>0</v>
          </cell>
          <cell r="AU57" t="e">
            <v>#VALUE!</v>
          </cell>
          <cell r="AV57" t="e">
            <v>#VALUE!</v>
          </cell>
        </row>
        <row r="58">
          <cell r="A58">
            <v>18</v>
          </cell>
          <cell r="B58" t="str">
            <v>&lt;EMPTY&gt;#############&lt;EMPTY&gt;#############</v>
          </cell>
          <cell r="C58" t="str">
            <v>###delete - Share price movement over 3 months</v>
          </cell>
          <cell r="D58" t="str">
            <v>(unit)</v>
          </cell>
          <cell r="E58">
            <v>0</v>
          </cell>
          <cell r="F58">
            <v>0</v>
          </cell>
          <cell r="G58">
            <v>0</v>
          </cell>
          <cell r="H58">
            <v>0</v>
          </cell>
          <cell r="I58">
            <v>0</v>
          </cell>
          <cell r="J58">
            <v>0</v>
          </cell>
          <cell r="K58">
            <v>0</v>
          </cell>
          <cell r="L58">
            <v>0</v>
          </cell>
          <cell r="M58">
            <v>0</v>
          </cell>
          <cell r="N58" t="str">
            <v>&lt;EMPTY&gt;#############</v>
          </cell>
          <cell r="O58" t="str">
            <v>&lt;EMPTY&gt;#############</v>
          </cell>
          <cell r="P58">
            <v>0</v>
          </cell>
          <cell r="Q58" t="str">
            <v>&lt;EMPTY&gt;#############</v>
          </cell>
          <cell r="R58" t="str">
            <v>&lt;EMPTY&gt;#############</v>
          </cell>
          <cell r="S58" t="str">
            <v>&lt;EMPTY&gt;#############</v>
          </cell>
          <cell r="T58" t="str">
            <v>&lt;EMPTY&gt;#############</v>
          </cell>
          <cell r="U58" t="str">
            <v>&lt;EMPTY&gt;#############</v>
          </cell>
          <cell r="V58">
            <v>0</v>
          </cell>
          <cell r="W58">
            <v>0</v>
          </cell>
          <cell r="X58">
            <v>0</v>
          </cell>
          <cell r="Y58">
            <v>0</v>
          </cell>
          <cell r="Z58">
            <v>0</v>
          </cell>
          <cell r="AA58">
            <v>117</v>
          </cell>
          <cell r="AB58" t="str">
            <v>Share data</v>
          </cell>
          <cell r="AC58">
            <v>41</v>
          </cell>
          <cell r="AD58" t="str">
            <v>&lt;EMPTY&gt;#############</v>
          </cell>
          <cell r="AE58">
            <v>0</v>
          </cell>
          <cell r="AF58">
            <v>0</v>
          </cell>
          <cell r="AG58">
            <v>0</v>
          </cell>
          <cell r="AH58">
            <v>0</v>
          </cell>
          <cell r="AI58">
            <v>0</v>
          </cell>
          <cell r="AJ58">
            <v>0</v>
          </cell>
          <cell r="AK58">
            <v>0</v>
          </cell>
          <cell r="AL58">
            <v>0</v>
          </cell>
          <cell r="AM58">
            <v>0</v>
          </cell>
          <cell r="AN58">
            <v>18</v>
          </cell>
          <cell r="AO58" t="str">
            <v xml:space="preserve">Share price movement over 3 months </v>
          </cell>
          <cell r="AP58" t="str">
            <v>%</v>
          </cell>
          <cell r="AQ58">
            <v>0</v>
          </cell>
          <cell r="AR58" t="str">
            <v>Market data feed</v>
          </cell>
          <cell r="AS58">
            <v>0</v>
          </cell>
          <cell r="AT58">
            <v>0</v>
          </cell>
          <cell r="AU58" t="e">
            <v>#VALUE!</v>
          </cell>
          <cell r="AV58" t="e">
            <v>#VALUE!</v>
          </cell>
        </row>
        <row r="59">
          <cell r="A59">
            <v>19</v>
          </cell>
          <cell r="B59" t="str">
            <v>&lt;EMPTY&gt;#############&lt;EMPTY&gt;#############</v>
          </cell>
          <cell r="C59" t="str">
            <v>###delete - Share price movement over 12 months</v>
          </cell>
          <cell r="D59" t="str">
            <v>(unit)</v>
          </cell>
          <cell r="E59">
            <v>0</v>
          </cell>
          <cell r="F59">
            <v>0</v>
          </cell>
          <cell r="G59">
            <v>0</v>
          </cell>
          <cell r="H59">
            <v>0</v>
          </cell>
          <cell r="I59">
            <v>0</v>
          </cell>
          <cell r="J59">
            <v>0</v>
          </cell>
          <cell r="K59">
            <v>0</v>
          </cell>
          <cell r="L59">
            <v>0</v>
          </cell>
          <cell r="M59">
            <v>0</v>
          </cell>
          <cell r="N59" t="str">
            <v>&lt;EMPTY&gt;#############</v>
          </cell>
          <cell r="O59" t="str">
            <v>&lt;EMPTY&gt;#############</v>
          </cell>
          <cell r="P59">
            <v>0</v>
          </cell>
          <cell r="Q59" t="str">
            <v>&lt;EMPTY&gt;#############</v>
          </cell>
          <cell r="R59" t="str">
            <v>&lt;EMPTY&gt;#############</v>
          </cell>
          <cell r="S59" t="str">
            <v>&lt;EMPTY&gt;#############</v>
          </cell>
          <cell r="T59" t="str">
            <v>&lt;EMPTY&gt;#############</v>
          </cell>
          <cell r="U59" t="str">
            <v>&lt;EMPTY&gt;#############</v>
          </cell>
          <cell r="V59">
            <v>0</v>
          </cell>
          <cell r="W59">
            <v>0</v>
          </cell>
          <cell r="X59">
            <v>0</v>
          </cell>
          <cell r="Y59">
            <v>0</v>
          </cell>
          <cell r="Z59">
            <v>0</v>
          </cell>
          <cell r="AA59">
            <v>116</v>
          </cell>
          <cell r="AB59" t="str">
            <v>Share data</v>
          </cell>
          <cell r="AC59">
            <v>42</v>
          </cell>
          <cell r="AD59" t="str">
            <v>&lt;EMPTY&gt;#############</v>
          </cell>
          <cell r="AE59">
            <v>0</v>
          </cell>
          <cell r="AF59">
            <v>0</v>
          </cell>
          <cell r="AG59">
            <v>0</v>
          </cell>
          <cell r="AH59">
            <v>0</v>
          </cell>
          <cell r="AI59">
            <v>0</v>
          </cell>
          <cell r="AJ59">
            <v>0</v>
          </cell>
          <cell r="AK59">
            <v>0</v>
          </cell>
          <cell r="AL59">
            <v>0</v>
          </cell>
          <cell r="AM59">
            <v>0</v>
          </cell>
          <cell r="AN59">
            <v>19</v>
          </cell>
          <cell r="AO59" t="str">
            <v xml:space="preserve">Share price movement over 12 months </v>
          </cell>
          <cell r="AP59" t="str">
            <v>%</v>
          </cell>
          <cell r="AQ59">
            <v>0</v>
          </cell>
          <cell r="AR59" t="str">
            <v>Market data feed</v>
          </cell>
          <cell r="AS59">
            <v>0</v>
          </cell>
          <cell r="AT59">
            <v>0</v>
          </cell>
          <cell r="AU59" t="e">
            <v>#VALUE!</v>
          </cell>
          <cell r="AV59" t="e">
            <v>#VALUE!</v>
          </cell>
        </row>
        <row r="60">
          <cell r="A60">
            <v>20</v>
          </cell>
          <cell r="B60" t="str">
            <v>&lt;EMPTY&gt;#############&lt;EMPTY&gt;#############</v>
          </cell>
          <cell r="C60" t="str">
            <v>###delete - Share price relative to sector over 1 month</v>
          </cell>
          <cell r="D60" t="str">
            <v>(%)</v>
          </cell>
          <cell r="E60">
            <v>0</v>
          </cell>
          <cell r="F60">
            <v>0</v>
          </cell>
          <cell r="G60">
            <v>0</v>
          </cell>
          <cell r="H60">
            <v>0</v>
          </cell>
          <cell r="I60">
            <v>0</v>
          </cell>
          <cell r="J60">
            <v>0</v>
          </cell>
          <cell r="K60">
            <v>0</v>
          </cell>
          <cell r="L60">
            <v>0</v>
          </cell>
          <cell r="M60">
            <v>0</v>
          </cell>
          <cell r="N60" t="str">
            <v>&lt;EMPTY&gt;#############</v>
          </cell>
          <cell r="O60" t="str">
            <v>&lt;EMPTY&gt;#############</v>
          </cell>
          <cell r="P60">
            <v>0</v>
          </cell>
          <cell r="Q60" t="str">
            <v>&lt;EMPTY&gt;#############</v>
          </cell>
          <cell r="R60" t="str">
            <v>&lt;EMPTY&gt;#############</v>
          </cell>
          <cell r="S60" t="str">
            <v>&lt;EMPTY&gt;#############</v>
          </cell>
          <cell r="T60" t="str">
            <v>&lt;EMPTY&gt;#############</v>
          </cell>
          <cell r="U60" t="str">
            <v>&lt;EMPTY&gt;#############</v>
          </cell>
          <cell r="V60">
            <v>0</v>
          </cell>
          <cell r="W60">
            <v>0</v>
          </cell>
          <cell r="X60">
            <v>0</v>
          </cell>
          <cell r="Y60">
            <v>0</v>
          </cell>
          <cell r="Z60">
            <v>0</v>
          </cell>
          <cell r="AA60">
            <v>124</v>
          </cell>
          <cell r="AB60" t="str">
            <v>Share data</v>
          </cell>
          <cell r="AC60">
            <v>43</v>
          </cell>
          <cell r="AD60" t="str">
            <v>&lt;EMPTY&gt;#############</v>
          </cell>
          <cell r="AE60">
            <v>0</v>
          </cell>
          <cell r="AF60">
            <v>0</v>
          </cell>
          <cell r="AG60">
            <v>0</v>
          </cell>
          <cell r="AH60">
            <v>0</v>
          </cell>
          <cell r="AI60">
            <v>0</v>
          </cell>
          <cell r="AJ60">
            <v>0</v>
          </cell>
          <cell r="AK60">
            <v>0</v>
          </cell>
          <cell r="AL60">
            <v>0</v>
          </cell>
          <cell r="AM60">
            <v>0</v>
          </cell>
          <cell r="AN60">
            <v>20</v>
          </cell>
          <cell r="AO60" t="str">
            <v xml:space="preserve">Share price relative to sector over 1 month </v>
          </cell>
          <cell r="AP60" t="str">
            <v>%</v>
          </cell>
          <cell r="AQ60">
            <v>0</v>
          </cell>
          <cell r="AR60" t="str">
            <v>Market data feed</v>
          </cell>
          <cell r="AS60">
            <v>0</v>
          </cell>
          <cell r="AT60">
            <v>0</v>
          </cell>
          <cell r="AU60" t="e">
            <v>#VALUE!</v>
          </cell>
          <cell r="AV60" t="e">
            <v>#VALUE!</v>
          </cell>
        </row>
        <row r="61">
          <cell r="A61">
            <v>21</v>
          </cell>
          <cell r="B61" t="str">
            <v>&lt;EMPTY&gt;#############&lt;EMPTY&gt;#############</v>
          </cell>
          <cell r="C61" t="str">
            <v>###delete - Share price relative to sector over 3 months</v>
          </cell>
          <cell r="D61" t="str">
            <v>(%)</v>
          </cell>
          <cell r="E61">
            <v>0</v>
          </cell>
          <cell r="F61">
            <v>0</v>
          </cell>
          <cell r="G61">
            <v>0</v>
          </cell>
          <cell r="H61">
            <v>0</v>
          </cell>
          <cell r="I61">
            <v>0</v>
          </cell>
          <cell r="J61">
            <v>0</v>
          </cell>
          <cell r="K61">
            <v>0</v>
          </cell>
          <cell r="L61">
            <v>0</v>
          </cell>
          <cell r="M61">
            <v>0</v>
          </cell>
          <cell r="N61" t="str">
            <v>&lt;EMPTY&gt;#############</v>
          </cell>
          <cell r="O61" t="str">
            <v>&lt;EMPTY&gt;#############</v>
          </cell>
          <cell r="P61">
            <v>0</v>
          </cell>
          <cell r="Q61" t="str">
            <v>&lt;EMPTY&gt;#############</v>
          </cell>
          <cell r="R61" t="str">
            <v>&lt;EMPTY&gt;#############</v>
          </cell>
          <cell r="S61" t="str">
            <v>&lt;EMPTY&gt;#############</v>
          </cell>
          <cell r="T61" t="str">
            <v>&lt;EMPTY&gt;#############</v>
          </cell>
          <cell r="U61" t="str">
            <v>&lt;EMPTY&gt;#############</v>
          </cell>
          <cell r="V61">
            <v>0</v>
          </cell>
          <cell r="W61">
            <v>0</v>
          </cell>
          <cell r="X61">
            <v>0</v>
          </cell>
          <cell r="Y61">
            <v>0</v>
          </cell>
          <cell r="Z61">
            <v>0</v>
          </cell>
          <cell r="AA61">
            <v>126</v>
          </cell>
          <cell r="AB61" t="str">
            <v>Share data</v>
          </cell>
          <cell r="AC61">
            <v>44</v>
          </cell>
          <cell r="AD61" t="str">
            <v>&lt;EMPTY&gt;#############</v>
          </cell>
          <cell r="AE61">
            <v>0</v>
          </cell>
          <cell r="AF61">
            <v>0</v>
          </cell>
          <cell r="AG61">
            <v>0</v>
          </cell>
          <cell r="AH61">
            <v>0</v>
          </cell>
          <cell r="AI61">
            <v>0</v>
          </cell>
          <cell r="AJ61">
            <v>0</v>
          </cell>
          <cell r="AK61">
            <v>0</v>
          </cell>
          <cell r="AL61">
            <v>0</v>
          </cell>
          <cell r="AM61">
            <v>0</v>
          </cell>
          <cell r="AN61">
            <v>21</v>
          </cell>
          <cell r="AO61" t="str">
            <v xml:space="preserve">Share price relative to sector over 3 months </v>
          </cell>
          <cell r="AP61" t="str">
            <v>%</v>
          </cell>
          <cell r="AQ61">
            <v>0</v>
          </cell>
          <cell r="AR61" t="str">
            <v>Market data feed</v>
          </cell>
          <cell r="AS61">
            <v>0</v>
          </cell>
          <cell r="AT61">
            <v>0</v>
          </cell>
          <cell r="AU61" t="e">
            <v>#VALUE!</v>
          </cell>
          <cell r="AV61" t="e">
            <v>#VALUE!</v>
          </cell>
        </row>
        <row r="62">
          <cell r="A62">
            <v>22</v>
          </cell>
          <cell r="B62" t="str">
            <v>&lt;EMPTY&gt;#############&lt;EMPTY&gt;#############</v>
          </cell>
          <cell r="C62" t="str">
            <v>###delete - Share price relative to sector over 12 months</v>
          </cell>
          <cell r="D62" t="str">
            <v>(%)</v>
          </cell>
          <cell r="E62">
            <v>0</v>
          </cell>
          <cell r="F62">
            <v>0</v>
          </cell>
          <cell r="G62">
            <v>0</v>
          </cell>
          <cell r="H62">
            <v>0</v>
          </cell>
          <cell r="I62">
            <v>0</v>
          </cell>
          <cell r="J62">
            <v>0</v>
          </cell>
          <cell r="K62">
            <v>0</v>
          </cell>
          <cell r="L62">
            <v>0</v>
          </cell>
          <cell r="M62">
            <v>0</v>
          </cell>
          <cell r="N62" t="str">
            <v>&lt;EMPTY&gt;#############</v>
          </cell>
          <cell r="O62" t="str">
            <v>&lt;EMPTY&gt;#############</v>
          </cell>
          <cell r="P62">
            <v>0</v>
          </cell>
          <cell r="Q62" t="str">
            <v>&lt;EMPTY&gt;#############</v>
          </cell>
          <cell r="R62" t="str">
            <v>&lt;EMPTY&gt;#############</v>
          </cell>
          <cell r="S62" t="str">
            <v>&lt;EMPTY&gt;#############</v>
          </cell>
          <cell r="T62" t="str">
            <v>&lt;EMPTY&gt;#############</v>
          </cell>
          <cell r="U62" t="str">
            <v>&lt;EMPTY&gt;#############</v>
          </cell>
          <cell r="V62">
            <v>0</v>
          </cell>
          <cell r="W62">
            <v>0</v>
          </cell>
          <cell r="X62">
            <v>0</v>
          </cell>
          <cell r="Y62">
            <v>0</v>
          </cell>
          <cell r="Z62">
            <v>0</v>
          </cell>
          <cell r="AA62">
            <v>125</v>
          </cell>
          <cell r="AB62" t="str">
            <v>Share data</v>
          </cell>
          <cell r="AC62">
            <v>45</v>
          </cell>
          <cell r="AD62" t="str">
            <v>&lt;EMPTY&gt;#############</v>
          </cell>
          <cell r="AE62">
            <v>0</v>
          </cell>
          <cell r="AF62">
            <v>0</v>
          </cell>
          <cell r="AG62">
            <v>0</v>
          </cell>
          <cell r="AH62">
            <v>0</v>
          </cell>
          <cell r="AI62">
            <v>0</v>
          </cell>
          <cell r="AJ62">
            <v>0</v>
          </cell>
          <cell r="AK62">
            <v>0</v>
          </cell>
          <cell r="AL62">
            <v>0</v>
          </cell>
          <cell r="AM62">
            <v>0</v>
          </cell>
          <cell r="AN62">
            <v>22</v>
          </cell>
          <cell r="AO62" t="str">
            <v xml:space="preserve">Share price relative to sector over 12 months </v>
          </cell>
          <cell r="AP62" t="str">
            <v>%</v>
          </cell>
          <cell r="AQ62">
            <v>0</v>
          </cell>
          <cell r="AR62" t="str">
            <v>Market data feed</v>
          </cell>
          <cell r="AS62">
            <v>0</v>
          </cell>
          <cell r="AT62">
            <v>0</v>
          </cell>
          <cell r="AU62" t="e">
            <v>#VALUE!</v>
          </cell>
          <cell r="AV62" t="e">
            <v>#VALUE!</v>
          </cell>
        </row>
        <row r="63">
          <cell r="A63">
            <v>23</v>
          </cell>
          <cell r="B63" t="str">
            <v>&lt;EMPTY&gt;#############&lt;EMPTY&gt;#############</v>
          </cell>
          <cell r="C63" t="str">
            <v>###delete - Share price relative to index 1 over 1 month</v>
          </cell>
          <cell r="D63" t="str">
            <v>(%)</v>
          </cell>
          <cell r="E63">
            <v>0</v>
          </cell>
          <cell r="F63">
            <v>0</v>
          </cell>
          <cell r="G63">
            <v>0</v>
          </cell>
          <cell r="H63">
            <v>0</v>
          </cell>
          <cell r="I63">
            <v>0</v>
          </cell>
          <cell r="J63">
            <v>0</v>
          </cell>
          <cell r="K63">
            <v>0</v>
          </cell>
          <cell r="L63">
            <v>0</v>
          </cell>
          <cell r="M63">
            <v>0</v>
          </cell>
          <cell r="N63" t="str">
            <v>&lt;EMPTY&gt;#############</v>
          </cell>
          <cell r="O63" t="str">
            <v>&lt;EMPTY&gt;#############</v>
          </cell>
          <cell r="P63">
            <v>0</v>
          </cell>
          <cell r="Q63" t="str">
            <v>&lt;EMPTY&gt;#############</v>
          </cell>
          <cell r="R63" t="str">
            <v>&lt;EMPTY&gt;#############</v>
          </cell>
          <cell r="S63" t="str">
            <v>&lt;EMPTY&gt;#############</v>
          </cell>
          <cell r="T63" t="str">
            <v>&lt;EMPTY&gt;#############</v>
          </cell>
          <cell r="U63" t="str">
            <v>&lt;EMPTY&gt;#############</v>
          </cell>
          <cell r="V63">
            <v>0</v>
          </cell>
          <cell r="W63">
            <v>0</v>
          </cell>
          <cell r="X63">
            <v>0</v>
          </cell>
          <cell r="Y63">
            <v>0</v>
          </cell>
          <cell r="Z63">
            <v>0</v>
          </cell>
          <cell r="AA63">
            <v>118</v>
          </cell>
          <cell r="AB63" t="str">
            <v>Share data</v>
          </cell>
          <cell r="AC63">
            <v>46</v>
          </cell>
          <cell r="AD63" t="str">
            <v>&lt;EMPTY&gt;#############</v>
          </cell>
          <cell r="AE63">
            <v>0</v>
          </cell>
          <cell r="AF63">
            <v>0</v>
          </cell>
          <cell r="AG63">
            <v>0</v>
          </cell>
          <cell r="AH63">
            <v>0</v>
          </cell>
          <cell r="AI63">
            <v>0</v>
          </cell>
          <cell r="AJ63">
            <v>0</v>
          </cell>
          <cell r="AK63">
            <v>0</v>
          </cell>
          <cell r="AL63">
            <v>0</v>
          </cell>
          <cell r="AM63">
            <v>0</v>
          </cell>
          <cell r="AN63">
            <v>23</v>
          </cell>
          <cell r="AO63" t="str">
            <v xml:space="preserve">Share price relative to index 1 over 1 month </v>
          </cell>
          <cell r="AP63" t="str">
            <v>%</v>
          </cell>
          <cell r="AQ63">
            <v>0</v>
          </cell>
          <cell r="AR63" t="str">
            <v>Market data feed</v>
          </cell>
          <cell r="AS63">
            <v>0</v>
          </cell>
          <cell r="AT63">
            <v>0</v>
          </cell>
          <cell r="AU63" t="e">
            <v>#VALUE!</v>
          </cell>
          <cell r="AV63" t="e">
            <v>#VALUE!</v>
          </cell>
        </row>
        <row r="64">
          <cell r="A64">
            <v>24</v>
          </cell>
          <cell r="B64" t="str">
            <v>&lt;EMPTY&gt;#############&lt;EMPTY&gt;#############</v>
          </cell>
          <cell r="C64" t="str">
            <v>###delete - Share price relative to index 1 over 3 months</v>
          </cell>
          <cell r="D64" t="str">
            <v>(%)</v>
          </cell>
          <cell r="E64">
            <v>0</v>
          </cell>
          <cell r="F64">
            <v>0</v>
          </cell>
          <cell r="G64">
            <v>0</v>
          </cell>
          <cell r="H64">
            <v>0</v>
          </cell>
          <cell r="I64">
            <v>0</v>
          </cell>
          <cell r="J64">
            <v>0</v>
          </cell>
          <cell r="K64">
            <v>0</v>
          </cell>
          <cell r="L64">
            <v>0</v>
          </cell>
          <cell r="M64">
            <v>0</v>
          </cell>
          <cell r="N64" t="str">
            <v>&lt;EMPTY&gt;#############</v>
          </cell>
          <cell r="O64" t="str">
            <v>&lt;EMPTY&gt;#############</v>
          </cell>
          <cell r="P64">
            <v>0</v>
          </cell>
          <cell r="Q64" t="str">
            <v>&lt;EMPTY&gt;#############</v>
          </cell>
          <cell r="R64" t="str">
            <v>&lt;EMPTY&gt;#############</v>
          </cell>
          <cell r="S64" t="str">
            <v>&lt;EMPTY&gt;#############</v>
          </cell>
          <cell r="T64" t="str">
            <v>&lt;EMPTY&gt;#############</v>
          </cell>
          <cell r="U64" t="str">
            <v>&lt;EMPTY&gt;#############</v>
          </cell>
          <cell r="V64">
            <v>0</v>
          </cell>
          <cell r="W64">
            <v>0</v>
          </cell>
          <cell r="X64">
            <v>0</v>
          </cell>
          <cell r="Y64">
            <v>0</v>
          </cell>
          <cell r="Z64">
            <v>0</v>
          </cell>
          <cell r="AA64">
            <v>120</v>
          </cell>
          <cell r="AB64" t="str">
            <v>Share data</v>
          </cell>
          <cell r="AC64">
            <v>47</v>
          </cell>
          <cell r="AD64" t="str">
            <v>&lt;EMPTY&gt;#############</v>
          </cell>
          <cell r="AE64">
            <v>0</v>
          </cell>
          <cell r="AF64">
            <v>0</v>
          </cell>
          <cell r="AG64">
            <v>0</v>
          </cell>
          <cell r="AH64">
            <v>0</v>
          </cell>
          <cell r="AI64">
            <v>0</v>
          </cell>
          <cell r="AJ64">
            <v>0</v>
          </cell>
          <cell r="AK64">
            <v>0</v>
          </cell>
          <cell r="AL64">
            <v>0</v>
          </cell>
          <cell r="AM64">
            <v>0</v>
          </cell>
          <cell r="AN64">
            <v>24</v>
          </cell>
          <cell r="AO64" t="str">
            <v xml:space="preserve">Share price relative to index 1 over 3 months </v>
          </cell>
          <cell r="AP64" t="str">
            <v>%</v>
          </cell>
          <cell r="AQ64">
            <v>0</v>
          </cell>
          <cell r="AR64" t="str">
            <v>Market data feed</v>
          </cell>
          <cell r="AS64">
            <v>0</v>
          </cell>
          <cell r="AT64">
            <v>0</v>
          </cell>
          <cell r="AU64" t="e">
            <v>#VALUE!</v>
          </cell>
          <cell r="AV64" t="e">
            <v>#VALUE!</v>
          </cell>
        </row>
        <row r="65">
          <cell r="A65">
            <v>25</v>
          </cell>
          <cell r="B65" t="str">
            <v>&lt;EMPTY&gt;#############&lt;EMPTY&gt;#############</v>
          </cell>
          <cell r="C65" t="str">
            <v>###delete - Share price relative to index 1 over 12 months</v>
          </cell>
          <cell r="D65" t="str">
            <v>(%)</v>
          </cell>
          <cell r="E65">
            <v>0</v>
          </cell>
          <cell r="F65">
            <v>0</v>
          </cell>
          <cell r="G65">
            <v>0</v>
          </cell>
          <cell r="H65">
            <v>0</v>
          </cell>
          <cell r="I65">
            <v>0</v>
          </cell>
          <cell r="J65">
            <v>0</v>
          </cell>
          <cell r="K65">
            <v>0</v>
          </cell>
          <cell r="L65">
            <v>0</v>
          </cell>
          <cell r="M65">
            <v>0</v>
          </cell>
          <cell r="N65" t="str">
            <v>&lt;EMPTY&gt;#############</v>
          </cell>
          <cell r="O65" t="str">
            <v>&lt;EMPTY&gt;#############</v>
          </cell>
          <cell r="P65">
            <v>0</v>
          </cell>
          <cell r="Q65" t="str">
            <v>&lt;EMPTY&gt;#############</v>
          </cell>
          <cell r="R65" t="str">
            <v>&lt;EMPTY&gt;#############</v>
          </cell>
          <cell r="S65" t="str">
            <v>&lt;EMPTY&gt;#############</v>
          </cell>
          <cell r="T65" t="str">
            <v>&lt;EMPTY&gt;#############</v>
          </cell>
          <cell r="U65" t="str">
            <v>&lt;EMPTY&gt;#############</v>
          </cell>
          <cell r="V65">
            <v>0</v>
          </cell>
          <cell r="W65">
            <v>0</v>
          </cell>
          <cell r="X65">
            <v>0</v>
          </cell>
          <cell r="Y65">
            <v>0</v>
          </cell>
          <cell r="Z65">
            <v>0</v>
          </cell>
          <cell r="AA65">
            <v>119</v>
          </cell>
          <cell r="AB65" t="str">
            <v>Share data</v>
          </cell>
          <cell r="AC65">
            <v>48</v>
          </cell>
          <cell r="AD65" t="str">
            <v>&lt;EMPTY&gt;#############</v>
          </cell>
          <cell r="AE65">
            <v>0</v>
          </cell>
          <cell r="AF65">
            <v>0</v>
          </cell>
          <cell r="AG65">
            <v>0</v>
          </cell>
          <cell r="AH65">
            <v>0</v>
          </cell>
          <cell r="AI65">
            <v>0</v>
          </cell>
          <cell r="AJ65">
            <v>0</v>
          </cell>
          <cell r="AK65">
            <v>0</v>
          </cell>
          <cell r="AL65">
            <v>0</v>
          </cell>
          <cell r="AM65">
            <v>0</v>
          </cell>
          <cell r="AN65">
            <v>25</v>
          </cell>
          <cell r="AO65" t="str">
            <v xml:space="preserve">Share price relative to index 1 over 12 months </v>
          </cell>
          <cell r="AP65" t="str">
            <v>%</v>
          </cell>
          <cell r="AQ65">
            <v>0</v>
          </cell>
          <cell r="AR65" t="str">
            <v>Market data feed</v>
          </cell>
          <cell r="AS65">
            <v>0</v>
          </cell>
          <cell r="AT65">
            <v>0</v>
          </cell>
          <cell r="AU65" t="e">
            <v>#VALUE!</v>
          </cell>
          <cell r="AV65" t="e">
            <v>#VALUE!</v>
          </cell>
        </row>
        <row r="66">
          <cell r="A66">
            <v>26</v>
          </cell>
          <cell r="B66" t="str">
            <v>&lt;EMPTY&gt;#############&lt;EMPTY&gt;#############</v>
          </cell>
          <cell r="C66" t="str">
            <v>###delete - Share price relative to index 2 over 1 month</v>
          </cell>
          <cell r="D66" t="str">
            <v>(%)</v>
          </cell>
          <cell r="E66">
            <v>0</v>
          </cell>
          <cell r="F66">
            <v>0</v>
          </cell>
          <cell r="G66">
            <v>0</v>
          </cell>
          <cell r="H66">
            <v>0</v>
          </cell>
          <cell r="I66">
            <v>0</v>
          </cell>
          <cell r="J66">
            <v>0</v>
          </cell>
          <cell r="K66">
            <v>0</v>
          </cell>
          <cell r="L66">
            <v>0</v>
          </cell>
          <cell r="M66">
            <v>0</v>
          </cell>
          <cell r="N66" t="str">
            <v>&lt;EMPTY&gt;#############</v>
          </cell>
          <cell r="O66" t="str">
            <v>&lt;EMPTY&gt;#############</v>
          </cell>
          <cell r="P66">
            <v>0</v>
          </cell>
          <cell r="Q66" t="str">
            <v>&lt;EMPTY&gt;#############</v>
          </cell>
          <cell r="R66" t="str">
            <v>&lt;EMPTY&gt;#############</v>
          </cell>
          <cell r="S66" t="str">
            <v>&lt;EMPTY&gt;#############</v>
          </cell>
          <cell r="T66" t="str">
            <v>&lt;EMPTY&gt;#############</v>
          </cell>
          <cell r="U66" t="str">
            <v>&lt;EMPTY&gt;#############</v>
          </cell>
          <cell r="V66">
            <v>0</v>
          </cell>
          <cell r="W66">
            <v>0</v>
          </cell>
          <cell r="X66">
            <v>0</v>
          </cell>
          <cell r="Y66">
            <v>0</v>
          </cell>
          <cell r="Z66">
            <v>0</v>
          </cell>
          <cell r="AA66">
            <v>121</v>
          </cell>
          <cell r="AB66" t="str">
            <v>Share data</v>
          </cell>
          <cell r="AC66">
            <v>49</v>
          </cell>
          <cell r="AD66" t="str">
            <v>&lt;EMPTY&gt;#############</v>
          </cell>
          <cell r="AE66">
            <v>0</v>
          </cell>
          <cell r="AF66">
            <v>0</v>
          </cell>
          <cell r="AG66">
            <v>0</v>
          </cell>
          <cell r="AH66">
            <v>0</v>
          </cell>
          <cell r="AI66">
            <v>0</v>
          </cell>
          <cell r="AJ66">
            <v>0</v>
          </cell>
          <cell r="AK66">
            <v>0</v>
          </cell>
          <cell r="AL66">
            <v>0</v>
          </cell>
          <cell r="AM66">
            <v>0</v>
          </cell>
          <cell r="AN66">
            <v>26</v>
          </cell>
          <cell r="AO66" t="str">
            <v xml:space="preserve">Share price relative to index 2 over 1 month </v>
          </cell>
          <cell r="AP66" t="str">
            <v>%</v>
          </cell>
          <cell r="AQ66">
            <v>0</v>
          </cell>
          <cell r="AR66" t="str">
            <v>Market data feed</v>
          </cell>
          <cell r="AS66">
            <v>0</v>
          </cell>
          <cell r="AT66">
            <v>0</v>
          </cell>
          <cell r="AU66" t="e">
            <v>#VALUE!</v>
          </cell>
          <cell r="AV66" t="e">
            <v>#VALUE!</v>
          </cell>
        </row>
        <row r="67">
          <cell r="A67">
            <v>27</v>
          </cell>
          <cell r="B67" t="str">
            <v>&lt;EMPTY&gt;#############&lt;EMPTY&gt;#############</v>
          </cell>
          <cell r="C67" t="str">
            <v>###delete - Share price relative to index 2 over 3 months</v>
          </cell>
          <cell r="D67" t="str">
            <v>(%)</v>
          </cell>
          <cell r="E67">
            <v>0</v>
          </cell>
          <cell r="F67">
            <v>0</v>
          </cell>
          <cell r="G67">
            <v>0</v>
          </cell>
          <cell r="H67">
            <v>0</v>
          </cell>
          <cell r="I67">
            <v>0</v>
          </cell>
          <cell r="J67">
            <v>0</v>
          </cell>
          <cell r="K67">
            <v>0</v>
          </cell>
          <cell r="L67">
            <v>0</v>
          </cell>
          <cell r="M67">
            <v>0</v>
          </cell>
          <cell r="N67" t="str">
            <v>&lt;EMPTY&gt;#############</v>
          </cell>
          <cell r="O67" t="str">
            <v>&lt;EMPTY&gt;#############</v>
          </cell>
          <cell r="P67">
            <v>0</v>
          </cell>
          <cell r="Q67" t="str">
            <v>&lt;EMPTY&gt;#############</v>
          </cell>
          <cell r="R67" t="str">
            <v>&lt;EMPTY&gt;#############</v>
          </cell>
          <cell r="S67" t="str">
            <v>&lt;EMPTY&gt;#############</v>
          </cell>
          <cell r="T67" t="str">
            <v>&lt;EMPTY&gt;#############</v>
          </cell>
          <cell r="U67" t="str">
            <v>&lt;EMPTY&gt;#############</v>
          </cell>
          <cell r="V67">
            <v>0</v>
          </cell>
          <cell r="W67">
            <v>0</v>
          </cell>
          <cell r="X67">
            <v>0</v>
          </cell>
          <cell r="Y67">
            <v>0</v>
          </cell>
          <cell r="Z67">
            <v>0</v>
          </cell>
          <cell r="AA67">
            <v>123</v>
          </cell>
          <cell r="AB67" t="str">
            <v>Share data</v>
          </cell>
          <cell r="AC67">
            <v>50</v>
          </cell>
          <cell r="AD67" t="str">
            <v>&lt;EMPTY&gt;#############</v>
          </cell>
          <cell r="AE67">
            <v>0</v>
          </cell>
          <cell r="AF67">
            <v>0</v>
          </cell>
          <cell r="AG67">
            <v>0</v>
          </cell>
          <cell r="AH67">
            <v>0</v>
          </cell>
          <cell r="AI67">
            <v>0</v>
          </cell>
          <cell r="AJ67">
            <v>0</v>
          </cell>
          <cell r="AK67">
            <v>0</v>
          </cell>
          <cell r="AL67">
            <v>0</v>
          </cell>
          <cell r="AM67">
            <v>0</v>
          </cell>
          <cell r="AN67">
            <v>27</v>
          </cell>
          <cell r="AO67" t="str">
            <v xml:space="preserve">Share price relative to index 2 over 3 months </v>
          </cell>
          <cell r="AP67" t="str">
            <v>%</v>
          </cell>
          <cell r="AQ67">
            <v>0</v>
          </cell>
          <cell r="AR67" t="str">
            <v>Market data feed</v>
          </cell>
          <cell r="AS67">
            <v>0</v>
          </cell>
          <cell r="AT67">
            <v>0</v>
          </cell>
          <cell r="AU67" t="e">
            <v>#VALUE!</v>
          </cell>
          <cell r="AV67" t="e">
            <v>#VALUE!</v>
          </cell>
        </row>
        <row r="68">
          <cell r="A68">
            <v>28</v>
          </cell>
          <cell r="B68" t="str">
            <v>&lt;EMPTY&gt;#############&lt;EMPTY&gt;#############</v>
          </cell>
          <cell r="C68" t="str">
            <v>###delete - Share price relative to index 2 over 12 months</v>
          </cell>
          <cell r="D68" t="str">
            <v>(%)</v>
          </cell>
          <cell r="E68">
            <v>0</v>
          </cell>
          <cell r="F68">
            <v>0</v>
          </cell>
          <cell r="G68">
            <v>0</v>
          </cell>
          <cell r="H68">
            <v>0</v>
          </cell>
          <cell r="I68">
            <v>0</v>
          </cell>
          <cell r="J68">
            <v>0</v>
          </cell>
          <cell r="K68">
            <v>0</v>
          </cell>
          <cell r="L68">
            <v>0</v>
          </cell>
          <cell r="M68">
            <v>0</v>
          </cell>
          <cell r="N68" t="str">
            <v>&lt;EMPTY&gt;#############</v>
          </cell>
          <cell r="O68" t="str">
            <v>&lt;EMPTY&gt;#############</v>
          </cell>
          <cell r="P68">
            <v>0</v>
          </cell>
          <cell r="Q68" t="str">
            <v>&lt;EMPTY&gt;#############</v>
          </cell>
          <cell r="R68" t="str">
            <v>&lt;EMPTY&gt;#############</v>
          </cell>
          <cell r="S68" t="str">
            <v>&lt;EMPTY&gt;#############</v>
          </cell>
          <cell r="T68" t="str">
            <v>&lt;EMPTY&gt;#############</v>
          </cell>
          <cell r="U68" t="str">
            <v>&lt;EMPTY&gt;#############</v>
          </cell>
          <cell r="V68">
            <v>0</v>
          </cell>
          <cell r="W68">
            <v>0</v>
          </cell>
          <cell r="X68">
            <v>0</v>
          </cell>
          <cell r="Y68">
            <v>0</v>
          </cell>
          <cell r="Z68">
            <v>0</v>
          </cell>
          <cell r="AA68">
            <v>122</v>
          </cell>
          <cell r="AB68" t="str">
            <v>Share data</v>
          </cell>
          <cell r="AC68">
            <v>51</v>
          </cell>
          <cell r="AD68" t="str">
            <v>&lt;EMPTY&gt;#############</v>
          </cell>
          <cell r="AE68">
            <v>0</v>
          </cell>
          <cell r="AF68">
            <v>0</v>
          </cell>
          <cell r="AG68">
            <v>0</v>
          </cell>
          <cell r="AH68">
            <v>0</v>
          </cell>
          <cell r="AI68">
            <v>0</v>
          </cell>
          <cell r="AJ68">
            <v>0</v>
          </cell>
          <cell r="AK68">
            <v>0</v>
          </cell>
          <cell r="AL68">
            <v>0</v>
          </cell>
          <cell r="AM68">
            <v>0</v>
          </cell>
          <cell r="AN68">
            <v>28</v>
          </cell>
          <cell r="AO68" t="str">
            <v xml:space="preserve">Share price relative to index 2 over 12 months </v>
          </cell>
          <cell r="AP68" t="str">
            <v>%</v>
          </cell>
          <cell r="AQ68">
            <v>0</v>
          </cell>
          <cell r="AR68" t="str">
            <v>Market data feed</v>
          </cell>
          <cell r="AS68">
            <v>0</v>
          </cell>
          <cell r="AT68">
            <v>0</v>
          </cell>
          <cell r="AU68" t="e">
            <v>#VALUE!</v>
          </cell>
          <cell r="AV68" t="e">
            <v>#VALUE!</v>
          </cell>
        </row>
        <row r="69">
          <cell r="A69">
            <v>29</v>
          </cell>
          <cell r="B69" t="str">
            <v>&lt;EMPTY&gt;#############&lt;EMPTY&gt;#############</v>
          </cell>
          <cell r="C69" t="str">
            <v>###delete - Average daily volume shares 1month</v>
          </cell>
          <cell r="D69" t="str">
            <v>(m)</v>
          </cell>
          <cell r="E69">
            <v>0</v>
          </cell>
          <cell r="F69">
            <v>0</v>
          </cell>
          <cell r="G69">
            <v>0</v>
          </cell>
          <cell r="H69">
            <v>0</v>
          </cell>
          <cell r="I69">
            <v>0</v>
          </cell>
          <cell r="J69">
            <v>0</v>
          </cell>
          <cell r="K69">
            <v>0</v>
          </cell>
          <cell r="L69">
            <v>0</v>
          </cell>
          <cell r="M69">
            <v>0</v>
          </cell>
          <cell r="N69" t="str">
            <v>&lt;EMPTY&gt;#############</v>
          </cell>
          <cell r="O69" t="str">
            <v>&lt;EMPTY&gt;#############</v>
          </cell>
          <cell r="P69">
            <v>0</v>
          </cell>
          <cell r="Q69" t="str">
            <v>&lt;EMPTY&gt;#############</v>
          </cell>
          <cell r="R69" t="str">
            <v>&lt;EMPTY&gt;#############</v>
          </cell>
          <cell r="S69" t="str">
            <v>&lt;EMPTY&gt;#############</v>
          </cell>
          <cell r="T69" t="str">
            <v>&lt;EMPTY&gt;#############</v>
          </cell>
          <cell r="U69" t="str">
            <v>&lt;EMPTY&gt;#############</v>
          </cell>
          <cell r="V69">
            <v>0</v>
          </cell>
          <cell r="W69">
            <v>0</v>
          </cell>
          <cell r="X69">
            <v>0</v>
          </cell>
          <cell r="Y69">
            <v>0</v>
          </cell>
          <cell r="Z69">
            <v>0</v>
          </cell>
          <cell r="AA69">
            <v>105</v>
          </cell>
          <cell r="AB69" t="str">
            <v>Share data</v>
          </cell>
          <cell r="AC69">
            <v>52</v>
          </cell>
          <cell r="AD69" t="str">
            <v>&lt;EMPTY&gt;#############</v>
          </cell>
          <cell r="AE69">
            <v>0</v>
          </cell>
          <cell r="AF69">
            <v>0</v>
          </cell>
          <cell r="AG69">
            <v>0</v>
          </cell>
          <cell r="AH69">
            <v>0</v>
          </cell>
          <cell r="AI69">
            <v>0</v>
          </cell>
          <cell r="AJ69">
            <v>0</v>
          </cell>
          <cell r="AK69">
            <v>0</v>
          </cell>
          <cell r="AL69">
            <v>0</v>
          </cell>
          <cell r="AM69">
            <v>0</v>
          </cell>
          <cell r="AN69">
            <v>29</v>
          </cell>
          <cell r="AO69" t="str">
            <v>Average daily volume shares 1month</v>
          </cell>
          <cell r="AP69" t="str">
            <v>m</v>
          </cell>
          <cell r="AQ69">
            <v>0</v>
          </cell>
          <cell r="AR69" t="str">
            <v>future market data feed</v>
          </cell>
          <cell r="AS69">
            <v>0</v>
          </cell>
          <cell r="AT69">
            <v>0</v>
          </cell>
          <cell r="AU69" t="e">
            <v>#VALUE!</v>
          </cell>
          <cell r="AV69" t="e">
            <v>#VALUE!</v>
          </cell>
        </row>
        <row r="70">
          <cell r="A70">
            <v>30</v>
          </cell>
          <cell r="B70" t="str">
            <v>&lt;EMPTY&gt;#############&lt;EMPTY&gt;#############</v>
          </cell>
          <cell r="C70" t="str">
            <v>###delete - Average daily volume shares 3 months</v>
          </cell>
          <cell r="D70" t="str">
            <v>(m)</v>
          </cell>
          <cell r="E70">
            <v>0</v>
          </cell>
          <cell r="F70">
            <v>0</v>
          </cell>
          <cell r="G70">
            <v>0</v>
          </cell>
          <cell r="H70">
            <v>0</v>
          </cell>
          <cell r="I70">
            <v>0</v>
          </cell>
          <cell r="J70">
            <v>0</v>
          </cell>
          <cell r="K70">
            <v>0</v>
          </cell>
          <cell r="L70">
            <v>0</v>
          </cell>
          <cell r="M70">
            <v>0</v>
          </cell>
          <cell r="N70" t="str">
            <v>&lt;EMPTY&gt;#############</v>
          </cell>
          <cell r="O70" t="str">
            <v>&lt;EMPTY&gt;#############</v>
          </cell>
          <cell r="P70">
            <v>0</v>
          </cell>
          <cell r="Q70" t="str">
            <v>&lt;EMPTY&gt;#############</v>
          </cell>
          <cell r="R70" t="str">
            <v>&lt;EMPTY&gt;#############</v>
          </cell>
          <cell r="S70" t="str">
            <v>&lt;EMPTY&gt;#############</v>
          </cell>
          <cell r="T70" t="str">
            <v>&lt;EMPTY&gt;#############</v>
          </cell>
          <cell r="U70" t="str">
            <v>&lt;EMPTY&gt;#############</v>
          </cell>
          <cell r="V70">
            <v>0</v>
          </cell>
          <cell r="W70">
            <v>0</v>
          </cell>
          <cell r="X70">
            <v>0</v>
          </cell>
          <cell r="Y70">
            <v>0</v>
          </cell>
          <cell r="Z70">
            <v>0</v>
          </cell>
          <cell r="AA70">
            <v>106</v>
          </cell>
          <cell r="AB70" t="str">
            <v>Share data</v>
          </cell>
          <cell r="AC70">
            <v>53</v>
          </cell>
          <cell r="AD70" t="str">
            <v>&lt;EMPTY&gt;#############</v>
          </cell>
          <cell r="AE70">
            <v>0</v>
          </cell>
          <cell r="AF70">
            <v>0</v>
          </cell>
          <cell r="AG70">
            <v>0</v>
          </cell>
          <cell r="AH70">
            <v>0</v>
          </cell>
          <cell r="AI70">
            <v>0</v>
          </cell>
          <cell r="AJ70">
            <v>0</v>
          </cell>
          <cell r="AK70">
            <v>0</v>
          </cell>
          <cell r="AL70">
            <v>0</v>
          </cell>
          <cell r="AM70">
            <v>0</v>
          </cell>
          <cell r="AN70">
            <v>30</v>
          </cell>
          <cell r="AO70" t="str">
            <v>Average daily volume shares 3 months</v>
          </cell>
          <cell r="AP70" t="str">
            <v>m</v>
          </cell>
          <cell r="AQ70">
            <v>0</v>
          </cell>
          <cell r="AR70" t="str">
            <v>future market data feed</v>
          </cell>
          <cell r="AS70">
            <v>0</v>
          </cell>
          <cell r="AT70">
            <v>0</v>
          </cell>
          <cell r="AU70" t="e">
            <v>#VALUE!</v>
          </cell>
          <cell r="AV70" t="e">
            <v>#VALUE!</v>
          </cell>
        </row>
        <row r="71">
          <cell r="A71">
            <v>31</v>
          </cell>
          <cell r="B71" t="str">
            <v>&lt;EMPTY&gt;#############&lt;EMPTY&gt;#############</v>
          </cell>
          <cell r="C71" t="str">
            <v>###delete - Average daily volume shares 12 months</v>
          </cell>
          <cell r="D71" t="str">
            <v>(m)</v>
          </cell>
          <cell r="E71">
            <v>0</v>
          </cell>
          <cell r="F71">
            <v>0</v>
          </cell>
          <cell r="G71">
            <v>0</v>
          </cell>
          <cell r="H71">
            <v>0</v>
          </cell>
          <cell r="I71">
            <v>0</v>
          </cell>
          <cell r="J71">
            <v>0</v>
          </cell>
          <cell r="K71">
            <v>0</v>
          </cell>
          <cell r="L71">
            <v>0</v>
          </cell>
          <cell r="M71">
            <v>0</v>
          </cell>
          <cell r="N71" t="str">
            <v>&lt;EMPTY&gt;#############</v>
          </cell>
          <cell r="O71" t="str">
            <v>&lt;EMPTY&gt;#############</v>
          </cell>
          <cell r="P71">
            <v>0</v>
          </cell>
          <cell r="Q71" t="str">
            <v>&lt;EMPTY&gt;#############</v>
          </cell>
          <cell r="R71" t="str">
            <v>&lt;EMPTY&gt;#############</v>
          </cell>
          <cell r="S71" t="str">
            <v>&lt;EMPTY&gt;#############</v>
          </cell>
          <cell r="T71" t="str">
            <v>&lt;EMPTY&gt;#############</v>
          </cell>
          <cell r="U71" t="str">
            <v>&lt;EMPTY&gt;#############</v>
          </cell>
          <cell r="V71">
            <v>0</v>
          </cell>
          <cell r="W71">
            <v>0</v>
          </cell>
          <cell r="X71">
            <v>0</v>
          </cell>
          <cell r="Y71">
            <v>0</v>
          </cell>
          <cell r="Z71">
            <v>0</v>
          </cell>
          <cell r="AA71">
            <v>104</v>
          </cell>
          <cell r="AB71" t="str">
            <v>Share data</v>
          </cell>
          <cell r="AC71">
            <v>54</v>
          </cell>
          <cell r="AD71" t="str">
            <v>&lt;EMPTY&gt;#############</v>
          </cell>
          <cell r="AE71">
            <v>0</v>
          </cell>
          <cell r="AF71">
            <v>0</v>
          </cell>
          <cell r="AG71">
            <v>0</v>
          </cell>
          <cell r="AH71">
            <v>0</v>
          </cell>
          <cell r="AI71">
            <v>0</v>
          </cell>
          <cell r="AJ71">
            <v>0</v>
          </cell>
          <cell r="AK71">
            <v>0</v>
          </cell>
          <cell r="AL71">
            <v>0</v>
          </cell>
          <cell r="AM71">
            <v>0</v>
          </cell>
          <cell r="AN71">
            <v>31</v>
          </cell>
          <cell r="AO71" t="str">
            <v>Average daily volume shares 12 months</v>
          </cell>
          <cell r="AP71" t="str">
            <v>m</v>
          </cell>
          <cell r="AQ71">
            <v>0</v>
          </cell>
          <cell r="AR71" t="str">
            <v>future market data feed</v>
          </cell>
          <cell r="AS71">
            <v>0</v>
          </cell>
          <cell r="AT71">
            <v>0</v>
          </cell>
          <cell r="AU71" t="e">
            <v>#VALUE!</v>
          </cell>
          <cell r="AV71" t="e">
            <v>#VALUE!</v>
          </cell>
        </row>
        <row r="72">
          <cell r="A72">
            <v>30.2</v>
          </cell>
          <cell r="B72" t="str">
            <v>&lt;EMPTY&gt;#############&lt;EMPTY&gt;#############</v>
          </cell>
          <cell r="C72" t="str">
            <v>###delete - Average daily volume shares over 6 months</v>
          </cell>
          <cell r="D72" t="str">
            <v>(m)</v>
          </cell>
          <cell r="E72">
            <v>0</v>
          </cell>
          <cell r="F72">
            <v>0</v>
          </cell>
          <cell r="G72">
            <v>0</v>
          </cell>
          <cell r="H72">
            <v>0</v>
          </cell>
          <cell r="I72">
            <v>0</v>
          </cell>
          <cell r="J72">
            <v>0</v>
          </cell>
          <cell r="K72">
            <v>0</v>
          </cell>
          <cell r="L72">
            <v>0</v>
          </cell>
          <cell r="M72">
            <v>0</v>
          </cell>
          <cell r="N72" t="str">
            <v>&lt;EMPTY&gt;#############</v>
          </cell>
          <cell r="O72" t="str">
            <v>&lt;EMPTY&gt;#############</v>
          </cell>
          <cell r="P72">
            <v>0</v>
          </cell>
          <cell r="Q72" t="str">
            <v>&lt;EMPTY&gt;#############</v>
          </cell>
          <cell r="R72" t="str">
            <v>&lt;EMPTY&gt;#############</v>
          </cell>
          <cell r="S72" t="str">
            <v>&lt;EMPTY&gt;#############</v>
          </cell>
          <cell r="T72" t="str">
            <v>&lt;EMPTY&gt;#############</v>
          </cell>
          <cell r="U72" t="str">
            <v>&lt;EMPTY&gt;#############</v>
          </cell>
          <cell r="V72">
            <v>0</v>
          </cell>
          <cell r="W72">
            <v>0</v>
          </cell>
          <cell r="X72">
            <v>0</v>
          </cell>
          <cell r="Y72">
            <v>0</v>
          </cell>
          <cell r="Z72">
            <v>0</v>
          </cell>
          <cell r="AA72">
            <v>107</v>
          </cell>
          <cell r="AB72" t="str">
            <v>Share data</v>
          </cell>
          <cell r="AC72">
            <v>55</v>
          </cell>
          <cell r="AD72" t="str">
            <v>&lt;EMPTY&gt;#############</v>
          </cell>
          <cell r="AE72">
            <v>0</v>
          </cell>
          <cell r="AF72">
            <v>0</v>
          </cell>
          <cell r="AG72">
            <v>0</v>
          </cell>
          <cell r="AH72">
            <v>0</v>
          </cell>
          <cell r="AI72">
            <v>0</v>
          </cell>
          <cell r="AJ72">
            <v>0</v>
          </cell>
          <cell r="AK72">
            <v>0</v>
          </cell>
          <cell r="AL72">
            <v>0</v>
          </cell>
          <cell r="AM72">
            <v>0</v>
          </cell>
          <cell r="AN72" t="e">
            <v>#N/A</v>
          </cell>
          <cell r="AO72" t="e">
            <v>#N/A</v>
          </cell>
          <cell r="AP72" t="e">
            <v>#N/A</v>
          </cell>
          <cell r="AQ72" t="e">
            <v>#N/A</v>
          </cell>
          <cell r="AR72" t="e">
            <v>#N/A</v>
          </cell>
          <cell r="AS72" t="e">
            <v>#N/A</v>
          </cell>
          <cell r="AT72" t="e">
            <v>#N/A</v>
          </cell>
          <cell r="AU72" t="e">
            <v>#N/A</v>
          </cell>
          <cell r="AV72" t="e">
            <v>#N/A</v>
          </cell>
        </row>
        <row r="73">
          <cell r="A73">
            <v>32</v>
          </cell>
          <cell r="B73" t="str">
            <v>1num_shares_issue</v>
          </cell>
          <cell r="C73" t="str">
            <v>Number of shares in issue</v>
          </cell>
          <cell r="D73" t="str">
            <v>(m)</v>
          </cell>
          <cell r="E73">
            <v>0</v>
          </cell>
          <cell r="F73">
            <v>0</v>
          </cell>
          <cell r="G73">
            <v>0</v>
          </cell>
          <cell r="H73">
            <v>0</v>
          </cell>
          <cell r="I73">
            <v>0</v>
          </cell>
          <cell r="J73">
            <v>0</v>
          </cell>
          <cell r="K73">
            <v>0</v>
          </cell>
          <cell r="L73">
            <v>0</v>
          </cell>
          <cell r="M73">
            <v>0</v>
          </cell>
          <cell r="N73" t="str">
            <v>num_shares_issue</v>
          </cell>
          <cell r="O73">
            <v>0</v>
          </cell>
          <cell r="P73">
            <v>0</v>
          </cell>
          <cell r="Q73">
            <v>1000000</v>
          </cell>
          <cell r="R73" t="str">
            <v>S</v>
          </cell>
          <cell r="S73">
            <v>2</v>
          </cell>
          <cell r="T73" t="str">
            <v>null</v>
          </cell>
          <cell r="U73">
            <v>1</v>
          </cell>
          <cell r="V73">
            <v>0</v>
          </cell>
          <cell r="W73">
            <v>0</v>
          </cell>
          <cell r="X73">
            <v>0</v>
          </cell>
          <cell r="Y73">
            <v>0</v>
          </cell>
          <cell r="Z73">
            <v>0</v>
          </cell>
          <cell r="AA73">
            <v>410</v>
          </cell>
          <cell r="AB73" t="str">
            <v>Share data</v>
          </cell>
          <cell r="AC73">
            <v>56</v>
          </cell>
          <cell r="AD73">
            <v>0</v>
          </cell>
          <cell r="AE73">
            <v>0</v>
          </cell>
          <cell r="AF73">
            <v>0</v>
          </cell>
          <cell r="AG73">
            <v>0</v>
          </cell>
          <cell r="AH73">
            <v>0</v>
          </cell>
          <cell r="AI73">
            <v>0</v>
          </cell>
          <cell r="AJ73">
            <v>0</v>
          </cell>
          <cell r="AK73">
            <v>0</v>
          </cell>
          <cell r="AL73">
            <v>0</v>
          </cell>
          <cell r="AM73">
            <v>0</v>
          </cell>
          <cell r="AN73">
            <v>32</v>
          </cell>
          <cell r="AO73" t="str">
            <v xml:space="preserve">number of shares in issue </v>
          </cell>
          <cell r="AP73" t="str">
            <v>m</v>
          </cell>
          <cell r="AQ73">
            <v>0</v>
          </cell>
          <cell r="AR73">
            <v>0</v>
          </cell>
          <cell r="AS73">
            <v>0</v>
          </cell>
          <cell r="AT73">
            <v>0</v>
          </cell>
          <cell r="AU73" t="e">
            <v>#VALUE!</v>
          </cell>
          <cell r="AV73" t="e">
            <v>#VALUE!</v>
          </cell>
        </row>
        <row r="74">
          <cell r="A74">
            <v>33.200000000000003</v>
          </cell>
          <cell r="B74" t="str">
            <v>2target_price</v>
          </cell>
          <cell r="C74" t="str">
            <v>Target price</v>
          </cell>
          <cell r="D74" t="str">
            <v>(unit)</v>
          </cell>
          <cell r="E74">
            <v>0</v>
          </cell>
          <cell r="F74">
            <v>0</v>
          </cell>
          <cell r="G74">
            <v>0</v>
          </cell>
          <cell r="H74">
            <v>0</v>
          </cell>
          <cell r="I74">
            <v>0</v>
          </cell>
          <cell r="J74">
            <v>0</v>
          </cell>
          <cell r="K74">
            <v>0</v>
          </cell>
          <cell r="L74">
            <v>0</v>
          </cell>
          <cell r="M74">
            <v>0</v>
          </cell>
          <cell r="N74" t="str">
            <v>target_price</v>
          </cell>
          <cell r="O74">
            <v>0</v>
          </cell>
          <cell r="P74">
            <v>0</v>
          </cell>
          <cell r="Q74">
            <v>1</v>
          </cell>
          <cell r="R74" t="str">
            <v>S</v>
          </cell>
          <cell r="S74">
            <v>2</v>
          </cell>
          <cell r="T74" t="str">
            <v>null</v>
          </cell>
          <cell r="U74">
            <v>2</v>
          </cell>
          <cell r="V74">
            <v>0</v>
          </cell>
          <cell r="W74">
            <v>0</v>
          </cell>
          <cell r="X74">
            <v>0</v>
          </cell>
          <cell r="Y74">
            <v>0</v>
          </cell>
          <cell r="Z74">
            <v>0</v>
          </cell>
          <cell r="AA74">
            <v>550</v>
          </cell>
          <cell r="AB74" t="str">
            <v>Share data</v>
          </cell>
          <cell r="AC74">
            <v>58</v>
          </cell>
          <cell r="AD74">
            <v>0</v>
          </cell>
          <cell r="AE74" t="str">
            <v>c_st_target_price</v>
          </cell>
          <cell r="AF74">
            <v>0</v>
          </cell>
          <cell r="AG74">
            <v>0</v>
          </cell>
          <cell r="AH74">
            <v>0</v>
          </cell>
          <cell r="AI74">
            <v>0</v>
          </cell>
          <cell r="AJ74">
            <v>0</v>
          </cell>
          <cell r="AK74">
            <v>0</v>
          </cell>
          <cell r="AL74">
            <v>0</v>
          </cell>
          <cell r="AM74">
            <v>0</v>
          </cell>
          <cell r="AN74" t="e">
            <v>#N/A</v>
          </cell>
          <cell r="AO74" t="e">
            <v>#N/A</v>
          </cell>
          <cell r="AP74" t="e">
            <v>#N/A</v>
          </cell>
          <cell r="AQ74" t="e">
            <v>#N/A</v>
          </cell>
          <cell r="AR74" t="e">
            <v>#N/A</v>
          </cell>
          <cell r="AS74" t="e">
            <v>#N/A</v>
          </cell>
          <cell r="AT74" t="e">
            <v>#N/A</v>
          </cell>
          <cell r="AU74" t="e">
            <v>#N/A</v>
          </cell>
          <cell r="AV74" t="e">
            <v>#N/A</v>
          </cell>
        </row>
        <row r="75">
          <cell r="A75">
            <v>34.200000000000003</v>
          </cell>
          <cell r="B75" t="str">
            <v>2us_adr_shareholding</v>
          </cell>
          <cell r="C75" t="str">
            <v>US ADR shareholding</v>
          </cell>
          <cell r="D75" t="str">
            <v>(%)</v>
          </cell>
          <cell r="E75">
            <v>0</v>
          </cell>
          <cell r="F75">
            <v>0</v>
          </cell>
          <cell r="G75">
            <v>0</v>
          </cell>
          <cell r="H75">
            <v>0</v>
          </cell>
          <cell r="I75">
            <v>0</v>
          </cell>
          <cell r="J75">
            <v>0</v>
          </cell>
          <cell r="K75">
            <v>0</v>
          </cell>
          <cell r="L75">
            <v>0</v>
          </cell>
          <cell r="M75">
            <v>0</v>
          </cell>
          <cell r="N75" t="str">
            <v>us_adr_shareholding</v>
          </cell>
          <cell r="O75">
            <v>0</v>
          </cell>
          <cell r="P75">
            <v>0</v>
          </cell>
          <cell r="Q75">
            <v>1</v>
          </cell>
          <cell r="R75" t="str">
            <v>S</v>
          </cell>
          <cell r="S75">
            <v>2</v>
          </cell>
          <cell r="T75" t="str">
            <v>null</v>
          </cell>
          <cell r="U75">
            <v>2</v>
          </cell>
          <cell r="V75">
            <v>0</v>
          </cell>
          <cell r="W75">
            <v>0</v>
          </cell>
          <cell r="X75">
            <v>0</v>
          </cell>
          <cell r="Y75">
            <v>0</v>
          </cell>
          <cell r="Z75">
            <v>0</v>
          </cell>
          <cell r="AA75">
            <v>592</v>
          </cell>
          <cell r="AB75" t="str">
            <v>Share data</v>
          </cell>
          <cell r="AC75">
            <v>60</v>
          </cell>
          <cell r="AD75">
            <v>0</v>
          </cell>
          <cell r="AE75" t="str">
            <v>c_st_us_adr_shareholding</v>
          </cell>
          <cell r="AF75">
            <v>0</v>
          </cell>
          <cell r="AG75">
            <v>0</v>
          </cell>
          <cell r="AH75">
            <v>0</v>
          </cell>
          <cell r="AI75">
            <v>0</v>
          </cell>
          <cell r="AJ75">
            <v>0</v>
          </cell>
          <cell r="AK75">
            <v>0</v>
          </cell>
          <cell r="AL75">
            <v>0</v>
          </cell>
          <cell r="AM75">
            <v>0</v>
          </cell>
          <cell r="AN75" t="e">
            <v>#N/A</v>
          </cell>
          <cell r="AO75" t="e">
            <v>#N/A</v>
          </cell>
          <cell r="AP75" t="e">
            <v>#N/A</v>
          </cell>
          <cell r="AQ75" t="e">
            <v>#N/A</v>
          </cell>
          <cell r="AR75" t="e">
            <v>#N/A</v>
          </cell>
          <cell r="AS75" t="e">
            <v>#N/A</v>
          </cell>
          <cell r="AT75" t="e">
            <v>#N/A</v>
          </cell>
          <cell r="AU75" t="e">
            <v>#N/A</v>
          </cell>
          <cell r="AV75" t="e">
            <v>#N/A</v>
          </cell>
        </row>
        <row r="76">
          <cell r="A76">
            <v>34.4</v>
          </cell>
          <cell r="B76" t="str">
            <v>-c_st_gdr_shareholding</v>
          </cell>
          <cell r="C76" t="str">
            <v>GDR shareholding</v>
          </cell>
          <cell r="D76" t="str">
            <v>(%)</v>
          </cell>
          <cell r="E76">
            <v>0</v>
          </cell>
          <cell r="F76">
            <v>0</v>
          </cell>
          <cell r="G76">
            <v>0</v>
          </cell>
          <cell r="H76">
            <v>0</v>
          </cell>
          <cell r="I76">
            <v>0</v>
          </cell>
          <cell r="J76">
            <v>0</v>
          </cell>
          <cell r="K76">
            <v>0</v>
          </cell>
          <cell r="L76">
            <v>0</v>
          </cell>
          <cell r="M76">
            <v>0</v>
          </cell>
          <cell r="N76" t="str">
            <v>c_st_gdr_shareholding</v>
          </cell>
          <cell r="O76">
            <v>0</v>
          </cell>
          <cell r="P76">
            <v>0</v>
          </cell>
          <cell r="Q76">
            <v>1</v>
          </cell>
          <cell r="R76" t="str">
            <v>ST</v>
          </cell>
          <cell r="S76" t="str">
            <v>-</v>
          </cell>
          <cell r="T76">
            <v>1902</v>
          </cell>
          <cell r="U76" t="str">
            <v>-</v>
          </cell>
          <cell r="V76">
            <v>0</v>
          </cell>
          <cell r="W76">
            <v>0</v>
          </cell>
          <cell r="X76">
            <v>0</v>
          </cell>
          <cell r="Y76">
            <v>0</v>
          </cell>
          <cell r="Z76">
            <v>0</v>
          </cell>
          <cell r="AA76">
            <v>268</v>
          </cell>
          <cell r="AB76" t="str">
            <v>Share data</v>
          </cell>
          <cell r="AC76">
            <v>61</v>
          </cell>
          <cell r="AD76">
            <v>0</v>
          </cell>
          <cell r="AE76">
            <v>0</v>
          </cell>
          <cell r="AF76">
            <v>0</v>
          </cell>
          <cell r="AG76">
            <v>0</v>
          </cell>
          <cell r="AH76">
            <v>0</v>
          </cell>
          <cell r="AI76">
            <v>0</v>
          </cell>
          <cell r="AJ76">
            <v>0</v>
          </cell>
          <cell r="AK76">
            <v>0</v>
          </cell>
          <cell r="AL76">
            <v>0</v>
          </cell>
          <cell r="AM76">
            <v>0</v>
          </cell>
          <cell r="AN76" t="e">
            <v>#N/A</v>
          </cell>
          <cell r="AO76" t="e">
            <v>#N/A</v>
          </cell>
          <cell r="AP76" t="e">
            <v>#N/A</v>
          </cell>
          <cell r="AQ76" t="e">
            <v>#N/A</v>
          </cell>
          <cell r="AR76" t="e">
            <v>#N/A</v>
          </cell>
          <cell r="AS76" t="e">
            <v>#N/A</v>
          </cell>
          <cell r="AT76" t="e">
            <v>#N/A</v>
          </cell>
          <cell r="AU76" t="e">
            <v>#N/A</v>
          </cell>
          <cell r="AV76" t="e">
            <v>#N/A</v>
          </cell>
        </row>
        <row r="77">
          <cell r="A77">
            <v>34.6</v>
          </cell>
          <cell r="B77" t="str">
            <v>2gdr_shareholding</v>
          </cell>
          <cell r="C77" t="str">
            <v>GDR shareholding</v>
          </cell>
          <cell r="D77" t="str">
            <v>(%)</v>
          </cell>
          <cell r="E77">
            <v>0</v>
          </cell>
          <cell r="F77">
            <v>0</v>
          </cell>
          <cell r="G77">
            <v>0</v>
          </cell>
          <cell r="H77">
            <v>0</v>
          </cell>
          <cell r="I77">
            <v>0</v>
          </cell>
          <cell r="J77">
            <v>0</v>
          </cell>
          <cell r="K77">
            <v>0</v>
          </cell>
          <cell r="L77">
            <v>0</v>
          </cell>
          <cell r="M77">
            <v>0</v>
          </cell>
          <cell r="N77" t="str">
            <v>gdr_shareholding</v>
          </cell>
          <cell r="O77">
            <v>0</v>
          </cell>
          <cell r="P77">
            <v>0</v>
          </cell>
          <cell r="Q77">
            <v>1</v>
          </cell>
          <cell r="R77" t="str">
            <v>S</v>
          </cell>
          <cell r="S77">
            <v>2</v>
          </cell>
          <cell r="T77" t="str">
            <v>null</v>
          </cell>
          <cell r="U77">
            <v>2</v>
          </cell>
          <cell r="V77">
            <v>0</v>
          </cell>
          <cell r="W77">
            <v>0</v>
          </cell>
          <cell r="X77">
            <v>0</v>
          </cell>
          <cell r="Y77">
            <v>0</v>
          </cell>
          <cell r="Z77">
            <v>0</v>
          </cell>
          <cell r="AA77">
            <v>267</v>
          </cell>
          <cell r="AB77" t="str">
            <v>Share data</v>
          </cell>
          <cell r="AC77">
            <v>62</v>
          </cell>
          <cell r="AD77">
            <v>0</v>
          </cell>
          <cell r="AE77" t="str">
            <v>c_st_gdr_shareholding</v>
          </cell>
          <cell r="AF77">
            <v>0</v>
          </cell>
          <cell r="AG77">
            <v>0</v>
          </cell>
          <cell r="AH77">
            <v>0</v>
          </cell>
          <cell r="AI77">
            <v>0</v>
          </cell>
          <cell r="AJ77">
            <v>0</v>
          </cell>
          <cell r="AK77">
            <v>0</v>
          </cell>
          <cell r="AL77">
            <v>0</v>
          </cell>
          <cell r="AM77">
            <v>0</v>
          </cell>
          <cell r="AN77" t="e">
            <v>#N/A</v>
          </cell>
          <cell r="AO77" t="e">
            <v>#N/A</v>
          </cell>
          <cell r="AP77" t="e">
            <v>#N/A</v>
          </cell>
          <cell r="AQ77" t="e">
            <v>#N/A</v>
          </cell>
          <cell r="AR77" t="e">
            <v>#N/A</v>
          </cell>
          <cell r="AS77" t="e">
            <v>#N/A</v>
          </cell>
          <cell r="AT77" t="e">
            <v>#N/A</v>
          </cell>
          <cell r="AU77" t="e">
            <v>#N/A</v>
          </cell>
          <cell r="AV77" t="e">
            <v>#N/A</v>
          </cell>
        </row>
        <row r="78">
          <cell r="A78">
            <v>308</v>
          </cell>
          <cell r="B78" t="str">
            <v>1num_shares_yearend</v>
          </cell>
          <cell r="C78" t="str">
            <v>Year end number of shares</v>
          </cell>
          <cell r="D78" t="str">
            <v>(m)</v>
          </cell>
          <cell r="E78">
            <v>0</v>
          </cell>
          <cell r="F78">
            <v>0</v>
          </cell>
          <cell r="G78">
            <v>0</v>
          </cell>
          <cell r="H78">
            <v>0</v>
          </cell>
          <cell r="I78">
            <v>0</v>
          </cell>
          <cell r="J78">
            <v>0</v>
          </cell>
          <cell r="K78">
            <v>0</v>
          </cell>
          <cell r="L78">
            <v>0</v>
          </cell>
          <cell r="M78">
            <v>0</v>
          </cell>
          <cell r="N78" t="str">
            <v>num_shares_yearend</v>
          </cell>
          <cell r="O78">
            <v>0</v>
          </cell>
          <cell r="P78">
            <v>0</v>
          </cell>
          <cell r="Q78">
            <v>1000000</v>
          </cell>
          <cell r="R78" t="str">
            <v>S</v>
          </cell>
          <cell r="S78">
            <v>2</v>
          </cell>
          <cell r="T78" t="str">
            <v>null</v>
          </cell>
          <cell r="U78">
            <v>1</v>
          </cell>
          <cell r="V78">
            <v>0</v>
          </cell>
          <cell r="W78">
            <v>0</v>
          </cell>
          <cell r="X78">
            <v>0</v>
          </cell>
          <cell r="Y78">
            <v>0</v>
          </cell>
          <cell r="Z78">
            <v>0</v>
          </cell>
          <cell r="AA78">
            <v>606</v>
          </cell>
          <cell r="AB78" t="str">
            <v>Share data</v>
          </cell>
          <cell r="AC78">
            <v>62</v>
          </cell>
          <cell r="AD78">
            <v>0</v>
          </cell>
          <cell r="AE78">
            <v>0</v>
          </cell>
          <cell r="AF78">
            <v>0</v>
          </cell>
          <cell r="AG78">
            <v>0</v>
          </cell>
          <cell r="AH78">
            <v>0</v>
          </cell>
          <cell r="AI78">
            <v>0</v>
          </cell>
          <cell r="AJ78">
            <v>0</v>
          </cell>
          <cell r="AK78">
            <v>0</v>
          </cell>
          <cell r="AL78">
            <v>0</v>
          </cell>
          <cell r="AM78">
            <v>0</v>
          </cell>
          <cell r="AN78">
            <v>308</v>
          </cell>
          <cell r="AO78" t="str">
            <v>Year end number of shares</v>
          </cell>
          <cell r="AP78">
            <v>0</v>
          </cell>
          <cell r="AQ78">
            <v>0</v>
          </cell>
          <cell r="AR78">
            <v>0</v>
          </cell>
          <cell r="AS78">
            <v>0</v>
          </cell>
          <cell r="AT78">
            <v>0</v>
          </cell>
          <cell r="AU78" t="e">
            <v>#VALUE!</v>
          </cell>
          <cell r="AV78" t="e">
            <v>#VALUE!</v>
          </cell>
        </row>
        <row r="79">
          <cell r="A79">
            <v>34.9</v>
          </cell>
          <cell r="B79" t="str">
            <v>--</v>
          </cell>
          <cell r="C79" t="str">
            <v>Fundamental data, Profit &amp; Loss</v>
          </cell>
          <cell r="D79">
            <v>0</v>
          </cell>
          <cell r="E79">
            <v>0</v>
          </cell>
          <cell r="F79">
            <v>0</v>
          </cell>
          <cell r="G79">
            <v>0</v>
          </cell>
          <cell r="H79">
            <v>0</v>
          </cell>
          <cell r="I79">
            <v>0</v>
          </cell>
          <cell r="J79">
            <v>0</v>
          </cell>
          <cell r="K79">
            <v>0</v>
          </cell>
          <cell r="L79">
            <v>0</v>
          </cell>
          <cell r="M79">
            <v>0</v>
          </cell>
          <cell r="N79" t="str">
            <v>-</v>
          </cell>
          <cell r="O79" t="str">
            <v>-</v>
          </cell>
          <cell r="P79">
            <v>0</v>
          </cell>
          <cell r="Q79" t="str">
            <v>-</v>
          </cell>
          <cell r="R79" t="str">
            <v>Heading</v>
          </cell>
          <cell r="S79" t="str">
            <v>-</v>
          </cell>
          <cell r="T79">
            <v>1000</v>
          </cell>
          <cell r="U79" t="str">
            <v>-</v>
          </cell>
          <cell r="V79">
            <v>0</v>
          </cell>
          <cell r="W79">
            <v>0</v>
          </cell>
          <cell r="X79">
            <v>0</v>
          </cell>
          <cell r="Y79">
            <v>0</v>
          </cell>
          <cell r="Z79">
            <v>0</v>
          </cell>
          <cell r="AA79">
            <v>257</v>
          </cell>
          <cell r="AB79" t="str">
            <v>Fundamental data p&amp;L</v>
          </cell>
          <cell r="AC79">
            <v>63</v>
          </cell>
          <cell r="AD79">
            <v>0</v>
          </cell>
          <cell r="AE79">
            <v>0</v>
          </cell>
          <cell r="AF79">
            <v>0</v>
          </cell>
          <cell r="AG79">
            <v>0</v>
          </cell>
          <cell r="AH79">
            <v>0</v>
          </cell>
          <cell r="AI79">
            <v>0</v>
          </cell>
          <cell r="AJ79">
            <v>0</v>
          </cell>
          <cell r="AK79">
            <v>0</v>
          </cell>
          <cell r="AL79">
            <v>0</v>
          </cell>
          <cell r="AM79">
            <v>0</v>
          </cell>
          <cell r="AN79" t="e">
            <v>#N/A</v>
          </cell>
          <cell r="AO79" t="e">
            <v>#N/A</v>
          </cell>
          <cell r="AP79" t="e">
            <v>#N/A</v>
          </cell>
          <cell r="AQ79" t="e">
            <v>#N/A</v>
          </cell>
          <cell r="AR79" t="e">
            <v>#N/A</v>
          </cell>
          <cell r="AS79" t="e">
            <v>#N/A</v>
          </cell>
          <cell r="AT79" t="e">
            <v>#N/A</v>
          </cell>
          <cell r="AU79" t="e">
            <v>#N/A</v>
          </cell>
          <cell r="AV79" t="e">
            <v>#N/A</v>
          </cell>
        </row>
        <row r="80">
          <cell r="A80">
            <v>295</v>
          </cell>
          <cell r="B80" t="str">
            <v>1year_end_date</v>
          </cell>
          <cell r="C80" t="str">
            <v>Year end date</v>
          </cell>
          <cell r="D80" t="str">
            <v>(dd/mm/yyyy)</v>
          </cell>
          <cell r="E80">
            <v>0</v>
          </cell>
          <cell r="F80">
            <v>0</v>
          </cell>
          <cell r="G80">
            <v>0</v>
          </cell>
          <cell r="H80">
            <v>0</v>
          </cell>
          <cell r="I80">
            <v>0</v>
          </cell>
          <cell r="J80">
            <v>0</v>
          </cell>
          <cell r="K80">
            <v>0</v>
          </cell>
          <cell r="L80">
            <v>0</v>
          </cell>
          <cell r="M80">
            <v>0</v>
          </cell>
          <cell r="N80" t="str">
            <v>year_end_date</v>
          </cell>
          <cell r="O80">
            <v>2</v>
          </cell>
          <cell r="P80">
            <v>0</v>
          </cell>
          <cell r="Q80">
            <v>1</v>
          </cell>
          <cell r="R80" t="str">
            <v>E</v>
          </cell>
          <cell r="S80">
            <v>0</v>
          </cell>
          <cell r="T80" t="str">
            <v>null</v>
          </cell>
          <cell r="U80">
            <v>1</v>
          </cell>
          <cell r="V80">
            <v>0</v>
          </cell>
          <cell r="W80">
            <v>0</v>
          </cell>
          <cell r="X80">
            <v>0</v>
          </cell>
          <cell r="Y80">
            <v>0</v>
          </cell>
          <cell r="Z80">
            <v>0</v>
          </cell>
          <cell r="AA80">
            <v>605</v>
          </cell>
          <cell r="AB80" t="str">
            <v>Fundamental data p&amp;L</v>
          </cell>
          <cell r="AC80">
            <v>64</v>
          </cell>
          <cell r="AD80">
            <v>0</v>
          </cell>
          <cell r="AE80">
            <v>0</v>
          </cell>
          <cell r="AF80">
            <v>0</v>
          </cell>
          <cell r="AG80">
            <v>0</v>
          </cell>
          <cell r="AH80">
            <v>0</v>
          </cell>
          <cell r="AI80">
            <v>0</v>
          </cell>
          <cell r="AJ80">
            <v>0</v>
          </cell>
          <cell r="AK80">
            <v>0</v>
          </cell>
          <cell r="AL80">
            <v>0</v>
          </cell>
          <cell r="AM80">
            <v>0</v>
          </cell>
          <cell r="AN80">
            <v>295</v>
          </cell>
          <cell r="AO80" t="str">
            <v>Year end date</v>
          </cell>
          <cell r="AP80">
            <v>0</v>
          </cell>
          <cell r="AQ80">
            <v>0</v>
          </cell>
          <cell r="AR80">
            <v>0</v>
          </cell>
          <cell r="AS80">
            <v>0</v>
          </cell>
          <cell r="AT80">
            <v>0</v>
          </cell>
          <cell r="AU80" t="e">
            <v>#VALUE!</v>
          </cell>
          <cell r="AV80" t="e">
            <v>#VALUE!</v>
          </cell>
        </row>
        <row r="81">
          <cell r="A81">
            <v>35</v>
          </cell>
          <cell r="B81" t="str">
            <v>1fd_sales</v>
          </cell>
          <cell r="C81" t="str">
            <v>Sales</v>
          </cell>
          <cell r="D81" t="str">
            <v>(m)</v>
          </cell>
          <cell r="E81">
            <v>0</v>
          </cell>
          <cell r="F81">
            <v>0</v>
          </cell>
          <cell r="G81">
            <v>0</v>
          </cell>
          <cell r="H81">
            <v>0</v>
          </cell>
          <cell r="I81">
            <v>0</v>
          </cell>
          <cell r="J81">
            <v>0</v>
          </cell>
          <cell r="K81">
            <v>0</v>
          </cell>
          <cell r="L81">
            <v>0</v>
          </cell>
          <cell r="M81">
            <v>0</v>
          </cell>
          <cell r="N81" t="str">
            <v>fd_sales</v>
          </cell>
          <cell r="O81">
            <v>0</v>
          </cell>
          <cell r="P81">
            <v>0</v>
          </cell>
          <cell r="Q81">
            <v>1000000</v>
          </cell>
          <cell r="R81" t="str">
            <v>E</v>
          </cell>
          <cell r="S81">
            <v>2</v>
          </cell>
          <cell r="T81" t="str">
            <v>null</v>
          </cell>
          <cell r="U81">
            <v>1</v>
          </cell>
          <cell r="V81">
            <v>0</v>
          </cell>
          <cell r="W81">
            <v>0</v>
          </cell>
          <cell r="X81">
            <v>0</v>
          </cell>
          <cell r="Y81">
            <v>0</v>
          </cell>
          <cell r="Z81">
            <v>0</v>
          </cell>
          <cell r="AA81">
            <v>519</v>
          </cell>
          <cell r="AB81" t="str">
            <v>Fundamental data p&amp;L</v>
          </cell>
          <cell r="AC81">
            <v>65</v>
          </cell>
          <cell r="AD81">
            <v>0</v>
          </cell>
          <cell r="AE81">
            <v>0</v>
          </cell>
          <cell r="AF81">
            <v>0</v>
          </cell>
          <cell r="AG81">
            <v>0</v>
          </cell>
          <cell r="AH81">
            <v>0</v>
          </cell>
          <cell r="AI81">
            <v>0</v>
          </cell>
          <cell r="AJ81">
            <v>0</v>
          </cell>
          <cell r="AK81">
            <v>0</v>
          </cell>
          <cell r="AL81">
            <v>0</v>
          </cell>
          <cell r="AM81">
            <v>0</v>
          </cell>
          <cell r="AN81">
            <v>35</v>
          </cell>
          <cell r="AO81" t="str">
            <v>Sales*</v>
          </cell>
          <cell r="AP81" t="str">
            <v>m</v>
          </cell>
          <cell r="AQ81" t="str">
            <v>Turnover, Revenue</v>
          </cell>
          <cell r="AR81">
            <v>0</v>
          </cell>
          <cell r="AS81">
            <v>0</v>
          </cell>
          <cell r="AT81">
            <v>0</v>
          </cell>
          <cell r="AU81" t="e">
            <v>#VALUE!</v>
          </cell>
          <cell r="AV81" t="e">
            <v>#VALUE!</v>
          </cell>
        </row>
        <row r="82">
          <cell r="A82">
            <v>36</v>
          </cell>
          <cell r="B82" t="str">
            <v>2fd_sales_growth_yoy</v>
          </cell>
          <cell r="C82" t="str">
            <v>Sales growth y-o-y</v>
          </cell>
          <cell r="D82" t="str">
            <v>(%)</v>
          </cell>
          <cell r="E82">
            <v>0</v>
          </cell>
          <cell r="F82">
            <v>0</v>
          </cell>
          <cell r="G82">
            <v>0</v>
          </cell>
          <cell r="H82">
            <v>0</v>
          </cell>
          <cell r="I82">
            <v>0</v>
          </cell>
          <cell r="J82">
            <v>0</v>
          </cell>
          <cell r="K82">
            <v>0</v>
          </cell>
          <cell r="L82">
            <v>0</v>
          </cell>
          <cell r="M82">
            <v>0</v>
          </cell>
          <cell r="N82" t="str">
            <v>fd_sales_growth_yoy</v>
          </cell>
          <cell r="O82">
            <v>0</v>
          </cell>
          <cell r="P82">
            <v>0</v>
          </cell>
          <cell r="Q82">
            <v>0.01</v>
          </cell>
          <cell r="R82" t="str">
            <v>E</v>
          </cell>
          <cell r="S82">
            <v>2</v>
          </cell>
          <cell r="T82" t="str">
            <v>null</v>
          </cell>
          <cell r="U82">
            <v>2</v>
          </cell>
          <cell r="V82">
            <v>0</v>
          </cell>
          <cell r="W82">
            <v>0</v>
          </cell>
          <cell r="X82">
            <v>0</v>
          </cell>
          <cell r="Y82">
            <v>0</v>
          </cell>
          <cell r="Z82">
            <v>0</v>
          </cell>
          <cell r="AA82">
            <v>523</v>
          </cell>
          <cell r="AB82" t="str">
            <v>Fundamental data p&amp;L</v>
          </cell>
          <cell r="AC82">
            <v>66</v>
          </cell>
          <cell r="AD82">
            <v>0</v>
          </cell>
          <cell r="AE82">
            <v>0</v>
          </cell>
          <cell r="AF82">
            <v>0</v>
          </cell>
          <cell r="AG82">
            <v>0</v>
          </cell>
          <cell r="AH82">
            <v>0</v>
          </cell>
          <cell r="AI82">
            <v>0</v>
          </cell>
          <cell r="AJ82">
            <v>0</v>
          </cell>
          <cell r="AK82">
            <v>0</v>
          </cell>
          <cell r="AL82">
            <v>0</v>
          </cell>
          <cell r="AM82">
            <v>0</v>
          </cell>
          <cell r="AN82">
            <v>36</v>
          </cell>
          <cell r="AO82" t="str">
            <v>Sales growth y-o-y*</v>
          </cell>
          <cell r="AP82" t="str">
            <v>%</v>
          </cell>
          <cell r="AQ82">
            <v>0</v>
          </cell>
          <cell r="AR82">
            <v>0</v>
          </cell>
          <cell r="AS82" t="str">
            <v>standard y-o-y growth calc on 35</v>
          </cell>
          <cell r="AT82">
            <v>0</v>
          </cell>
          <cell r="AU82" t="e">
            <v>#VALUE!</v>
          </cell>
          <cell r="AV82" t="e">
            <v>#VALUE!</v>
          </cell>
        </row>
        <row r="83">
          <cell r="A83">
            <v>36.200000000000003</v>
          </cell>
          <cell r="B83" t="str">
            <v>2fd_sales_growth_yoy</v>
          </cell>
          <cell r="C83" t="str">
            <v>Net rental growth y-o-y</v>
          </cell>
          <cell r="D83" t="str">
            <v>(%)</v>
          </cell>
          <cell r="E83">
            <v>0</v>
          </cell>
          <cell r="F83">
            <v>0</v>
          </cell>
          <cell r="G83">
            <v>0</v>
          </cell>
          <cell r="H83">
            <v>0</v>
          </cell>
          <cell r="I83">
            <v>0</v>
          </cell>
          <cell r="J83">
            <v>0</v>
          </cell>
          <cell r="K83">
            <v>0</v>
          </cell>
          <cell r="L83">
            <v>0</v>
          </cell>
          <cell r="M83">
            <v>0</v>
          </cell>
          <cell r="N83" t="str">
            <v>fd_sales_growth_yoy</v>
          </cell>
          <cell r="O83">
            <v>0</v>
          </cell>
          <cell r="P83">
            <v>0</v>
          </cell>
          <cell r="Q83">
            <v>0.01</v>
          </cell>
          <cell r="R83" t="str">
            <v>E</v>
          </cell>
          <cell r="S83">
            <v>2</v>
          </cell>
          <cell r="T83" t="str">
            <v>null</v>
          </cell>
          <cell r="U83">
            <v>2</v>
          </cell>
          <cell r="V83">
            <v>0</v>
          </cell>
          <cell r="W83">
            <v>0</v>
          </cell>
          <cell r="X83">
            <v>0</v>
          </cell>
          <cell r="Y83">
            <v>0</v>
          </cell>
          <cell r="Z83">
            <v>0</v>
          </cell>
          <cell r="AA83">
            <v>388</v>
          </cell>
          <cell r="AB83" t="str">
            <v>Fundamental data p&amp;L</v>
          </cell>
          <cell r="AC83">
            <v>67</v>
          </cell>
          <cell r="AD83">
            <v>0</v>
          </cell>
          <cell r="AE83">
            <v>0</v>
          </cell>
          <cell r="AF83">
            <v>0</v>
          </cell>
          <cell r="AG83">
            <v>0</v>
          </cell>
          <cell r="AH83">
            <v>0</v>
          </cell>
          <cell r="AI83">
            <v>0</v>
          </cell>
          <cell r="AJ83">
            <v>0</v>
          </cell>
          <cell r="AK83">
            <v>0</v>
          </cell>
          <cell r="AL83">
            <v>0</v>
          </cell>
          <cell r="AM83">
            <v>0</v>
          </cell>
          <cell r="AN83" t="e">
            <v>#N/A</v>
          </cell>
          <cell r="AO83" t="e">
            <v>#N/A</v>
          </cell>
          <cell r="AP83" t="e">
            <v>#N/A</v>
          </cell>
          <cell r="AQ83" t="e">
            <v>#N/A</v>
          </cell>
          <cell r="AR83" t="e">
            <v>#N/A</v>
          </cell>
          <cell r="AS83" t="e">
            <v>#N/A</v>
          </cell>
          <cell r="AT83" t="e">
            <v>#N/A</v>
          </cell>
          <cell r="AU83" t="e">
            <v>#N/A</v>
          </cell>
          <cell r="AV83" t="e">
            <v>#N/A</v>
          </cell>
        </row>
        <row r="84">
          <cell r="A84">
            <v>36.4</v>
          </cell>
          <cell r="B84" t="str">
            <v>1fd_sales</v>
          </cell>
          <cell r="C84" t="str">
            <v>Revenues</v>
          </cell>
          <cell r="D84" t="str">
            <v>(m)</v>
          </cell>
          <cell r="E84">
            <v>0</v>
          </cell>
          <cell r="F84">
            <v>0</v>
          </cell>
          <cell r="G84">
            <v>0</v>
          </cell>
          <cell r="H84">
            <v>0</v>
          </cell>
          <cell r="I84">
            <v>0</v>
          </cell>
          <cell r="J84">
            <v>0</v>
          </cell>
          <cell r="K84">
            <v>0</v>
          </cell>
          <cell r="L84">
            <v>0</v>
          </cell>
          <cell r="M84">
            <v>0</v>
          </cell>
          <cell r="N84" t="str">
            <v>fd_sales</v>
          </cell>
          <cell r="O84">
            <v>0</v>
          </cell>
          <cell r="P84">
            <v>0</v>
          </cell>
          <cell r="Q84">
            <v>1000000</v>
          </cell>
          <cell r="R84" t="str">
            <v>E</v>
          </cell>
          <cell r="S84">
            <v>2</v>
          </cell>
          <cell r="T84" t="str">
            <v>null</v>
          </cell>
          <cell r="U84">
            <v>1</v>
          </cell>
          <cell r="V84">
            <v>0</v>
          </cell>
          <cell r="W84">
            <v>0</v>
          </cell>
          <cell r="X84">
            <v>0</v>
          </cell>
          <cell r="Y84">
            <v>0</v>
          </cell>
          <cell r="Z84">
            <v>0</v>
          </cell>
          <cell r="AA84">
            <v>506</v>
          </cell>
          <cell r="AB84" t="str">
            <v>Fundamental data p&amp;L</v>
          </cell>
          <cell r="AC84">
            <v>68</v>
          </cell>
          <cell r="AD84">
            <v>0</v>
          </cell>
          <cell r="AE84">
            <v>0</v>
          </cell>
          <cell r="AF84">
            <v>0</v>
          </cell>
          <cell r="AG84">
            <v>0</v>
          </cell>
          <cell r="AH84">
            <v>0</v>
          </cell>
          <cell r="AI84">
            <v>0</v>
          </cell>
          <cell r="AJ84">
            <v>0</v>
          </cell>
          <cell r="AK84">
            <v>0</v>
          </cell>
          <cell r="AL84">
            <v>0</v>
          </cell>
          <cell r="AM84">
            <v>0</v>
          </cell>
          <cell r="AN84" t="e">
            <v>#N/A</v>
          </cell>
          <cell r="AO84" t="e">
            <v>#N/A</v>
          </cell>
          <cell r="AP84" t="e">
            <v>#N/A</v>
          </cell>
          <cell r="AQ84" t="e">
            <v>#N/A</v>
          </cell>
          <cell r="AR84" t="e">
            <v>#N/A</v>
          </cell>
          <cell r="AS84" t="e">
            <v>#N/A</v>
          </cell>
          <cell r="AT84" t="e">
            <v>#N/A</v>
          </cell>
          <cell r="AU84" t="e">
            <v>#N/A</v>
          </cell>
          <cell r="AV84" t="e">
            <v>#N/A</v>
          </cell>
        </row>
        <row r="85">
          <cell r="A85">
            <v>36.6</v>
          </cell>
          <cell r="B85" t="str">
            <v>2fd_sales_growth_yoy</v>
          </cell>
          <cell r="C85" t="str">
            <v>Revenues growth y-o-y</v>
          </cell>
          <cell r="D85" t="str">
            <v>(%)</v>
          </cell>
          <cell r="E85">
            <v>0</v>
          </cell>
          <cell r="F85">
            <v>0</v>
          </cell>
          <cell r="G85">
            <v>0</v>
          </cell>
          <cell r="H85">
            <v>0</v>
          </cell>
          <cell r="I85">
            <v>0</v>
          </cell>
          <cell r="J85">
            <v>0</v>
          </cell>
          <cell r="K85">
            <v>0</v>
          </cell>
          <cell r="L85">
            <v>0</v>
          </cell>
          <cell r="M85">
            <v>0</v>
          </cell>
          <cell r="N85" t="str">
            <v>fd_sales_growth_yoy</v>
          </cell>
          <cell r="O85">
            <v>0</v>
          </cell>
          <cell r="P85">
            <v>0</v>
          </cell>
          <cell r="Q85">
            <v>0.01</v>
          </cell>
          <cell r="R85" t="str">
            <v>E</v>
          </cell>
          <cell r="S85">
            <v>2</v>
          </cell>
          <cell r="T85" t="str">
            <v>null</v>
          </cell>
          <cell r="U85">
            <v>2</v>
          </cell>
          <cell r="V85">
            <v>0</v>
          </cell>
          <cell r="W85">
            <v>0</v>
          </cell>
          <cell r="X85">
            <v>0</v>
          </cell>
          <cell r="Y85">
            <v>0</v>
          </cell>
          <cell r="Z85">
            <v>0</v>
          </cell>
          <cell r="AA85">
            <v>507</v>
          </cell>
          <cell r="AB85" t="str">
            <v>Fundamental data p&amp;L</v>
          </cell>
          <cell r="AC85">
            <v>69</v>
          </cell>
          <cell r="AD85">
            <v>0</v>
          </cell>
          <cell r="AE85">
            <v>0</v>
          </cell>
          <cell r="AF85">
            <v>0</v>
          </cell>
          <cell r="AG85">
            <v>0</v>
          </cell>
          <cell r="AH85">
            <v>0</v>
          </cell>
          <cell r="AI85">
            <v>0</v>
          </cell>
          <cell r="AJ85">
            <v>0</v>
          </cell>
          <cell r="AK85">
            <v>0</v>
          </cell>
          <cell r="AL85">
            <v>0</v>
          </cell>
          <cell r="AM85">
            <v>0</v>
          </cell>
          <cell r="AN85" t="e">
            <v>#N/A</v>
          </cell>
          <cell r="AO85" t="e">
            <v>#N/A</v>
          </cell>
          <cell r="AP85" t="e">
            <v>#N/A</v>
          </cell>
          <cell r="AQ85" t="e">
            <v>#N/A</v>
          </cell>
          <cell r="AR85" t="e">
            <v>#N/A</v>
          </cell>
          <cell r="AS85" t="e">
            <v>#N/A</v>
          </cell>
          <cell r="AT85" t="e">
            <v>#N/A</v>
          </cell>
          <cell r="AU85" t="e">
            <v>#N/A</v>
          </cell>
          <cell r="AV85" t="e">
            <v>#N/A</v>
          </cell>
        </row>
        <row r="86">
          <cell r="A86">
            <v>37.4</v>
          </cell>
          <cell r="B86" t="str">
            <v>2fd_5yr_avg_sales_grwth</v>
          </cell>
          <cell r="C86" t="str">
            <v>5yr average sales growth</v>
          </cell>
          <cell r="D86" t="str">
            <v>(%)</v>
          </cell>
          <cell r="E86">
            <v>0</v>
          </cell>
          <cell r="F86">
            <v>0</v>
          </cell>
          <cell r="G86">
            <v>0</v>
          </cell>
          <cell r="H86">
            <v>0</v>
          </cell>
          <cell r="I86">
            <v>0</v>
          </cell>
          <cell r="J86">
            <v>0</v>
          </cell>
          <cell r="K86">
            <v>0</v>
          </cell>
          <cell r="L86">
            <v>0</v>
          </cell>
          <cell r="M86">
            <v>0</v>
          </cell>
          <cell r="N86" t="str">
            <v>fd_5yr_avg_sales_grwth</v>
          </cell>
          <cell r="O86">
            <v>0</v>
          </cell>
          <cell r="P86">
            <v>0</v>
          </cell>
          <cell r="Q86">
            <v>0.01</v>
          </cell>
          <cell r="R86" t="str">
            <v>E</v>
          </cell>
          <cell r="S86">
            <v>2</v>
          </cell>
          <cell r="T86" t="str">
            <v>null</v>
          </cell>
          <cell r="U86">
            <v>2</v>
          </cell>
          <cell r="V86">
            <v>0</v>
          </cell>
          <cell r="W86">
            <v>0</v>
          </cell>
          <cell r="X86">
            <v>0</v>
          </cell>
          <cell r="Y86">
            <v>0</v>
          </cell>
          <cell r="Z86">
            <v>0</v>
          </cell>
          <cell r="AA86">
            <v>10</v>
          </cell>
          <cell r="AB86" t="str">
            <v>Fundamental data p&amp;L</v>
          </cell>
          <cell r="AC86">
            <v>73</v>
          </cell>
          <cell r="AD86">
            <v>0</v>
          </cell>
          <cell r="AE86" t="str">
            <v>c_st_5yr_av_sales_growth</v>
          </cell>
          <cell r="AF86">
            <v>0</v>
          </cell>
          <cell r="AG86">
            <v>0</v>
          </cell>
          <cell r="AH86">
            <v>0</v>
          </cell>
          <cell r="AI86">
            <v>0</v>
          </cell>
          <cell r="AJ86">
            <v>0</v>
          </cell>
          <cell r="AK86">
            <v>0</v>
          </cell>
          <cell r="AL86">
            <v>0</v>
          </cell>
          <cell r="AM86">
            <v>0</v>
          </cell>
          <cell r="AN86" t="e">
            <v>#N/A</v>
          </cell>
          <cell r="AO86" t="e">
            <v>#N/A</v>
          </cell>
          <cell r="AP86" t="e">
            <v>#N/A</v>
          </cell>
          <cell r="AQ86" t="e">
            <v>#N/A</v>
          </cell>
          <cell r="AR86" t="e">
            <v>#N/A</v>
          </cell>
          <cell r="AS86" t="e">
            <v>#N/A</v>
          </cell>
          <cell r="AT86" t="e">
            <v>#N/A</v>
          </cell>
          <cell r="AU86" t="e">
            <v>#N/A</v>
          </cell>
          <cell r="AV86" t="e">
            <v>#N/A</v>
          </cell>
        </row>
        <row r="87">
          <cell r="A87">
            <v>37.6</v>
          </cell>
          <cell r="B87" t="str">
            <v>2fd_3yr_avg_sales_grwth</v>
          </cell>
          <cell r="C87" t="str">
            <v>3yr average sales growth</v>
          </cell>
          <cell r="D87" t="str">
            <v>(%)</v>
          </cell>
          <cell r="E87">
            <v>0</v>
          </cell>
          <cell r="F87">
            <v>0</v>
          </cell>
          <cell r="G87">
            <v>0</v>
          </cell>
          <cell r="H87">
            <v>0</v>
          </cell>
          <cell r="I87">
            <v>0</v>
          </cell>
          <cell r="J87">
            <v>0</v>
          </cell>
          <cell r="K87">
            <v>0</v>
          </cell>
          <cell r="L87">
            <v>0</v>
          </cell>
          <cell r="M87">
            <v>0</v>
          </cell>
          <cell r="N87" t="str">
            <v>fd_3yr_avg_sales_grwth</v>
          </cell>
          <cell r="O87">
            <v>0</v>
          </cell>
          <cell r="P87">
            <v>0</v>
          </cell>
          <cell r="Q87">
            <v>0.01</v>
          </cell>
          <cell r="R87" t="str">
            <v>E</v>
          </cell>
          <cell r="S87">
            <v>2</v>
          </cell>
          <cell r="T87" t="str">
            <v>null</v>
          </cell>
          <cell r="U87">
            <v>2</v>
          </cell>
          <cell r="V87">
            <v>0</v>
          </cell>
          <cell r="W87">
            <v>0</v>
          </cell>
          <cell r="X87">
            <v>0</v>
          </cell>
          <cell r="Y87">
            <v>0</v>
          </cell>
          <cell r="Z87">
            <v>0</v>
          </cell>
          <cell r="AA87">
            <v>4</v>
          </cell>
          <cell r="AB87" t="str">
            <v>Fundamental data p&amp;L</v>
          </cell>
          <cell r="AC87">
            <v>74</v>
          </cell>
          <cell r="AD87">
            <v>0</v>
          </cell>
          <cell r="AE87" t="str">
            <v>c_st_3yr_av_sales_growth</v>
          </cell>
          <cell r="AF87">
            <v>0</v>
          </cell>
          <cell r="AG87">
            <v>0</v>
          </cell>
          <cell r="AH87">
            <v>0</v>
          </cell>
          <cell r="AI87">
            <v>0</v>
          </cell>
          <cell r="AJ87">
            <v>0</v>
          </cell>
          <cell r="AK87">
            <v>0</v>
          </cell>
          <cell r="AL87">
            <v>0</v>
          </cell>
          <cell r="AM87">
            <v>0</v>
          </cell>
          <cell r="AN87" t="e">
            <v>#N/A</v>
          </cell>
          <cell r="AO87" t="e">
            <v>#N/A</v>
          </cell>
          <cell r="AP87" t="e">
            <v>#N/A</v>
          </cell>
          <cell r="AQ87" t="e">
            <v>#N/A</v>
          </cell>
          <cell r="AR87" t="e">
            <v>#N/A</v>
          </cell>
          <cell r="AS87" t="e">
            <v>#N/A</v>
          </cell>
          <cell r="AT87" t="e">
            <v>#N/A</v>
          </cell>
          <cell r="AU87" t="e">
            <v>#N/A</v>
          </cell>
          <cell r="AV87" t="e">
            <v>#N/A</v>
          </cell>
        </row>
        <row r="88">
          <cell r="A88">
            <v>37.799999999999997</v>
          </cell>
          <cell r="B88" t="str">
            <v>2fd_5yr_avg_sales_grwth</v>
          </cell>
          <cell r="C88" t="str">
            <v>5yr average rental growth</v>
          </cell>
          <cell r="D88" t="str">
            <v>(%)</v>
          </cell>
          <cell r="E88">
            <v>0</v>
          </cell>
          <cell r="F88">
            <v>0</v>
          </cell>
          <cell r="G88">
            <v>0</v>
          </cell>
          <cell r="H88">
            <v>0</v>
          </cell>
          <cell r="I88">
            <v>0</v>
          </cell>
          <cell r="J88">
            <v>0</v>
          </cell>
          <cell r="K88">
            <v>0</v>
          </cell>
          <cell r="L88">
            <v>0</v>
          </cell>
          <cell r="M88">
            <v>0</v>
          </cell>
          <cell r="N88" t="str">
            <v>fd_5yr_avg_sales_grwth</v>
          </cell>
          <cell r="O88">
            <v>0</v>
          </cell>
          <cell r="P88">
            <v>0</v>
          </cell>
          <cell r="Q88">
            <v>0.01</v>
          </cell>
          <cell r="R88" t="str">
            <v>E</v>
          </cell>
          <cell r="S88">
            <v>2</v>
          </cell>
          <cell r="T88" t="str">
            <v>null</v>
          </cell>
          <cell r="U88">
            <v>2</v>
          </cell>
          <cell r="V88">
            <v>0</v>
          </cell>
          <cell r="W88">
            <v>0</v>
          </cell>
          <cell r="X88">
            <v>0</v>
          </cell>
          <cell r="Y88">
            <v>0</v>
          </cell>
          <cell r="Z88">
            <v>0</v>
          </cell>
          <cell r="AA88">
            <v>8</v>
          </cell>
          <cell r="AB88" t="str">
            <v>Fundamental data p&amp;L</v>
          </cell>
          <cell r="AC88">
            <v>75</v>
          </cell>
          <cell r="AD88">
            <v>0</v>
          </cell>
          <cell r="AE88" t="str">
            <v>c_st_5yr_av_sales_growth</v>
          </cell>
          <cell r="AF88">
            <v>0</v>
          </cell>
          <cell r="AG88">
            <v>0</v>
          </cell>
          <cell r="AH88">
            <v>0</v>
          </cell>
          <cell r="AI88">
            <v>0</v>
          </cell>
          <cell r="AJ88">
            <v>0</v>
          </cell>
          <cell r="AK88">
            <v>0</v>
          </cell>
          <cell r="AL88">
            <v>0</v>
          </cell>
          <cell r="AM88">
            <v>0</v>
          </cell>
          <cell r="AN88" t="e">
            <v>#N/A</v>
          </cell>
          <cell r="AO88" t="e">
            <v>#N/A</v>
          </cell>
          <cell r="AP88" t="e">
            <v>#N/A</v>
          </cell>
          <cell r="AQ88" t="e">
            <v>#N/A</v>
          </cell>
          <cell r="AR88" t="e">
            <v>#N/A</v>
          </cell>
          <cell r="AS88" t="e">
            <v>#N/A</v>
          </cell>
          <cell r="AT88" t="e">
            <v>#N/A</v>
          </cell>
          <cell r="AU88" t="e">
            <v>#N/A</v>
          </cell>
          <cell r="AV88" t="e">
            <v>#N/A</v>
          </cell>
        </row>
        <row r="89">
          <cell r="A89">
            <v>38</v>
          </cell>
          <cell r="B89" t="str">
            <v>1fd_lk_for_lk_sales_grwth</v>
          </cell>
          <cell r="C89" t="str">
            <v>Like for like sales growth</v>
          </cell>
          <cell r="D89" t="str">
            <v>(%)</v>
          </cell>
          <cell r="E89">
            <v>0</v>
          </cell>
          <cell r="F89">
            <v>0</v>
          </cell>
          <cell r="G89">
            <v>0</v>
          </cell>
          <cell r="H89">
            <v>0</v>
          </cell>
          <cell r="I89">
            <v>0</v>
          </cell>
          <cell r="J89">
            <v>0</v>
          </cell>
          <cell r="K89">
            <v>0</v>
          </cell>
          <cell r="L89">
            <v>0</v>
          </cell>
          <cell r="M89">
            <v>0</v>
          </cell>
          <cell r="N89" t="str">
            <v>fd_lk_for_lk_sales_grwth</v>
          </cell>
          <cell r="O89">
            <v>0</v>
          </cell>
          <cell r="P89">
            <v>0</v>
          </cell>
          <cell r="Q89">
            <v>0.01</v>
          </cell>
          <cell r="R89" t="str">
            <v>E</v>
          </cell>
          <cell r="S89">
            <v>2</v>
          </cell>
          <cell r="T89" t="str">
            <v>null</v>
          </cell>
          <cell r="U89">
            <v>1</v>
          </cell>
          <cell r="V89">
            <v>0</v>
          </cell>
          <cell r="W89">
            <v>0</v>
          </cell>
          <cell r="X89">
            <v>0</v>
          </cell>
          <cell r="Y89">
            <v>0</v>
          </cell>
          <cell r="Z89">
            <v>0</v>
          </cell>
          <cell r="AA89">
            <v>315</v>
          </cell>
          <cell r="AB89" t="str">
            <v>Fundamental data p&amp;L</v>
          </cell>
          <cell r="AC89">
            <v>76</v>
          </cell>
          <cell r="AD89">
            <v>0</v>
          </cell>
          <cell r="AE89">
            <v>0</v>
          </cell>
          <cell r="AF89">
            <v>0</v>
          </cell>
          <cell r="AG89">
            <v>0</v>
          </cell>
          <cell r="AH89">
            <v>0</v>
          </cell>
          <cell r="AI89">
            <v>0</v>
          </cell>
          <cell r="AJ89">
            <v>0</v>
          </cell>
          <cell r="AK89">
            <v>0</v>
          </cell>
          <cell r="AL89">
            <v>0</v>
          </cell>
          <cell r="AM89">
            <v>0</v>
          </cell>
          <cell r="AN89">
            <v>38</v>
          </cell>
          <cell r="AO89" t="str">
            <v xml:space="preserve">Like for Like Sales growth </v>
          </cell>
          <cell r="AP89" t="str">
            <v>%</v>
          </cell>
          <cell r="AQ89">
            <v>0</v>
          </cell>
          <cell r="AR89">
            <v>0</v>
          </cell>
          <cell r="AS89">
            <v>0</v>
          </cell>
          <cell r="AT89">
            <v>0</v>
          </cell>
          <cell r="AU89" t="e">
            <v>#VALUE!</v>
          </cell>
          <cell r="AV89" t="e">
            <v>#VALUE!</v>
          </cell>
        </row>
        <row r="90">
          <cell r="A90">
            <v>38.200000000000003</v>
          </cell>
          <cell r="B90" t="str">
            <v>1fd_lk_for_lk_sales_grwth</v>
          </cell>
          <cell r="C90" t="str">
            <v>Like for like rental growth</v>
          </cell>
          <cell r="D90" t="str">
            <v>(%)</v>
          </cell>
          <cell r="E90">
            <v>0</v>
          </cell>
          <cell r="F90">
            <v>0</v>
          </cell>
          <cell r="G90">
            <v>0</v>
          </cell>
          <cell r="H90">
            <v>0</v>
          </cell>
          <cell r="I90">
            <v>0</v>
          </cell>
          <cell r="J90">
            <v>0</v>
          </cell>
          <cell r="K90">
            <v>0</v>
          </cell>
          <cell r="L90">
            <v>0</v>
          </cell>
          <cell r="M90">
            <v>0</v>
          </cell>
          <cell r="N90" t="str">
            <v>fd_lk_for_lk_sales_grwth</v>
          </cell>
          <cell r="O90">
            <v>0</v>
          </cell>
          <cell r="P90">
            <v>0</v>
          </cell>
          <cell r="Q90">
            <v>0.01</v>
          </cell>
          <cell r="R90" t="str">
            <v>E</v>
          </cell>
          <cell r="S90">
            <v>2</v>
          </cell>
          <cell r="T90" t="str">
            <v>null</v>
          </cell>
          <cell r="U90">
            <v>1</v>
          </cell>
          <cell r="V90">
            <v>0</v>
          </cell>
          <cell r="W90">
            <v>0</v>
          </cell>
          <cell r="X90">
            <v>0</v>
          </cell>
          <cell r="Y90">
            <v>0</v>
          </cell>
          <cell r="Z90">
            <v>0</v>
          </cell>
          <cell r="AA90">
            <v>314</v>
          </cell>
          <cell r="AB90" t="str">
            <v>Fundamental data p&amp;L</v>
          </cell>
          <cell r="AC90">
            <v>77</v>
          </cell>
          <cell r="AD90">
            <v>0</v>
          </cell>
          <cell r="AE90">
            <v>0</v>
          </cell>
          <cell r="AF90">
            <v>0</v>
          </cell>
          <cell r="AG90">
            <v>0</v>
          </cell>
          <cell r="AH90">
            <v>0</v>
          </cell>
          <cell r="AI90">
            <v>0</v>
          </cell>
          <cell r="AJ90">
            <v>0</v>
          </cell>
          <cell r="AK90">
            <v>0</v>
          </cell>
          <cell r="AL90">
            <v>0</v>
          </cell>
          <cell r="AM90">
            <v>0</v>
          </cell>
          <cell r="AN90" t="e">
            <v>#N/A</v>
          </cell>
          <cell r="AO90" t="e">
            <v>#N/A</v>
          </cell>
          <cell r="AP90" t="e">
            <v>#N/A</v>
          </cell>
          <cell r="AQ90" t="e">
            <v>#N/A</v>
          </cell>
          <cell r="AR90" t="e">
            <v>#N/A</v>
          </cell>
          <cell r="AS90" t="e">
            <v>#N/A</v>
          </cell>
          <cell r="AT90" t="e">
            <v>#N/A</v>
          </cell>
          <cell r="AU90" t="e">
            <v>#N/A</v>
          </cell>
          <cell r="AV90" t="e">
            <v>#N/A</v>
          </cell>
        </row>
        <row r="91">
          <cell r="A91">
            <v>39</v>
          </cell>
          <cell r="B91" t="str">
            <v>1fd_sales_per_employee</v>
          </cell>
          <cell r="C91" t="str">
            <v>Sales per employee</v>
          </cell>
          <cell r="D91" t="str">
            <v>(m)</v>
          </cell>
          <cell r="E91">
            <v>0</v>
          </cell>
          <cell r="F91">
            <v>0</v>
          </cell>
          <cell r="G91">
            <v>0</v>
          </cell>
          <cell r="H91">
            <v>0</v>
          </cell>
          <cell r="I91">
            <v>0</v>
          </cell>
          <cell r="J91">
            <v>0</v>
          </cell>
          <cell r="K91">
            <v>0</v>
          </cell>
          <cell r="L91">
            <v>0</v>
          </cell>
          <cell r="M91">
            <v>0</v>
          </cell>
          <cell r="N91" t="str">
            <v>fd_sales_per_employee</v>
          </cell>
          <cell r="O91">
            <v>0</v>
          </cell>
          <cell r="P91">
            <v>0</v>
          </cell>
          <cell r="Q91">
            <v>0.01</v>
          </cell>
          <cell r="R91" t="str">
            <v>E</v>
          </cell>
          <cell r="S91">
            <v>2</v>
          </cell>
          <cell r="T91" t="str">
            <v>null</v>
          </cell>
          <cell r="U91">
            <v>1</v>
          </cell>
          <cell r="V91">
            <v>0</v>
          </cell>
          <cell r="W91">
            <v>0</v>
          </cell>
          <cell r="X91">
            <v>0</v>
          </cell>
          <cell r="Y91">
            <v>0</v>
          </cell>
          <cell r="Z91">
            <v>0</v>
          </cell>
          <cell r="AA91">
            <v>524</v>
          </cell>
          <cell r="AB91" t="str">
            <v>Fundamental data p&amp;L</v>
          </cell>
          <cell r="AC91">
            <v>78</v>
          </cell>
          <cell r="AD91">
            <v>0</v>
          </cell>
          <cell r="AE91">
            <v>0</v>
          </cell>
          <cell r="AF91">
            <v>0</v>
          </cell>
          <cell r="AG91">
            <v>0</v>
          </cell>
          <cell r="AH91">
            <v>0</v>
          </cell>
          <cell r="AI91">
            <v>0</v>
          </cell>
          <cell r="AJ91">
            <v>0</v>
          </cell>
          <cell r="AK91">
            <v>0</v>
          </cell>
          <cell r="AL91">
            <v>0</v>
          </cell>
          <cell r="AM91">
            <v>0</v>
          </cell>
          <cell r="AN91">
            <v>39</v>
          </cell>
          <cell r="AO91" t="str">
            <v>Sales per employee</v>
          </cell>
          <cell r="AP91" t="str">
            <v>'000</v>
          </cell>
          <cell r="AQ91">
            <v>0</v>
          </cell>
          <cell r="AR91">
            <v>0</v>
          </cell>
          <cell r="AS91">
            <v>0</v>
          </cell>
          <cell r="AT91">
            <v>0</v>
          </cell>
          <cell r="AU91" t="e">
            <v>#VALUE!</v>
          </cell>
          <cell r="AV91" t="e">
            <v>#VALUE!</v>
          </cell>
        </row>
        <row r="92">
          <cell r="A92">
            <v>39.200000000000003</v>
          </cell>
          <cell r="B92" t="str">
            <v>1fd_gross_profit</v>
          </cell>
          <cell r="C92" t="str">
            <v>Gross profit</v>
          </cell>
          <cell r="D92" t="str">
            <v>(m)</v>
          </cell>
          <cell r="E92">
            <v>0</v>
          </cell>
          <cell r="F92">
            <v>0</v>
          </cell>
          <cell r="G92">
            <v>0</v>
          </cell>
          <cell r="H92">
            <v>0</v>
          </cell>
          <cell r="I92">
            <v>0</v>
          </cell>
          <cell r="J92">
            <v>0</v>
          </cell>
          <cell r="K92">
            <v>0</v>
          </cell>
          <cell r="L92">
            <v>0</v>
          </cell>
          <cell r="M92">
            <v>0</v>
          </cell>
          <cell r="N92" t="str">
            <v>fd_gross_profit</v>
          </cell>
          <cell r="O92">
            <v>0</v>
          </cell>
          <cell r="P92">
            <v>0</v>
          </cell>
          <cell r="Q92">
            <v>1000000</v>
          </cell>
          <cell r="R92" t="str">
            <v>E</v>
          </cell>
          <cell r="S92">
            <v>2</v>
          </cell>
          <cell r="T92" t="str">
            <v>null</v>
          </cell>
          <cell r="U92">
            <v>1</v>
          </cell>
          <cell r="V92">
            <v>0</v>
          </cell>
          <cell r="W92">
            <v>0</v>
          </cell>
          <cell r="X92">
            <v>0</v>
          </cell>
          <cell r="Y92">
            <v>0</v>
          </cell>
          <cell r="Z92">
            <v>0</v>
          </cell>
          <cell r="AA92">
            <v>281</v>
          </cell>
          <cell r="AB92" t="str">
            <v>Fundamental data p&amp;L</v>
          </cell>
          <cell r="AC92">
            <v>79</v>
          </cell>
          <cell r="AD92">
            <v>0</v>
          </cell>
          <cell r="AE92">
            <v>0</v>
          </cell>
          <cell r="AF92">
            <v>0</v>
          </cell>
          <cell r="AG92">
            <v>0</v>
          </cell>
          <cell r="AH92">
            <v>0</v>
          </cell>
          <cell r="AI92">
            <v>0</v>
          </cell>
          <cell r="AJ92">
            <v>0</v>
          </cell>
          <cell r="AK92">
            <v>0</v>
          </cell>
          <cell r="AL92">
            <v>0</v>
          </cell>
          <cell r="AM92">
            <v>0</v>
          </cell>
          <cell r="AN92" t="e">
            <v>#N/A</v>
          </cell>
          <cell r="AO92" t="e">
            <v>#N/A</v>
          </cell>
          <cell r="AP92" t="e">
            <v>#N/A</v>
          </cell>
          <cell r="AQ92" t="e">
            <v>#N/A</v>
          </cell>
          <cell r="AR92" t="e">
            <v>#N/A</v>
          </cell>
          <cell r="AS92" t="e">
            <v>#N/A</v>
          </cell>
          <cell r="AT92" t="e">
            <v>#N/A</v>
          </cell>
          <cell r="AU92" t="e">
            <v>#N/A</v>
          </cell>
          <cell r="AV92" t="e">
            <v>#N/A</v>
          </cell>
        </row>
        <row r="93">
          <cell r="A93">
            <v>40</v>
          </cell>
          <cell r="B93" t="str">
            <v>1fd_ebitda</v>
          </cell>
          <cell r="C93" t="str">
            <v>EBITDA</v>
          </cell>
          <cell r="D93" t="str">
            <v>(m)</v>
          </cell>
          <cell r="E93">
            <v>0</v>
          </cell>
          <cell r="F93">
            <v>0</v>
          </cell>
          <cell r="G93">
            <v>0</v>
          </cell>
          <cell r="H93">
            <v>0</v>
          </cell>
          <cell r="I93">
            <v>0</v>
          </cell>
          <cell r="J93">
            <v>0</v>
          </cell>
          <cell r="K93">
            <v>0</v>
          </cell>
          <cell r="L93">
            <v>0</v>
          </cell>
          <cell r="M93">
            <v>0</v>
          </cell>
          <cell r="N93" t="str">
            <v>fd_ebitda</v>
          </cell>
          <cell r="O93">
            <v>0</v>
          </cell>
          <cell r="P93">
            <v>0</v>
          </cell>
          <cell r="Q93">
            <v>1000000</v>
          </cell>
          <cell r="R93" t="str">
            <v>E</v>
          </cell>
          <cell r="S93">
            <v>2</v>
          </cell>
          <cell r="T93" t="str">
            <v>null</v>
          </cell>
          <cell r="U93">
            <v>1</v>
          </cell>
          <cell r="V93" t="str">
            <v>UK/US</v>
          </cell>
          <cell r="W93">
            <v>0</v>
          </cell>
          <cell r="X93">
            <v>0</v>
          </cell>
          <cell r="Y93">
            <v>0</v>
          </cell>
          <cell r="Z93">
            <v>0</v>
          </cell>
          <cell r="AA93">
            <v>175</v>
          </cell>
          <cell r="AB93" t="str">
            <v>Fundamental data p&amp;L</v>
          </cell>
          <cell r="AC93">
            <v>80</v>
          </cell>
          <cell r="AD93">
            <v>0</v>
          </cell>
          <cell r="AE93">
            <v>0</v>
          </cell>
          <cell r="AF93">
            <v>0</v>
          </cell>
          <cell r="AG93">
            <v>0</v>
          </cell>
          <cell r="AH93">
            <v>0</v>
          </cell>
          <cell r="AI93">
            <v>0</v>
          </cell>
          <cell r="AJ93">
            <v>0</v>
          </cell>
          <cell r="AK93">
            <v>0</v>
          </cell>
          <cell r="AL93">
            <v>0</v>
          </cell>
          <cell r="AM93">
            <v>0</v>
          </cell>
          <cell r="AN93">
            <v>40</v>
          </cell>
          <cell r="AO93" t="str">
            <v>EBITDA</v>
          </cell>
          <cell r="AP93" t="str">
            <v>m</v>
          </cell>
          <cell r="AQ93">
            <v>0</v>
          </cell>
          <cell r="AR93">
            <v>0</v>
          </cell>
          <cell r="AS93">
            <v>0</v>
          </cell>
          <cell r="AT93">
            <v>0</v>
          </cell>
          <cell r="AU93" t="e">
            <v>#VALUE!</v>
          </cell>
          <cell r="AV93" t="e">
            <v>#VALUE!</v>
          </cell>
        </row>
        <row r="94">
          <cell r="A94">
            <v>375</v>
          </cell>
          <cell r="B94" t="str">
            <v>2fd_editda_y_o_y</v>
          </cell>
          <cell r="C94" t="str">
            <v>EBITDA growth y-o-y</v>
          </cell>
          <cell r="D94" t="str">
            <v>(%)</v>
          </cell>
          <cell r="E94">
            <v>0</v>
          </cell>
          <cell r="F94">
            <v>0</v>
          </cell>
          <cell r="G94">
            <v>0</v>
          </cell>
          <cell r="H94">
            <v>0</v>
          </cell>
          <cell r="I94">
            <v>0</v>
          </cell>
          <cell r="J94">
            <v>0</v>
          </cell>
          <cell r="K94">
            <v>0</v>
          </cell>
          <cell r="L94">
            <v>0</v>
          </cell>
          <cell r="M94">
            <v>0</v>
          </cell>
          <cell r="N94" t="str">
            <v>fd_editda_y_o_y</v>
          </cell>
          <cell r="O94">
            <v>0</v>
          </cell>
          <cell r="P94">
            <v>0</v>
          </cell>
          <cell r="Q94">
            <v>0.01</v>
          </cell>
          <cell r="R94" t="str">
            <v>E</v>
          </cell>
          <cell r="S94">
            <v>2</v>
          </cell>
          <cell r="T94" t="str">
            <v>null</v>
          </cell>
          <cell r="U94">
            <v>2</v>
          </cell>
          <cell r="V94" t="str">
            <v>UK/US</v>
          </cell>
          <cell r="W94">
            <v>0</v>
          </cell>
          <cell r="X94">
            <v>0</v>
          </cell>
          <cell r="Y94">
            <v>0</v>
          </cell>
          <cell r="Z94">
            <v>0</v>
          </cell>
          <cell r="AA94">
            <v>178</v>
          </cell>
          <cell r="AB94" t="str">
            <v>Fundamental data p&amp;L</v>
          </cell>
          <cell r="AC94">
            <v>81</v>
          </cell>
          <cell r="AD94">
            <v>0</v>
          </cell>
          <cell r="AE94">
            <v>0</v>
          </cell>
          <cell r="AF94">
            <v>0</v>
          </cell>
          <cell r="AG94">
            <v>0</v>
          </cell>
          <cell r="AH94">
            <v>0</v>
          </cell>
          <cell r="AI94">
            <v>0</v>
          </cell>
          <cell r="AJ94">
            <v>0</v>
          </cell>
          <cell r="AK94">
            <v>0</v>
          </cell>
          <cell r="AL94">
            <v>0</v>
          </cell>
          <cell r="AM94">
            <v>0</v>
          </cell>
          <cell r="AN94" t="e">
            <v>#N/A</v>
          </cell>
          <cell r="AO94" t="e">
            <v>#N/A</v>
          </cell>
          <cell r="AP94" t="e">
            <v>#N/A</v>
          </cell>
          <cell r="AQ94" t="e">
            <v>#N/A</v>
          </cell>
          <cell r="AR94" t="e">
            <v>#N/A</v>
          </cell>
          <cell r="AS94" t="e">
            <v>#N/A</v>
          </cell>
          <cell r="AT94" t="e">
            <v>#N/A</v>
          </cell>
          <cell r="AU94" t="e">
            <v>#N/A</v>
          </cell>
          <cell r="AV94" t="e">
            <v>#N/A</v>
          </cell>
        </row>
        <row r="95">
          <cell r="A95">
            <v>41.2</v>
          </cell>
          <cell r="B95" t="str">
            <v>2fd_5yr_ebitda_grwth</v>
          </cell>
          <cell r="C95" t="str">
            <v>5yr average EBITDA growth</v>
          </cell>
          <cell r="D95" t="str">
            <v>(%)</v>
          </cell>
          <cell r="E95">
            <v>0</v>
          </cell>
          <cell r="F95">
            <v>0</v>
          </cell>
          <cell r="G95">
            <v>0</v>
          </cell>
          <cell r="H95">
            <v>0</v>
          </cell>
          <cell r="I95">
            <v>0</v>
          </cell>
          <cell r="J95">
            <v>0</v>
          </cell>
          <cell r="K95">
            <v>0</v>
          </cell>
          <cell r="L95">
            <v>0</v>
          </cell>
          <cell r="M95">
            <v>0</v>
          </cell>
          <cell r="N95" t="str">
            <v>fd_5yr_ebitda_grwth</v>
          </cell>
          <cell r="O95">
            <v>0</v>
          </cell>
          <cell r="P95">
            <v>0</v>
          </cell>
          <cell r="Q95">
            <v>0.01</v>
          </cell>
          <cell r="R95" t="str">
            <v>E</v>
          </cell>
          <cell r="S95">
            <v>2</v>
          </cell>
          <cell r="T95" t="str">
            <v>null</v>
          </cell>
          <cell r="U95">
            <v>2</v>
          </cell>
          <cell r="V95">
            <v>0</v>
          </cell>
          <cell r="W95">
            <v>0</v>
          </cell>
          <cell r="X95">
            <v>0</v>
          </cell>
          <cell r="Y95">
            <v>0</v>
          </cell>
          <cell r="Z95">
            <v>0</v>
          </cell>
          <cell r="AA95">
            <v>6</v>
          </cell>
          <cell r="AB95" t="str">
            <v>Fundamental data p&amp;L</v>
          </cell>
          <cell r="AC95">
            <v>83</v>
          </cell>
          <cell r="AD95">
            <v>0</v>
          </cell>
          <cell r="AE95" t="str">
            <v>c_st_5yr_ebitda_growth</v>
          </cell>
          <cell r="AF95">
            <v>0</v>
          </cell>
          <cell r="AG95">
            <v>0</v>
          </cell>
          <cell r="AH95">
            <v>0</v>
          </cell>
          <cell r="AI95">
            <v>0</v>
          </cell>
          <cell r="AJ95">
            <v>0</v>
          </cell>
          <cell r="AK95">
            <v>0</v>
          </cell>
          <cell r="AL95">
            <v>0</v>
          </cell>
          <cell r="AM95">
            <v>0</v>
          </cell>
          <cell r="AN95" t="e">
            <v>#N/A</v>
          </cell>
          <cell r="AO95" t="e">
            <v>#N/A</v>
          </cell>
          <cell r="AP95" t="e">
            <v>#N/A</v>
          </cell>
          <cell r="AQ95" t="e">
            <v>#N/A</v>
          </cell>
          <cell r="AR95" t="e">
            <v>#N/A</v>
          </cell>
          <cell r="AS95" t="e">
            <v>#N/A</v>
          </cell>
          <cell r="AT95" t="e">
            <v>#N/A</v>
          </cell>
          <cell r="AU95" t="e">
            <v>#N/A</v>
          </cell>
          <cell r="AV95" t="e">
            <v>#N/A</v>
          </cell>
        </row>
        <row r="96">
          <cell r="A96">
            <v>42.2</v>
          </cell>
          <cell r="B96" t="str">
            <v>2fd_3yr_ebitda_grwth</v>
          </cell>
          <cell r="C96" t="str">
            <v>3yr average EBITDA growth</v>
          </cell>
          <cell r="D96" t="str">
            <v>(%)</v>
          </cell>
          <cell r="E96">
            <v>0</v>
          </cell>
          <cell r="F96">
            <v>0</v>
          </cell>
          <cell r="G96">
            <v>0</v>
          </cell>
          <cell r="H96">
            <v>0</v>
          </cell>
          <cell r="I96">
            <v>0</v>
          </cell>
          <cell r="J96">
            <v>0</v>
          </cell>
          <cell r="K96">
            <v>0</v>
          </cell>
          <cell r="L96">
            <v>0</v>
          </cell>
          <cell r="M96">
            <v>0</v>
          </cell>
          <cell r="N96" t="str">
            <v>fd_3yr_ebitda_grwth</v>
          </cell>
          <cell r="O96">
            <v>0</v>
          </cell>
          <cell r="P96">
            <v>0</v>
          </cell>
          <cell r="Q96">
            <v>0.01</v>
          </cell>
          <cell r="R96" t="str">
            <v>E</v>
          </cell>
          <cell r="S96">
            <v>2</v>
          </cell>
          <cell r="T96" t="str">
            <v>null</v>
          </cell>
          <cell r="U96">
            <v>2</v>
          </cell>
          <cell r="V96">
            <v>0</v>
          </cell>
          <cell r="W96">
            <v>0</v>
          </cell>
          <cell r="X96">
            <v>0</v>
          </cell>
          <cell r="Y96">
            <v>0</v>
          </cell>
          <cell r="Z96">
            <v>0</v>
          </cell>
          <cell r="AA96">
            <v>2</v>
          </cell>
          <cell r="AB96" t="str">
            <v>Fundamental data p&amp;L</v>
          </cell>
          <cell r="AC96">
            <v>85</v>
          </cell>
          <cell r="AD96">
            <v>0</v>
          </cell>
          <cell r="AE96" t="str">
            <v>c_st_3yr_ebitda_growth</v>
          </cell>
          <cell r="AF96">
            <v>0</v>
          </cell>
          <cell r="AG96">
            <v>0</v>
          </cell>
          <cell r="AH96">
            <v>0</v>
          </cell>
          <cell r="AI96">
            <v>0</v>
          </cell>
          <cell r="AJ96">
            <v>0</v>
          </cell>
          <cell r="AK96">
            <v>0</v>
          </cell>
          <cell r="AL96">
            <v>0</v>
          </cell>
          <cell r="AM96">
            <v>0</v>
          </cell>
          <cell r="AN96" t="e">
            <v>#N/A</v>
          </cell>
          <cell r="AO96" t="e">
            <v>#N/A</v>
          </cell>
          <cell r="AP96" t="e">
            <v>#N/A</v>
          </cell>
          <cell r="AQ96" t="e">
            <v>#N/A</v>
          </cell>
          <cell r="AR96" t="e">
            <v>#N/A</v>
          </cell>
          <cell r="AS96" t="e">
            <v>#N/A</v>
          </cell>
          <cell r="AT96" t="e">
            <v>#N/A</v>
          </cell>
          <cell r="AU96" t="e">
            <v>#N/A</v>
          </cell>
          <cell r="AV96" t="e">
            <v>#N/A</v>
          </cell>
        </row>
        <row r="97">
          <cell r="A97">
            <v>43</v>
          </cell>
          <cell r="B97" t="str">
            <v>1fd_operating_profit</v>
          </cell>
          <cell r="C97" t="str">
            <v>Operating profit</v>
          </cell>
          <cell r="D97" t="str">
            <v>(m)</v>
          </cell>
          <cell r="E97">
            <v>0</v>
          </cell>
          <cell r="F97">
            <v>0</v>
          </cell>
          <cell r="G97">
            <v>0</v>
          </cell>
          <cell r="H97">
            <v>0</v>
          </cell>
          <cell r="I97">
            <v>0</v>
          </cell>
          <cell r="J97">
            <v>0</v>
          </cell>
          <cell r="K97">
            <v>0</v>
          </cell>
          <cell r="L97">
            <v>0</v>
          </cell>
          <cell r="M97">
            <v>0</v>
          </cell>
          <cell r="N97" t="str">
            <v>fd_operating_profit</v>
          </cell>
          <cell r="O97">
            <v>0</v>
          </cell>
          <cell r="P97">
            <v>0</v>
          </cell>
          <cell r="Q97">
            <v>1000000</v>
          </cell>
          <cell r="R97" t="str">
            <v>E</v>
          </cell>
          <cell r="S97">
            <v>2</v>
          </cell>
          <cell r="T97" t="str">
            <v>null</v>
          </cell>
          <cell r="U97">
            <v>1</v>
          </cell>
          <cell r="V97">
            <v>0</v>
          </cell>
          <cell r="W97">
            <v>0</v>
          </cell>
          <cell r="X97">
            <v>0</v>
          </cell>
          <cell r="Y97">
            <v>0</v>
          </cell>
          <cell r="Z97">
            <v>0</v>
          </cell>
          <cell r="AA97">
            <v>432</v>
          </cell>
          <cell r="AB97" t="str">
            <v>Fundamental data p&amp;L</v>
          </cell>
          <cell r="AC97">
            <v>86</v>
          </cell>
          <cell r="AD97">
            <v>0</v>
          </cell>
          <cell r="AE97">
            <v>0</v>
          </cell>
          <cell r="AF97">
            <v>0</v>
          </cell>
          <cell r="AG97">
            <v>0</v>
          </cell>
          <cell r="AH97">
            <v>0</v>
          </cell>
          <cell r="AI97">
            <v>0</v>
          </cell>
          <cell r="AJ97">
            <v>0</v>
          </cell>
          <cell r="AK97">
            <v>0</v>
          </cell>
          <cell r="AL97">
            <v>0</v>
          </cell>
          <cell r="AM97">
            <v>0</v>
          </cell>
          <cell r="AN97">
            <v>43</v>
          </cell>
          <cell r="AO97" t="str">
            <v xml:space="preserve">Operating profit </v>
          </cell>
          <cell r="AP97" t="str">
            <v>m</v>
          </cell>
          <cell r="AQ97" t="str">
            <v>Operating Income, Operating profit pre provision</v>
          </cell>
          <cell r="AR97">
            <v>0</v>
          </cell>
          <cell r="AS97">
            <v>0</v>
          </cell>
          <cell r="AT97">
            <v>0</v>
          </cell>
          <cell r="AU97" t="e">
            <v>#VALUE!</v>
          </cell>
          <cell r="AV97" t="e">
            <v>#VALUE!</v>
          </cell>
        </row>
        <row r="98">
          <cell r="A98">
            <v>43.2</v>
          </cell>
          <cell r="B98" t="str">
            <v>2fd_operating_profit_growth</v>
          </cell>
          <cell r="C98" t="str">
            <v>Operating profit growth y-o-y</v>
          </cell>
          <cell r="D98" t="str">
            <v>(%)</v>
          </cell>
          <cell r="E98">
            <v>0</v>
          </cell>
          <cell r="F98">
            <v>0</v>
          </cell>
          <cell r="G98">
            <v>0</v>
          </cell>
          <cell r="H98">
            <v>0</v>
          </cell>
          <cell r="I98">
            <v>0</v>
          </cell>
          <cell r="J98">
            <v>0</v>
          </cell>
          <cell r="K98">
            <v>0</v>
          </cell>
          <cell r="L98">
            <v>0</v>
          </cell>
          <cell r="M98">
            <v>0</v>
          </cell>
          <cell r="N98" t="str">
            <v>fd_operating_profit_growth</v>
          </cell>
          <cell r="O98">
            <v>0</v>
          </cell>
          <cell r="P98">
            <v>0</v>
          </cell>
          <cell r="Q98">
            <v>0.01</v>
          </cell>
          <cell r="R98" t="str">
            <v>E</v>
          </cell>
          <cell r="S98">
            <v>2</v>
          </cell>
          <cell r="T98" t="str">
            <v>null</v>
          </cell>
          <cell r="U98">
            <v>2</v>
          </cell>
          <cell r="V98">
            <v>0</v>
          </cell>
          <cell r="W98">
            <v>0</v>
          </cell>
          <cell r="X98">
            <v>0</v>
          </cell>
          <cell r="Y98">
            <v>0</v>
          </cell>
          <cell r="Z98">
            <v>0</v>
          </cell>
          <cell r="AA98">
            <v>436</v>
          </cell>
          <cell r="AB98" t="str">
            <v>Fundamental data p&amp;L</v>
          </cell>
          <cell r="AC98">
            <v>87</v>
          </cell>
          <cell r="AD98">
            <v>0</v>
          </cell>
          <cell r="AE98">
            <v>0</v>
          </cell>
          <cell r="AF98">
            <v>0</v>
          </cell>
          <cell r="AG98">
            <v>0</v>
          </cell>
          <cell r="AH98">
            <v>0</v>
          </cell>
          <cell r="AI98">
            <v>0</v>
          </cell>
          <cell r="AJ98">
            <v>0</v>
          </cell>
          <cell r="AK98">
            <v>0</v>
          </cell>
          <cell r="AL98">
            <v>0</v>
          </cell>
          <cell r="AM98">
            <v>0</v>
          </cell>
          <cell r="AN98" t="e">
            <v>#N/A</v>
          </cell>
          <cell r="AO98" t="e">
            <v>#N/A</v>
          </cell>
          <cell r="AP98" t="e">
            <v>#N/A</v>
          </cell>
          <cell r="AQ98" t="e">
            <v>#N/A</v>
          </cell>
          <cell r="AR98" t="e">
            <v>#N/A</v>
          </cell>
          <cell r="AS98" t="e">
            <v>#N/A</v>
          </cell>
          <cell r="AT98" t="e">
            <v>#N/A</v>
          </cell>
          <cell r="AU98" t="e">
            <v>#N/A</v>
          </cell>
          <cell r="AV98" t="e">
            <v>#N/A</v>
          </cell>
        </row>
        <row r="99">
          <cell r="A99">
            <v>44</v>
          </cell>
          <cell r="B99" t="str">
            <v>1fd_operating_profit_employee</v>
          </cell>
          <cell r="C99" t="str">
            <v>Operating profit per employee</v>
          </cell>
          <cell r="D99" t="str">
            <v>(unit)</v>
          </cell>
          <cell r="E99">
            <v>0</v>
          </cell>
          <cell r="F99">
            <v>0</v>
          </cell>
          <cell r="G99">
            <v>0</v>
          </cell>
          <cell r="H99">
            <v>0</v>
          </cell>
          <cell r="I99">
            <v>0</v>
          </cell>
          <cell r="J99">
            <v>0</v>
          </cell>
          <cell r="K99">
            <v>0</v>
          </cell>
          <cell r="L99">
            <v>0</v>
          </cell>
          <cell r="M99">
            <v>0</v>
          </cell>
          <cell r="N99" t="str">
            <v>fd_operating_profit_employee</v>
          </cell>
          <cell r="O99">
            <v>0</v>
          </cell>
          <cell r="P99">
            <v>0</v>
          </cell>
          <cell r="Q99">
            <v>1</v>
          </cell>
          <cell r="R99" t="str">
            <v>E</v>
          </cell>
          <cell r="S99">
            <v>2</v>
          </cell>
          <cell r="T99" t="str">
            <v>null</v>
          </cell>
          <cell r="U99">
            <v>1</v>
          </cell>
          <cell r="V99">
            <v>0</v>
          </cell>
          <cell r="W99">
            <v>0</v>
          </cell>
          <cell r="X99">
            <v>0</v>
          </cell>
          <cell r="Y99">
            <v>0</v>
          </cell>
          <cell r="Z99">
            <v>0</v>
          </cell>
          <cell r="AA99">
            <v>437</v>
          </cell>
          <cell r="AB99" t="str">
            <v>Fundamental data p&amp;L</v>
          </cell>
          <cell r="AC99">
            <v>88</v>
          </cell>
          <cell r="AD99">
            <v>0</v>
          </cell>
          <cell r="AE99">
            <v>0</v>
          </cell>
          <cell r="AF99">
            <v>0</v>
          </cell>
          <cell r="AG99">
            <v>0</v>
          </cell>
          <cell r="AH99">
            <v>0</v>
          </cell>
          <cell r="AI99">
            <v>0</v>
          </cell>
          <cell r="AJ99">
            <v>0</v>
          </cell>
          <cell r="AK99">
            <v>0</v>
          </cell>
          <cell r="AL99">
            <v>0</v>
          </cell>
          <cell r="AM99">
            <v>0</v>
          </cell>
          <cell r="AN99">
            <v>44</v>
          </cell>
          <cell r="AO99" t="str">
            <v>Operating profit per employee</v>
          </cell>
          <cell r="AP99" t="str">
            <v>000</v>
          </cell>
          <cell r="AQ99">
            <v>0</v>
          </cell>
          <cell r="AR99">
            <v>0</v>
          </cell>
          <cell r="AS99">
            <v>0</v>
          </cell>
          <cell r="AT99">
            <v>0</v>
          </cell>
          <cell r="AU99" t="e">
            <v>#VALUE!</v>
          </cell>
          <cell r="AV99" t="e">
            <v>#VALUE!</v>
          </cell>
        </row>
        <row r="100">
          <cell r="A100">
            <v>45</v>
          </cell>
          <cell r="B100" t="str">
            <v>1fd_associates</v>
          </cell>
          <cell r="C100" t="str">
            <v>Results from associates and or JVs</v>
          </cell>
          <cell r="D100" t="str">
            <v>(m)</v>
          </cell>
          <cell r="E100">
            <v>0</v>
          </cell>
          <cell r="F100">
            <v>0</v>
          </cell>
          <cell r="G100">
            <v>0</v>
          </cell>
          <cell r="H100">
            <v>0</v>
          </cell>
          <cell r="I100">
            <v>0</v>
          </cell>
          <cell r="J100">
            <v>0</v>
          </cell>
          <cell r="K100">
            <v>0</v>
          </cell>
          <cell r="L100">
            <v>0</v>
          </cell>
          <cell r="M100">
            <v>0</v>
          </cell>
          <cell r="N100" t="str">
            <v>fd_associates</v>
          </cell>
          <cell r="O100">
            <v>0</v>
          </cell>
          <cell r="P100">
            <v>0</v>
          </cell>
          <cell r="Q100">
            <v>1000000</v>
          </cell>
          <cell r="R100" t="str">
            <v>E</v>
          </cell>
          <cell r="S100">
            <v>2</v>
          </cell>
          <cell r="T100" t="str">
            <v>null</v>
          </cell>
          <cell r="U100">
            <v>1</v>
          </cell>
          <cell r="V100">
            <v>0</v>
          </cell>
          <cell r="W100">
            <v>0</v>
          </cell>
          <cell r="X100">
            <v>0</v>
          </cell>
          <cell r="Y100">
            <v>0</v>
          </cell>
          <cell r="Z100">
            <v>0</v>
          </cell>
          <cell r="AA100">
            <v>22</v>
          </cell>
          <cell r="AB100" t="str">
            <v>Fundamental data p&amp;L</v>
          </cell>
          <cell r="AC100">
            <v>89</v>
          </cell>
          <cell r="AD100">
            <v>0</v>
          </cell>
          <cell r="AE100">
            <v>0</v>
          </cell>
          <cell r="AF100">
            <v>0</v>
          </cell>
          <cell r="AG100">
            <v>0</v>
          </cell>
          <cell r="AH100">
            <v>0</v>
          </cell>
          <cell r="AI100">
            <v>0</v>
          </cell>
          <cell r="AJ100">
            <v>0</v>
          </cell>
          <cell r="AK100">
            <v>0</v>
          </cell>
          <cell r="AL100">
            <v>0</v>
          </cell>
          <cell r="AM100">
            <v>0</v>
          </cell>
          <cell r="AN100">
            <v>45</v>
          </cell>
          <cell r="AO100" t="str">
            <v>Associates (if before tax)</v>
          </cell>
          <cell r="AP100" t="str">
            <v>m</v>
          </cell>
          <cell r="AQ100">
            <v>0</v>
          </cell>
          <cell r="AR100">
            <v>0</v>
          </cell>
          <cell r="AS100">
            <v>0</v>
          </cell>
          <cell r="AT100">
            <v>0</v>
          </cell>
          <cell r="AU100" t="e">
            <v>#VALUE!</v>
          </cell>
          <cell r="AV100" t="e">
            <v>#VALUE!</v>
          </cell>
        </row>
        <row r="101">
          <cell r="A101">
            <v>46</v>
          </cell>
          <cell r="B101" t="str">
            <v>1fd_ebit_rec_adj</v>
          </cell>
          <cell r="C101" t="str">
            <v>EBIT</v>
          </cell>
          <cell r="D101" t="str">
            <v>(m)</v>
          </cell>
          <cell r="E101">
            <v>0</v>
          </cell>
          <cell r="F101">
            <v>0</v>
          </cell>
          <cell r="G101">
            <v>0</v>
          </cell>
          <cell r="H101">
            <v>0</v>
          </cell>
          <cell r="I101">
            <v>0</v>
          </cell>
          <cell r="J101">
            <v>0</v>
          </cell>
          <cell r="K101">
            <v>0</v>
          </cell>
          <cell r="L101">
            <v>0</v>
          </cell>
          <cell r="M101">
            <v>0</v>
          </cell>
          <cell r="N101" t="str">
            <v>fd_ebit_rec_adj</v>
          </cell>
          <cell r="O101">
            <v>0</v>
          </cell>
          <cell r="P101">
            <v>0</v>
          </cell>
          <cell r="Q101">
            <v>1000000</v>
          </cell>
          <cell r="R101" t="str">
            <v>E</v>
          </cell>
          <cell r="S101">
            <v>2</v>
          </cell>
          <cell r="T101" t="str">
            <v>null</v>
          </cell>
          <cell r="U101">
            <v>1</v>
          </cell>
          <cell r="V101">
            <v>0</v>
          </cell>
          <cell r="W101">
            <v>0</v>
          </cell>
          <cell r="X101">
            <v>0</v>
          </cell>
          <cell r="Y101">
            <v>0</v>
          </cell>
          <cell r="Z101">
            <v>0</v>
          </cell>
          <cell r="AA101">
            <v>166</v>
          </cell>
          <cell r="AB101" t="str">
            <v>Fundamental data p&amp;L</v>
          </cell>
          <cell r="AC101">
            <v>90</v>
          </cell>
          <cell r="AD101">
            <v>0</v>
          </cell>
          <cell r="AE101">
            <v>0</v>
          </cell>
          <cell r="AF101">
            <v>0</v>
          </cell>
          <cell r="AG101">
            <v>0</v>
          </cell>
          <cell r="AH101">
            <v>0</v>
          </cell>
          <cell r="AI101">
            <v>0</v>
          </cell>
          <cell r="AJ101">
            <v>0</v>
          </cell>
          <cell r="AK101">
            <v>0</v>
          </cell>
          <cell r="AL101">
            <v>0</v>
          </cell>
          <cell r="AM101">
            <v>0</v>
          </cell>
          <cell r="AN101">
            <v>46</v>
          </cell>
          <cell r="AO101" t="str">
            <v>EBIT</v>
          </cell>
          <cell r="AP101" t="str">
            <v>m</v>
          </cell>
          <cell r="AQ101">
            <v>0</v>
          </cell>
          <cell r="AR101">
            <v>0</v>
          </cell>
          <cell r="AS101">
            <v>0</v>
          </cell>
          <cell r="AT101">
            <v>0</v>
          </cell>
          <cell r="AU101" t="e">
            <v>#VALUE!</v>
          </cell>
          <cell r="AV101" t="e">
            <v>#VALUE!</v>
          </cell>
        </row>
        <row r="102">
          <cell r="A102">
            <v>46.4</v>
          </cell>
          <cell r="B102" t="str">
            <v>2fd_ebit_y_o_y</v>
          </cell>
          <cell r="C102" t="str">
            <v>EBIT growth y-o-y</v>
          </cell>
          <cell r="D102" t="str">
            <v>(%)</v>
          </cell>
          <cell r="E102">
            <v>0</v>
          </cell>
          <cell r="F102">
            <v>0</v>
          </cell>
          <cell r="G102">
            <v>0</v>
          </cell>
          <cell r="H102">
            <v>0</v>
          </cell>
          <cell r="I102">
            <v>0</v>
          </cell>
          <cell r="J102">
            <v>0</v>
          </cell>
          <cell r="K102">
            <v>0</v>
          </cell>
          <cell r="L102">
            <v>0</v>
          </cell>
          <cell r="M102">
            <v>0</v>
          </cell>
          <cell r="N102" t="str">
            <v>fd_ebit_y_o_y</v>
          </cell>
          <cell r="O102">
            <v>0</v>
          </cell>
          <cell r="P102">
            <v>0</v>
          </cell>
          <cell r="Q102">
            <v>0.01</v>
          </cell>
          <cell r="R102" t="str">
            <v>E</v>
          </cell>
          <cell r="S102">
            <v>2</v>
          </cell>
          <cell r="T102" t="str">
            <v>null</v>
          </cell>
          <cell r="U102">
            <v>2</v>
          </cell>
          <cell r="V102" t="str">
            <v>UK/US</v>
          </cell>
          <cell r="W102">
            <v>0</v>
          </cell>
          <cell r="X102">
            <v>0</v>
          </cell>
          <cell r="Y102">
            <v>0</v>
          </cell>
          <cell r="Z102">
            <v>0</v>
          </cell>
          <cell r="AA102">
            <v>169</v>
          </cell>
          <cell r="AB102" t="str">
            <v>Fundamental data p&amp;L</v>
          </cell>
          <cell r="AC102">
            <v>91</v>
          </cell>
          <cell r="AD102">
            <v>0</v>
          </cell>
          <cell r="AE102">
            <v>0</v>
          </cell>
          <cell r="AF102">
            <v>0</v>
          </cell>
          <cell r="AG102">
            <v>0</v>
          </cell>
          <cell r="AH102">
            <v>0</v>
          </cell>
          <cell r="AI102">
            <v>0</v>
          </cell>
          <cell r="AJ102">
            <v>0</v>
          </cell>
          <cell r="AK102">
            <v>0</v>
          </cell>
          <cell r="AL102">
            <v>0</v>
          </cell>
          <cell r="AM102">
            <v>0</v>
          </cell>
          <cell r="AN102" t="e">
            <v>#N/A</v>
          </cell>
          <cell r="AO102" t="e">
            <v>#N/A</v>
          </cell>
          <cell r="AP102" t="e">
            <v>#N/A</v>
          </cell>
          <cell r="AQ102" t="e">
            <v>#N/A</v>
          </cell>
          <cell r="AR102" t="e">
            <v>#N/A</v>
          </cell>
          <cell r="AS102" t="e">
            <v>#N/A</v>
          </cell>
          <cell r="AT102" t="e">
            <v>#N/A</v>
          </cell>
          <cell r="AU102" t="e">
            <v>#N/A</v>
          </cell>
          <cell r="AV102" t="e">
            <v>#N/A</v>
          </cell>
        </row>
        <row r="103">
          <cell r="A103">
            <v>301</v>
          </cell>
          <cell r="B103" t="str">
            <v>1fd_ebit_rec_adj</v>
          </cell>
          <cell r="C103" t="str">
            <v>EBIT (adjusted/recurring)</v>
          </cell>
          <cell r="D103" t="str">
            <v>(m)</v>
          </cell>
          <cell r="E103">
            <v>0</v>
          </cell>
          <cell r="F103">
            <v>0</v>
          </cell>
          <cell r="G103">
            <v>0</v>
          </cell>
          <cell r="H103">
            <v>0</v>
          </cell>
          <cell r="I103">
            <v>0</v>
          </cell>
          <cell r="J103">
            <v>0</v>
          </cell>
          <cell r="K103">
            <v>0</v>
          </cell>
          <cell r="L103">
            <v>0</v>
          </cell>
          <cell r="M103">
            <v>0</v>
          </cell>
          <cell r="N103" t="str">
            <v>fd_ebit_rec_adj</v>
          </cell>
          <cell r="O103">
            <v>0</v>
          </cell>
          <cell r="P103">
            <v>0</v>
          </cell>
          <cell r="Q103">
            <v>1000000</v>
          </cell>
          <cell r="R103" t="str">
            <v>E</v>
          </cell>
          <cell r="S103">
            <v>2</v>
          </cell>
          <cell r="T103" t="str">
            <v>null</v>
          </cell>
          <cell r="U103">
            <v>1</v>
          </cell>
          <cell r="V103">
            <v>0</v>
          </cell>
          <cell r="W103">
            <v>0</v>
          </cell>
          <cell r="X103">
            <v>0</v>
          </cell>
          <cell r="Y103">
            <v>0</v>
          </cell>
          <cell r="Z103">
            <v>0</v>
          </cell>
          <cell r="AA103">
            <v>168</v>
          </cell>
          <cell r="AB103" t="str">
            <v>Sector Specific Ratios</v>
          </cell>
          <cell r="AC103">
            <v>92</v>
          </cell>
          <cell r="AD103">
            <v>0</v>
          </cell>
          <cell r="AE103">
            <v>0</v>
          </cell>
          <cell r="AF103">
            <v>0</v>
          </cell>
          <cell r="AG103">
            <v>0</v>
          </cell>
          <cell r="AH103">
            <v>0</v>
          </cell>
          <cell r="AI103">
            <v>0</v>
          </cell>
          <cell r="AJ103">
            <v>0</v>
          </cell>
          <cell r="AK103">
            <v>0</v>
          </cell>
          <cell r="AL103">
            <v>0</v>
          </cell>
          <cell r="AM103">
            <v>0</v>
          </cell>
          <cell r="AN103">
            <v>301</v>
          </cell>
          <cell r="AO103" t="str">
            <v>EBIT - adjusted/recurring</v>
          </cell>
          <cell r="AP103">
            <v>0</v>
          </cell>
          <cell r="AQ103">
            <v>0</v>
          </cell>
          <cell r="AR103">
            <v>0</v>
          </cell>
          <cell r="AS103">
            <v>0</v>
          </cell>
          <cell r="AT103">
            <v>0</v>
          </cell>
          <cell r="AU103" t="e">
            <v>#VALUE!</v>
          </cell>
          <cell r="AV103" t="e">
            <v>#VALUE!</v>
          </cell>
        </row>
        <row r="104">
          <cell r="A104">
            <v>301.10000000000002</v>
          </cell>
          <cell r="B104" t="str">
            <v>2fd_ebit_rec_adj</v>
          </cell>
          <cell r="C104" t="str">
            <v>EBIT (adjusted/recurring)</v>
          </cell>
          <cell r="D104" t="str">
            <v>(m)</v>
          </cell>
          <cell r="E104">
            <v>0</v>
          </cell>
          <cell r="F104">
            <v>0</v>
          </cell>
          <cell r="G104">
            <v>0</v>
          </cell>
          <cell r="H104">
            <v>0</v>
          </cell>
          <cell r="I104">
            <v>0</v>
          </cell>
          <cell r="J104">
            <v>0</v>
          </cell>
          <cell r="K104">
            <v>0</v>
          </cell>
          <cell r="L104">
            <v>0</v>
          </cell>
          <cell r="M104">
            <v>0</v>
          </cell>
          <cell r="N104" t="str">
            <v>fd_ebit_rec_adj</v>
          </cell>
          <cell r="O104">
            <v>0</v>
          </cell>
          <cell r="P104">
            <v>0</v>
          </cell>
          <cell r="Q104">
            <v>1000000</v>
          </cell>
          <cell r="R104" t="str">
            <v>E</v>
          </cell>
          <cell r="S104">
            <v>2</v>
          </cell>
          <cell r="T104" t="str">
            <v>null</v>
          </cell>
          <cell r="U104">
            <v>2</v>
          </cell>
          <cell r="V104">
            <v>0</v>
          </cell>
          <cell r="W104">
            <v>0</v>
          </cell>
          <cell r="X104">
            <v>0</v>
          </cell>
          <cell r="Y104">
            <v>0</v>
          </cell>
          <cell r="Z104">
            <v>0</v>
          </cell>
          <cell r="AA104">
            <v>168</v>
          </cell>
          <cell r="AB104" t="str">
            <v>EBIT (adjusted/recurring)</v>
          </cell>
          <cell r="AC104">
            <v>92.5</v>
          </cell>
          <cell r="AD104" t="str">
            <v>Requires 301 or 46</v>
          </cell>
          <cell r="AE104" t="str">
            <v>fd_ebit_rec_adj</v>
          </cell>
          <cell r="AF104">
            <v>0</v>
          </cell>
          <cell r="AG104">
            <v>0</v>
          </cell>
          <cell r="AH104">
            <v>0</v>
          </cell>
          <cell r="AI104">
            <v>0</v>
          </cell>
          <cell r="AJ104">
            <v>301</v>
          </cell>
          <cell r="AK104">
            <v>0</v>
          </cell>
          <cell r="AL104">
            <v>0</v>
          </cell>
          <cell r="AM104">
            <v>0</v>
          </cell>
          <cell r="AN104" t="e">
            <v>#N/A</v>
          </cell>
          <cell r="AO104" t="e">
            <v>#N/A</v>
          </cell>
          <cell r="AP104" t="e">
            <v>#N/A</v>
          </cell>
          <cell r="AQ104" t="e">
            <v>#N/A</v>
          </cell>
          <cell r="AR104" t="e">
            <v>#N/A</v>
          </cell>
          <cell r="AS104" t="e">
            <v>#N/A</v>
          </cell>
          <cell r="AT104" t="e">
            <v>#N/A</v>
          </cell>
          <cell r="AU104" t="e">
            <v>#N/A</v>
          </cell>
          <cell r="AV104" t="e">
            <v>#N/A</v>
          </cell>
        </row>
        <row r="105">
          <cell r="A105">
            <v>47</v>
          </cell>
          <cell r="B105" t="str">
            <v>1fd_net_int_charge</v>
          </cell>
          <cell r="C105" t="str">
            <v>Net interest charge</v>
          </cell>
          <cell r="D105" t="str">
            <v>(m)</v>
          </cell>
          <cell r="E105">
            <v>0</v>
          </cell>
          <cell r="F105">
            <v>0</v>
          </cell>
          <cell r="G105">
            <v>0</v>
          </cell>
          <cell r="H105">
            <v>0</v>
          </cell>
          <cell r="I105">
            <v>0</v>
          </cell>
          <cell r="J105">
            <v>0</v>
          </cell>
          <cell r="K105">
            <v>0</v>
          </cell>
          <cell r="L105">
            <v>0</v>
          </cell>
          <cell r="M105">
            <v>0</v>
          </cell>
          <cell r="N105" t="str">
            <v>fd_net_int_charge</v>
          </cell>
          <cell r="O105">
            <v>0</v>
          </cell>
          <cell r="P105">
            <v>0</v>
          </cell>
          <cell r="Q105">
            <v>1000000</v>
          </cell>
          <cell r="R105" t="str">
            <v>E</v>
          </cell>
          <cell r="S105">
            <v>2</v>
          </cell>
          <cell r="T105" t="str">
            <v>null</v>
          </cell>
          <cell r="U105">
            <v>1</v>
          </cell>
          <cell r="V105" t="str">
            <v>UK/US</v>
          </cell>
          <cell r="W105">
            <v>0</v>
          </cell>
          <cell r="X105">
            <v>0</v>
          </cell>
          <cell r="Y105">
            <v>0</v>
          </cell>
          <cell r="Z105">
            <v>0</v>
          </cell>
          <cell r="AA105">
            <v>380</v>
          </cell>
          <cell r="AB105" t="str">
            <v>Fundamental data p&amp;L</v>
          </cell>
          <cell r="AC105">
            <v>93</v>
          </cell>
          <cell r="AD105">
            <v>0</v>
          </cell>
          <cell r="AE105">
            <v>0</v>
          </cell>
          <cell r="AF105">
            <v>0</v>
          </cell>
          <cell r="AG105">
            <v>0</v>
          </cell>
          <cell r="AH105">
            <v>0</v>
          </cell>
          <cell r="AI105">
            <v>0</v>
          </cell>
          <cell r="AJ105">
            <v>0</v>
          </cell>
          <cell r="AK105">
            <v>0</v>
          </cell>
          <cell r="AL105">
            <v>0</v>
          </cell>
          <cell r="AM105">
            <v>0</v>
          </cell>
          <cell r="AN105">
            <v>47</v>
          </cell>
          <cell r="AO105" t="str">
            <v>Net Interest Charge</v>
          </cell>
          <cell r="AP105" t="str">
            <v>m</v>
          </cell>
          <cell r="AQ105">
            <v>0</v>
          </cell>
          <cell r="AR105">
            <v>0</v>
          </cell>
          <cell r="AS105">
            <v>0</v>
          </cell>
          <cell r="AT105">
            <v>0</v>
          </cell>
          <cell r="AU105" t="e">
            <v>#VALUE!</v>
          </cell>
          <cell r="AV105" t="e">
            <v>#VALUE!</v>
          </cell>
        </row>
        <row r="106">
          <cell r="A106">
            <v>48</v>
          </cell>
          <cell r="B106" t="str">
            <v>1fd_prof_bef_tax_adj</v>
          </cell>
          <cell r="C106" t="str">
            <v>Profit before tax (adjusted)</v>
          </cell>
          <cell r="D106" t="str">
            <v>(m)</v>
          </cell>
          <cell r="E106">
            <v>0</v>
          </cell>
          <cell r="F106">
            <v>0</v>
          </cell>
          <cell r="G106">
            <v>0</v>
          </cell>
          <cell r="H106">
            <v>0</v>
          </cell>
          <cell r="I106">
            <v>0</v>
          </cell>
          <cell r="J106">
            <v>0</v>
          </cell>
          <cell r="K106">
            <v>0</v>
          </cell>
          <cell r="L106">
            <v>0</v>
          </cell>
          <cell r="M106">
            <v>0</v>
          </cell>
          <cell r="N106" t="str">
            <v>fd_prof_bef_tax_adj</v>
          </cell>
          <cell r="O106">
            <v>0</v>
          </cell>
          <cell r="P106">
            <v>0</v>
          </cell>
          <cell r="Q106">
            <v>1000000</v>
          </cell>
          <cell r="R106" t="str">
            <v>E</v>
          </cell>
          <cell r="S106">
            <v>2</v>
          </cell>
          <cell r="T106" t="str">
            <v>null</v>
          </cell>
          <cell r="U106">
            <v>1</v>
          </cell>
          <cell r="V106" t="str">
            <v>US</v>
          </cell>
          <cell r="W106">
            <v>0</v>
          </cell>
          <cell r="X106">
            <v>0</v>
          </cell>
          <cell r="Y106">
            <v>0</v>
          </cell>
          <cell r="Z106">
            <v>0</v>
          </cell>
          <cell r="AA106">
            <v>483</v>
          </cell>
          <cell r="AB106" t="str">
            <v>Fundamental data p&amp;L</v>
          </cell>
          <cell r="AC106">
            <v>95</v>
          </cell>
          <cell r="AD106">
            <v>0</v>
          </cell>
          <cell r="AE106">
            <v>0</v>
          </cell>
          <cell r="AF106">
            <v>0</v>
          </cell>
          <cell r="AG106">
            <v>0</v>
          </cell>
          <cell r="AH106">
            <v>0</v>
          </cell>
          <cell r="AI106">
            <v>0</v>
          </cell>
          <cell r="AJ106">
            <v>0</v>
          </cell>
          <cell r="AK106">
            <v>0</v>
          </cell>
          <cell r="AL106">
            <v>0</v>
          </cell>
          <cell r="AM106">
            <v>0</v>
          </cell>
          <cell r="AN106">
            <v>48</v>
          </cell>
          <cell r="AO106" t="str">
            <v>Profit before Tax (adjusted)*</v>
          </cell>
          <cell r="AP106" t="str">
            <v>m</v>
          </cell>
          <cell r="AQ106" t="str">
            <v>Earnings before Tax (adjusted), Operating Profit before Tax, Operating PBT - achieved</v>
          </cell>
          <cell r="AR106">
            <v>0</v>
          </cell>
          <cell r="AS106">
            <v>0</v>
          </cell>
          <cell r="AT106">
            <v>0</v>
          </cell>
          <cell r="AU106" t="e">
            <v>#VALUE!</v>
          </cell>
          <cell r="AV106" t="e">
            <v>#VALUE!</v>
          </cell>
        </row>
        <row r="107">
          <cell r="A107">
            <v>377</v>
          </cell>
          <cell r="B107" t="str">
            <v>1fd_exceptionals</v>
          </cell>
          <cell r="C107" t="str">
            <v>Profit before tax (adjusted ex new media net expense)</v>
          </cell>
          <cell r="D107" t="str">
            <v>(m)</v>
          </cell>
          <cell r="E107">
            <v>0</v>
          </cell>
          <cell r="F107">
            <v>0</v>
          </cell>
          <cell r="G107">
            <v>0</v>
          </cell>
          <cell r="H107">
            <v>0</v>
          </cell>
          <cell r="I107">
            <v>0</v>
          </cell>
          <cell r="J107">
            <v>0</v>
          </cell>
          <cell r="K107">
            <v>0</v>
          </cell>
          <cell r="L107">
            <v>0</v>
          </cell>
          <cell r="M107">
            <v>0</v>
          </cell>
          <cell r="N107" t="str">
            <v>fd_exceptionals</v>
          </cell>
          <cell r="O107">
            <v>0</v>
          </cell>
          <cell r="P107">
            <v>0</v>
          </cell>
          <cell r="Q107">
            <v>1000000</v>
          </cell>
          <cell r="R107" t="str">
            <v>E</v>
          </cell>
          <cell r="S107">
            <v>2</v>
          </cell>
          <cell r="T107" t="str">
            <v>null</v>
          </cell>
          <cell r="U107">
            <v>1</v>
          </cell>
          <cell r="V107">
            <v>0</v>
          </cell>
          <cell r="W107">
            <v>0</v>
          </cell>
          <cell r="X107">
            <v>0</v>
          </cell>
          <cell r="Y107">
            <v>0</v>
          </cell>
          <cell r="Z107">
            <v>0</v>
          </cell>
          <cell r="AA107">
            <v>482</v>
          </cell>
          <cell r="AB107" t="str">
            <v>Fundamental data p&amp;L</v>
          </cell>
          <cell r="AC107">
            <v>96</v>
          </cell>
          <cell r="AD107">
            <v>0</v>
          </cell>
          <cell r="AE107">
            <v>0</v>
          </cell>
          <cell r="AF107">
            <v>0</v>
          </cell>
          <cell r="AG107">
            <v>0</v>
          </cell>
          <cell r="AH107">
            <v>0</v>
          </cell>
          <cell r="AI107">
            <v>0</v>
          </cell>
          <cell r="AJ107">
            <v>0</v>
          </cell>
          <cell r="AK107">
            <v>0</v>
          </cell>
          <cell r="AL107">
            <v>0</v>
          </cell>
          <cell r="AM107">
            <v>0</v>
          </cell>
          <cell r="AN107" t="e">
            <v>#N/A</v>
          </cell>
          <cell r="AO107" t="e">
            <v>#N/A</v>
          </cell>
          <cell r="AP107" t="e">
            <v>#N/A</v>
          </cell>
          <cell r="AQ107" t="e">
            <v>#N/A</v>
          </cell>
          <cell r="AR107" t="e">
            <v>#N/A</v>
          </cell>
          <cell r="AS107" t="e">
            <v>#N/A</v>
          </cell>
          <cell r="AT107" t="e">
            <v>#N/A</v>
          </cell>
          <cell r="AU107" t="e">
            <v>#N/A</v>
          </cell>
          <cell r="AV107" t="e">
            <v>#N/A</v>
          </cell>
        </row>
        <row r="108">
          <cell r="A108">
            <v>49</v>
          </cell>
          <cell r="B108" t="str">
            <v>1fd_prof_bef_tax_rep</v>
          </cell>
          <cell r="C108" t="str">
            <v>Profit before tax (reported)</v>
          </cell>
          <cell r="D108" t="str">
            <v>(m)</v>
          </cell>
          <cell r="E108">
            <v>0</v>
          </cell>
          <cell r="F108">
            <v>0</v>
          </cell>
          <cell r="G108">
            <v>0</v>
          </cell>
          <cell r="H108">
            <v>0</v>
          </cell>
          <cell r="I108">
            <v>0</v>
          </cell>
          <cell r="J108">
            <v>0</v>
          </cell>
          <cell r="K108">
            <v>0</v>
          </cell>
          <cell r="L108">
            <v>0</v>
          </cell>
          <cell r="M108">
            <v>0</v>
          </cell>
          <cell r="N108" t="str">
            <v>fd_prof_bef_tax_rep</v>
          </cell>
          <cell r="O108">
            <v>0</v>
          </cell>
          <cell r="P108">
            <v>0</v>
          </cell>
          <cell r="Q108">
            <v>1000000</v>
          </cell>
          <cell r="R108" t="str">
            <v>E</v>
          </cell>
          <cell r="S108">
            <v>2</v>
          </cell>
          <cell r="T108" t="str">
            <v>null</v>
          </cell>
          <cell r="U108">
            <v>1</v>
          </cell>
          <cell r="V108">
            <v>0</v>
          </cell>
          <cell r="W108">
            <v>0</v>
          </cell>
          <cell r="X108">
            <v>0</v>
          </cell>
          <cell r="Y108">
            <v>0</v>
          </cell>
          <cell r="Z108">
            <v>0</v>
          </cell>
          <cell r="AA108">
            <v>487</v>
          </cell>
          <cell r="AB108" t="str">
            <v>Fundamental data p&amp;L</v>
          </cell>
          <cell r="AC108">
            <v>97</v>
          </cell>
          <cell r="AD108">
            <v>0</v>
          </cell>
          <cell r="AE108">
            <v>0</v>
          </cell>
          <cell r="AF108">
            <v>0</v>
          </cell>
          <cell r="AG108">
            <v>0</v>
          </cell>
          <cell r="AH108">
            <v>0</v>
          </cell>
          <cell r="AI108">
            <v>0</v>
          </cell>
          <cell r="AJ108">
            <v>0</v>
          </cell>
          <cell r="AK108">
            <v>0</v>
          </cell>
          <cell r="AL108">
            <v>0</v>
          </cell>
          <cell r="AM108">
            <v>0</v>
          </cell>
          <cell r="AN108">
            <v>49</v>
          </cell>
          <cell r="AO108" t="str">
            <v>Profit before Tax (reported)</v>
          </cell>
          <cell r="AP108" t="str">
            <v>m</v>
          </cell>
          <cell r="AQ108" t="str">
            <v>Earnings before Tax (reported), Operating PBT - statutory</v>
          </cell>
          <cell r="AR108">
            <v>0</v>
          </cell>
          <cell r="AS108">
            <v>0</v>
          </cell>
          <cell r="AT108">
            <v>0</v>
          </cell>
          <cell r="AU108" t="e">
            <v>#VALUE!</v>
          </cell>
          <cell r="AV108" t="e">
            <v>#VALUE!</v>
          </cell>
        </row>
        <row r="109">
          <cell r="A109">
            <v>49.2</v>
          </cell>
          <cell r="B109" t="str">
            <v>2fd_prof_bef_tax_rep_yoy</v>
          </cell>
          <cell r="C109" t="str">
            <v>Profit before tax (reported) growth y-o-y</v>
          </cell>
          <cell r="D109" t="str">
            <v>(%)</v>
          </cell>
          <cell r="E109">
            <v>0</v>
          </cell>
          <cell r="F109">
            <v>0</v>
          </cell>
          <cell r="G109">
            <v>0</v>
          </cell>
          <cell r="H109">
            <v>0</v>
          </cell>
          <cell r="I109">
            <v>0</v>
          </cell>
          <cell r="J109">
            <v>0</v>
          </cell>
          <cell r="K109">
            <v>0</v>
          </cell>
          <cell r="L109">
            <v>0</v>
          </cell>
          <cell r="M109">
            <v>0</v>
          </cell>
          <cell r="N109" t="str">
            <v>fd_prof_bef_tax_rep_yoy</v>
          </cell>
          <cell r="O109">
            <v>0</v>
          </cell>
          <cell r="P109">
            <v>0</v>
          </cell>
          <cell r="Q109">
            <v>0.01</v>
          </cell>
          <cell r="R109" t="str">
            <v>E</v>
          </cell>
          <cell r="S109">
            <v>2</v>
          </cell>
          <cell r="T109" t="str">
            <v>null</v>
          </cell>
          <cell r="U109">
            <v>2</v>
          </cell>
          <cell r="V109">
            <v>0</v>
          </cell>
          <cell r="W109">
            <v>0</v>
          </cell>
          <cell r="X109">
            <v>0</v>
          </cell>
          <cell r="Y109">
            <v>0</v>
          </cell>
          <cell r="Z109">
            <v>0</v>
          </cell>
          <cell r="AA109">
            <v>488</v>
          </cell>
          <cell r="AB109" t="str">
            <v>Fundamental data p&amp;L</v>
          </cell>
          <cell r="AC109">
            <v>98</v>
          </cell>
          <cell r="AD109">
            <v>0</v>
          </cell>
          <cell r="AE109">
            <v>0</v>
          </cell>
          <cell r="AF109">
            <v>0</v>
          </cell>
          <cell r="AG109">
            <v>0</v>
          </cell>
          <cell r="AH109">
            <v>0</v>
          </cell>
          <cell r="AI109">
            <v>0</v>
          </cell>
          <cell r="AJ109">
            <v>0</v>
          </cell>
          <cell r="AK109">
            <v>0</v>
          </cell>
          <cell r="AL109">
            <v>0</v>
          </cell>
          <cell r="AM109">
            <v>0</v>
          </cell>
          <cell r="AN109" t="e">
            <v>#N/A</v>
          </cell>
          <cell r="AO109" t="e">
            <v>#N/A</v>
          </cell>
          <cell r="AP109" t="e">
            <v>#N/A</v>
          </cell>
          <cell r="AQ109" t="e">
            <v>#N/A</v>
          </cell>
          <cell r="AR109" t="e">
            <v>#N/A</v>
          </cell>
          <cell r="AS109" t="e">
            <v>#N/A</v>
          </cell>
          <cell r="AT109" t="e">
            <v>#N/A</v>
          </cell>
          <cell r="AU109" t="e">
            <v>#N/A</v>
          </cell>
          <cell r="AV109" t="e">
            <v>#N/A</v>
          </cell>
        </row>
        <row r="110">
          <cell r="A110">
            <v>50</v>
          </cell>
          <cell r="B110" t="str">
            <v>2fd_prof_bef_tax_adj_yoy</v>
          </cell>
          <cell r="C110" t="str">
            <v>Profit before tax growth y-o-y</v>
          </cell>
          <cell r="D110" t="str">
            <v>(%)</v>
          </cell>
          <cell r="E110">
            <v>0</v>
          </cell>
          <cell r="F110">
            <v>0</v>
          </cell>
          <cell r="G110">
            <v>0</v>
          </cell>
          <cell r="H110">
            <v>0</v>
          </cell>
          <cell r="I110">
            <v>0</v>
          </cell>
          <cell r="J110">
            <v>0</v>
          </cell>
          <cell r="K110">
            <v>0</v>
          </cell>
          <cell r="L110">
            <v>0</v>
          </cell>
          <cell r="M110">
            <v>0</v>
          </cell>
          <cell r="N110" t="str">
            <v>fd_prof_bef_tax_adj_yoy</v>
          </cell>
          <cell r="O110">
            <v>0</v>
          </cell>
          <cell r="P110">
            <v>0</v>
          </cell>
          <cell r="Q110">
            <v>0.01</v>
          </cell>
          <cell r="R110" t="str">
            <v>E</v>
          </cell>
          <cell r="S110">
            <v>2</v>
          </cell>
          <cell r="T110" t="str">
            <v>null</v>
          </cell>
          <cell r="U110">
            <v>2</v>
          </cell>
          <cell r="V110" t="str">
            <v>US</v>
          </cell>
          <cell r="W110">
            <v>0</v>
          </cell>
          <cell r="X110">
            <v>0</v>
          </cell>
          <cell r="Y110">
            <v>0</v>
          </cell>
          <cell r="Z110">
            <v>0</v>
          </cell>
          <cell r="AA110">
            <v>489</v>
          </cell>
          <cell r="AB110" t="str">
            <v>Fundamental data p&amp;L</v>
          </cell>
          <cell r="AC110">
            <v>99</v>
          </cell>
          <cell r="AD110">
            <v>0</v>
          </cell>
          <cell r="AE110">
            <v>0</v>
          </cell>
          <cell r="AF110">
            <v>0</v>
          </cell>
          <cell r="AG110">
            <v>0</v>
          </cell>
          <cell r="AH110">
            <v>0</v>
          </cell>
          <cell r="AI110">
            <v>0</v>
          </cell>
          <cell r="AJ110">
            <v>0</v>
          </cell>
          <cell r="AK110">
            <v>0</v>
          </cell>
          <cell r="AL110">
            <v>0</v>
          </cell>
          <cell r="AM110">
            <v>0</v>
          </cell>
          <cell r="AN110">
            <v>50</v>
          </cell>
          <cell r="AO110" t="str">
            <v>Profit before Tax (adjusted) growth y-o-y</v>
          </cell>
          <cell r="AP110" t="str">
            <v>%</v>
          </cell>
          <cell r="AQ110">
            <v>0</v>
          </cell>
          <cell r="AR110">
            <v>0</v>
          </cell>
          <cell r="AS110" t="str">
            <v>standard y-o-y growth calc on 48</v>
          </cell>
          <cell r="AT110">
            <v>0</v>
          </cell>
          <cell r="AU110" t="e">
            <v>#VALUE!</v>
          </cell>
          <cell r="AV110" t="e">
            <v>#VALUE!</v>
          </cell>
        </row>
        <row r="111">
          <cell r="A111">
            <v>50.2</v>
          </cell>
          <cell r="B111" t="str">
            <v>2fd_prof_bef_tax_adj_yoy</v>
          </cell>
          <cell r="C111" t="str">
            <v>Profit before tax (adjusted) growth y-o-y</v>
          </cell>
          <cell r="D111" t="str">
            <v>(%)</v>
          </cell>
          <cell r="E111">
            <v>0</v>
          </cell>
          <cell r="F111">
            <v>0</v>
          </cell>
          <cell r="G111">
            <v>0</v>
          </cell>
          <cell r="H111">
            <v>0</v>
          </cell>
          <cell r="I111">
            <v>0</v>
          </cell>
          <cell r="J111">
            <v>0</v>
          </cell>
          <cell r="K111">
            <v>0</v>
          </cell>
          <cell r="L111">
            <v>0</v>
          </cell>
          <cell r="M111">
            <v>0</v>
          </cell>
          <cell r="N111" t="str">
            <v>fd_prof_bef_tax_adj_yoy</v>
          </cell>
          <cell r="O111">
            <v>0</v>
          </cell>
          <cell r="P111">
            <v>0</v>
          </cell>
          <cell r="Q111">
            <v>0.01</v>
          </cell>
          <cell r="R111" t="str">
            <v>E</v>
          </cell>
          <cell r="S111">
            <v>2</v>
          </cell>
          <cell r="T111" t="str">
            <v>null</v>
          </cell>
          <cell r="U111">
            <v>2</v>
          </cell>
          <cell r="V111" t="str">
            <v>US</v>
          </cell>
          <cell r="W111">
            <v>0</v>
          </cell>
          <cell r="X111">
            <v>0</v>
          </cell>
          <cell r="Y111">
            <v>0</v>
          </cell>
          <cell r="Z111">
            <v>0</v>
          </cell>
          <cell r="AA111">
            <v>484</v>
          </cell>
          <cell r="AB111" t="str">
            <v>Fundamental data p&amp;L</v>
          </cell>
          <cell r="AC111">
            <v>100</v>
          </cell>
          <cell r="AD111">
            <v>0</v>
          </cell>
          <cell r="AE111">
            <v>0</v>
          </cell>
          <cell r="AF111">
            <v>0</v>
          </cell>
          <cell r="AG111">
            <v>0</v>
          </cell>
          <cell r="AH111">
            <v>0</v>
          </cell>
          <cell r="AI111">
            <v>0</v>
          </cell>
          <cell r="AJ111">
            <v>0</v>
          </cell>
          <cell r="AK111">
            <v>0</v>
          </cell>
          <cell r="AL111">
            <v>0</v>
          </cell>
          <cell r="AM111">
            <v>0</v>
          </cell>
          <cell r="AN111" t="e">
            <v>#N/A</v>
          </cell>
          <cell r="AO111" t="e">
            <v>#N/A</v>
          </cell>
          <cell r="AP111" t="e">
            <v>#N/A</v>
          </cell>
          <cell r="AQ111" t="e">
            <v>#N/A</v>
          </cell>
          <cell r="AR111" t="e">
            <v>#N/A</v>
          </cell>
          <cell r="AS111" t="e">
            <v>#N/A</v>
          </cell>
          <cell r="AT111" t="e">
            <v>#N/A</v>
          </cell>
          <cell r="AU111" t="e">
            <v>#N/A</v>
          </cell>
          <cell r="AV111" t="e">
            <v>#N/A</v>
          </cell>
        </row>
        <row r="112">
          <cell r="A112">
            <v>431</v>
          </cell>
          <cell r="B112" t="str">
            <v>1fd_prof_bef_tax_pre_frs</v>
          </cell>
          <cell r="C112" t="str">
            <v>Profit before tax (pre FRS3 &amp; exceptionals)</v>
          </cell>
          <cell r="D112" t="str">
            <v>(m)</v>
          </cell>
          <cell r="E112">
            <v>0</v>
          </cell>
          <cell r="F112">
            <v>0</v>
          </cell>
          <cell r="G112">
            <v>0</v>
          </cell>
          <cell r="H112">
            <v>0</v>
          </cell>
          <cell r="I112">
            <v>0</v>
          </cell>
          <cell r="J112">
            <v>0</v>
          </cell>
          <cell r="K112">
            <v>0</v>
          </cell>
          <cell r="L112">
            <v>0</v>
          </cell>
          <cell r="M112">
            <v>0</v>
          </cell>
          <cell r="N112" t="str">
            <v>fd_prof_bef_tax_pre_frs</v>
          </cell>
          <cell r="O112">
            <v>0</v>
          </cell>
          <cell r="P112">
            <v>0</v>
          </cell>
          <cell r="Q112">
            <v>1000000</v>
          </cell>
          <cell r="R112" t="str">
            <v>E</v>
          </cell>
          <cell r="S112">
            <v>2</v>
          </cell>
          <cell r="T112" t="str">
            <v>null</v>
          </cell>
          <cell r="U112">
            <v>1</v>
          </cell>
          <cell r="V112">
            <v>0</v>
          </cell>
          <cell r="W112">
            <v>0</v>
          </cell>
          <cell r="X112">
            <v>0</v>
          </cell>
          <cell r="Y112">
            <v>0</v>
          </cell>
          <cell r="Z112">
            <v>0</v>
          </cell>
          <cell r="AA112">
            <v>486</v>
          </cell>
          <cell r="AB112" t="str">
            <v>Fundamental data p&amp;L</v>
          </cell>
          <cell r="AC112">
            <v>101</v>
          </cell>
          <cell r="AD112">
            <v>0</v>
          </cell>
          <cell r="AE112">
            <v>0</v>
          </cell>
          <cell r="AF112">
            <v>0</v>
          </cell>
          <cell r="AG112">
            <v>0</v>
          </cell>
          <cell r="AH112">
            <v>0</v>
          </cell>
          <cell r="AI112">
            <v>0</v>
          </cell>
          <cell r="AJ112">
            <v>0</v>
          </cell>
          <cell r="AK112">
            <v>0</v>
          </cell>
          <cell r="AL112">
            <v>0</v>
          </cell>
          <cell r="AM112">
            <v>0</v>
          </cell>
          <cell r="AN112" t="e">
            <v>#N/A</v>
          </cell>
          <cell r="AO112" t="e">
            <v>#N/A</v>
          </cell>
          <cell r="AP112" t="e">
            <v>#N/A</v>
          </cell>
          <cell r="AQ112" t="e">
            <v>#N/A</v>
          </cell>
          <cell r="AR112" t="e">
            <v>#N/A</v>
          </cell>
          <cell r="AS112" t="e">
            <v>#N/A</v>
          </cell>
          <cell r="AT112" t="e">
            <v>#N/A</v>
          </cell>
          <cell r="AU112" t="e">
            <v>#N/A</v>
          </cell>
          <cell r="AV112" t="e">
            <v>#N/A</v>
          </cell>
        </row>
        <row r="113">
          <cell r="A113">
            <v>432</v>
          </cell>
          <cell r="B113" t="str">
            <v>1fd_frs3_prof_and_excepts</v>
          </cell>
          <cell r="C113" t="str">
            <v>FRS3 profits &amp; exceptionals</v>
          </cell>
          <cell r="D113" t="str">
            <v>(m)</v>
          </cell>
          <cell r="E113">
            <v>0</v>
          </cell>
          <cell r="F113">
            <v>0</v>
          </cell>
          <cell r="G113">
            <v>0</v>
          </cell>
          <cell r="H113">
            <v>0</v>
          </cell>
          <cell r="I113">
            <v>0</v>
          </cell>
          <cell r="J113">
            <v>0</v>
          </cell>
          <cell r="K113">
            <v>0</v>
          </cell>
          <cell r="L113">
            <v>0</v>
          </cell>
          <cell r="M113">
            <v>0</v>
          </cell>
          <cell r="N113" t="str">
            <v>fd_frs3_prof_and_excepts</v>
          </cell>
          <cell r="O113">
            <v>0</v>
          </cell>
          <cell r="P113">
            <v>0</v>
          </cell>
          <cell r="Q113">
            <v>1000000</v>
          </cell>
          <cell r="R113" t="str">
            <v>E</v>
          </cell>
          <cell r="S113">
            <v>2</v>
          </cell>
          <cell r="T113" t="str">
            <v>null</v>
          </cell>
          <cell r="U113">
            <v>1</v>
          </cell>
          <cell r="V113">
            <v>0</v>
          </cell>
          <cell r="W113">
            <v>0</v>
          </cell>
          <cell r="X113">
            <v>0</v>
          </cell>
          <cell r="Y113">
            <v>0</v>
          </cell>
          <cell r="Z113">
            <v>0</v>
          </cell>
          <cell r="AA113">
            <v>256</v>
          </cell>
          <cell r="AB113" t="str">
            <v>Fundamental data p&amp;L</v>
          </cell>
          <cell r="AC113">
            <v>102</v>
          </cell>
          <cell r="AD113">
            <v>0</v>
          </cell>
          <cell r="AE113">
            <v>0</v>
          </cell>
          <cell r="AF113">
            <v>0</v>
          </cell>
          <cell r="AG113">
            <v>0</v>
          </cell>
          <cell r="AH113">
            <v>0</v>
          </cell>
          <cell r="AI113">
            <v>0</v>
          </cell>
          <cell r="AJ113">
            <v>0</v>
          </cell>
          <cell r="AK113">
            <v>0</v>
          </cell>
          <cell r="AL113">
            <v>0</v>
          </cell>
          <cell r="AM113">
            <v>0</v>
          </cell>
          <cell r="AN113" t="e">
            <v>#N/A</v>
          </cell>
          <cell r="AO113" t="e">
            <v>#N/A</v>
          </cell>
          <cell r="AP113" t="e">
            <v>#N/A</v>
          </cell>
          <cell r="AQ113" t="e">
            <v>#N/A</v>
          </cell>
          <cell r="AR113" t="e">
            <v>#N/A</v>
          </cell>
          <cell r="AS113" t="e">
            <v>#N/A</v>
          </cell>
          <cell r="AT113" t="e">
            <v>#N/A</v>
          </cell>
          <cell r="AU113" t="e">
            <v>#N/A</v>
          </cell>
          <cell r="AV113" t="e">
            <v>#N/A</v>
          </cell>
        </row>
        <row r="114">
          <cell r="A114">
            <v>51</v>
          </cell>
          <cell r="B114" t="str">
            <v>2fd_mrkt_con_prof_bef_tax</v>
          </cell>
          <cell r="C114" t="str">
            <v>Market consensus profit before tax</v>
          </cell>
          <cell r="D114" t="str">
            <v>(m)</v>
          </cell>
          <cell r="E114">
            <v>0</v>
          </cell>
          <cell r="F114">
            <v>0</v>
          </cell>
          <cell r="G114">
            <v>0</v>
          </cell>
          <cell r="H114">
            <v>0</v>
          </cell>
          <cell r="I114">
            <v>0</v>
          </cell>
          <cell r="J114">
            <v>0</v>
          </cell>
          <cell r="K114">
            <v>0</v>
          </cell>
          <cell r="L114">
            <v>0</v>
          </cell>
          <cell r="M114">
            <v>0</v>
          </cell>
          <cell r="N114" t="str">
            <v>fd_mrkt_con_prof_bef_tax</v>
          </cell>
          <cell r="O114">
            <v>0</v>
          </cell>
          <cell r="P114">
            <v>0</v>
          </cell>
          <cell r="Q114">
            <v>1000000</v>
          </cell>
          <cell r="R114" t="str">
            <v>E</v>
          </cell>
          <cell r="S114">
            <v>2</v>
          </cell>
          <cell r="T114" t="str">
            <v>null</v>
          </cell>
          <cell r="U114">
            <v>2</v>
          </cell>
          <cell r="V114">
            <v>0</v>
          </cell>
          <cell r="W114">
            <v>0</v>
          </cell>
          <cell r="X114">
            <v>0</v>
          </cell>
          <cell r="Y114">
            <v>0</v>
          </cell>
          <cell r="Z114">
            <v>0</v>
          </cell>
          <cell r="AA114">
            <v>336</v>
          </cell>
          <cell r="AB114" t="str">
            <v>Fundamental data p&amp;L</v>
          </cell>
          <cell r="AC114">
            <v>103</v>
          </cell>
          <cell r="AD114">
            <v>0</v>
          </cell>
          <cell r="AE114">
            <v>0</v>
          </cell>
          <cell r="AF114">
            <v>0</v>
          </cell>
          <cell r="AG114">
            <v>0</v>
          </cell>
          <cell r="AH114">
            <v>0</v>
          </cell>
          <cell r="AI114">
            <v>0</v>
          </cell>
          <cell r="AJ114">
            <v>0</v>
          </cell>
          <cell r="AK114">
            <v>0</v>
          </cell>
          <cell r="AL114">
            <v>0</v>
          </cell>
          <cell r="AM114">
            <v>0</v>
          </cell>
          <cell r="AN114">
            <v>51</v>
          </cell>
          <cell r="AO114" t="str">
            <v>Market consensus Profit before Tax</v>
          </cell>
          <cell r="AP114" t="str">
            <v>m</v>
          </cell>
          <cell r="AQ114">
            <v>0</v>
          </cell>
          <cell r="AR114" t="str">
            <v>market data feed</v>
          </cell>
          <cell r="AS114">
            <v>0</v>
          </cell>
          <cell r="AT114">
            <v>0</v>
          </cell>
          <cell r="AU114" t="e">
            <v>#VALUE!</v>
          </cell>
          <cell r="AV114" t="e">
            <v>#VALUE!</v>
          </cell>
        </row>
        <row r="115">
          <cell r="A115">
            <v>53</v>
          </cell>
          <cell r="B115" t="str">
            <v>1fd_total_tax</v>
          </cell>
          <cell r="C115" t="str">
            <v>Total tax</v>
          </cell>
          <cell r="D115" t="str">
            <v>(m)</v>
          </cell>
          <cell r="E115">
            <v>0</v>
          </cell>
          <cell r="F115">
            <v>0</v>
          </cell>
          <cell r="G115">
            <v>0</v>
          </cell>
          <cell r="H115">
            <v>0</v>
          </cell>
          <cell r="I115">
            <v>0</v>
          </cell>
          <cell r="J115">
            <v>0</v>
          </cell>
          <cell r="K115">
            <v>0</v>
          </cell>
          <cell r="L115">
            <v>0</v>
          </cell>
          <cell r="M115">
            <v>0</v>
          </cell>
          <cell r="N115" t="str">
            <v>fd_total_tax</v>
          </cell>
          <cell r="O115">
            <v>0</v>
          </cell>
          <cell r="P115">
            <v>0</v>
          </cell>
          <cell r="Q115">
            <v>1000000</v>
          </cell>
          <cell r="R115" t="str">
            <v>E</v>
          </cell>
          <cell r="S115">
            <v>2</v>
          </cell>
          <cell r="T115" t="str">
            <v>null</v>
          </cell>
          <cell r="U115">
            <v>1</v>
          </cell>
          <cell r="V115">
            <v>0</v>
          </cell>
          <cell r="W115">
            <v>0</v>
          </cell>
          <cell r="X115">
            <v>0</v>
          </cell>
          <cell r="Y115">
            <v>0</v>
          </cell>
          <cell r="Z115">
            <v>0</v>
          </cell>
          <cell r="AA115">
            <v>570</v>
          </cell>
          <cell r="AB115" t="str">
            <v>Fundamental data p&amp;L</v>
          </cell>
          <cell r="AC115">
            <v>106</v>
          </cell>
          <cell r="AD115">
            <v>0</v>
          </cell>
          <cell r="AE115">
            <v>0</v>
          </cell>
          <cell r="AF115">
            <v>0</v>
          </cell>
          <cell r="AG115">
            <v>0</v>
          </cell>
          <cell r="AH115">
            <v>0</v>
          </cell>
          <cell r="AI115">
            <v>0</v>
          </cell>
          <cell r="AJ115">
            <v>0</v>
          </cell>
          <cell r="AK115">
            <v>0</v>
          </cell>
          <cell r="AL115">
            <v>0</v>
          </cell>
          <cell r="AM115">
            <v>0</v>
          </cell>
          <cell r="AN115">
            <v>53</v>
          </cell>
          <cell r="AO115" t="str">
            <v>Total tax</v>
          </cell>
          <cell r="AP115" t="str">
            <v>m</v>
          </cell>
          <cell r="AQ115">
            <v>0</v>
          </cell>
          <cell r="AR115">
            <v>0</v>
          </cell>
          <cell r="AS115">
            <v>0</v>
          </cell>
          <cell r="AT115">
            <v>0</v>
          </cell>
          <cell r="AU115" t="e">
            <v>#VALUE!</v>
          </cell>
          <cell r="AV115" t="e">
            <v>#VALUE!</v>
          </cell>
        </row>
        <row r="116">
          <cell r="A116">
            <v>54</v>
          </cell>
          <cell r="B116" t="str">
            <v>1fd_effective_tax_rate</v>
          </cell>
          <cell r="C116" t="str">
            <v>Effective tax rate</v>
          </cell>
          <cell r="D116" t="str">
            <v>(%)</v>
          </cell>
          <cell r="E116">
            <v>0</v>
          </cell>
          <cell r="F116">
            <v>0</v>
          </cell>
          <cell r="G116">
            <v>0</v>
          </cell>
          <cell r="H116">
            <v>0</v>
          </cell>
          <cell r="I116">
            <v>0</v>
          </cell>
          <cell r="J116">
            <v>0</v>
          </cell>
          <cell r="K116">
            <v>0</v>
          </cell>
          <cell r="L116">
            <v>0</v>
          </cell>
          <cell r="M116">
            <v>0</v>
          </cell>
          <cell r="N116" t="str">
            <v>fd_effective_tax_rate</v>
          </cell>
          <cell r="O116">
            <v>0</v>
          </cell>
          <cell r="P116">
            <v>0</v>
          </cell>
          <cell r="Q116">
            <v>0.01</v>
          </cell>
          <cell r="R116" t="str">
            <v>E</v>
          </cell>
          <cell r="S116">
            <v>2</v>
          </cell>
          <cell r="T116" t="str">
            <v>null</v>
          </cell>
          <cell r="U116">
            <v>1</v>
          </cell>
          <cell r="V116">
            <v>0</v>
          </cell>
          <cell r="W116">
            <v>0</v>
          </cell>
          <cell r="X116">
            <v>0</v>
          </cell>
          <cell r="Y116">
            <v>0</v>
          </cell>
          <cell r="Z116">
            <v>0</v>
          </cell>
          <cell r="AA116">
            <v>183</v>
          </cell>
          <cell r="AB116" t="str">
            <v>Fundamental data p&amp;L</v>
          </cell>
          <cell r="AC116">
            <v>107</v>
          </cell>
          <cell r="AD116">
            <v>0</v>
          </cell>
          <cell r="AE116">
            <v>0</v>
          </cell>
          <cell r="AF116">
            <v>0</v>
          </cell>
          <cell r="AG116">
            <v>0</v>
          </cell>
          <cell r="AH116">
            <v>0</v>
          </cell>
          <cell r="AI116">
            <v>0</v>
          </cell>
          <cell r="AJ116">
            <v>0</v>
          </cell>
          <cell r="AK116">
            <v>0</v>
          </cell>
          <cell r="AL116">
            <v>0</v>
          </cell>
          <cell r="AM116">
            <v>0</v>
          </cell>
          <cell r="AN116">
            <v>54</v>
          </cell>
          <cell r="AO116" t="str">
            <v>Effective Tax rate %*</v>
          </cell>
          <cell r="AP116" t="str">
            <v>%</v>
          </cell>
          <cell r="AQ116" t="str">
            <v>Operating Tax Rate, Tax Rate, Operating Tax Rate - achieved</v>
          </cell>
          <cell r="AR116">
            <v>0</v>
          </cell>
          <cell r="AS116">
            <v>0</v>
          </cell>
          <cell r="AT116">
            <v>0</v>
          </cell>
          <cell r="AU116" t="e">
            <v>#VALUE!</v>
          </cell>
          <cell r="AV116" t="e">
            <v>#VALUE!</v>
          </cell>
        </row>
        <row r="117">
          <cell r="A117">
            <v>55</v>
          </cell>
          <cell r="B117" t="str">
            <v>1fd_ebida</v>
          </cell>
          <cell r="C117" t="str">
            <v>EBIDA</v>
          </cell>
          <cell r="D117" t="str">
            <v>(m)</v>
          </cell>
          <cell r="E117">
            <v>0</v>
          </cell>
          <cell r="F117">
            <v>0</v>
          </cell>
          <cell r="G117">
            <v>0</v>
          </cell>
          <cell r="H117">
            <v>0</v>
          </cell>
          <cell r="I117">
            <v>0</v>
          </cell>
          <cell r="J117">
            <v>0</v>
          </cell>
          <cell r="K117">
            <v>0</v>
          </cell>
          <cell r="L117">
            <v>0</v>
          </cell>
          <cell r="M117">
            <v>0</v>
          </cell>
          <cell r="N117" t="str">
            <v>fd_ebida</v>
          </cell>
          <cell r="O117">
            <v>0</v>
          </cell>
          <cell r="P117">
            <v>0</v>
          </cell>
          <cell r="Q117">
            <v>1000000</v>
          </cell>
          <cell r="R117" t="str">
            <v>E</v>
          </cell>
          <cell r="S117">
            <v>2</v>
          </cell>
          <cell r="T117" t="str">
            <v>null</v>
          </cell>
          <cell r="U117">
            <v>1</v>
          </cell>
          <cell r="V117">
            <v>0</v>
          </cell>
          <cell r="W117">
            <v>0</v>
          </cell>
          <cell r="X117">
            <v>0</v>
          </cell>
          <cell r="Y117">
            <v>0</v>
          </cell>
          <cell r="Z117">
            <v>0</v>
          </cell>
          <cell r="AA117">
            <v>165</v>
          </cell>
          <cell r="AB117" t="str">
            <v>Fundamental data p&amp;L</v>
          </cell>
          <cell r="AC117">
            <v>108</v>
          </cell>
          <cell r="AD117">
            <v>0</v>
          </cell>
          <cell r="AE117">
            <v>0</v>
          </cell>
          <cell r="AF117">
            <v>0</v>
          </cell>
          <cell r="AG117">
            <v>0</v>
          </cell>
          <cell r="AH117">
            <v>0</v>
          </cell>
          <cell r="AI117">
            <v>0</v>
          </cell>
          <cell r="AJ117">
            <v>0</v>
          </cell>
          <cell r="AK117">
            <v>0</v>
          </cell>
          <cell r="AL117">
            <v>0</v>
          </cell>
          <cell r="AM117">
            <v>0</v>
          </cell>
          <cell r="AN117">
            <v>55</v>
          </cell>
          <cell r="AO117" t="str">
            <v>EBIDA</v>
          </cell>
          <cell r="AP117" t="str">
            <v>m</v>
          </cell>
          <cell r="AQ117">
            <v>0</v>
          </cell>
          <cell r="AR117">
            <v>0</v>
          </cell>
          <cell r="AS117">
            <v>0</v>
          </cell>
          <cell r="AT117">
            <v>0</v>
          </cell>
          <cell r="AU117" t="e">
            <v>#VALUE!</v>
          </cell>
          <cell r="AV117" t="e">
            <v>#VALUE!</v>
          </cell>
        </row>
        <row r="118">
          <cell r="A118">
            <v>56</v>
          </cell>
          <cell r="B118" t="str">
            <v>1fd_associates_after_tax</v>
          </cell>
          <cell r="C118" t="str">
            <v>Results from associates and or JVs (after tax)</v>
          </cell>
          <cell r="D118" t="str">
            <v>(m)</v>
          </cell>
          <cell r="E118">
            <v>0</v>
          </cell>
          <cell r="F118">
            <v>0</v>
          </cell>
          <cell r="G118">
            <v>0</v>
          </cell>
          <cell r="H118">
            <v>0</v>
          </cell>
          <cell r="I118">
            <v>0</v>
          </cell>
          <cell r="J118">
            <v>0</v>
          </cell>
          <cell r="K118">
            <v>0</v>
          </cell>
          <cell r="L118">
            <v>0</v>
          </cell>
          <cell r="M118">
            <v>0</v>
          </cell>
          <cell r="N118" t="str">
            <v>fd_associates_after_tax</v>
          </cell>
          <cell r="O118">
            <v>0</v>
          </cell>
          <cell r="P118">
            <v>0</v>
          </cell>
          <cell r="Q118">
            <v>1000000</v>
          </cell>
          <cell r="R118" t="str">
            <v>E</v>
          </cell>
          <cell r="S118">
            <v>2</v>
          </cell>
          <cell r="T118" t="str">
            <v>null</v>
          </cell>
          <cell r="U118">
            <v>1</v>
          </cell>
          <cell r="V118">
            <v>0</v>
          </cell>
          <cell r="W118">
            <v>0</v>
          </cell>
          <cell r="X118">
            <v>0</v>
          </cell>
          <cell r="Y118">
            <v>0</v>
          </cell>
          <cell r="Z118">
            <v>0</v>
          </cell>
          <cell r="AA118">
            <v>23</v>
          </cell>
          <cell r="AB118" t="str">
            <v>Fundamental data p&amp;L</v>
          </cell>
          <cell r="AC118">
            <v>109</v>
          </cell>
          <cell r="AD118">
            <v>0</v>
          </cell>
          <cell r="AE118">
            <v>0</v>
          </cell>
          <cell r="AF118">
            <v>0</v>
          </cell>
          <cell r="AG118">
            <v>0</v>
          </cell>
          <cell r="AH118">
            <v>0</v>
          </cell>
          <cell r="AI118">
            <v>0</v>
          </cell>
          <cell r="AJ118">
            <v>0</v>
          </cell>
          <cell r="AK118">
            <v>0</v>
          </cell>
          <cell r="AL118">
            <v>0</v>
          </cell>
          <cell r="AM118">
            <v>0</v>
          </cell>
          <cell r="AN118">
            <v>56</v>
          </cell>
          <cell r="AO118" t="str">
            <v>Associates (if after tax)</v>
          </cell>
          <cell r="AP118" t="str">
            <v>m</v>
          </cell>
          <cell r="AQ118">
            <v>0</v>
          </cell>
          <cell r="AR118">
            <v>0</v>
          </cell>
          <cell r="AS118">
            <v>0</v>
          </cell>
          <cell r="AT118">
            <v>0</v>
          </cell>
          <cell r="AU118" t="e">
            <v>#VALUE!</v>
          </cell>
          <cell r="AV118" t="e">
            <v>#VALUE!</v>
          </cell>
        </row>
        <row r="119">
          <cell r="A119">
            <v>57</v>
          </cell>
          <cell r="B119" t="str">
            <v>1fd_minorities</v>
          </cell>
          <cell r="C119" t="str">
            <v>Minorities</v>
          </cell>
          <cell r="D119" t="str">
            <v>(m)</v>
          </cell>
          <cell r="E119">
            <v>0</v>
          </cell>
          <cell r="F119">
            <v>0</v>
          </cell>
          <cell r="G119">
            <v>0</v>
          </cell>
          <cell r="H119">
            <v>0</v>
          </cell>
          <cell r="I119">
            <v>0</v>
          </cell>
          <cell r="J119">
            <v>0</v>
          </cell>
          <cell r="K119">
            <v>0</v>
          </cell>
          <cell r="L119">
            <v>0</v>
          </cell>
          <cell r="M119">
            <v>0</v>
          </cell>
          <cell r="N119" t="str">
            <v>fd_minorities</v>
          </cell>
          <cell r="O119">
            <v>0</v>
          </cell>
          <cell r="P119">
            <v>0</v>
          </cell>
          <cell r="Q119">
            <v>1000000</v>
          </cell>
          <cell r="R119" t="str">
            <v>E</v>
          </cell>
          <cell r="S119">
            <v>2</v>
          </cell>
          <cell r="T119" t="str">
            <v>null</v>
          </cell>
          <cell r="U119">
            <v>1</v>
          </cell>
          <cell r="V119">
            <v>0</v>
          </cell>
          <cell r="W119">
            <v>0</v>
          </cell>
          <cell r="X119">
            <v>0</v>
          </cell>
          <cell r="Y119">
            <v>0</v>
          </cell>
          <cell r="Z119">
            <v>0</v>
          </cell>
          <cell r="AA119">
            <v>339</v>
          </cell>
          <cell r="AB119" t="str">
            <v>Fundamental data p&amp;L</v>
          </cell>
          <cell r="AC119">
            <v>110</v>
          </cell>
          <cell r="AD119">
            <v>0</v>
          </cell>
          <cell r="AE119">
            <v>0</v>
          </cell>
          <cell r="AF119">
            <v>0</v>
          </cell>
          <cell r="AG119">
            <v>0</v>
          </cell>
          <cell r="AH119">
            <v>0</v>
          </cell>
          <cell r="AI119">
            <v>0</v>
          </cell>
          <cell r="AJ119">
            <v>0</v>
          </cell>
          <cell r="AK119">
            <v>0</v>
          </cell>
          <cell r="AL119">
            <v>0</v>
          </cell>
          <cell r="AM119">
            <v>0</v>
          </cell>
          <cell r="AN119">
            <v>57</v>
          </cell>
          <cell r="AO119" t="str">
            <v>Minorities</v>
          </cell>
          <cell r="AP119" t="str">
            <v>m</v>
          </cell>
          <cell r="AQ119">
            <v>0</v>
          </cell>
          <cell r="AR119">
            <v>0</v>
          </cell>
          <cell r="AS119">
            <v>0</v>
          </cell>
          <cell r="AT119">
            <v>0</v>
          </cell>
          <cell r="AU119" t="e">
            <v>#VALUE!</v>
          </cell>
          <cell r="AV119" t="e">
            <v>#VALUE!</v>
          </cell>
        </row>
        <row r="120">
          <cell r="A120">
            <v>58</v>
          </cell>
          <cell r="B120" t="str">
            <v>1fd_net_income_adj</v>
          </cell>
          <cell r="C120" t="str">
            <v>Earnings (adjusted)</v>
          </cell>
          <cell r="D120" t="str">
            <v>(m)</v>
          </cell>
          <cell r="E120">
            <v>0</v>
          </cell>
          <cell r="F120">
            <v>0</v>
          </cell>
          <cell r="G120">
            <v>0</v>
          </cell>
          <cell r="H120">
            <v>0</v>
          </cell>
          <cell r="I120">
            <v>0</v>
          </cell>
          <cell r="J120">
            <v>0</v>
          </cell>
          <cell r="K120">
            <v>0</v>
          </cell>
          <cell r="L120">
            <v>0</v>
          </cell>
          <cell r="M120">
            <v>0</v>
          </cell>
          <cell r="N120" t="str">
            <v>fd_net_income_adj</v>
          </cell>
          <cell r="O120">
            <v>0</v>
          </cell>
          <cell r="P120">
            <v>0</v>
          </cell>
          <cell r="Q120">
            <v>1000000</v>
          </cell>
          <cell r="R120" t="str">
            <v>E</v>
          </cell>
          <cell r="S120">
            <v>2</v>
          </cell>
          <cell r="T120" t="str">
            <v>null</v>
          </cell>
          <cell r="U120">
            <v>1</v>
          </cell>
          <cell r="V120" t="str">
            <v>UK/US</v>
          </cell>
          <cell r="W120">
            <v>0</v>
          </cell>
          <cell r="X120">
            <v>0</v>
          </cell>
          <cell r="Y120">
            <v>0</v>
          </cell>
          <cell r="Z120">
            <v>0</v>
          </cell>
          <cell r="AA120">
            <v>160</v>
          </cell>
          <cell r="AB120" t="str">
            <v>Fundamental data p&amp;L</v>
          </cell>
          <cell r="AC120">
            <v>111</v>
          </cell>
          <cell r="AD120">
            <v>0</v>
          </cell>
          <cell r="AE120">
            <v>0</v>
          </cell>
          <cell r="AF120">
            <v>0</v>
          </cell>
          <cell r="AG120">
            <v>0</v>
          </cell>
          <cell r="AH120">
            <v>0</v>
          </cell>
          <cell r="AI120">
            <v>0</v>
          </cell>
          <cell r="AJ120">
            <v>0</v>
          </cell>
          <cell r="AK120">
            <v>0</v>
          </cell>
          <cell r="AL120">
            <v>0</v>
          </cell>
          <cell r="AM120">
            <v>0</v>
          </cell>
          <cell r="AN120">
            <v>58</v>
          </cell>
          <cell r="AO120" t="str">
            <v>Earnings (Adjusted)*</v>
          </cell>
          <cell r="AP120" t="str">
            <v>m</v>
          </cell>
          <cell r="AQ120" t="str">
            <v>Net income (adjusted), Net profit (adjusted)</v>
          </cell>
          <cell r="AR120">
            <v>0</v>
          </cell>
          <cell r="AS120">
            <v>0</v>
          </cell>
          <cell r="AT120">
            <v>0</v>
          </cell>
          <cell r="AU120" t="e">
            <v>#VALUE!</v>
          </cell>
          <cell r="AV120" t="e">
            <v>#VALUE!</v>
          </cell>
        </row>
        <row r="121">
          <cell r="A121">
            <v>58.4</v>
          </cell>
          <cell r="B121" t="str">
            <v>2fd_net_income_adj</v>
          </cell>
          <cell r="C121" t="str">
            <v>Earnings (adjusted)</v>
          </cell>
          <cell r="D121" t="str">
            <v>(m)</v>
          </cell>
          <cell r="E121">
            <v>0</v>
          </cell>
          <cell r="F121">
            <v>0</v>
          </cell>
          <cell r="G121">
            <v>0</v>
          </cell>
          <cell r="H121">
            <v>0</v>
          </cell>
          <cell r="I121">
            <v>0</v>
          </cell>
          <cell r="J121">
            <v>0</v>
          </cell>
          <cell r="K121">
            <v>0</v>
          </cell>
          <cell r="L121">
            <v>0</v>
          </cell>
          <cell r="M121">
            <v>0</v>
          </cell>
          <cell r="N121" t="str">
            <v>fd_net_income_adj</v>
          </cell>
          <cell r="O121">
            <v>0</v>
          </cell>
          <cell r="P121">
            <v>0</v>
          </cell>
          <cell r="Q121">
            <v>1000000</v>
          </cell>
          <cell r="R121" t="str">
            <v>E</v>
          </cell>
          <cell r="S121">
            <v>2</v>
          </cell>
          <cell r="T121" t="str">
            <v>null</v>
          </cell>
          <cell r="U121">
            <v>2</v>
          </cell>
          <cell r="V121" t="str">
            <v>UK/US</v>
          </cell>
          <cell r="W121">
            <v>0</v>
          </cell>
          <cell r="X121">
            <v>0</v>
          </cell>
          <cell r="Y121">
            <v>0</v>
          </cell>
          <cell r="Z121">
            <v>0</v>
          </cell>
          <cell r="AA121">
            <v>375</v>
          </cell>
          <cell r="AB121" t="str">
            <v>cashflowdata</v>
          </cell>
          <cell r="AC121">
            <v>230.1</v>
          </cell>
          <cell r="AD121">
            <v>0</v>
          </cell>
          <cell r="AE121">
            <v>0</v>
          </cell>
          <cell r="AF121">
            <v>0</v>
          </cell>
          <cell r="AG121">
            <v>0</v>
          </cell>
          <cell r="AH121">
            <v>0</v>
          </cell>
          <cell r="AI121">
            <v>0</v>
          </cell>
          <cell r="AJ121">
            <v>0</v>
          </cell>
          <cell r="AK121">
            <v>0</v>
          </cell>
          <cell r="AL121">
            <v>0</v>
          </cell>
          <cell r="AM121">
            <v>0</v>
          </cell>
          <cell r="AN121" t="e">
            <v>#N/A</v>
          </cell>
          <cell r="AO121" t="e">
            <v>#N/A</v>
          </cell>
          <cell r="AP121" t="e">
            <v>#N/A</v>
          </cell>
          <cell r="AQ121" t="e">
            <v>#N/A</v>
          </cell>
          <cell r="AR121" t="e">
            <v>#N/A</v>
          </cell>
          <cell r="AS121" t="e">
            <v>#N/A</v>
          </cell>
          <cell r="AT121" t="e">
            <v>#N/A</v>
          </cell>
          <cell r="AU121" t="e">
            <v>#N/A</v>
          </cell>
          <cell r="AV121" t="e">
            <v>#N/A</v>
          </cell>
        </row>
        <row r="122">
          <cell r="A122">
            <v>58.2</v>
          </cell>
          <cell r="B122" t="str">
            <v>1fd_net_income_adj</v>
          </cell>
          <cell r="C122" t="str">
            <v>Net income (adjusted)</v>
          </cell>
          <cell r="D122" t="str">
            <v>(m)</v>
          </cell>
          <cell r="E122">
            <v>0</v>
          </cell>
          <cell r="F122">
            <v>0</v>
          </cell>
          <cell r="G122">
            <v>0</v>
          </cell>
          <cell r="H122">
            <v>0</v>
          </cell>
          <cell r="I122">
            <v>0</v>
          </cell>
          <cell r="J122">
            <v>0</v>
          </cell>
          <cell r="K122">
            <v>0</v>
          </cell>
          <cell r="L122">
            <v>0</v>
          </cell>
          <cell r="M122">
            <v>0</v>
          </cell>
          <cell r="N122" t="str">
            <v>fd_net_income_adj</v>
          </cell>
          <cell r="O122">
            <v>0</v>
          </cell>
          <cell r="P122">
            <v>0</v>
          </cell>
          <cell r="Q122">
            <v>1000000</v>
          </cell>
          <cell r="R122" t="str">
            <v>E</v>
          </cell>
          <cell r="S122">
            <v>2</v>
          </cell>
          <cell r="T122" t="str">
            <v>null</v>
          </cell>
          <cell r="U122">
            <v>1</v>
          </cell>
          <cell r="V122" t="str">
            <v>UK/US</v>
          </cell>
          <cell r="W122">
            <v>0</v>
          </cell>
          <cell r="X122">
            <v>0</v>
          </cell>
          <cell r="Y122">
            <v>0</v>
          </cell>
          <cell r="Z122">
            <v>0</v>
          </cell>
          <cell r="AA122">
            <v>375</v>
          </cell>
          <cell r="AB122" t="str">
            <v>Fundamental data p&amp;L</v>
          </cell>
          <cell r="AC122">
            <v>112</v>
          </cell>
          <cell r="AD122">
            <v>0</v>
          </cell>
          <cell r="AE122">
            <v>0</v>
          </cell>
          <cell r="AF122">
            <v>0</v>
          </cell>
          <cell r="AG122">
            <v>0</v>
          </cell>
          <cell r="AH122">
            <v>0</v>
          </cell>
          <cell r="AI122">
            <v>0</v>
          </cell>
          <cell r="AJ122">
            <v>0</v>
          </cell>
          <cell r="AK122">
            <v>0</v>
          </cell>
          <cell r="AL122">
            <v>0</v>
          </cell>
          <cell r="AM122">
            <v>0</v>
          </cell>
          <cell r="AN122" t="e">
            <v>#N/A</v>
          </cell>
          <cell r="AO122" t="e">
            <v>#N/A</v>
          </cell>
          <cell r="AP122" t="e">
            <v>#N/A</v>
          </cell>
          <cell r="AQ122" t="e">
            <v>#N/A</v>
          </cell>
          <cell r="AR122" t="e">
            <v>#N/A</v>
          </cell>
          <cell r="AS122" t="e">
            <v>#N/A</v>
          </cell>
          <cell r="AT122" t="e">
            <v>#N/A</v>
          </cell>
          <cell r="AU122" t="e">
            <v>#N/A</v>
          </cell>
          <cell r="AV122" t="e">
            <v>#N/A</v>
          </cell>
        </row>
        <row r="123">
          <cell r="A123">
            <v>59</v>
          </cell>
          <cell r="B123" t="str">
            <v>2fd_net_income_adj_yoy</v>
          </cell>
          <cell r="C123" t="str">
            <v>Earnings (adjusted) growth y-o-y</v>
          </cell>
          <cell r="D123" t="str">
            <v>(%)</v>
          </cell>
          <cell r="E123">
            <v>0</v>
          </cell>
          <cell r="F123">
            <v>0</v>
          </cell>
          <cell r="G123">
            <v>0</v>
          </cell>
          <cell r="H123">
            <v>0</v>
          </cell>
          <cell r="I123">
            <v>0</v>
          </cell>
          <cell r="J123">
            <v>0</v>
          </cell>
          <cell r="K123">
            <v>0</v>
          </cell>
          <cell r="L123">
            <v>0</v>
          </cell>
          <cell r="M123">
            <v>0</v>
          </cell>
          <cell r="N123" t="str">
            <v>fd_net_income_adj_yoy</v>
          </cell>
          <cell r="O123">
            <v>0</v>
          </cell>
          <cell r="P123">
            <v>0</v>
          </cell>
          <cell r="Q123">
            <v>0.01</v>
          </cell>
          <cell r="R123" t="str">
            <v>E</v>
          </cell>
          <cell r="S123">
            <v>2</v>
          </cell>
          <cell r="T123" t="str">
            <v>null</v>
          </cell>
          <cell r="U123">
            <v>2</v>
          </cell>
          <cell r="V123" t="str">
            <v>UK/US</v>
          </cell>
          <cell r="W123">
            <v>0</v>
          </cell>
          <cell r="X123">
            <v>0</v>
          </cell>
          <cell r="Y123">
            <v>0</v>
          </cell>
          <cell r="Z123">
            <v>0</v>
          </cell>
          <cell r="AA123">
            <v>161</v>
          </cell>
          <cell r="AB123" t="str">
            <v>Fundamental data p&amp;L</v>
          </cell>
          <cell r="AC123">
            <v>113</v>
          </cell>
          <cell r="AD123">
            <v>0</v>
          </cell>
          <cell r="AE123">
            <v>0</v>
          </cell>
          <cell r="AF123">
            <v>0</v>
          </cell>
          <cell r="AG123">
            <v>0</v>
          </cell>
          <cell r="AH123">
            <v>0</v>
          </cell>
          <cell r="AI123">
            <v>0</v>
          </cell>
          <cell r="AJ123">
            <v>0</v>
          </cell>
          <cell r="AK123">
            <v>0</v>
          </cell>
          <cell r="AL123">
            <v>0</v>
          </cell>
          <cell r="AM123">
            <v>0</v>
          </cell>
          <cell r="AN123">
            <v>59</v>
          </cell>
          <cell r="AO123" t="str">
            <v>Earnings (adjusted) growth y-o-y*</v>
          </cell>
          <cell r="AP123" t="str">
            <v>%</v>
          </cell>
          <cell r="AQ123" t="str">
            <v>Net income growth, Net profit growth</v>
          </cell>
          <cell r="AR123">
            <v>0</v>
          </cell>
          <cell r="AS123" t="str">
            <v>standard y-o-y growth calc</v>
          </cell>
          <cell r="AT123">
            <v>0</v>
          </cell>
          <cell r="AU123" t="e">
            <v>#VALUE!</v>
          </cell>
          <cell r="AV123" t="e">
            <v>#VALUE!</v>
          </cell>
        </row>
        <row r="124">
          <cell r="A124">
            <v>59.2</v>
          </cell>
          <cell r="B124" t="str">
            <v>2fd_net_income_adj_yoy</v>
          </cell>
          <cell r="C124" t="str">
            <v>Net income (adjusted) growth y-o-y</v>
          </cell>
          <cell r="D124" t="str">
            <v>(%)</v>
          </cell>
          <cell r="E124">
            <v>0</v>
          </cell>
          <cell r="F124">
            <v>0</v>
          </cell>
          <cell r="G124">
            <v>0</v>
          </cell>
          <cell r="H124">
            <v>0</v>
          </cell>
          <cell r="I124">
            <v>0</v>
          </cell>
          <cell r="J124">
            <v>0</v>
          </cell>
          <cell r="K124">
            <v>0</v>
          </cell>
          <cell r="L124">
            <v>0</v>
          </cell>
          <cell r="M124">
            <v>0</v>
          </cell>
          <cell r="N124" t="str">
            <v>fd_net_income_adj_yoy</v>
          </cell>
          <cell r="O124">
            <v>0</v>
          </cell>
          <cell r="P124">
            <v>0</v>
          </cell>
          <cell r="Q124">
            <v>0.01</v>
          </cell>
          <cell r="R124" t="str">
            <v>E</v>
          </cell>
          <cell r="S124">
            <v>2</v>
          </cell>
          <cell r="T124" t="str">
            <v>null</v>
          </cell>
          <cell r="U124">
            <v>2</v>
          </cell>
          <cell r="V124" t="str">
            <v>UK/US</v>
          </cell>
          <cell r="W124">
            <v>0</v>
          </cell>
          <cell r="X124">
            <v>0</v>
          </cell>
          <cell r="Y124">
            <v>0</v>
          </cell>
          <cell r="Z124">
            <v>0</v>
          </cell>
          <cell r="AA124">
            <v>376</v>
          </cell>
          <cell r="AB124" t="str">
            <v>Fundamental data p&amp;L</v>
          </cell>
          <cell r="AC124">
            <v>114</v>
          </cell>
          <cell r="AD124">
            <v>0</v>
          </cell>
          <cell r="AE124">
            <v>0</v>
          </cell>
          <cell r="AF124">
            <v>0</v>
          </cell>
          <cell r="AG124">
            <v>0</v>
          </cell>
          <cell r="AH124">
            <v>0</v>
          </cell>
          <cell r="AI124">
            <v>0</v>
          </cell>
          <cell r="AJ124">
            <v>0</v>
          </cell>
          <cell r="AK124">
            <v>0</v>
          </cell>
          <cell r="AL124">
            <v>0</v>
          </cell>
          <cell r="AM124">
            <v>0</v>
          </cell>
          <cell r="AN124" t="e">
            <v>#N/A</v>
          </cell>
          <cell r="AO124" t="e">
            <v>#N/A</v>
          </cell>
          <cell r="AP124" t="e">
            <v>#N/A</v>
          </cell>
          <cell r="AQ124" t="e">
            <v>#N/A</v>
          </cell>
          <cell r="AR124" t="e">
            <v>#N/A</v>
          </cell>
          <cell r="AS124" t="e">
            <v>#N/A</v>
          </cell>
          <cell r="AT124" t="e">
            <v>#N/A</v>
          </cell>
          <cell r="AU124" t="e">
            <v>#N/A</v>
          </cell>
          <cell r="AV124" t="e">
            <v>#N/A</v>
          </cell>
        </row>
        <row r="125">
          <cell r="A125">
            <v>60</v>
          </cell>
          <cell r="B125" t="str">
            <v>1fd_net_income_reported</v>
          </cell>
          <cell r="C125" t="str">
            <v>Earnings (reported)</v>
          </cell>
          <cell r="D125" t="str">
            <v>(m)</v>
          </cell>
          <cell r="E125">
            <v>0</v>
          </cell>
          <cell r="F125">
            <v>0</v>
          </cell>
          <cell r="G125">
            <v>0</v>
          </cell>
          <cell r="H125">
            <v>0</v>
          </cell>
          <cell r="I125">
            <v>0</v>
          </cell>
          <cell r="J125">
            <v>0</v>
          </cell>
          <cell r="K125">
            <v>0</v>
          </cell>
          <cell r="L125">
            <v>0</v>
          </cell>
          <cell r="M125">
            <v>0</v>
          </cell>
          <cell r="N125" t="str">
            <v>fd_net_income_reported</v>
          </cell>
          <cell r="O125">
            <v>0</v>
          </cell>
          <cell r="P125">
            <v>0</v>
          </cell>
          <cell r="Q125">
            <v>1000000</v>
          </cell>
          <cell r="R125" t="str">
            <v>E</v>
          </cell>
          <cell r="S125">
            <v>2</v>
          </cell>
          <cell r="T125" t="str">
            <v>null</v>
          </cell>
          <cell r="U125">
            <v>1</v>
          </cell>
          <cell r="V125">
            <v>0</v>
          </cell>
          <cell r="W125">
            <v>0</v>
          </cell>
          <cell r="X125">
            <v>0</v>
          </cell>
          <cell r="Y125">
            <v>0</v>
          </cell>
          <cell r="Z125">
            <v>0</v>
          </cell>
          <cell r="AA125">
            <v>162</v>
          </cell>
          <cell r="AB125" t="str">
            <v>Fundamental data p&amp;L</v>
          </cell>
          <cell r="AC125">
            <v>115</v>
          </cell>
          <cell r="AD125">
            <v>0</v>
          </cell>
          <cell r="AE125">
            <v>0</v>
          </cell>
          <cell r="AF125">
            <v>0</v>
          </cell>
          <cell r="AG125">
            <v>0</v>
          </cell>
          <cell r="AH125">
            <v>0</v>
          </cell>
          <cell r="AI125">
            <v>0</v>
          </cell>
          <cell r="AJ125">
            <v>0</v>
          </cell>
          <cell r="AK125">
            <v>0</v>
          </cell>
          <cell r="AL125">
            <v>0</v>
          </cell>
          <cell r="AM125">
            <v>0</v>
          </cell>
          <cell r="AN125">
            <v>60</v>
          </cell>
          <cell r="AO125" t="str">
            <v>Earnings (reported)</v>
          </cell>
          <cell r="AP125" t="str">
            <v>m</v>
          </cell>
          <cell r="AQ125" t="str">
            <v>Net income (reported), Net profit (reported)</v>
          </cell>
          <cell r="AR125">
            <v>0</v>
          </cell>
          <cell r="AS125">
            <v>0</v>
          </cell>
          <cell r="AT125">
            <v>0</v>
          </cell>
          <cell r="AU125" t="e">
            <v>#VALUE!</v>
          </cell>
          <cell r="AV125" t="e">
            <v>#VALUE!</v>
          </cell>
        </row>
        <row r="126">
          <cell r="A126">
            <v>60.2</v>
          </cell>
          <cell r="B126" t="str">
            <v>1fd_net_income_reported</v>
          </cell>
          <cell r="C126" t="str">
            <v>Net income (reported)</v>
          </cell>
          <cell r="D126" t="str">
            <v>(m)</v>
          </cell>
          <cell r="E126">
            <v>0</v>
          </cell>
          <cell r="F126">
            <v>0</v>
          </cell>
          <cell r="G126">
            <v>0</v>
          </cell>
          <cell r="H126">
            <v>0</v>
          </cell>
          <cell r="I126">
            <v>0</v>
          </cell>
          <cell r="J126">
            <v>0</v>
          </cell>
          <cell r="K126">
            <v>0</v>
          </cell>
          <cell r="L126">
            <v>0</v>
          </cell>
          <cell r="M126">
            <v>0</v>
          </cell>
          <cell r="N126" t="str">
            <v>fd_net_income_reported</v>
          </cell>
          <cell r="O126">
            <v>0</v>
          </cell>
          <cell r="P126">
            <v>0</v>
          </cell>
          <cell r="Q126">
            <v>1000000</v>
          </cell>
          <cell r="R126" t="str">
            <v>E</v>
          </cell>
          <cell r="S126">
            <v>2</v>
          </cell>
          <cell r="T126" t="str">
            <v>null</v>
          </cell>
          <cell r="U126">
            <v>1</v>
          </cell>
          <cell r="V126">
            <v>0</v>
          </cell>
          <cell r="W126">
            <v>0</v>
          </cell>
          <cell r="X126">
            <v>0</v>
          </cell>
          <cell r="Y126">
            <v>0</v>
          </cell>
          <cell r="Z126">
            <v>0</v>
          </cell>
          <cell r="AA126">
            <v>377</v>
          </cell>
          <cell r="AB126" t="str">
            <v>Fundamental data p&amp;L</v>
          </cell>
          <cell r="AC126">
            <v>116</v>
          </cell>
          <cell r="AD126">
            <v>0</v>
          </cell>
          <cell r="AE126">
            <v>0</v>
          </cell>
          <cell r="AF126">
            <v>0</v>
          </cell>
          <cell r="AG126">
            <v>0</v>
          </cell>
          <cell r="AH126">
            <v>0</v>
          </cell>
          <cell r="AI126">
            <v>0</v>
          </cell>
          <cell r="AJ126">
            <v>0</v>
          </cell>
          <cell r="AK126">
            <v>0</v>
          </cell>
          <cell r="AL126">
            <v>0</v>
          </cell>
          <cell r="AM126">
            <v>0</v>
          </cell>
          <cell r="AN126" t="e">
            <v>#N/A</v>
          </cell>
          <cell r="AO126" t="e">
            <v>#N/A</v>
          </cell>
          <cell r="AP126" t="e">
            <v>#N/A</v>
          </cell>
          <cell r="AQ126" t="e">
            <v>#N/A</v>
          </cell>
          <cell r="AR126" t="e">
            <v>#N/A</v>
          </cell>
          <cell r="AS126" t="e">
            <v>#N/A</v>
          </cell>
          <cell r="AT126" t="e">
            <v>#N/A</v>
          </cell>
          <cell r="AU126" t="e">
            <v>#N/A</v>
          </cell>
          <cell r="AV126" t="e">
            <v>#N/A</v>
          </cell>
        </row>
        <row r="127">
          <cell r="A127">
            <v>60.4</v>
          </cell>
          <cell r="B127" t="str">
            <v>2fd_net_income_rep_yoy</v>
          </cell>
          <cell r="C127" t="str">
            <v>Net income (reported) growth y-o-y</v>
          </cell>
          <cell r="D127" t="str">
            <v>(m)</v>
          </cell>
          <cell r="E127">
            <v>0</v>
          </cell>
          <cell r="F127">
            <v>0</v>
          </cell>
          <cell r="G127">
            <v>0</v>
          </cell>
          <cell r="H127">
            <v>0</v>
          </cell>
          <cell r="I127">
            <v>0</v>
          </cell>
          <cell r="J127">
            <v>0</v>
          </cell>
          <cell r="K127">
            <v>0</v>
          </cell>
          <cell r="L127">
            <v>0</v>
          </cell>
          <cell r="M127">
            <v>0</v>
          </cell>
          <cell r="N127" t="str">
            <v>fd_net_income_rep_yoy</v>
          </cell>
          <cell r="O127">
            <v>0</v>
          </cell>
          <cell r="P127">
            <v>0</v>
          </cell>
          <cell r="Q127">
            <v>0.01</v>
          </cell>
          <cell r="R127" t="str">
            <v>E</v>
          </cell>
          <cell r="S127">
            <v>2</v>
          </cell>
          <cell r="T127" t="str">
            <v>null</v>
          </cell>
          <cell r="U127">
            <v>2</v>
          </cell>
          <cell r="V127">
            <v>0</v>
          </cell>
          <cell r="W127">
            <v>0</v>
          </cell>
          <cell r="X127">
            <v>0</v>
          </cell>
          <cell r="Y127">
            <v>0</v>
          </cell>
          <cell r="Z127">
            <v>0</v>
          </cell>
          <cell r="AA127">
            <v>378</v>
          </cell>
          <cell r="AB127" t="str">
            <v>Fundamental data p&amp;L</v>
          </cell>
          <cell r="AC127">
            <v>117</v>
          </cell>
          <cell r="AD127">
            <v>0</v>
          </cell>
          <cell r="AE127">
            <v>0</v>
          </cell>
          <cell r="AF127">
            <v>0</v>
          </cell>
          <cell r="AG127">
            <v>0</v>
          </cell>
          <cell r="AH127">
            <v>0</v>
          </cell>
          <cell r="AI127">
            <v>0</v>
          </cell>
          <cell r="AJ127">
            <v>0</v>
          </cell>
          <cell r="AK127">
            <v>0</v>
          </cell>
          <cell r="AL127">
            <v>0</v>
          </cell>
          <cell r="AM127">
            <v>0</v>
          </cell>
          <cell r="AN127" t="e">
            <v>#N/A</v>
          </cell>
          <cell r="AO127" t="e">
            <v>#N/A</v>
          </cell>
          <cell r="AP127" t="e">
            <v>#N/A</v>
          </cell>
          <cell r="AQ127" t="e">
            <v>#N/A</v>
          </cell>
          <cell r="AR127" t="e">
            <v>#N/A</v>
          </cell>
          <cell r="AS127" t="e">
            <v>#N/A</v>
          </cell>
          <cell r="AT127" t="e">
            <v>#N/A</v>
          </cell>
          <cell r="AU127" t="e">
            <v>#N/A</v>
          </cell>
          <cell r="AV127" t="e">
            <v>#N/A</v>
          </cell>
        </row>
        <row r="128">
          <cell r="A128">
            <v>61</v>
          </cell>
          <cell r="B128" t="str">
            <v>1eps_adjusted</v>
          </cell>
          <cell r="C128" t="str">
            <v>EPS (adjusted)</v>
          </cell>
          <cell r="D128" t="str">
            <v>(unit)</v>
          </cell>
          <cell r="E128">
            <v>0</v>
          </cell>
          <cell r="F128">
            <v>0</v>
          </cell>
          <cell r="G128">
            <v>0</v>
          </cell>
          <cell r="H128">
            <v>0</v>
          </cell>
          <cell r="I128">
            <v>0</v>
          </cell>
          <cell r="J128">
            <v>0</v>
          </cell>
          <cell r="K128">
            <v>0</v>
          </cell>
          <cell r="L128">
            <v>0</v>
          </cell>
          <cell r="M128">
            <v>0</v>
          </cell>
          <cell r="N128" t="str">
            <v>eps_adjusted</v>
          </cell>
          <cell r="O128">
            <v>0</v>
          </cell>
          <cell r="P128">
            <v>0</v>
          </cell>
          <cell r="Q128">
            <v>1</v>
          </cell>
          <cell r="R128" t="str">
            <v>S</v>
          </cell>
          <cell r="S128">
            <v>2</v>
          </cell>
          <cell r="T128" t="str">
            <v>null</v>
          </cell>
          <cell r="U128">
            <v>1</v>
          </cell>
          <cell r="V128" t="str">
            <v>UK</v>
          </cell>
          <cell r="W128">
            <v>0</v>
          </cell>
          <cell r="X128">
            <v>0</v>
          </cell>
          <cell r="Y128">
            <v>0</v>
          </cell>
          <cell r="Z128">
            <v>0</v>
          </cell>
          <cell r="AA128">
            <v>187</v>
          </cell>
          <cell r="AB128" t="str">
            <v>Fundamental data p&amp;L</v>
          </cell>
          <cell r="AC128">
            <v>118</v>
          </cell>
          <cell r="AD128">
            <v>0</v>
          </cell>
          <cell r="AE128">
            <v>0</v>
          </cell>
          <cell r="AF128">
            <v>0</v>
          </cell>
          <cell r="AG128">
            <v>0</v>
          </cell>
          <cell r="AH128">
            <v>0</v>
          </cell>
          <cell r="AI128">
            <v>0</v>
          </cell>
          <cell r="AJ128">
            <v>0</v>
          </cell>
          <cell r="AK128">
            <v>0</v>
          </cell>
          <cell r="AL128">
            <v>0</v>
          </cell>
          <cell r="AM128">
            <v>0</v>
          </cell>
          <cell r="AN128">
            <v>61</v>
          </cell>
          <cell r="AO128" t="str">
            <v>EPS (Adjusted)*</v>
          </cell>
          <cell r="AP128" t="str">
            <v>p</v>
          </cell>
          <cell r="AQ128" t="str">
            <v>Operating EPS - achieved</v>
          </cell>
          <cell r="AR128">
            <v>0</v>
          </cell>
          <cell r="AS128">
            <v>0</v>
          </cell>
          <cell r="AT128">
            <v>0</v>
          </cell>
          <cell r="AU128" t="e">
            <v>#VALUE!</v>
          </cell>
          <cell r="AV128" t="e">
            <v>#VALUE!</v>
          </cell>
        </row>
        <row r="129">
          <cell r="A129">
            <v>62</v>
          </cell>
          <cell r="B129" t="str">
            <v>2eps_adjusted_yoy</v>
          </cell>
          <cell r="C129" t="str">
            <v>EPS (adjusted) growth y-o-y</v>
          </cell>
          <cell r="D129" t="str">
            <v>(%)</v>
          </cell>
          <cell r="E129">
            <v>0</v>
          </cell>
          <cell r="F129">
            <v>0</v>
          </cell>
          <cell r="G129">
            <v>0</v>
          </cell>
          <cell r="H129">
            <v>0</v>
          </cell>
          <cell r="I129">
            <v>0</v>
          </cell>
          <cell r="J129">
            <v>0</v>
          </cell>
          <cell r="K129">
            <v>0</v>
          </cell>
          <cell r="L129">
            <v>0</v>
          </cell>
          <cell r="M129">
            <v>0</v>
          </cell>
          <cell r="N129" t="str">
            <v>eps_adjusted_yoy</v>
          </cell>
          <cell r="O129">
            <v>0</v>
          </cell>
          <cell r="P129">
            <v>0</v>
          </cell>
          <cell r="Q129">
            <v>0.01</v>
          </cell>
          <cell r="R129" t="str">
            <v>S</v>
          </cell>
          <cell r="S129">
            <v>2</v>
          </cell>
          <cell r="T129" t="str">
            <v>null</v>
          </cell>
          <cell r="U129">
            <v>2</v>
          </cell>
          <cell r="V129" t="str">
            <v>UK</v>
          </cell>
          <cell r="W129">
            <v>0</v>
          </cell>
          <cell r="X129">
            <v>0</v>
          </cell>
          <cell r="Y129">
            <v>0</v>
          </cell>
          <cell r="Z129">
            <v>0</v>
          </cell>
          <cell r="AA129">
            <v>188</v>
          </cell>
          <cell r="AB129" t="str">
            <v>Fundamental data p&amp;L</v>
          </cell>
          <cell r="AC129">
            <v>119</v>
          </cell>
          <cell r="AD129">
            <v>0</v>
          </cell>
          <cell r="AE129">
            <v>0</v>
          </cell>
          <cell r="AF129">
            <v>0</v>
          </cell>
          <cell r="AG129">
            <v>0</v>
          </cell>
          <cell r="AH129">
            <v>0</v>
          </cell>
          <cell r="AI129">
            <v>0</v>
          </cell>
          <cell r="AJ129">
            <v>0</v>
          </cell>
          <cell r="AK129">
            <v>0</v>
          </cell>
          <cell r="AL129">
            <v>0</v>
          </cell>
          <cell r="AM129">
            <v>0</v>
          </cell>
          <cell r="AN129">
            <v>62</v>
          </cell>
          <cell r="AO129" t="str">
            <v>EPS (adjusted) growth y-o-y*</v>
          </cell>
          <cell r="AP129" t="str">
            <v>%</v>
          </cell>
          <cell r="AQ129">
            <v>0</v>
          </cell>
          <cell r="AR129">
            <v>0</v>
          </cell>
          <cell r="AS129" t="str">
            <v>standard y-o-y growth calc on 61</v>
          </cell>
          <cell r="AT129">
            <v>0</v>
          </cell>
          <cell r="AU129" t="e">
            <v>#VALUE!</v>
          </cell>
          <cell r="AV129" t="e">
            <v>#VALUE!</v>
          </cell>
        </row>
        <row r="130">
          <cell r="A130">
            <v>63</v>
          </cell>
          <cell r="B130" t="str">
            <v>2market_consensus_eps</v>
          </cell>
          <cell r="C130" t="str">
            <v>Market consensus EPS</v>
          </cell>
          <cell r="D130" t="str">
            <v>(unit)</v>
          </cell>
          <cell r="E130">
            <v>0</v>
          </cell>
          <cell r="F130">
            <v>0</v>
          </cell>
          <cell r="G130">
            <v>0</v>
          </cell>
          <cell r="H130">
            <v>0</v>
          </cell>
          <cell r="I130">
            <v>0</v>
          </cell>
          <cell r="J130">
            <v>0</v>
          </cell>
          <cell r="K130">
            <v>0</v>
          </cell>
          <cell r="L130">
            <v>0</v>
          </cell>
          <cell r="M130">
            <v>0</v>
          </cell>
          <cell r="N130" t="str">
            <v>market_consensus_eps</v>
          </cell>
          <cell r="O130">
            <v>0</v>
          </cell>
          <cell r="P130">
            <v>0</v>
          </cell>
          <cell r="Q130">
            <v>1</v>
          </cell>
          <cell r="R130" t="str">
            <v>S</v>
          </cell>
          <cell r="S130">
            <v>2</v>
          </cell>
          <cell r="T130" t="str">
            <v>null</v>
          </cell>
          <cell r="U130">
            <v>2</v>
          </cell>
          <cell r="V130" t="str">
            <v>UK/US</v>
          </cell>
          <cell r="W130">
            <v>0</v>
          </cell>
          <cell r="X130">
            <v>0</v>
          </cell>
          <cell r="Y130">
            <v>0</v>
          </cell>
          <cell r="Z130">
            <v>0</v>
          </cell>
          <cell r="AA130">
            <v>335</v>
          </cell>
          <cell r="AB130" t="str">
            <v>Fundamental data p&amp;L</v>
          </cell>
          <cell r="AC130">
            <v>120</v>
          </cell>
          <cell r="AD130">
            <v>0</v>
          </cell>
          <cell r="AE130">
            <v>0</v>
          </cell>
          <cell r="AF130">
            <v>0</v>
          </cell>
          <cell r="AG130">
            <v>0</v>
          </cell>
          <cell r="AH130">
            <v>0</v>
          </cell>
          <cell r="AI130">
            <v>0</v>
          </cell>
          <cell r="AJ130">
            <v>0</v>
          </cell>
          <cell r="AK130">
            <v>0</v>
          </cell>
          <cell r="AL130">
            <v>0</v>
          </cell>
          <cell r="AM130">
            <v>0</v>
          </cell>
          <cell r="AN130">
            <v>63</v>
          </cell>
          <cell r="AO130" t="str">
            <v>Market consensus EPS*</v>
          </cell>
          <cell r="AP130" t="str">
            <v>p</v>
          </cell>
          <cell r="AQ130">
            <v>0</v>
          </cell>
          <cell r="AR130" t="str">
            <v>market data feed</v>
          </cell>
          <cell r="AS130">
            <v>0</v>
          </cell>
          <cell r="AT130">
            <v>0</v>
          </cell>
          <cell r="AU130" t="e">
            <v>#VALUE!</v>
          </cell>
          <cell r="AV130" t="e">
            <v>#VALUE!</v>
          </cell>
        </row>
        <row r="131">
          <cell r="A131">
            <v>64</v>
          </cell>
          <cell r="B131" t="str">
            <v>1eps_reported</v>
          </cell>
          <cell r="C131" t="str">
            <v>EPS (reported)</v>
          </cell>
          <cell r="D131" t="str">
            <v>(unit)</v>
          </cell>
          <cell r="E131">
            <v>0</v>
          </cell>
          <cell r="F131">
            <v>0</v>
          </cell>
          <cell r="G131">
            <v>0</v>
          </cell>
          <cell r="H131">
            <v>0</v>
          </cell>
          <cell r="I131">
            <v>0</v>
          </cell>
          <cell r="J131">
            <v>0</v>
          </cell>
          <cell r="K131">
            <v>0</v>
          </cell>
          <cell r="L131">
            <v>0</v>
          </cell>
          <cell r="M131">
            <v>0</v>
          </cell>
          <cell r="N131" t="str">
            <v>eps_reported</v>
          </cell>
          <cell r="O131">
            <v>0</v>
          </cell>
          <cell r="P131">
            <v>0</v>
          </cell>
          <cell r="Q131">
            <v>1</v>
          </cell>
          <cell r="R131" t="str">
            <v>S</v>
          </cell>
          <cell r="S131">
            <v>2</v>
          </cell>
          <cell r="T131" t="str">
            <v>null</v>
          </cell>
          <cell r="U131">
            <v>1</v>
          </cell>
          <cell r="V131">
            <v>0</v>
          </cell>
          <cell r="W131">
            <v>0</v>
          </cell>
          <cell r="X131">
            <v>0</v>
          </cell>
          <cell r="Y131">
            <v>0</v>
          </cell>
          <cell r="Z131">
            <v>0</v>
          </cell>
          <cell r="AA131">
            <v>193</v>
          </cell>
          <cell r="AB131" t="str">
            <v>Fundamental data p&amp;L</v>
          </cell>
          <cell r="AC131">
            <v>121</v>
          </cell>
          <cell r="AD131">
            <v>0</v>
          </cell>
          <cell r="AE131">
            <v>0</v>
          </cell>
          <cell r="AF131">
            <v>0</v>
          </cell>
          <cell r="AG131">
            <v>0</v>
          </cell>
          <cell r="AH131">
            <v>0</v>
          </cell>
          <cell r="AI131">
            <v>0</v>
          </cell>
          <cell r="AJ131">
            <v>0</v>
          </cell>
          <cell r="AK131">
            <v>0</v>
          </cell>
          <cell r="AL131">
            <v>0</v>
          </cell>
          <cell r="AM131">
            <v>0</v>
          </cell>
          <cell r="AN131">
            <v>64</v>
          </cell>
          <cell r="AO131" t="str">
            <v>EPS reported</v>
          </cell>
          <cell r="AP131" t="str">
            <v>p</v>
          </cell>
          <cell r="AQ131" t="str">
            <v>Operating EPS - statutory</v>
          </cell>
          <cell r="AR131">
            <v>0</v>
          </cell>
          <cell r="AS131">
            <v>0</v>
          </cell>
          <cell r="AT131">
            <v>0</v>
          </cell>
          <cell r="AU131" t="e">
            <v>#VALUE!</v>
          </cell>
          <cell r="AV131" t="e">
            <v>#VALUE!</v>
          </cell>
        </row>
        <row r="132">
          <cell r="A132">
            <v>65</v>
          </cell>
          <cell r="B132" t="str">
            <v>1diluted_eps_adjusted</v>
          </cell>
          <cell r="C132" t="str">
            <v>Diluted EPS (adjusted)</v>
          </cell>
          <cell r="D132" t="str">
            <v>(unit)</v>
          </cell>
          <cell r="E132">
            <v>0</v>
          </cell>
          <cell r="F132">
            <v>0</v>
          </cell>
          <cell r="G132">
            <v>0</v>
          </cell>
          <cell r="H132">
            <v>0</v>
          </cell>
          <cell r="I132">
            <v>0</v>
          </cell>
          <cell r="J132">
            <v>0</v>
          </cell>
          <cell r="K132">
            <v>0</v>
          </cell>
          <cell r="L132">
            <v>0</v>
          </cell>
          <cell r="M132">
            <v>0</v>
          </cell>
          <cell r="N132" t="str">
            <v>diluted_eps_adjusted</v>
          </cell>
          <cell r="O132">
            <v>0</v>
          </cell>
          <cell r="P132">
            <v>0</v>
          </cell>
          <cell r="Q132">
            <v>1</v>
          </cell>
          <cell r="R132" t="str">
            <v>S</v>
          </cell>
          <cell r="S132">
            <v>2</v>
          </cell>
          <cell r="T132" t="str">
            <v>null</v>
          </cell>
          <cell r="U132">
            <v>1</v>
          </cell>
          <cell r="V132" t="str">
            <v>US</v>
          </cell>
          <cell r="W132">
            <v>0</v>
          </cell>
          <cell r="X132">
            <v>0</v>
          </cell>
          <cell r="Y132">
            <v>0</v>
          </cell>
          <cell r="Z132">
            <v>0</v>
          </cell>
          <cell r="AA132">
            <v>140</v>
          </cell>
          <cell r="AB132" t="str">
            <v>Fundamental data p&amp;L</v>
          </cell>
          <cell r="AC132">
            <v>123</v>
          </cell>
          <cell r="AD132">
            <v>0</v>
          </cell>
          <cell r="AE132">
            <v>0</v>
          </cell>
          <cell r="AF132">
            <v>0</v>
          </cell>
          <cell r="AG132">
            <v>0</v>
          </cell>
          <cell r="AH132">
            <v>0</v>
          </cell>
          <cell r="AI132">
            <v>0</v>
          </cell>
          <cell r="AJ132">
            <v>0</v>
          </cell>
          <cell r="AK132">
            <v>0</v>
          </cell>
          <cell r="AL132">
            <v>0</v>
          </cell>
          <cell r="AM132">
            <v>0</v>
          </cell>
          <cell r="AN132">
            <v>65</v>
          </cell>
          <cell r="AO132" t="str">
            <v>Diluted EPS (Adjusted)</v>
          </cell>
          <cell r="AP132" t="str">
            <v>p</v>
          </cell>
          <cell r="AQ132">
            <v>0</v>
          </cell>
          <cell r="AR132">
            <v>0</v>
          </cell>
          <cell r="AS132">
            <v>0</v>
          </cell>
          <cell r="AT132">
            <v>0</v>
          </cell>
          <cell r="AU132" t="e">
            <v>#VALUE!</v>
          </cell>
          <cell r="AV132" t="e">
            <v>#VALUE!</v>
          </cell>
        </row>
        <row r="133">
          <cell r="A133">
            <v>65.2</v>
          </cell>
          <cell r="B133" t="str">
            <v>1diluted_eps_reported</v>
          </cell>
          <cell r="C133" t="str">
            <v>Diluted EPS (reported)</v>
          </cell>
          <cell r="D133" t="str">
            <v>(unit)</v>
          </cell>
          <cell r="E133">
            <v>0</v>
          </cell>
          <cell r="F133">
            <v>0</v>
          </cell>
          <cell r="G133">
            <v>0</v>
          </cell>
          <cell r="H133">
            <v>0</v>
          </cell>
          <cell r="I133">
            <v>0</v>
          </cell>
          <cell r="J133">
            <v>0</v>
          </cell>
          <cell r="K133">
            <v>0</v>
          </cell>
          <cell r="L133">
            <v>0</v>
          </cell>
          <cell r="M133">
            <v>0</v>
          </cell>
          <cell r="N133" t="str">
            <v>diluted_eps_reported</v>
          </cell>
          <cell r="O133">
            <v>0</v>
          </cell>
          <cell r="P133">
            <v>0</v>
          </cell>
          <cell r="Q133">
            <v>1</v>
          </cell>
          <cell r="R133" t="str">
            <v>S</v>
          </cell>
          <cell r="S133">
            <v>2</v>
          </cell>
          <cell r="T133" t="str">
            <v>null</v>
          </cell>
          <cell r="U133">
            <v>1</v>
          </cell>
          <cell r="V133">
            <v>0</v>
          </cell>
          <cell r="W133">
            <v>0</v>
          </cell>
          <cell r="X133">
            <v>0</v>
          </cell>
          <cell r="Y133">
            <v>0</v>
          </cell>
          <cell r="Z133">
            <v>0</v>
          </cell>
          <cell r="AA133">
            <v>141</v>
          </cell>
          <cell r="AB133" t="str">
            <v>Fundamental data p&amp;L</v>
          </cell>
          <cell r="AC133">
            <v>124</v>
          </cell>
          <cell r="AD133">
            <v>0</v>
          </cell>
          <cell r="AE133">
            <v>0</v>
          </cell>
          <cell r="AF133">
            <v>0</v>
          </cell>
          <cell r="AG133">
            <v>0</v>
          </cell>
          <cell r="AH133">
            <v>0</v>
          </cell>
          <cell r="AI133">
            <v>0</v>
          </cell>
          <cell r="AJ133">
            <v>0</v>
          </cell>
          <cell r="AK133">
            <v>0</v>
          </cell>
          <cell r="AL133">
            <v>0</v>
          </cell>
          <cell r="AM133">
            <v>0</v>
          </cell>
          <cell r="AN133" t="e">
            <v>#N/A</v>
          </cell>
          <cell r="AO133" t="e">
            <v>#N/A</v>
          </cell>
          <cell r="AP133" t="e">
            <v>#N/A</v>
          </cell>
          <cell r="AQ133" t="e">
            <v>#N/A</v>
          </cell>
          <cell r="AR133" t="e">
            <v>#N/A</v>
          </cell>
          <cell r="AS133" t="e">
            <v>#N/A</v>
          </cell>
          <cell r="AT133" t="e">
            <v>#N/A</v>
          </cell>
          <cell r="AU133" t="e">
            <v>#N/A</v>
          </cell>
          <cell r="AV133" t="e">
            <v>#N/A</v>
          </cell>
        </row>
        <row r="134">
          <cell r="A134">
            <v>66</v>
          </cell>
          <cell r="B134" t="str">
            <v>1eps_adjusted_sh_price_curr</v>
          </cell>
          <cell r="C134" t="str">
            <v>EPS (adjusted, in share price currency)</v>
          </cell>
          <cell r="D134" t="str">
            <v>(unit)</v>
          </cell>
          <cell r="E134">
            <v>0</v>
          </cell>
          <cell r="F134">
            <v>0</v>
          </cell>
          <cell r="G134">
            <v>0</v>
          </cell>
          <cell r="H134">
            <v>0</v>
          </cell>
          <cell r="I134">
            <v>0</v>
          </cell>
          <cell r="J134">
            <v>0</v>
          </cell>
          <cell r="K134">
            <v>0</v>
          </cell>
          <cell r="L134">
            <v>0</v>
          </cell>
          <cell r="M134">
            <v>0</v>
          </cell>
          <cell r="N134" t="str">
            <v>eps_adjusted_sh_price_curr</v>
          </cell>
          <cell r="O134">
            <v>0</v>
          </cell>
          <cell r="P134">
            <v>0</v>
          </cell>
          <cell r="Q134">
            <v>1</v>
          </cell>
          <cell r="R134" t="str">
            <v>S</v>
          </cell>
          <cell r="S134">
            <v>2</v>
          </cell>
          <cell r="T134" t="str">
            <v>null</v>
          </cell>
          <cell r="U134">
            <v>1</v>
          </cell>
          <cell r="V134">
            <v>0</v>
          </cell>
          <cell r="W134">
            <v>0</v>
          </cell>
          <cell r="X134">
            <v>0</v>
          </cell>
          <cell r="Y134">
            <v>0</v>
          </cell>
          <cell r="Z134">
            <v>0</v>
          </cell>
          <cell r="AA134">
            <v>189</v>
          </cell>
          <cell r="AB134" t="str">
            <v>Fundamental data p&amp;L</v>
          </cell>
          <cell r="AC134">
            <v>125</v>
          </cell>
          <cell r="AD134">
            <v>0</v>
          </cell>
          <cell r="AE134">
            <v>0</v>
          </cell>
          <cell r="AF134">
            <v>0</v>
          </cell>
          <cell r="AG134">
            <v>0</v>
          </cell>
          <cell r="AH134">
            <v>0</v>
          </cell>
          <cell r="AI134">
            <v>0</v>
          </cell>
          <cell r="AJ134">
            <v>0</v>
          </cell>
          <cell r="AK134">
            <v>0</v>
          </cell>
          <cell r="AL134">
            <v>0</v>
          </cell>
          <cell r="AM134">
            <v>0</v>
          </cell>
          <cell r="AN134">
            <v>66</v>
          </cell>
          <cell r="AO134" t="str">
            <v>EPS (adjusted, in share price currency)</v>
          </cell>
          <cell r="AP134" t="str">
            <v>p</v>
          </cell>
          <cell r="AQ134">
            <v>0</v>
          </cell>
          <cell r="AR134">
            <v>0</v>
          </cell>
          <cell r="AS134">
            <v>0</v>
          </cell>
          <cell r="AT134">
            <v>0</v>
          </cell>
          <cell r="AU134" t="e">
            <v>#VALUE!</v>
          </cell>
          <cell r="AV134" t="e">
            <v>#VALUE!</v>
          </cell>
        </row>
        <row r="135">
          <cell r="A135">
            <v>67</v>
          </cell>
          <cell r="B135" t="str">
            <v>1eps_analyst_defined</v>
          </cell>
          <cell r="C135" t="str">
            <v>EPS (analyst defined)</v>
          </cell>
          <cell r="D135" t="str">
            <v>(unit)</v>
          </cell>
          <cell r="E135">
            <v>0</v>
          </cell>
          <cell r="F135">
            <v>0</v>
          </cell>
          <cell r="G135">
            <v>0</v>
          </cell>
          <cell r="H135">
            <v>0</v>
          </cell>
          <cell r="I135">
            <v>0</v>
          </cell>
          <cell r="J135">
            <v>0</v>
          </cell>
          <cell r="K135">
            <v>0</v>
          </cell>
          <cell r="L135">
            <v>0</v>
          </cell>
          <cell r="M135">
            <v>0</v>
          </cell>
          <cell r="N135" t="str">
            <v>eps_analyst_defined</v>
          </cell>
          <cell r="O135">
            <v>0</v>
          </cell>
          <cell r="P135">
            <v>0</v>
          </cell>
          <cell r="Q135">
            <v>1</v>
          </cell>
          <cell r="R135" t="str">
            <v>S</v>
          </cell>
          <cell r="S135">
            <v>2</v>
          </cell>
          <cell r="T135" t="str">
            <v>null</v>
          </cell>
          <cell r="U135">
            <v>1</v>
          </cell>
          <cell r="V135">
            <v>0</v>
          </cell>
          <cell r="W135">
            <v>0</v>
          </cell>
          <cell r="X135">
            <v>0</v>
          </cell>
          <cell r="Y135">
            <v>0</v>
          </cell>
          <cell r="Z135">
            <v>0</v>
          </cell>
          <cell r="AA135">
            <v>190</v>
          </cell>
          <cell r="AB135" t="str">
            <v>Fundamental data p&amp;L</v>
          </cell>
          <cell r="AC135">
            <v>126</v>
          </cell>
          <cell r="AD135">
            <v>0</v>
          </cell>
          <cell r="AE135">
            <v>0</v>
          </cell>
          <cell r="AF135">
            <v>0</v>
          </cell>
          <cell r="AG135">
            <v>0</v>
          </cell>
          <cell r="AH135">
            <v>0</v>
          </cell>
          <cell r="AI135">
            <v>0</v>
          </cell>
          <cell r="AJ135">
            <v>0</v>
          </cell>
          <cell r="AK135">
            <v>0</v>
          </cell>
          <cell r="AL135">
            <v>0</v>
          </cell>
          <cell r="AM135">
            <v>0</v>
          </cell>
          <cell r="AN135">
            <v>67</v>
          </cell>
          <cell r="AO135" t="str">
            <v>EPS (analyst defined)</v>
          </cell>
          <cell r="AP135" t="str">
            <v>p</v>
          </cell>
          <cell r="AQ135">
            <v>0</v>
          </cell>
          <cell r="AR135">
            <v>0</v>
          </cell>
          <cell r="AS135">
            <v>0</v>
          </cell>
          <cell r="AT135">
            <v>0</v>
          </cell>
          <cell r="AU135" t="e">
            <v>#VALUE!</v>
          </cell>
          <cell r="AV135" t="e">
            <v>#VALUE!</v>
          </cell>
        </row>
        <row r="136">
          <cell r="A136">
            <v>67.400000000000006</v>
          </cell>
          <cell r="B136" t="str">
            <v>1eps_operating_stat</v>
          </cell>
          <cell r="C136" t="str">
            <v>Operating EPS (statutory)</v>
          </cell>
          <cell r="D136" t="str">
            <v>(unit)</v>
          </cell>
          <cell r="E136">
            <v>0</v>
          </cell>
          <cell r="F136">
            <v>0</v>
          </cell>
          <cell r="G136">
            <v>0</v>
          </cell>
          <cell r="H136">
            <v>0</v>
          </cell>
          <cell r="I136">
            <v>0</v>
          </cell>
          <cell r="J136">
            <v>0</v>
          </cell>
          <cell r="K136">
            <v>0</v>
          </cell>
          <cell r="L136">
            <v>0</v>
          </cell>
          <cell r="M136">
            <v>0</v>
          </cell>
          <cell r="N136" t="str">
            <v>eps_operating_stat</v>
          </cell>
          <cell r="O136">
            <v>0</v>
          </cell>
          <cell r="P136">
            <v>0</v>
          </cell>
          <cell r="Q136">
            <v>1</v>
          </cell>
          <cell r="R136" t="str">
            <v>S</v>
          </cell>
          <cell r="S136">
            <v>2</v>
          </cell>
          <cell r="T136" t="str">
            <v>null</v>
          </cell>
          <cell r="U136">
            <v>1</v>
          </cell>
          <cell r="V136">
            <v>0</v>
          </cell>
          <cell r="W136">
            <v>0</v>
          </cell>
          <cell r="X136">
            <v>0</v>
          </cell>
          <cell r="Y136">
            <v>0</v>
          </cell>
          <cell r="Z136">
            <v>0</v>
          </cell>
          <cell r="AA136">
            <v>427</v>
          </cell>
          <cell r="AB136" t="str">
            <v>Fundamental data p&amp;L</v>
          </cell>
          <cell r="AC136">
            <v>127</v>
          </cell>
          <cell r="AD136">
            <v>0</v>
          </cell>
          <cell r="AE136">
            <v>0</v>
          </cell>
          <cell r="AF136">
            <v>0</v>
          </cell>
          <cell r="AG136">
            <v>0</v>
          </cell>
          <cell r="AH136">
            <v>0</v>
          </cell>
          <cell r="AI136">
            <v>0</v>
          </cell>
          <cell r="AJ136">
            <v>0</v>
          </cell>
          <cell r="AK136">
            <v>0</v>
          </cell>
          <cell r="AL136">
            <v>0</v>
          </cell>
          <cell r="AM136">
            <v>0</v>
          </cell>
          <cell r="AN136" t="e">
            <v>#N/A</v>
          </cell>
          <cell r="AO136" t="e">
            <v>#N/A</v>
          </cell>
          <cell r="AP136" t="e">
            <v>#N/A</v>
          </cell>
          <cell r="AQ136" t="e">
            <v>#N/A</v>
          </cell>
          <cell r="AR136" t="e">
            <v>#N/A</v>
          </cell>
          <cell r="AS136" t="e">
            <v>#N/A</v>
          </cell>
          <cell r="AT136" t="e">
            <v>#N/A</v>
          </cell>
          <cell r="AU136" t="e">
            <v>#N/A</v>
          </cell>
          <cell r="AV136" t="e">
            <v>#N/A</v>
          </cell>
        </row>
        <row r="137">
          <cell r="A137">
            <v>67.5</v>
          </cell>
          <cell r="B137" t="str">
            <v>2r_eps_operating_stat_yoy</v>
          </cell>
          <cell r="C137" t="str">
            <v>Operating EPS (statutory) growth y-o-y</v>
          </cell>
          <cell r="D137" t="str">
            <v>(%)</v>
          </cell>
          <cell r="E137">
            <v>0</v>
          </cell>
          <cell r="F137">
            <v>0</v>
          </cell>
          <cell r="G137">
            <v>0</v>
          </cell>
          <cell r="H137">
            <v>0</v>
          </cell>
          <cell r="I137">
            <v>0</v>
          </cell>
          <cell r="J137">
            <v>0</v>
          </cell>
          <cell r="K137">
            <v>0</v>
          </cell>
          <cell r="L137">
            <v>0</v>
          </cell>
          <cell r="M137">
            <v>0</v>
          </cell>
          <cell r="N137" t="str">
            <v>r_eps_operating_stat_yoy</v>
          </cell>
          <cell r="O137">
            <v>0</v>
          </cell>
          <cell r="P137">
            <v>0</v>
          </cell>
          <cell r="Q137">
            <v>0.01</v>
          </cell>
          <cell r="R137" t="str">
            <v>S</v>
          </cell>
          <cell r="S137">
            <v>2</v>
          </cell>
          <cell r="T137" t="str">
            <v>null</v>
          </cell>
          <cell r="U137">
            <v>2</v>
          </cell>
          <cell r="V137">
            <v>0</v>
          </cell>
          <cell r="W137">
            <v>0</v>
          </cell>
          <cell r="X137">
            <v>0</v>
          </cell>
          <cell r="Y137">
            <v>0</v>
          </cell>
          <cell r="Z137">
            <v>0</v>
          </cell>
          <cell r="AA137">
            <v>428</v>
          </cell>
          <cell r="AB137" t="str">
            <v>Fundamental data p&amp;L</v>
          </cell>
          <cell r="AC137">
            <v>128</v>
          </cell>
          <cell r="AD137">
            <v>0</v>
          </cell>
          <cell r="AE137">
            <v>0</v>
          </cell>
          <cell r="AF137">
            <v>0</v>
          </cell>
          <cell r="AG137">
            <v>0</v>
          </cell>
          <cell r="AH137">
            <v>0</v>
          </cell>
          <cell r="AI137">
            <v>0</v>
          </cell>
          <cell r="AJ137">
            <v>0</v>
          </cell>
          <cell r="AK137">
            <v>0</v>
          </cell>
          <cell r="AL137">
            <v>0</v>
          </cell>
          <cell r="AM137">
            <v>0</v>
          </cell>
          <cell r="AN137" t="e">
            <v>#N/A</v>
          </cell>
          <cell r="AO137" t="e">
            <v>#N/A</v>
          </cell>
          <cell r="AP137" t="e">
            <v>#N/A</v>
          </cell>
          <cell r="AQ137" t="e">
            <v>#N/A</v>
          </cell>
          <cell r="AR137" t="e">
            <v>#N/A</v>
          </cell>
          <cell r="AS137" t="e">
            <v>#N/A</v>
          </cell>
          <cell r="AT137" t="e">
            <v>#N/A</v>
          </cell>
          <cell r="AU137" t="e">
            <v>#N/A</v>
          </cell>
          <cell r="AV137" t="e">
            <v>#N/A</v>
          </cell>
        </row>
        <row r="138">
          <cell r="A138">
            <v>67.599999999999994</v>
          </cell>
          <cell r="B138" t="str">
            <v>1eps_operating_achieved</v>
          </cell>
          <cell r="C138" t="str">
            <v>Operating EPS (achieved)</v>
          </cell>
          <cell r="D138" t="str">
            <v>(unit)</v>
          </cell>
          <cell r="E138">
            <v>0</v>
          </cell>
          <cell r="F138">
            <v>0</v>
          </cell>
          <cell r="G138">
            <v>0</v>
          </cell>
          <cell r="H138">
            <v>0</v>
          </cell>
          <cell r="I138">
            <v>0</v>
          </cell>
          <cell r="J138">
            <v>0</v>
          </cell>
          <cell r="K138">
            <v>0</v>
          </cell>
          <cell r="L138">
            <v>0</v>
          </cell>
          <cell r="M138">
            <v>0</v>
          </cell>
          <cell r="N138" t="str">
            <v>eps_operating_achieved</v>
          </cell>
          <cell r="O138">
            <v>0</v>
          </cell>
          <cell r="P138">
            <v>0</v>
          </cell>
          <cell r="Q138">
            <v>1</v>
          </cell>
          <cell r="R138" t="str">
            <v>S</v>
          </cell>
          <cell r="S138">
            <v>2</v>
          </cell>
          <cell r="T138" t="str">
            <v>null</v>
          </cell>
          <cell r="U138">
            <v>1</v>
          </cell>
          <cell r="V138">
            <v>0</v>
          </cell>
          <cell r="W138">
            <v>0</v>
          </cell>
          <cell r="X138">
            <v>0</v>
          </cell>
          <cell r="Y138">
            <v>0</v>
          </cell>
          <cell r="Z138">
            <v>0</v>
          </cell>
          <cell r="AA138">
            <v>425</v>
          </cell>
          <cell r="AB138" t="str">
            <v>Fundamental data p&amp;L</v>
          </cell>
          <cell r="AC138">
            <v>129</v>
          </cell>
          <cell r="AD138">
            <v>0</v>
          </cell>
          <cell r="AE138">
            <v>0</v>
          </cell>
          <cell r="AF138">
            <v>0</v>
          </cell>
          <cell r="AG138">
            <v>0</v>
          </cell>
          <cell r="AH138">
            <v>0</v>
          </cell>
          <cell r="AI138">
            <v>0</v>
          </cell>
          <cell r="AJ138">
            <v>0</v>
          </cell>
          <cell r="AK138">
            <v>0</v>
          </cell>
          <cell r="AL138">
            <v>0</v>
          </cell>
          <cell r="AM138">
            <v>0</v>
          </cell>
          <cell r="AN138" t="e">
            <v>#N/A</v>
          </cell>
          <cell r="AO138" t="e">
            <v>#N/A</v>
          </cell>
          <cell r="AP138" t="e">
            <v>#N/A</v>
          </cell>
          <cell r="AQ138" t="e">
            <v>#N/A</v>
          </cell>
          <cell r="AR138" t="e">
            <v>#N/A</v>
          </cell>
          <cell r="AS138" t="e">
            <v>#N/A</v>
          </cell>
          <cell r="AT138" t="e">
            <v>#N/A</v>
          </cell>
          <cell r="AU138" t="e">
            <v>#N/A</v>
          </cell>
          <cell r="AV138" t="e">
            <v>#N/A</v>
          </cell>
        </row>
        <row r="139">
          <cell r="A139">
            <v>67.7</v>
          </cell>
          <cell r="B139" t="str">
            <v>2r_eps_operating_achieved_yoy</v>
          </cell>
          <cell r="C139" t="str">
            <v>Operating EPS (achieved) growth y-o-y</v>
          </cell>
          <cell r="D139" t="str">
            <v>(%)</v>
          </cell>
          <cell r="E139">
            <v>0</v>
          </cell>
          <cell r="F139">
            <v>0</v>
          </cell>
          <cell r="G139">
            <v>0</v>
          </cell>
          <cell r="H139">
            <v>0</v>
          </cell>
          <cell r="I139">
            <v>0</v>
          </cell>
          <cell r="J139">
            <v>0</v>
          </cell>
          <cell r="K139">
            <v>0</v>
          </cell>
          <cell r="L139">
            <v>0</v>
          </cell>
          <cell r="M139">
            <v>0</v>
          </cell>
          <cell r="N139" t="str">
            <v>r_eps_operating_achieved_yoy</v>
          </cell>
          <cell r="O139">
            <v>0</v>
          </cell>
          <cell r="P139">
            <v>0</v>
          </cell>
          <cell r="Q139">
            <v>0.01</v>
          </cell>
          <cell r="R139" t="str">
            <v>S</v>
          </cell>
          <cell r="S139">
            <v>2</v>
          </cell>
          <cell r="T139" t="str">
            <v>null</v>
          </cell>
          <cell r="U139">
            <v>2</v>
          </cell>
          <cell r="V139">
            <v>0</v>
          </cell>
          <cell r="W139">
            <v>0</v>
          </cell>
          <cell r="X139">
            <v>0</v>
          </cell>
          <cell r="Y139">
            <v>0</v>
          </cell>
          <cell r="Z139">
            <v>0</v>
          </cell>
          <cell r="AA139">
            <v>426</v>
          </cell>
          <cell r="AB139" t="str">
            <v>Fundamental data p&amp;L</v>
          </cell>
          <cell r="AC139">
            <v>130</v>
          </cell>
          <cell r="AD139">
            <v>0</v>
          </cell>
          <cell r="AE139">
            <v>0</v>
          </cell>
          <cell r="AF139">
            <v>0</v>
          </cell>
          <cell r="AG139">
            <v>0</v>
          </cell>
          <cell r="AH139">
            <v>0</v>
          </cell>
          <cell r="AI139">
            <v>0</v>
          </cell>
          <cell r="AJ139">
            <v>0</v>
          </cell>
          <cell r="AK139">
            <v>0</v>
          </cell>
          <cell r="AL139">
            <v>0</v>
          </cell>
          <cell r="AM139">
            <v>0</v>
          </cell>
          <cell r="AN139" t="e">
            <v>#N/A</v>
          </cell>
          <cell r="AO139" t="e">
            <v>#N/A</v>
          </cell>
          <cell r="AP139" t="e">
            <v>#N/A</v>
          </cell>
          <cell r="AQ139" t="e">
            <v>#N/A</v>
          </cell>
          <cell r="AR139" t="e">
            <v>#N/A</v>
          </cell>
          <cell r="AS139" t="e">
            <v>#N/A</v>
          </cell>
          <cell r="AT139" t="e">
            <v>#N/A</v>
          </cell>
          <cell r="AU139" t="e">
            <v>#N/A</v>
          </cell>
          <cell r="AV139" t="e">
            <v>#N/A</v>
          </cell>
        </row>
        <row r="140">
          <cell r="A140">
            <v>68</v>
          </cell>
          <cell r="B140" t="str">
            <v>1eps_label</v>
          </cell>
          <cell r="C140" t="str">
            <v>Label for analyst EPS</v>
          </cell>
          <cell r="D140" t="str">
            <v>(text)</v>
          </cell>
          <cell r="E140">
            <v>0</v>
          </cell>
          <cell r="F140">
            <v>0</v>
          </cell>
          <cell r="G140">
            <v>0</v>
          </cell>
          <cell r="H140">
            <v>0</v>
          </cell>
          <cell r="I140">
            <v>0</v>
          </cell>
          <cell r="J140">
            <v>0</v>
          </cell>
          <cell r="K140">
            <v>0</v>
          </cell>
          <cell r="L140">
            <v>0</v>
          </cell>
          <cell r="M140">
            <v>0</v>
          </cell>
          <cell r="N140" t="str">
            <v>eps_label</v>
          </cell>
          <cell r="O140">
            <v>1</v>
          </cell>
          <cell r="P140">
            <v>0</v>
          </cell>
          <cell r="Q140">
            <v>1</v>
          </cell>
          <cell r="R140" t="str">
            <v>S</v>
          </cell>
          <cell r="S140">
            <v>2</v>
          </cell>
          <cell r="T140" t="str">
            <v>null</v>
          </cell>
          <cell r="U140">
            <v>1</v>
          </cell>
          <cell r="V140">
            <v>0</v>
          </cell>
          <cell r="W140">
            <v>0</v>
          </cell>
          <cell r="X140">
            <v>0</v>
          </cell>
          <cell r="Y140">
            <v>0</v>
          </cell>
          <cell r="Z140">
            <v>0</v>
          </cell>
          <cell r="AA140">
            <v>309</v>
          </cell>
          <cell r="AB140" t="str">
            <v>Fundamental data p&amp;L</v>
          </cell>
          <cell r="AC140">
            <v>132</v>
          </cell>
          <cell r="AD140">
            <v>0</v>
          </cell>
          <cell r="AE140">
            <v>0</v>
          </cell>
          <cell r="AF140">
            <v>0</v>
          </cell>
          <cell r="AG140">
            <v>0</v>
          </cell>
          <cell r="AH140">
            <v>0</v>
          </cell>
          <cell r="AI140">
            <v>0</v>
          </cell>
          <cell r="AJ140">
            <v>0</v>
          </cell>
          <cell r="AK140">
            <v>0</v>
          </cell>
          <cell r="AL140">
            <v>0</v>
          </cell>
          <cell r="AM140">
            <v>0</v>
          </cell>
          <cell r="AN140">
            <v>68</v>
          </cell>
          <cell r="AO140" t="str">
            <v>Label for analyst EPS</v>
          </cell>
          <cell r="AP140" t="str">
            <v>text</v>
          </cell>
          <cell r="AQ140">
            <v>0</v>
          </cell>
          <cell r="AR140">
            <v>0</v>
          </cell>
          <cell r="AS140">
            <v>0</v>
          </cell>
          <cell r="AT140">
            <v>0</v>
          </cell>
          <cell r="AU140" t="e">
            <v>#VALUE!</v>
          </cell>
          <cell r="AV140" t="e">
            <v>#VALUE!</v>
          </cell>
        </row>
        <row r="141">
          <cell r="A141">
            <v>69.2</v>
          </cell>
          <cell r="B141" t="str">
            <v>2est_5yr_av_eps_growth</v>
          </cell>
          <cell r="C141" t="str">
            <v>Estimated 5yr average EPS growth</v>
          </cell>
          <cell r="D141" t="str">
            <v>(%)</v>
          </cell>
          <cell r="E141">
            <v>0</v>
          </cell>
          <cell r="F141">
            <v>0</v>
          </cell>
          <cell r="G141">
            <v>0</v>
          </cell>
          <cell r="H141">
            <v>0</v>
          </cell>
          <cell r="I141">
            <v>0</v>
          </cell>
          <cell r="J141">
            <v>0</v>
          </cell>
          <cell r="K141">
            <v>0</v>
          </cell>
          <cell r="L141">
            <v>0</v>
          </cell>
          <cell r="M141">
            <v>0</v>
          </cell>
          <cell r="N141" t="str">
            <v>est_5yr_av_eps_growth</v>
          </cell>
          <cell r="O141">
            <v>0</v>
          </cell>
          <cell r="P141">
            <v>0</v>
          </cell>
          <cell r="Q141">
            <v>0.01</v>
          </cell>
          <cell r="R141" t="str">
            <v>S</v>
          </cell>
          <cell r="S141">
            <v>2</v>
          </cell>
          <cell r="T141" t="str">
            <v>null</v>
          </cell>
          <cell r="U141">
            <v>2</v>
          </cell>
          <cell r="V141">
            <v>0</v>
          </cell>
          <cell r="W141">
            <v>0</v>
          </cell>
          <cell r="X141">
            <v>0</v>
          </cell>
          <cell r="Y141">
            <v>0</v>
          </cell>
          <cell r="Z141">
            <v>0</v>
          </cell>
          <cell r="AA141">
            <v>200</v>
          </cell>
          <cell r="AB141" t="str">
            <v>Fundamental data p&amp;L</v>
          </cell>
          <cell r="AC141">
            <v>136</v>
          </cell>
          <cell r="AD141">
            <v>0</v>
          </cell>
          <cell r="AE141" t="str">
            <v>c_st_est_5yr_av_eps_growth</v>
          </cell>
          <cell r="AF141">
            <v>0</v>
          </cell>
          <cell r="AG141">
            <v>0</v>
          </cell>
          <cell r="AH141">
            <v>0</v>
          </cell>
          <cell r="AI141">
            <v>0</v>
          </cell>
          <cell r="AJ141">
            <v>0</v>
          </cell>
          <cell r="AK141">
            <v>0</v>
          </cell>
          <cell r="AL141">
            <v>0</v>
          </cell>
          <cell r="AM141">
            <v>0</v>
          </cell>
          <cell r="AN141" t="e">
            <v>#N/A</v>
          </cell>
          <cell r="AO141" t="e">
            <v>#N/A</v>
          </cell>
          <cell r="AP141" t="e">
            <v>#N/A</v>
          </cell>
          <cell r="AQ141" t="e">
            <v>#N/A</v>
          </cell>
          <cell r="AR141" t="e">
            <v>#N/A</v>
          </cell>
          <cell r="AS141" t="e">
            <v>#N/A</v>
          </cell>
          <cell r="AT141" t="e">
            <v>#N/A</v>
          </cell>
          <cell r="AU141" t="e">
            <v>#N/A</v>
          </cell>
          <cell r="AV141" t="e">
            <v>#N/A</v>
          </cell>
        </row>
        <row r="142">
          <cell r="A142">
            <v>70.2</v>
          </cell>
          <cell r="B142" t="str">
            <v>2est_3yr_av_eps_growth</v>
          </cell>
          <cell r="C142" t="str">
            <v>Estimated 3yr average EPS growth</v>
          </cell>
          <cell r="D142" t="str">
            <v>(%)</v>
          </cell>
          <cell r="E142">
            <v>0</v>
          </cell>
          <cell r="F142">
            <v>0</v>
          </cell>
          <cell r="G142">
            <v>0</v>
          </cell>
          <cell r="H142">
            <v>0</v>
          </cell>
          <cell r="I142">
            <v>0</v>
          </cell>
          <cell r="J142">
            <v>0</v>
          </cell>
          <cell r="K142">
            <v>0</v>
          </cell>
          <cell r="L142">
            <v>0</v>
          </cell>
          <cell r="M142">
            <v>0</v>
          </cell>
          <cell r="N142" t="str">
            <v>est_3yr_av_eps_growth</v>
          </cell>
          <cell r="O142">
            <v>0</v>
          </cell>
          <cell r="P142">
            <v>0</v>
          </cell>
          <cell r="Q142">
            <v>0.01</v>
          </cell>
          <cell r="R142" t="str">
            <v>S</v>
          </cell>
          <cell r="S142">
            <v>2</v>
          </cell>
          <cell r="T142" t="str">
            <v>null</v>
          </cell>
          <cell r="U142">
            <v>2</v>
          </cell>
          <cell r="V142">
            <v>0</v>
          </cell>
          <cell r="W142">
            <v>0</v>
          </cell>
          <cell r="X142">
            <v>0</v>
          </cell>
          <cell r="Y142">
            <v>0</v>
          </cell>
          <cell r="Z142">
            <v>0</v>
          </cell>
          <cell r="AA142">
            <v>198</v>
          </cell>
          <cell r="AB142" t="str">
            <v>Fundamental data p&amp;L</v>
          </cell>
          <cell r="AC142">
            <v>137</v>
          </cell>
          <cell r="AD142">
            <v>0</v>
          </cell>
          <cell r="AE142" t="str">
            <v>c_st_est_3yr_av_eps_growth</v>
          </cell>
          <cell r="AF142">
            <v>0</v>
          </cell>
          <cell r="AG142">
            <v>0</v>
          </cell>
          <cell r="AH142">
            <v>0</v>
          </cell>
          <cell r="AI142">
            <v>0</v>
          </cell>
          <cell r="AJ142">
            <v>0</v>
          </cell>
          <cell r="AK142">
            <v>0</v>
          </cell>
          <cell r="AL142">
            <v>0</v>
          </cell>
          <cell r="AM142">
            <v>0</v>
          </cell>
          <cell r="AN142" t="e">
            <v>#N/A</v>
          </cell>
          <cell r="AO142" t="e">
            <v>#N/A</v>
          </cell>
          <cell r="AP142" t="e">
            <v>#N/A</v>
          </cell>
          <cell r="AQ142" t="e">
            <v>#N/A</v>
          </cell>
          <cell r="AR142" t="e">
            <v>#N/A</v>
          </cell>
          <cell r="AS142" t="e">
            <v>#N/A</v>
          </cell>
          <cell r="AT142" t="e">
            <v>#N/A</v>
          </cell>
          <cell r="AU142" t="e">
            <v>#N/A</v>
          </cell>
          <cell r="AV142" t="e">
            <v>#N/A</v>
          </cell>
        </row>
        <row r="143">
          <cell r="A143">
            <v>71</v>
          </cell>
          <cell r="B143" t="str">
            <v>1cash_earnings_per_share</v>
          </cell>
          <cell r="C143" t="str">
            <v>Cash earnings per share</v>
          </cell>
          <cell r="D143" t="str">
            <v>(unit)</v>
          </cell>
          <cell r="E143">
            <v>0</v>
          </cell>
          <cell r="F143">
            <v>0</v>
          </cell>
          <cell r="G143">
            <v>0</v>
          </cell>
          <cell r="H143">
            <v>0</v>
          </cell>
          <cell r="I143">
            <v>0</v>
          </cell>
          <cell r="J143">
            <v>0</v>
          </cell>
          <cell r="K143">
            <v>0</v>
          </cell>
          <cell r="L143">
            <v>0</v>
          </cell>
          <cell r="M143">
            <v>0</v>
          </cell>
          <cell r="N143" t="str">
            <v>cash_earnings_per_share</v>
          </cell>
          <cell r="O143">
            <v>0</v>
          </cell>
          <cell r="P143">
            <v>0</v>
          </cell>
          <cell r="Q143">
            <v>1</v>
          </cell>
          <cell r="R143" t="str">
            <v>S</v>
          </cell>
          <cell r="S143">
            <v>2</v>
          </cell>
          <cell r="T143" t="str">
            <v>null</v>
          </cell>
          <cell r="U143">
            <v>1</v>
          </cell>
          <cell r="V143">
            <v>0</v>
          </cell>
          <cell r="W143">
            <v>0</v>
          </cell>
          <cell r="X143">
            <v>0</v>
          </cell>
          <cell r="Y143">
            <v>0</v>
          </cell>
          <cell r="Z143">
            <v>0</v>
          </cell>
          <cell r="AA143">
            <v>60</v>
          </cell>
          <cell r="AB143" t="str">
            <v>Fundamental data p&amp;L</v>
          </cell>
          <cell r="AC143">
            <v>138</v>
          </cell>
          <cell r="AD143">
            <v>0</v>
          </cell>
          <cell r="AE143">
            <v>0</v>
          </cell>
          <cell r="AF143">
            <v>0</v>
          </cell>
          <cell r="AG143">
            <v>0</v>
          </cell>
          <cell r="AH143">
            <v>0</v>
          </cell>
          <cell r="AI143">
            <v>0</v>
          </cell>
          <cell r="AJ143">
            <v>0</v>
          </cell>
          <cell r="AK143">
            <v>0</v>
          </cell>
          <cell r="AL143">
            <v>0</v>
          </cell>
          <cell r="AM143">
            <v>0</v>
          </cell>
          <cell r="AN143">
            <v>71</v>
          </cell>
          <cell r="AO143" t="str">
            <v>Cash Earnings per share</v>
          </cell>
          <cell r="AP143" t="str">
            <v>p</v>
          </cell>
          <cell r="AQ143">
            <v>0</v>
          </cell>
          <cell r="AR143">
            <v>0</v>
          </cell>
          <cell r="AS143">
            <v>0</v>
          </cell>
          <cell r="AT143">
            <v>0</v>
          </cell>
          <cell r="AU143" t="e">
            <v>#VALUE!</v>
          </cell>
          <cell r="AV143" t="e">
            <v>#VALUE!</v>
          </cell>
        </row>
        <row r="144">
          <cell r="A144">
            <v>72</v>
          </cell>
          <cell r="B144" t="str">
            <v>1dividend_per_share</v>
          </cell>
          <cell r="C144" t="str">
            <v>Dividend per share</v>
          </cell>
          <cell r="D144" t="str">
            <v>(unit)</v>
          </cell>
          <cell r="E144">
            <v>0</v>
          </cell>
          <cell r="F144">
            <v>0</v>
          </cell>
          <cell r="G144">
            <v>0</v>
          </cell>
          <cell r="H144">
            <v>0</v>
          </cell>
          <cell r="I144">
            <v>0</v>
          </cell>
          <cell r="J144">
            <v>0</v>
          </cell>
          <cell r="K144">
            <v>0</v>
          </cell>
          <cell r="L144">
            <v>0</v>
          </cell>
          <cell r="M144">
            <v>0</v>
          </cell>
          <cell r="N144" t="str">
            <v>dividend_per_share</v>
          </cell>
          <cell r="O144">
            <v>0</v>
          </cell>
          <cell r="P144">
            <v>0</v>
          </cell>
          <cell r="Q144">
            <v>1</v>
          </cell>
          <cell r="R144" t="str">
            <v>S</v>
          </cell>
          <cell r="S144">
            <v>2</v>
          </cell>
          <cell r="T144" t="str">
            <v>null</v>
          </cell>
          <cell r="U144">
            <v>1</v>
          </cell>
          <cell r="V144" t="str">
            <v>UK</v>
          </cell>
          <cell r="W144">
            <v>0</v>
          </cell>
          <cell r="X144">
            <v>0</v>
          </cell>
          <cell r="Y144">
            <v>0</v>
          </cell>
          <cell r="Z144">
            <v>0</v>
          </cell>
          <cell r="AA144">
            <v>151</v>
          </cell>
          <cell r="AB144" t="str">
            <v>Fundamental data p&amp;L</v>
          </cell>
          <cell r="AC144">
            <v>139</v>
          </cell>
          <cell r="AD144">
            <v>0</v>
          </cell>
          <cell r="AE144">
            <v>0</v>
          </cell>
          <cell r="AF144">
            <v>0</v>
          </cell>
          <cell r="AG144">
            <v>0</v>
          </cell>
          <cell r="AH144">
            <v>0</v>
          </cell>
          <cell r="AI144">
            <v>0</v>
          </cell>
          <cell r="AJ144">
            <v>0</v>
          </cell>
          <cell r="AK144">
            <v>0</v>
          </cell>
          <cell r="AL144">
            <v>0</v>
          </cell>
          <cell r="AM144">
            <v>0</v>
          </cell>
          <cell r="AN144">
            <v>72</v>
          </cell>
          <cell r="AO144" t="str">
            <v>Dividend per share*</v>
          </cell>
          <cell r="AP144" t="str">
            <v>p</v>
          </cell>
          <cell r="AQ144">
            <v>0</v>
          </cell>
          <cell r="AR144">
            <v>0</v>
          </cell>
          <cell r="AS144">
            <v>0</v>
          </cell>
          <cell r="AT144">
            <v>0</v>
          </cell>
          <cell r="AU144" t="e">
            <v>#VALUE!</v>
          </cell>
          <cell r="AV144" t="e">
            <v>#VALUE!</v>
          </cell>
        </row>
        <row r="145">
          <cell r="A145">
            <v>73</v>
          </cell>
          <cell r="B145" t="str">
            <v>2dps_growth_yoy</v>
          </cell>
          <cell r="C145" t="str">
            <v>DPS growth y-o-y</v>
          </cell>
          <cell r="D145" t="str">
            <v>(%)</v>
          </cell>
          <cell r="E145">
            <v>0</v>
          </cell>
          <cell r="F145">
            <v>0</v>
          </cell>
          <cell r="G145">
            <v>0</v>
          </cell>
          <cell r="H145">
            <v>0</v>
          </cell>
          <cell r="I145">
            <v>0</v>
          </cell>
          <cell r="J145">
            <v>0</v>
          </cell>
          <cell r="K145">
            <v>0</v>
          </cell>
          <cell r="L145">
            <v>0</v>
          </cell>
          <cell r="M145">
            <v>0</v>
          </cell>
          <cell r="N145" t="str">
            <v>dps_growth_yoy</v>
          </cell>
          <cell r="O145">
            <v>0</v>
          </cell>
          <cell r="P145">
            <v>0</v>
          </cell>
          <cell r="Q145">
            <v>0.01</v>
          </cell>
          <cell r="R145" t="str">
            <v>S</v>
          </cell>
          <cell r="S145">
            <v>2</v>
          </cell>
          <cell r="T145" t="str">
            <v>null</v>
          </cell>
          <cell r="U145">
            <v>2</v>
          </cell>
          <cell r="V145">
            <v>0</v>
          </cell>
          <cell r="W145">
            <v>0</v>
          </cell>
          <cell r="X145">
            <v>0</v>
          </cell>
          <cell r="Y145">
            <v>0</v>
          </cell>
          <cell r="Z145">
            <v>0</v>
          </cell>
          <cell r="AA145">
            <v>159</v>
          </cell>
          <cell r="AB145" t="str">
            <v>Fundamental data p&amp;L</v>
          </cell>
          <cell r="AC145">
            <v>140</v>
          </cell>
          <cell r="AD145">
            <v>0</v>
          </cell>
          <cell r="AE145">
            <v>0</v>
          </cell>
          <cell r="AF145">
            <v>0</v>
          </cell>
          <cell r="AG145">
            <v>0</v>
          </cell>
          <cell r="AH145">
            <v>0</v>
          </cell>
          <cell r="AI145">
            <v>0</v>
          </cell>
          <cell r="AJ145">
            <v>0</v>
          </cell>
          <cell r="AK145">
            <v>0</v>
          </cell>
          <cell r="AL145">
            <v>0</v>
          </cell>
          <cell r="AM145">
            <v>0</v>
          </cell>
          <cell r="AN145">
            <v>73</v>
          </cell>
          <cell r="AO145" t="str">
            <v>DPS growth y-o-y</v>
          </cell>
          <cell r="AP145" t="str">
            <v>%</v>
          </cell>
          <cell r="AQ145">
            <v>0</v>
          </cell>
          <cell r="AR145">
            <v>0</v>
          </cell>
          <cell r="AS145" t="str">
            <v>standard y-o-y growth calc on 72</v>
          </cell>
          <cell r="AT145">
            <v>0</v>
          </cell>
          <cell r="AU145" t="e">
            <v>#VALUE!</v>
          </cell>
          <cell r="AV145" t="e">
            <v>#VALUE!</v>
          </cell>
        </row>
        <row r="146">
          <cell r="A146">
            <v>72.2</v>
          </cell>
          <cell r="B146" t="str">
            <v>1fd_special_dps</v>
          </cell>
          <cell r="C146" t="str">
            <v>Special dividends per share</v>
          </cell>
          <cell r="D146" t="str">
            <v>(unit)</v>
          </cell>
          <cell r="E146">
            <v>0</v>
          </cell>
          <cell r="F146">
            <v>0</v>
          </cell>
          <cell r="G146">
            <v>0</v>
          </cell>
          <cell r="H146">
            <v>0</v>
          </cell>
          <cell r="I146">
            <v>0</v>
          </cell>
          <cell r="J146">
            <v>0</v>
          </cell>
          <cell r="K146">
            <v>0</v>
          </cell>
          <cell r="L146">
            <v>0</v>
          </cell>
          <cell r="M146">
            <v>0</v>
          </cell>
          <cell r="N146" t="str">
            <v>fd_special_dps</v>
          </cell>
          <cell r="O146">
            <v>0</v>
          </cell>
          <cell r="P146">
            <v>0</v>
          </cell>
          <cell r="Q146">
            <v>1</v>
          </cell>
          <cell r="R146" t="str">
            <v>S</v>
          </cell>
          <cell r="S146">
            <v>2</v>
          </cell>
          <cell r="T146" t="str">
            <v>null</v>
          </cell>
          <cell r="U146">
            <v>1</v>
          </cell>
          <cell r="V146">
            <v>0</v>
          </cell>
          <cell r="W146">
            <v>0</v>
          </cell>
          <cell r="X146">
            <v>0</v>
          </cell>
          <cell r="Y146">
            <v>0</v>
          </cell>
          <cell r="Z146">
            <v>0</v>
          </cell>
          <cell r="AA146">
            <v>18</v>
          </cell>
          <cell r="AB146" t="str">
            <v>Fundamental data p&amp;L</v>
          </cell>
          <cell r="AC146">
            <v>141</v>
          </cell>
          <cell r="AD146">
            <v>0</v>
          </cell>
          <cell r="AE146">
            <v>0</v>
          </cell>
          <cell r="AF146">
            <v>0</v>
          </cell>
          <cell r="AG146">
            <v>0</v>
          </cell>
          <cell r="AH146">
            <v>0</v>
          </cell>
          <cell r="AI146">
            <v>0</v>
          </cell>
          <cell r="AJ146">
            <v>0</v>
          </cell>
          <cell r="AK146">
            <v>0</v>
          </cell>
          <cell r="AL146">
            <v>0</v>
          </cell>
          <cell r="AM146">
            <v>0</v>
          </cell>
          <cell r="AN146" t="e">
            <v>#N/A</v>
          </cell>
          <cell r="AO146" t="e">
            <v>#N/A</v>
          </cell>
          <cell r="AP146" t="e">
            <v>#N/A</v>
          </cell>
          <cell r="AQ146" t="e">
            <v>#N/A</v>
          </cell>
          <cell r="AR146" t="e">
            <v>#N/A</v>
          </cell>
          <cell r="AS146" t="e">
            <v>#N/A</v>
          </cell>
          <cell r="AT146" t="e">
            <v>#N/A</v>
          </cell>
          <cell r="AU146" t="e">
            <v>#N/A</v>
          </cell>
          <cell r="AV146" t="e">
            <v>#N/A</v>
          </cell>
        </row>
        <row r="147">
          <cell r="A147">
            <v>74</v>
          </cell>
          <cell r="B147" t="str">
            <v>2market_cons_dps</v>
          </cell>
          <cell r="C147" t="str">
            <v>Market consensus DPS</v>
          </cell>
          <cell r="D147" t="str">
            <v>(unit)</v>
          </cell>
          <cell r="E147">
            <v>0</v>
          </cell>
          <cell r="F147">
            <v>0</v>
          </cell>
          <cell r="G147">
            <v>0</v>
          </cell>
          <cell r="H147">
            <v>0</v>
          </cell>
          <cell r="I147">
            <v>0</v>
          </cell>
          <cell r="J147">
            <v>0</v>
          </cell>
          <cell r="K147">
            <v>0</v>
          </cell>
          <cell r="L147">
            <v>0</v>
          </cell>
          <cell r="M147">
            <v>0</v>
          </cell>
          <cell r="N147" t="str">
            <v>market_cons_dps</v>
          </cell>
          <cell r="O147">
            <v>0</v>
          </cell>
          <cell r="P147">
            <v>0</v>
          </cell>
          <cell r="Q147">
            <v>1</v>
          </cell>
          <cell r="R147" t="str">
            <v>S</v>
          </cell>
          <cell r="S147">
            <v>2</v>
          </cell>
          <cell r="T147" t="str">
            <v>null</v>
          </cell>
          <cell r="U147">
            <v>2</v>
          </cell>
          <cell r="V147">
            <v>0</v>
          </cell>
          <cell r="W147">
            <v>0</v>
          </cell>
          <cell r="X147">
            <v>0</v>
          </cell>
          <cell r="Y147">
            <v>0</v>
          </cell>
          <cell r="Z147">
            <v>0</v>
          </cell>
          <cell r="AA147">
            <v>334</v>
          </cell>
          <cell r="AB147" t="str">
            <v>Fundamental data p&amp;L</v>
          </cell>
          <cell r="AC147">
            <v>142</v>
          </cell>
          <cell r="AD147">
            <v>0</v>
          </cell>
          <cell r="AE147">
            <v>0</v>
          </cell>
          <cell r="AF147">
            <v>0</v>
          </cell>
          <cell r="AG147">
            <v>0</v>
          </cell>
          <cell r="AH147">
            <v>0</v>
          </cell>
          <cell r="AI147">
            <v>0</v>
          </cell>
          <cell r="AJ147">
            <v>0</v>
          </cell>
          <cell r="AK147">
            <v>0</v>
          </cell>
          <cell r="AL147">
            <v>0</v>
          </cell>
          <cell r="AM147">
            <v>0</v>
          </cell>
          <cell r="AN147">
            <v>74</v>
          </cell>
          <cell r="AO147" t="str">
            <v>Market consensus DPS</v>
          </cell>
          <cell r="AP147" t="str">
            <v>p</v>
          </cell>
          <cell r="AQ147">
            <v>0</v>
          </cell>
          <cell r="AR147">
            <v>0</v>
          </cell>
          <cell r="AS147">
            <v>0</v>
          </cell>
          <cell r="AT147">
            <v>0</v>
          </cell>
          <cell r="AU147" t="e">
            <v>#VALUE!</v>
          </cell>
          <cell r="AV147" t="e">
            <v>#VALUE!</v>
          </cell>
        </row>
        <row r="148">
          <cell r="A148">
            <v>74.8</v>
          </cell>
          <cell r="B148" t="str">
            <v>1gross_dividend_per_share</v>
          </cell>
          <cell r="C148" t="str">
            <v>Gross dividend per share</v>
          </cell>
          <cell r="D148" t="str">
            <v>(unit)</v>
          </cell>
          <cell r="E148">
            <v>0</v>
          </cell>
          <cell r="F148">
            <v>0</v>
          </cell>
          <cell r="G148">
            <v>0</v>
          </cell>
          <cell r="H148">
            <v>0</v>
          </cell>
          <cell r="I148">
            <v>0</v>
          </cell>
          <cell r="J148">
            <v>0</v>
          </cell>
          <cell r="K148">
            <v>0</v>
          </cell>
          <cell r="L148">
            <v>0</v>
          </cell>
          <cell r="M148">
            <v>0</v>
          </cell>
          <cell r="N148" t="str">
            <v>gross_dividend_per_share</v>
          </cell>
          <cell r="O148">
            <v>0</v>
          </cell>
          <cell r="P148">
            <v>0</v>
          </cell>
          <cell r="Q148">
            <v>1</v>
          </cell>
          <cell r="R148" t="str">
            <v>S</v>
          </cell>
          <cell r="S148">
            <v>2</v>
          </cell>
          <cell r="T148" t="str">
            <v>null</v>
          </cell>
          <cell r="U148">
            <v>1</v>
          </cell>
          <cell r="V148">
            <v>0</v>
          </cell>
          <cell r="W148">
            <v>0</v>
          </cell>
          <cell r="X148">
            <v>0</v>
          </cell>
          <cell r="Y148">
            <v>0</v>
          </cell>
          <cell r="Z148">
            <v>0</v>
          </cell>
          <cell r="AA148">
            <v>151</v>
          </cell>
          <cell r="AB148" t="str">
            <v>Fundamental data p&amp;L</v>
          </cell>
          <cell r="AC148">
            <v>139</v>
          </cell>
          <cell r="AD148">
            <v>0</v>
          </cell>
          <cell r="AE148">
            <v>0</v>
          </cell>
          <cell r="AF148">
            <v>0</v>
          </cell>
          <cell r="AG148">
            <v>0</v>
          </cell>
          <cell r="AH148">
            <v>0</v>
          </cell>
          <cell r="AI148">
            <v>0</v>
          </cell>
          <cell r="AJ148">
            <v>0</v>
          </cell>
          <cell r="AK148">
            <v>0</v>
          </cell>
          <cell r="AL148">
            <v>0</v>
          </cell>
          <cell r="AM148">
            <v>0</v>
          </cell>
          <cell r="AN148">
            <v>72</v>
          </cell>
          <cell r="AO148" t="str">
            <v>Dividend per share*</v>
          </cell>
          <cell r="AP148" t="str">
            <v>p</v>
          </cell>
          <cell r="AQ148">
            <v>0</v>
          </cell>
          <cell r="AR148">
            <v>0</v>
          </cell>
          <cell r="AS148">
            <v>0</v>
          </cell>
          <cell r="AT148">
            <v>0</v>
          </cell>
          <cell r="AU148" t="e">
            <v>#VALUE!</v>
          </cell>
          <cell r="AV148" t="e">
            <v>#VALUE!</v>
          </cell>
        </row>
        <row r="149">
          <cell r="A149">
            <v>397</v>
          </cell>
          <cell r="B149" t="str">
            <v>1fd_preference_dividends</v>
          </cell>
          <cell r="C149" t="str">
            <v>Preference dividends</v>
          </cell>
          <cell r="D149" t="str">
            <v>(m)</v>
          </cell>
          <cell r="E149">
            <v>0</v>
          </cell>
          <cell r="F149">
            <v>0</v>
          </cell>
          <cell r="G149">
            <v>0</v>
          </cell>
          <cell r="H149">
            <v>0</v>
          </cell>
          <cell r="I149">
            <v>0</v>
          </cell>
          <cell r="J149">
            <v>0</v>
          </cell>
          <cell r="K149">
            <v>0</v>
          </cell>
          <cell r="L149">
            <v>0</v>
          </cell>
          <cell r="M149">
            <v>0</v>
          </cell>
          <cell r="N149" t="str">
            <v>fd_preference_dividends</v>
          </cell>
          <cell r="O149">
            <v>0</v>
          </cell>
          <cell r="P149">
            <v>0</v>
          </cell>
          <cell r="Q149">
            <v>1000000</v>
          </cell>
          <cell r="R149" t="str">
            <v>E</v>
          </cell>
          <cell r="S149">
            <v>2</v>
          </cell>
          <cell r="T149" t="str">
            <v>null</v>
          </cell>
          <cell r="U149">
            <v>1</v>
          </cell>
          <cell r="V149">
            <v>0</v>
          </cell>
          <cell r="W149">
            <v>0</v>
          </cell>
          <cell r="X149">
            <v>0</v>
          </cell>
          <cell r="Y149">
            <v>0</v>
          </cell>
          <cell r="Z149">
            <v>0</v>
          </cell>
          <cell r="AA149">
            <v>473</v>
          </cell>
          <cell r="AB149" t="str">
            <v>Fundamental data p&amp;L</v>
          </cell>
          <cell r="AC149">
            <v>143</v>
          </cell>
          <cell r="AD149">
            <v>0</v>
          </cell>
          <cell r="AE149">
            <v>0</v>
          </cell>
          <cell r="AF149">
            <v>0</v>
          </cell>
          <cell r="AG149">
            <v>0</v>
          </cell>
          <cell r="AH149">
            <v>0</v>
          </cell>
          <cell r="AI149">
            <v>0</v>
          </cell>
          <cell r="AJ149">
            <v>0</v>
          </cell>
          <cell r="AK149">
            <v>0</v>
          </cell>
          <cell r="AL149">
            <v>0</v>
          </cell>
          <cell r="AM149">
            <v>0</v>
          </cell>
          <cell r="AN149" t="e">
            <v>#N/A</v>
          </cell>
          <cell r="AO149" t="e">
            <v>#N/A</v>
          </cell>
          <cell r="AP149" t="e">
            <v>#N/A</v>
          </cell>
          <cell r="AQ149" t="e">
            <v>#N/A</v>
          </cell>
          <cell r="AR149" t="e">
            <v>#N/A</v>
          </cell>
          <cell r="AS149" t="e">
            <v>#N/A</v>
          </cell>
          <cell r="AT149" t="e">
            <v>#N/A</v>
          </cell>
          <cell r="AU149" t="e">
            <v>#N/A</v>
          </cell>
          <cell r="AV149" t="e">
            <v>#N/A</v>
          </cell>
        </row>
        <row r="150">
          <cell r="A150">
            <v>75</v>
          </cell>
          <cell r="B150" t="str">
            <v>1fd_dividend_tax</v>
          </cell>
          <cell r="C150" t="str">
            <v>Dividend tax rate</v>
          </cell>
          <cell r="D150" t="str">
            <v>(%)</v>
          </cell>
          <cell r="E150">
            <v>0</v>
          </cell>
          <cell r="F150">
            <v>0</v>
          </cell>
          <cell r="G150">
            <v>0</v>
          </cell>
          <cell r="H150">
            <v>0</v>
          </cell>
          <cell r="I150">
            <v>0</v>
          </cell>
          <cell r="J150">
            <v>0</v>
          </cell>
          <cell r="K150">
            <v>0</v>
          </cell>
          <cell r="L150">
            <v>0</v>
          </cell>
          <cell r="M150">
            <v>0</v>
          </cell>
          <cell r="N150" t="str">
            <v>fd_dividend_tax</v>
          </cell>
          <cell r="O150">
            <v>0</v>
          </cell>
          <cell r="P150">
            <v>0</v>
          </cell>
          <cell r="Q150">
            <v>0.01</v>
          </cell>
          <cell r="R150" t="str">
            <v>E</v>
          </cell>
          <cell r="S150">
            <v>2</v>
          </cell>
          <cell r="T150" t="str">
            <v>null</v>
          </cell>
          <cell r="U150">
            <v>1</v>
          </cell>
          <cell r="V150">
            <v>0</v>
          </cell>
          <cell r="W150">
            <v>0</v>
          </cell>
          <cell r="X150">
            <v>0</v>
          </cell>
          <cell r="Y150">
            <v>0</v>
          </cell>
          <cell r="Z150">
            <v>0</v>
          </cell>
          <cell r="AA150">
            <v>152</v>
          </cell>
          <cell r="AB150" t="str">
            <v>Fundamental data p&amp;L</v>
          </cell>
          <cell r="AC150">
            <v>144</v>
          </cell>
          <cell r="AD150" t="str">
            <v>CO LEVEL</v>
          </cell>
          <cell r="AE150">
            <v>0</v>
          </cell>
          <cell r="AF150">
            <v>0</v>
          </cell>
          <cell r="AG150">
            <v>0</v>
          </cell>
          <cell r="AH150">
            <v>0</v>
          </cell>
          <cell r="AI150">
            <v>0</v>
          </cell>
          <cell r="AJ150">
            <v>0</v>
          </cell>
          <cell r="AK150">
            <v>0</v>
          </cell>
          <cell r="AL150">
            <v>0</v>
          </cell>
          <cell r="AM150">
            <v>0</v>
          </cell>
          <cell r="AN150">
            <v>75</v>
          </cell>
          <cell r="AO150" t="str">
            <v>Dividend tax</v>
          </cell>
          <cell r="AP150" t="str">
            <v>%</v>
          </cell>
          <cell r="AQ150">
            <v>0</v>
          </cell>
          <cell r="AR150">
            <v>0</v>
          </cell>
          <cell r="AS150">
            <v>0</v>
          </cell>
          <cell r="AT150">
            <v>0</v>
          </cell>
          <cell r="AU150" t="e">
            <v>#VALUE!</v>
          </cell>
          <cell r="AV150" t="e">
            <v>#VALUE!</v>
          </cell>
        </row>
        <row r="151">
          <cell r="A151">
            <v>75.5</v>
          </cell>
          <cell r="B151" t="str">
            <v>1fd_dividend_tax</v>
          </cell>
          <cell r="C151" t="str">
            <v>Dividend tax rate</v>
          </cell>
          <cell r="D151" t="str">
            <v>(%)</v>
          </cell>
          <cell r="E151">
            <v>0</v>
          </cell>
          <cell r="F151">
            <v>0</v>
          </cell>
          <cell r="G151">
            <v>0</v>
          </cell>
          <cell r="H151">
            <v>0</v>
          </cell>
          <cell r="I151">
            <v>0</v>
          </cell>
          <cell r="J151">
            <v>0</v>
          </cell>
          <cell r="K151">
            <v>0</v>
          </cell>
          <cell r="L151">
            <v>0</v>
          </cell>
          <cell r="M151">
            <v>0</v>
          </cell>
          <cell r="N151" t="str">
            <v>fd_dividend_tax</v>
          </cell>
          <cell r="O151">
            <v>0</v>
          </cell>
          <cell r="P151">
            <v>0</v>
          </cell>
          <cell r="Q151">
            <v>0.01</v>
          </cell>
          <cell r="R151" t="str">
            <v>S</v>
          </cell>
          <cell r="S151">
            <v>2</v>
          </cell>
          <cell r="T151" t="str">
            <v>null</v>
          </cell>
          <cell r="U151">
            <v>1</v>
          </cell>
          <cell r="V151">
            <v>0</v>
          </cell>
          <cell r="W151">
            <v>0</v>
          </cell>
          <cell r="X151">
            <v>0</v>
          </cell>
          <cell r="Y151">
            <v>0</v>
          </cell>
          <cell r="Z151">
            <v>0</v>
          </cell>
          <cell r="AA151">
            <v>152</v>
          </cell>
          <cell r="AB151" t="str">
            <v>Share data</v>
          </cell>
          <cell r="AC151">
            <v>144</v>
          </cell>
          <cell r="AD151" t="str">
            <v>SHARE LEVEL</v>
          </cell>
          <cell r="AE151">
            <v>0</v>
          </cell>
          <cell r="AF151">
            <v>0</v>
          </cell>
          <cell r="AG151">
            <v>0</v>
          </cell>
          <cell r="AH151">
            <v>0</v>
          </cell>
          <cell r="AI151">
            <v>0</v>
          </cell>
          <cell r="AJ151">
            <v>0</v>
          </cell>
          <cell r="AK151">
            <v>0</v>
          </cell>
          <cell r="AL151">
            <v>0</v>
          </cell>
          <cell r="AM151">
            <v>0</v>
          </cell>
          <cell r="AN151">
            <v>75</v>
          </cell>
          <cell r="AO151" t="str">
            <v>Dividend tax</v>
          </cell>
          <cell r="AP151" t="str">
            <v>%</v>
          </cell>
          <cell r="AQ151">
            <v>0</v>
          </cell>
          <cell r="AR151">
            <v>0</v>
          </cell>
          <cell r="AS151">
            <v>0</v>
          </cell>
          <cell r="AT151">
            <v>0</v>
          </cell>
          <cell r="AU151" t="e">
            <v>#VALUE!</v>
          </cell>
          <cell r="AV151" t="e">
            <v>#VALUE!</v>
          </cell>
        </row>
        <row r="152">
          <cell r="A152">
            <v>76</v>
          </cell>
          <cell r="B152" t="str">
            <v>1fd_gross_interest_charge</v>
          </cell>
          <cell r="C152" t="str">
            <v>Gross interest charge</v>
          </cell>
          <cell r="D152" t="str">
            <v>(m)</v>
          </cell>
          <cell r="E152">
            <v>0</v>
          </cell>
          <cell r="F152">
            <v>0</v>
          </cell>
          <cell r="G152">
            <v>0</v>
          </cell>
          <cell r="H152">
            <v>0</v>
          </cell>
          <cell r="I152">
            <v>0</v>
          </cell>
          <cell r="J152">
            <v>0</v>
          </cell>
          <cell r="K152">
            <v>0</v>
          </cell>
          <cell r="L152">
            <v>0</v>
          </cell>
          <cell r="M152">
            <v>0</v>
          </cell>
          <cell r="N152" t="str">
            <v>fd_gross_interest_charge</v>
          </cell>
          <cell r="O152">
            <v>0</v>
          </cell>
          <cell r="P152">
            <v>0</v>
          </cell>
          <cell r="Q152">
            <v>1000000</v>
          </cell>
          <cell r="R152" t="str">
            <v>E</v>
          </cell>
          <cell r="S152">
            <v>2</v>
          </cell>
          <cell r="T152" t="str">
            <v>null</v>
          </cell>
          <cell r="U152">
            <v>1</v>
          </cell>
          <cell r="V152">
            <v>0</v>
          </cell>
          <cell r="W152">
            <v>0</v>
          </cell>
          <cell r="X152">
            <v>0</v>
          </cell>
          <cell r="Y152">
            <v>0</v>
          </cell>
          <cell r="Z152">
            <v>0</v>
          </cell>
          <cell r="AA152">
            <v>278</v>
          </cell>
          <cell r="AB152" t="str">
            <v>Fundamental data p&amp;L</v>
          </cell>
          <cell r="AC152">
            <v>145</v>
          </cell>
          <cell r="AD152">
            <v>0</v>
          </cell>
          <cell r="AE152">
            <v>0</v>
          </cell>
          <cell r="AF152">
            <v>0</v>
          </cell>
          <cell r="AG152">
            <v>0</v>
          </cell>
          <cell r="AH152">
            <v>0</v>
          </cell>
          <cell r="AI152">
            <v>0</v>
          </cell>
          <cell r="AJ152">
            <v>0</v>
          </cell>
          <cell r="AK152">
            <v>0</v>
          </cell>
          <cell r="AL152">
            <v>0</v>
          </cell>
          <cell r="AM152">
            <v>0</v>
          </cell>
          <cell r="AN152">
            <v>76</v>
          </cell>
          <cell r="AO152" t="str">
            <v>Gross Interest Charge</v>
          </cell>
          <cell r="AP152" t="str">
            <v>m</v>
          </cell>
          <cell r="AQ152">
            <v>0</v>
          </cell>
          <cell r="AR152">
            <v>0</v>
          </cell>
          <cell r="AS152">
            <v>0</v>
          </cell>
          <cell r="AT152">
            <v>0</v>
          </cell>
          <cell r="AU152" t="e">
            <v>#VALUE!</v>
          </cell>
          <cell r="AV152" t="e">
            <v>#VALUE!</v>
          </cell>
        </row>
        <row r="153">
          <cell r="A153">
            <v>376</v>
          </cell>
          <cell r="B153" t="str">
            <v>1fd_gross_income</v>
          </cell>
          <cell r="C153" t="str">
            <v>Gross income</v>
          </cell>
          <cell r="D153" t="str">
            <v>(m)</v>
          </cell>
          <cell r="E153">
            <v>0</v>
          </cell>
          <cell r="F153">
            <v>0</v>
          </cell>
          <cell r="G153">
            <v>0</v>
          </cell>
          <cell r="H153">
            <v>0</v>
          </cell>
          <cell r="I153">
            <v>0</v>
          </cell>
          <cell r="J153">
            <v>0</v>
          </cell>
          <cell r="K153">
            <v>0</v>
          </cell>
          <cell r="L153">
            <v>0</v>
          </cell>
          <cell r="M153">
            <v>0</v>
          </cell>
          <cell r="N153" t="str">
            <v>fd_gross_income</v>
          </cell>
          <cell r="O153">
            <v>0</v>
          </cell>
          <cell r="P153">
            <v>0</v>
          </cell>
          <cell r="Q153">
            <v>1000000</v>
          </cell>
          <cell r="R153" t="str">
            <v>E</v>
          </cell>
          <cell r="S153">
            <v>2</v>
          </cell>
          <cell r="T153" t="str">
            <v>null</v>
          </cell>
          <cell r="U153">
            <v>1</v>
          </cell>
          <cell r="V153">
            <v>0</v>
          </cell>
          <cell r="W153">
            <v>0</v>
          </cell>
          <cell r="X153">
            <v>0</v>
          </cell>
          <cell r="Y153">
            <v>0</v>
          </cell>
          <cell r="Z153">
            <v>0</v>
          </cell>
          <cell r="AA153">
            <v>277</v>
          </cell>
          <cell r="AB153" t="str">
            <v>Fundamental data p&amp;L</v>
          </cell>
          <cell r="AC153">
            <v>147</v>
          </cell>
          <cell r="AD153">
            <v>0</v>
          </cell>
          <cell r="AE153">
            <v>0</v>
          </cell>
          <cell r="AF153">
            <v>0</v>
          </cell>
          <cell r="AG153">
            <v>0</v>
          </cell>
          <cell r="AH153">
            <v>0</v>
          </cell>
          <cell r="AI153">
            <v>0</v>
          </cell>
          <cell r="AJ153">
            <v>0</v>
          </cell>
          <cell r="AK153">
            <v>0</v>
          </cell>
          <cell r="AL153">
            <v>0</v>
          </cell>
          <cell r="AM153">
            <v>0</v>
          </cell>
          <cell r="AN153" t="e">
            <v>#N/A</v>
          </cell>
          <cell r="AO153" t="e">
            <v>#N/A</v>
          </cell>
          <cell r="AP153" t="e">
            <v>#N/A</v>
          </cell>
          <cell r="AQ153" t="e">
            <v>#N/A</v>
          </cell>
          <cell r="AR153" t="e">
            <v>#N/A</v>
          </cell>
          <cell r="AS153" t="e">
            <v>#N/A</v>
          </cell>
          <cell r="AT153" t="e">
            <v>#N/A</v>
          </cell>
          <cell r="AU153" t="e">
            <v>#N/A</v>
          </cell>
          <cell r="AV153" t="e">
            <v>#N/A</v>
          </cell>
        </row>
        <row r="154">
          <cell r="A154">
            <v>429</v>
          </cell>
          <cell r="B154" t="str">
            <v>1fd_other_income</v>
          </cell>
          <cell r="C154" t="str">
            <v>Other income</v>
          </cell>
          <cell r="D154" t="str">
            <v>(m)</v>
          </cell>
          <cell r="E154">
            <v>0</v>
          </cell>
          <cell r="F154">
            <v>0</v>
          </cell>
          <cell r="G154">
            <v>0</v>
          </cell>
          <cell r="H154">
            <v>0</v>
          </cell>
          <cell r="I154">
            <v>0</v>
          </cell>
          <cell r="J154">
            <v>0</v>
          </cell>
          <cell r="K154">
            <v>0</v>
          </cell>
          <cell r="L154">
            <v>0</v>
          </cell>
          <cell r="M154">
            <v>0</v>
          </cell>
          <cell r="N154" t="str">
            <v>fd_other_income</v>
          </cell>
          <cell r="O154">
            <v>0</v>
          </cell>
          <cell r="P154">
            <v>0</v>
          </cell>
          <cell r="Q154">
            <v>1000000</v>
          </cell>
          <cell r="R154" t="str">
            <v>E</v>
          </cell>
          <cell r="S154">
            <v>2</v>
          </cell>
          <cell r="T154" t="str">
            <v>null</v>
          </cell>
          <cell r="U154">
            <v>1</v>
          </cell>
          <cell r="V154">
            <v>0</v>
          </cell>
          <cell r="W154">
            <v>0</v>
          </cell>
          <cell r="X154">
            <v>0</v>
          </cell>
          <cell r="Y154">
            <v>0</v>
          </cell>
          <cell r="Z154">
            <v>0</v>
          </cell>
          <cell r="AA154">
            <v>445</v>
          </cell>
          <cell r="AB154" t="str">
            <v>Fundamental data p&amp;L</v>
          </cell>
          <cell r="AC154">
            <v>148</v>
          </cell>
          <cell r="AD154">
            <v>0</v>
          </cell>
          <cell r="AE154">
            <v>0</v>
          </cell>
          <cell r="AF154">
            <v>0</v>
          </cell>
          <cell r="AG154">
            <v>0</v>
          </cell>
          <cell r="AH154">
            <v>0</v>
          </cell>
          <cell r="AI154">
            <v>0</v>
          </cell>
          <cell r="AJ154">
            <v>0</v>
          </cell>
          <cell r="AK154">
            <v>0</v>
          </cell>
          <cell r="AL154">
            <v>0</v>
          </cell>
          <cell r="AM154">
            <v>0</v>
          </cell>
          <cell r="AN154" t="e">
            <v>#N/A</v>
          </cell>
          <cell r="AO154" t="e">
            <v>#N/A</v>
          </cell>
          <cell r="AP154" t="e">
            <v>#N/A</v>
          </cell>
          <cell r="AQ154" t="e">
            <v>#N/A</v>
          </cell>
          <cell r="AR154" t="e">
            <v>#N/A</v>
          </cell>
          <cell r="AS154" t="e">
            <v>#N/A</v>
          </cell>
          <cell r="AT154" t="e">
            <v>#N/A</v>
          </cell>
          <cell r="AU154" t="e">
            <v>#N/A</v>
          </cell>
          <cell r="AV154" t="e">
            <v>#N/A</v>
          </cell>
        </row>
        <row r="155">
          <cell r="A155">
            <v>372</v>
          </cell>
          <cell r="B155" t="str">
            <v>1oil_price</v>
          </cell>
          <cell r="C155" t="str">
            <v>Oil price</v>
          </cell>
          <cell r="D155" t="str">
            <v>$/bbl</v>
          </cell>
          <cell r="E155">
            <v>0</v>
          </cell>
          <cell r="F155">
            <v>0</v>
          </cell>
          <cell r="G155">
            <v>0</v>
          </cell>
          <cell r="H155">
            <v>0</v>
          </cell>
          <cell r="I155">
            <v>0</v>
          </cell>
          <cell r="J155">
            <v>0</v>
          </cell>
          <cell r="K155">
            <v>0</v>
          </cell>
          <cell r="L155">
            <v>0</v>
          </cell>
          <cell r="M155">
            <v>0</v>
          </cell>
          <cell r="N155" t="str">
            <v>oil_price</v>
          </cell>
          <cell r="O155">
            <v>0</v>
          </cell>
          <cell r="P155">
            <v>0</v>
          </cell>
          <cell r="Q155">
            <v>1</v>
          </cell>
          <cell r="R155" t="str">
            <v>E</v>
          </cell>
          <cell r="S155">
            <v>2</v>
          </cell>
          <cell r="T155" t="str">
            <v>null</v>
          </cell>
          <cell r="U155">
            <v>1</v>
          </cell>
          <cell r="V155">
            <v>0</v>
          </cell>
          <cell r="W155">
            <v>0</v>
          </cell>
          <cell r="X155">
            <v>0</v>
          </cell>
          <cell r="Y155">
            <v>0</v>
          </cell>
          <cell r="Z155">
            <v>0</v>
          </cell>
          <cell r="AA155">
            <v>416</v>
          </cell>
          <cell r="AB155" t="str">
            <v>Fundamental data p&amp;L</v>
          </cell>
          <cell r="AC155">
            <v>150</v>
          </cell>
          <cell r="AD155">
            <v>0</v>
          </cell>
          <cell r="AE155">
            <v>0</v>
          </cell>
          <cell r="AF155">
            <v>0</v>
          </cell>
          <cell r="AG155">
            <v>0</v>
          </cell>
          <cell r="AH155">
            <v>0</v>
          </cell>
          <cell r="AI155">
            <v>0</v>
          </cell>
          <cell r="AJ155">
            <v>0</v>
          </cell>
          <cell r="AK155">
            <v>0</v>
          </cell>
          <cell r="AL155">
            <v>0</v>
          </cell>
          <cell r="AM155">
            <v>0</v>
          </cell>
          <cell r="AN155" t="e">
            <v>#N/A</v>
          </cell>
          <cell r="AO155" t="e">
            <v>#N/A</v>
          </cell>
          <cell r="AP155" t="e">
            <v>#N/A</v>
          </cell>
          <cell r="AQ155" t="e">
            <v>#N/A</v>
          </cell>
          <cell r="AR155" t="e">
            <v>#N/A</v>
          </cell>
          <cell r="AS155" t="e">
            <v>#N/A</v>
          </cell>
          <cell r="AT155" t="e">
            <v>#N/A</v>
          </cell>
          <cell r="AU155" t="e">
            <v>#N/A</v>
          </cell>
          <cell r="AV155" t="e">
            <v>#N/A</v>
          </cell>
        </row>
        <row r="156">
          <cell r="A156">
            <v>373</v>
          </cell>
          <cell r="B156" t="str">
            <v>1gas_price</v>
          </cell>
          <cell r="C156" t="str">
            <v>Gas price</v>
          </cell>
          <cell r="D156" t="str">
            <v>$/mfc</v>
          </cell>
          <cell r="E156">
            <v>0</v>
          </cell>
          <cell r="F156">
            <v>0</v>
          </cell>
          <cell r="G156">
            <v>0</v>
          </cell>
          <cell r="H156">
            <v>0</v>
          </cell>
          <cell r="I156">
            <v>0</v>
          </cell>
          <cell r="J156">
            <v>0</v>
          </cell>
          <cell r="K156">
            <v>0</v>
          </cell>
          <cell r="L156">
            <v>0</v>
          </cell>
          <cell r="M156">
            <v>0</v>
          </cell>
          <cell r="N156" t="str">
            <v>gas_price</v>
          </cell>
          <cell r="O156">
            <v>0</v>
          </cell>
          <cell r="P156">
            <v>0</v>
          </cell>
          <cell r="Q156">
            <v>1</v>
          </cell>
          <cell r="R156" t="str">
            <v>E</v>
          </cell>
          <cell r="S156">
            <v>2</v>
          </cell>
          <cell r="T156" t="str">
            <v>null</v>
          </cell>
          <cell r="U156">
            <v>1</v>
          </cell>
          <cell r="V156">
            <v>0</v>
          </cell>
          <cell r="W156">
            <v>0</v>
          </cell>
          <cell r="X156">
            <v>0</v>
          </cell>
          <cell r="Y156">
            <v>0</v>
          </cell>
          <cell r="Z156">
            <v>0</v>
          </cell>
          <cell r="AA156">
            <v>261</v>
          </cell>
          <cell r="AB156" t="str">
            <v>Fundamental data p&amp;L</v>
          </cell>
          <cell r="AC156">
            <v>151</v>
          </cell>
          <cell r="AD156">
            <v>0</v>
          </cell>
          <cell r="AE156">
            <v>0</v>
          </cell>
          <cell r="AF156">
            <v>0</v>
          </cell>
          <cell r="AG156">
            <v>0</v>
          </cell>
          <cell r="AH156">
            <v>0</v>
          </cell>
          <cell r="AI156">
            <v>0</v>
          </cell>
          <cell r="AJ156">
            <v>0</v>
          </cell>
          <cell r="AK156">
            <v>0</v>
          </cell>
          <cell r="AL156">
            <v>0</v>
          </cell>
          <cell r="AM156">
            <v>0</v>
          </cell>
          <cell r="AN156" t="e">
            <v>#N/A</v>
          </cell>
          <cell r="AO156" t="e">
            <v>#N/A</v>
          </cell>
          <cell r="AP156" t="e">
            <v>#N/A</v>
          </cell>
          <cell r="AQ156" t="e">
            <v>#N/A</v>
          </cell>
          <cell r="AR156" t="e">
            <v>#N/A</v>
          </cell>
          <cell r="AS156" t="e">
            <v>#N/A</v>
          </cell>
          <cell r="AT156" t="e">
            <v>#N/A</v>
          </cell>
          <cell r="AU156" t="e">
            <v>#N/A</v>
          </cell>
          <cell r="AV156" t="e">
            <v>#N/A</v>
          </cell>
        </row>
        <row r="157">
          <cell r="A157">
            <v>374</v>
          </cell>
          <cell r="B157" t="str">
            <v>1exchange_rate</v>
          </cell>
          <cell r="C157" t="str">
            <v>Exchange rate</v>
          </cell>
          <cell r="D157" t="str">
            <v>$/£</v>
          </cell>
          <cell r="E157">
            <v>0</v>
          </cell>
          <cell r="F157">
            <v>0</v>
          </cell>
          <cell r="G157">
            <v>0</v>
          </cell>
          <cell r="H157">
            <v>0</v>
          </cell>
          <cell r="I157">
            <v>0</v>
          </cell>
          <cell r="J157">
            <v>0</v>
          </cell>
          <cell r="K157">
            <v>0</v>
          </cell>
          <cell r="L157">
            <v>0</v>
          </cell>
          <cell r="M157">
            <v>0</v>
          </cell>
          <cell r="N157" t="str">
            <v>exchange_rate</v>
          </cell>
          <cell r="O157">
            <v>1</v>
          </cell>
          <cell r="P157">
            <v>0</v>
          </cell>
          <cell r="Q157">
            <v>1</v>
          </cell>
          <cell r="R157" t="str">
            <v>S</v>
          </cell>
          <cell r="S157">
            <v>2</v>
          </cell>
          <cell r="T157" t="str">
            <v>null</v>
          </cell>
          <cell r="U157">
            <v>1</v>
          </cell>
          <cell r="V157">
            <v>0</v>
          </cell>
          <cell r="W157">
            <v>0</v>
          </cell>
          <cell r="X157">
            <v>0</v>
          </cell>
          <cell r="Y157">
            <v>0</v>
          </cell>
          <cell r="Z157">
            <v>0</v>
          </cell>
          <cell r="AA157">
            <v>235</v>
          </cell>
          <cell r="AB157" t="str">
            <v>Fundamental data p&amp;L</v>
          </cell>
          <cell r="AC157">
            <v>152</v>
          </cell>
          <cell r="AD157">
            <v>0</v>
          </cell>
          <cell r="AE157">
            <v>0</v>
          </cell>
          <cell r="AF157">
            <v>0</v>
          </cell>
          <cell r="AG157">
            <v>0</v>
          </cell>
          <cell r="AH157">
            <v>0</v>
          </cell>
          <cell r="AI157">
            <v>0</v>
          </cell>
          <cell r="AJ157">
            <v>0</v>
          </cell>
          <cell r="AK157">
            <v>0</v>
          </cell>
          <cell r="AL157">
            <v>0</v>
          </cell>
          <cell r="AM157">
            <v>0</v>
          </cell>
          <cell r="AN157" t="e">
            <v>#N/A</v>
          </cell>
          <cell r="AO157" t="e">
            <v>#N/A</v>
          </cell>
          <cell r="AP157" t="e">
            <v>#N/A</v>
          </cell>
          <cell r="AQ157" t="e">
            <v>#N/A</v>
          </cell>
          <cell r="AR157" t="e">
            <v>#N/A</v>
          </cell>
          <cell r="AS157" t="e">
            <v>#N/A</v>
          </cell>
          <cell r="AT157" t="e">
            <v>#N/A</v>
          </cell>
          <cell r="AU157" t="e">
            <v>#N/A</v>
          </cell>
          <cell r="AV157" t="e">
            <v>#N/A</v>
          </cell>
        </row>
        <row r="158">
          <cell r="A158">
            <v>79</v>
          </cell>
          <cell r="B158" t="str">
            <v>1fd_net_interest_income</v>
          </cell>
          <cell r="C158" t="str">
            <v>Net interest income</v>
          </cell>
          <cell r="D158" t="str">
            <v>(m)</v>
          </cell>
          <cell r="E158">
            <v>0</v>
          </cell>
          <cell r="F158">
            <v>0</v>
          </cell>
          <cell r="G158">
            <v>0</v>
          </cell>
          <cell r="H158">
            <v>0</v>
          </cell>
          <cell r="I158">
            <v>0</v>
          </cell>
          <cell r="J158">
            <v>0</v>
          </cell>
          <cell r="K158">
            <v>0</v>
          </cell>
          <cell r="L158">
            <v>0</v>
          </cell>
          <cell r="M158">
            <v>0</v>
          </cell>
          <cell r="N158" t="str">
            <v>fd_net_interest_income</v>
          </cell>
          <cell r="O158">
            <v>0</v>
          </cell>
          <cell r="P158">
            <v>0</v>
          </cell>
          <cell r="Q158">
            <v>1000000</v>
          </cell>
          <cell r="R158" t="str">
            <v>E</v>
          </cell>
          <cell r="S158">
            <v>2</v>
          </cell>
          <cell r="T158" t="str">
            <v>null</v>
          </cell>
          <cell r="U158">
            <v>1</v>
          </cell>
          <cell r="V158">
            <v>0</v>
          </cell>
          <cell r="W158">
            <v>0</v>
          </cell>
          <cell r="X158">
            <v>0</v>
          </cell>
          <cell r="Y158">
            <v>0</v>
          </cell>
          <cell r="Z158">
            <v>0</v>
          </cell>
          <cell r="AA158">
            <v>382</v>
          </cell>
          <cell r="AB158" t="str">
            <v>Fundamental data p&amp;L</v>
          </cell>
          <cell r="AC158">
            <v>154</v>
          </cell>
          <cell r="AD158">
            <v>0</v>
          </cell>
          <cell r="AE158">
            <v>0</v>
          </cell>
          <cell r="AF158">
            <v>0</v>
          </cell>
          <cell r="AG158">
            <v>0</v>
          </cell>
          <cell r="AH158">
            <v>0</v>
          </cell>
          <cell r="AI158">
            <v>0</v>
          </cell>
          <cell r="AJ158">
            <v>0</v>
          </cell>
          <cell r="AK158">
            <v>0</v>
          </cell>
          <cell r="AL158">
            <v>0</v>
          </cell>
          <cell r="AM158">
            <v>0</v>
          </cell>
          <cell r="AN158">
            <v>79</v>
          </cell>
          <cell r="AO158" t="str">
            <v>Net interest income</v>
          </cell>
          <cell r="AP158" t="str">
            <v>m</v>
          </cell>
          <cell r="AQ158">
            <v>0</v>
          </cell>
          <cell r="AR158" t="str">
            <v>Banks</v>
          </cell>
          <cell r="AS158">
            <v>0</v>
          </cell>
          <cell r="AT158">
            <v>0</v>
          </cell>
          <cell r="AU158" t="e">
            <v>#VALUE!</v>
          </cell>
          <cell r="AV158" t="e">
            <v>#VALUE!</v>
          </cell>
        </row>
        <row r="159">
          <cell r="A159">
            <v>80</v>
          </cell>
          <cell r="B159" t="str">
            <v>1fd_fees_revenues</v>
          </cell>
          <cell r="C159" t="str">
            <v>Fees/revenues</v>
          </cell>
          <cell r="D159" t="str">
            <v>(%)</v>
          </cell>
          <cell r="E159">
            <v>0</v>
          </cell>
          <cell r="F159">
            <v>0</v>
          </cell>
          <cell r="G159">
            <v>0</v>
          </cell>
          <cell r="H159">
            <v>0</v>
          </cell>
          <cell r="I159">
            <v>0</v>
          </cell>
          <cell r="J159">
            <v>0</v>
          </cell>
          <cell r="K159">
            <v>0</v>
          </cell>
          <cell r="L159">
            <v>0</v>
          </cell>
          <cell r="M159">
            <v>0</v>
          </cell>
          <cell r="N159" t="str">
            <v>fd_fees_revenues</v>
          </cell>
          <cell r="O159">
            <v>0</v>
          </cell>
          <cell r="P159">
            <v>0</v>
          </cell>
          <cell r="Q159">
            <v>0.01</v>
          </cell>
          <cell r="R159" t="str">
            <v>E</v>
          </cell>
          <cell r="S159">
            <v>2</v>
          </cell>
          <cell r="T159" t="str">
            <v>null</v>
          </cell>
          <cell r="U159">
            <v>1</v>
          </cell>
          <cell r="V159">
            <v>0</v>
          </cell>
          <cell r="W159">
            <v>0</v>
          </cell>
          <cell r="X159">
            <v>0</v>
          </cell>
          <cell r="Y159">
            <v>0</v>
          </cell>
          <cell r="Z159">
            <v>0</v>
          </cell>
          <cell r="AA159">
            <v>240</v>
          </cell>
          <cell r="AB159" t="str">
            <v>Fundamental data p&amp;L</v>
          </cell>
          <cell r="AC159">
            <v>155</v>
          </cell>
          <cell r="AD159">
            <v>0</v>
          </cell>
          <cell r="AE159">
            <v>0</v>
          </cell>
          <cell r="AF159">
            <v>0</v>
          </cell>
          <cell r="AG159">
            <v>0</v>
          </cell>
          <cell r="AH159">
            <v>0</v>
          </cell>
          <cell r="AI159">
            <v>0</v>
          </cell>
          <cell r="AJ159">
            <v>0</v>
          </cell>
          <cell r="AK159">
            <v>0</v>
          </cell>
          <cell r="AL159">
            <v>0</v>
          </cell>
          <cell r="AM159">
            <v>0</v>
          </cell>
          <cell r="AN159">
            <v>80</v>
          </cell>
          <cell r="AO159" t="str">
            <v>Fees/revenues %</v>
          </cell>
          <cell r="AP159" t="str">
            <v>%</v>
          </cell>
          <cell r="AQ159">
            <v>0</v>
          </cell>
          <cell r="AR159" t="str">
            <v>Banks</v>
          </cell>
          <cell r="AS159">
            <v>0</v>
          </cell>
          <cell r="AT159">
            <v>0</v>
          </cell>
          <cell r="AU159" t="e">
            <v>#VALUE!</v>
          </cell>
          <cell r="AV159" t="e">
            <v>#VALUE!</v>
          </cell>
        </row>
        <row r="160">
          <cell r="A160">
            <v>81</v>
          </cell>
          <cell r="B160" t="str">
            <v>1fd_nonlife_premiums</v>
          </cell>
          <cell r="C160" t="str">
            <v>Non-life premiums</v>
          </cell>
          <cell r="D160" t="str">
            <v>(m)</v>
          </cell>
          <cell r="E160">
            <v>0</v>
          </cell>
          <cell r="F160">
            <v>0</v>
          </cell>
          <cell r="G160">
            <v>0</v>
          </cell>
          <cell r="H160">
            <v>0</v>
          </cell>
          <cell r="I160">
            <v>0</v>
          </cell>
          <cell r="J160">
            <v>0</v>
          </cell>
          <cell r="K160">
            <v>0</v>
          </cell>
          <cell r="L160">
            <v>0</v>
          </cell>
          <cell r="M160">
            <v>0</v>
          </cell>
          <cell r="N160" t="str">
            <v>fd_nonlife_premiums</v>
          </cell>
          <cell r="O160">
            <v>0</v>
          </cell>
          <cell r="P160">
            <v>0</v>
          </cell>
          <cell r="Q160">
            <v>1000000</v>
          </cell>
          <cell r="R160" t="str">
            <v>E</v>
          </cell>
          <cell r="S160">
            <v>2</v>
          </cell>
          <cell r="T160" t="str">
            <v>null</v>
          </cell>
          <cell r="U160">
            <v>1</v>
          </cell>
          <cell r="V160">
            <v>0</v>
          </cell>
          <cell r="W160">
            <v>0</v>
          </cell>
          <cell r="X160">
            <v>0</v>
          </cell>
          <cell r="Y160">
            <v>0</v>
          </cell>
          <cell r="Z160">
            <v>0</v>
          </cell>
          <cell r="AA160">
            <v>403</v>
          </cell>
          <cell r="AB160" t="str">
            <v>Fundamental data p&amp;L</v>
          </cell>
          <cell r="AC160">
            <v>156</v>
          </cell>
          <cell r="AD160">
            <v>0</v>
          </cell>
          <cell r="AE160">
            <v>0</v>
          </cell>
          <cell r="AF160">
            <v>0</v>
          </cell>
          <cell r="AG160">
            <v>0</v>
          </cell>
          <cell r="AH160">
            <v>0</v>
          </cell>
          <cell r="AI160">
            <v>0</v>
          </cell>
          <cell r="AJ160">
            <v>0</v>
          </cell>
          <cell r="AK160">
            <v>0</v>
          </cell>
          <cell r="AL160">
            <v>0</v>
          </cell>
          <cell r="AM160">
            <v>0</v>
          </cell>
          <cell r="AN160">
            <v>81</v>
          </cell>
          <cell r="AO160" t="str">
            <v>Non-Life Premiums</v>
          </cell>
          <cell r="AP160" t="str">
            <v>m</v>
          </cell>
          <cell r="AQ160">
            <v>0</v>
          </cell>
          <cell r="AR160" t="str">
            <v>Insurance</v>
          </cell>
          <cell r="AS160">
            <v>0</v>
          </cell>
          <cell r="AT160">
            <v>0</v>
          </cell>
          <cell r="AU160" t="e">
            <v>#VALUE!</v>
          </cell>
          <cell r="AV160" t="e">
            <v>#VALUE!</v>
          </cell>
        </row>
        <row r="161">
          <cell r="A161">
            <v>81.2</v>
          </cell>
          <cell r="B161" t="str">
            <v>2r_nonlife_premiums_grwth_yoy</v>
          </cell>
          <cell r="C161" t="str">
            <v>Non-life premiums growth y-o-y</v>
          </cell>
          <cell r="D161" t="str">
            <v>(%)</v>
          </cell>
          <cell r="E161">
            <v>0</v>
          </cell>
          <cell r="F161">
            <v>0</v>
          </cell>
          <cell r="G161">
            <v>0</v>
          </cell>
          <cell r="H161">
            <v>0</v>
          </cell>
          <cell r="I161">
            <v>0</v>
          </cell>
          <cell r="J161">
            <v>0</v>
          </cell>
          <cell r="K161">
            <v>0</v>
          </cell>
          <cell r="L161">
            <v>0</v>
          </cell>
          <cell r="M161">
            <v>0</v>
          </cell>
          <cell r="N161" t="str">
            <v>r_nonlife_premiums_grwth_yoy</v>
          </cell>
          <cell r="O161">
            <v>0</v>
          </cell>
          <cell r="P161">
            <v>0</v>
          </cell>
          <cell r="Q161">
            <v>0.01</v>
          </cell>
          <cell r="R161" t="str">
            <v>E</v>
          </cell>
          <cell r="S161">
            <v>2</v>
          </cell>
          <cell r="T161" t="str">
            <v>null</v>
          </cell>
          <cell r="U161">
            <v>2</v>
          </cell>
          <cell r="V161">
            <v>0</v>
          </cell>
          <cell r="W161">
            <v>0</v>
          </cell>
          <cell r="X161">
            <v>0</v>
          </cell>
          <cell r="Y161">
            <v>0</v>
          </cell>
          <cell r="Z161">
            <v>0</v>
          </cell>
          <cell r="AA161">
            <v>404</v>
          </cell>
          <cell r="AB161" t="str">
            <v>Fundamental data p&amp;L</v>
          </cell>
          <cell r="AC161">
            <v>157</v>
          </cell>
          <cell r="AD161">
            <v>0</v>
          </cell>
          <cell r="AE161">
            <v>0</v>
          </cell>
          <cell r="AF161">
            <v>0</v>
          </cell>
          <cell r="AG161">
            <v>0</v>
          </cell>
          <cell r="AH161">
            <v>0</v>
          </cell>
          <cell r="AI161">
            <v>0</v>
          </cell>
          <cell r="AJ161">
            <v>0</v>
          </cell>
          <cell r="AK161">
            <v>0</v>
          </cell>
          <cell r="AL161">
            <v>0</v>
          </cell>
          <cell r="AM161">
            <v>0</v>
          </cell>
          <cell r="AN161" t="e">
            <v>#N/A</v>
          </cell>
          <cell r="AO161" t="e">
            <v>#N/A</v>
          </cell>
          <cell r="AP161" t="e">
            <v>#N/A</v>
          </cell>
          <cell r="AQ161" t="e">
            <v>#N/A</v>
          </cell>
          <cell r="AR161" t="e">
            <v>#N/A</v>
          </cell>
          <cell r="AS161" t="e">
            <v>#N/A</v>
          </cell>
          <cell r="AT161" t="e">
            <v>#N/A</v>
          </cell>
          <cell r="AU161" t="e">
            <v>#N/A</v>
          </cell>
          <cell r="AV161" t="e">
            <v>#N/A</v>
          </cell>
        </row>
        <row r="162">
          <cell r="A162">
            <v>82</v>
          </cell>
          <cell r="B162" t="str">
            <v>1fd_life_premiums</v>
          </cell>
          <cell r="C162" t="str">
            <v>Life premiums</v>
          </cell>
          <cell r="D162" t="str">
            <v>(m)</v>
          </cell>
          <cell r="E162">
            <v>0</v>
          </cell>
          <cell r="F162">
            <v>0</v>
          </cell>
          <cell r="G162">
            <v>0</v>
          </cell>
          <cell r="H162">
            <v>0</v>
          </cell>
          <cell r="I162">
            <v>0</v>
          </cell>
          <cell r="J162">
            <v>0</v>
          </cell>
          <cell r="K162">
            <v>0</v>
          </cell>
          <cell r="L162">
            <v>0</v>
          </cell>
          <cell r="M162">
            <v>0</v>
          </cell>
          <cell r="N162" t="str">
            <v>fd_life_premiums</v>
          </cell>
          <cell r="O162">
            <v>0</v>
          </cell>
          <cell r="P162">
            <v>0</v>
          </cell>
          <cell r="Q162">
            <v>1000000</v>
          </cell>
          <cell r="R162" t="str">
            <v>E</v>
          </cell>
          <cell r="S162">
            <v>2</v>
          </cell>
          <cell r="T162" t="str">
            <v>null</v>
          </cell>
          <cell r="U162">
            <v>1</v>
          </cell>
          <cell r="V162">
            <v>0</v>
          </cell>
          <cell r="W162">
            <v>0</v>
          </cell>
          <cell r="X162">
            <v>0</v>
          </cell>
          <cell r="Y162">
            <v>0</v>
          </cell>
          <cell r="Z162">
            <v>0</v>
          </cell>
          <cell r="AA162">
            <v>312</v>
          </cell>
          <cell r="AB162" t="str">
            <v>Fundamental data p&amp;L</v>
          </cell>
          <cell r="AC162">
            <v>158</v>
          </cell>
          <cell r="AD162">
            <v>0</v>
          </cell>
          <cell r="AE162">
            <v>0</v>
          </cell>
          <cell r="AF162">
            <v>0</v>
          </cell>
          <cell r="AG162">
            <v>0</v>
          </cell>
          <cell r="AH162">
            <v>0</v>
          </cell>
          <cell r="AI162">
            <v>0</v>
          </cell>
          <cell r="AJ162">
            <v>0</v>
          </cell>
          <cell r="AK162">
            <v>0</v>
          </cell>
          <cell r="AL162">
            <v>0</v>
          </cell>
          <cell r="AM162">
            <v>0</v>
          </cell>
          <cell r="AN162">
            <v>82</v>
          </cell>
          <cell r="AO162" t="str">
            <v>Life Premiums</v>
          </cell>
          <cell r="AP162" t="str">
            <v>m</v>
          </cell>
          <cell r="AQ162">
            <v>0</v>
          </cell>
          <cell r="AR162" t="str">
            <v>Insurance</v>
          </cell>
          <cell r="AS162">
            <v>0</v>
          </cell>
          <cell r="AT162">
            <v>0</v>
          </cell>
          <cell r="AU162" t="e">
            <v>#VALUE!</v>
          </cell>
          <cell r="AV162" t="e">
            <v>#VALUE!</v>
          </cell>
        </row>
        <row r="163">
          <cell r="A163">
            <v>82.2</v>
          </cell>
          <cell r="B163" t="str">
            <v>2r_life_premiums_grwth_yoy</v>
          </cell>
          <cell r="C163" t="str">
            <v>Life premiums growth y-o-y</v>
          </cell>
          <cell r="D163" t="str">
            <v>(%)</v>
          </cell>
          <cell r="E163">
            <v>0</v>
          </cell>
          <cell r="F163">
            <v>0</v>
          </cell>
          <cell r="G163">
            <v>0</v>
          </cell>
          <cell r="H163">
            <v>0</v>
          </cell>
          <cell r="I163">
            <v>0</v>
          </cell>
          <cell r="J163">
            <v>0</v>
          </cell>
          <cell r="K163">
            <v>0</v>
          </cell>
          <cell r="L163">
            <v>0</v>
          </cell>
          <cell r="M163">
            <v>0</v>
          </cell>
          <cell r="N163" t="str">
            <v>r_life_premiums_grwth_yoy</v>
          </cell>
          <cell r="O163">
            <v>0</v>
          </cell>
          <cell r="P163">
            <v>0</v>
          </cell>
          <cell r="Q163">
            <v>0.01</v>
          </cell>
          <cell r="R163" t="str">
            <v>E</v>
          </cell>
          <cell r="S163">
            <v>2</v>
          </cell>
          <cell r="T163" t="str">
            <v>null</v>
          </cell>
          <cell r="U163">
            <v>2</v>
          </cell>
          <cell r="V163">
            <v>0</v>
          </cell>
          <cell r="W163">
            <v>0</v>
          </cell>
          <cell r="X163">
            <v>0</v>
          </cell>
          <cell r="Y163">
            <v>0</v>
          </cell>
          <cell r="Z163">
            <v>0</v>
          </cell>
          <cell r="AA163">
            <v>313</v>
          </cell>
          <cell r="AB163" t="str">
            <v>Fundamental data p&amp;L</v>
          </cell>
          <cell r="AC163">
            <v>159</v>
          </cell>
          <cell r="AD163">
            <v>0</v>
          </cell>
          <cell r="AE163">
            <v>0</v>
          </cell>
          <cell r="AF163">
            <v>0</v>
          </cell>
          <cell r="AG163">
            <v>0</v>
          </cell>
          <cell r="AH163">
            <v>0</v>
          </cell>
          <cell r="AI163">
            <v>0</v>
          </cell>
          <cell r="AJ163">
            <v>0</v>
          </cell>
          <cell r="AK163">
            <v>0</v>
          </cell>
          <cell r="AL163">
            <v>0</v>
          </cell>
          <cell r="AM163">
            <v>0</v>
          </cell>
          <cell r="AN163" t="e">
            <v>#N/A</v>
          </cell>
          <cell r="AO163" t="e">
            <v>#N/A</v>
          </cell>
          <cell r="AP163" t="e">
            <v>#N/A</v>
          </cell>
          <cell r="AQ163" t="e">
            <v>#N/A</v>
          </cell>
          <cell r="AR163" t="e">
            <v>#N/A</v>
          </cell>
          <cell r="AS163" t="e">
            <v>#N/A</v>
          </cell>
          <cell r="AT163" t="e">
            <v>#N/A</v>
          </cell>
          <cell r="AU163" t="e">
            <v>#N/A</v>
          </cell>
          <cell r="AV163" t="e">
            <v>#N/A</v>
          </cell>
        </row>
        <row r="164">
          <cell r="A164">
            <v>83</v>
          </cell>
          <cell r="B164" t="str">
            <v>1fd_total_premiums</v>
          </cell>
          <cell r="C164" t="str">
            <v>Total premiums</v>
          </cell>
          <cell r="D164" t="str">
            <v>(m)</v>
          </cell>
          <cell r="E164">
            <v>0</v>
          </cell>
          <cell r="F164">
            <v>0</v>
          </cell>
          <cell r="G164">
            <v>0</v>
          </cell>
          <cell r="H164">
            <v>0</v>
          </cell>
          <cell r="I164">
            <v>0</v>
          </cell>
          <cell r="J164">
            <v>0</v>
          </cell>
          <cell r="K164">
            <v>0</v>
          </cell>
          <cell r="L164">
            <v>0</v>
          </cell>
          <cell r="M164">
            <v>0</v>
          </cell>
          <cell r="N164" t="str">
            <v>fd_total_premiums</v>
          </cell>
          <cell r="O164">
            <v>0</v>
          </cell>
          <cell r="P164">
            <v>0</v>
          </cell>
          <cell r="Q164">
            <v>1000000</v>
          </cell>
          <cell r="R164" t="str">
            <v>E</v>
          </cell>
          <cell r="S164">
            <v>2</v>
          </cell>
          <cell r="T164" t="str">
            <v>null</v>
          </cell>
          <cell r="U164">
            <v>1</v>
          </cell>
          <cell r="V164">
            <v>0</v>
          </cell>
          <cell r="W164">
            <v>0</v>
          </cell>
          <cell r="X164">
            <v>0</v>
          </cell>
          <cell r="Y164">
            <v>0</v>
          </cell>
          <cell r="Z164">
            <v>0</v>
          </cell>
          <cell r="AA164">
            <v>565</v>
          </cell>
          <cell r="AB164" t="str">
            <v>Fundamental data p&amp;L</v>
          </cell>
          <cell r="AC164">
            <v>160</v>
          </cell>
          <cell r="AD164">
            <v>0</v>
          </cell>
          <cell r="AE164">
            <v>0</v>
          </cell>
          <cell r="AF164">
            <v>0</v>
          </cell>
          <cell r="AG164">
            <v>0</v>
          </cell>
          <cell r="AH164">
            <v>0</v>
          </cell>
          <cell r="AI164">
            <v>0</v>
          </cell>
          <cell r="AJ164">
            <v>81</v>
          </cell>
          <cell r="AK164">
            <v>82</v>
          </cell>
          <cell r="AL164">
            <v>0</v>
          </cell>
          <cell r="AM164">
            <v>0</v>
          </cell>
          <cell r="AN164">
            <v>83</v>
          </cell>
          <cell r="AO164" t="str">
            <v>Total Premiums</v>
          </cell>
          <cell r="AP164" t="str">
            <v>m</v>
          </cell>
          <cell r="AQ164">
            <v>0</v>
          </cell>
          <cell r="AR164" t="str">
            <v>Insurance</v>
          </cell>
          <cell r="AS164" t="str">
            <v>81 + 82</v>
          </cell>
          <cell r="AT164">
            <v>0</v>
          </cell>
          <cell r="AU164">
            <v>81</v>
          </cell>
          <cell r="AV164">
            <v>82</v>
          </cell>
          <cell r="AW164" t="str">
            <v>+</v>
          </cell>
        </row>
        <row r="165">
          <cell r="A165">
            <v>83.2</v>
          </cell>
          <cell r="B165" t="str">
            <v>2fd_sales_growth_yoy</v>
          </cell>
          <cell r="C165" t="str">
            <v>Total premiums growth y-o-y</v>
          </cell>
          <cell r="D165" t="str">
            <v>(%)</v>
          </cell>
          <cell r="E165">
            <v>0</v>
          </cell>
          <cell r="F165">
            <v>0</v>
          </cell>
          <cell r="G165">
            <v>0</v>
          </cell>
          <cell r="H165">
            <v>0</v>
          </cell>
          <cell r="I165">
            <v>0</v>
          </cell>
          <cell r="J165">
            <v>0</v>
          </cell>
          <cell r="K165">
            <v>0</v>
          </cell>
          <cell r="L165">
            <v>0</v>
          </cell>
          <cell r="M165">
            <v>0</v>
          </cell>
          <cell r="N165" t="str">
            <v>fd_sales_growth_yoy</v>
          </cell>
          <cell r="O165">
            <v>0</v>
          </cell>
          <cell r="P165">
            <v>0</v>
          </cell>
          <cell r="Q165">
            <v>0.01</v>
          </cell>
          <cell r="R165" t="str">
            <v>E</v>
          </cell>
          <cell r="S165">
            <v>2</v>
          </cell>
          <cell r="T165" t="str">
            <v>null</v>
          </cell>
          <cell r="U165">
            <v>2</v>
          </cell>
          <cell r="V165">
            <v>0</v>
          </cell>
          <cell r="W165">
            <v>0</v>
          </cell>
          <cell r="X165">
            <v>0</v>
          </cell>
          <cell r="Y165">
            <v>0</v>
          </cell>
          <cell r="Z165">
            <v>0</v>
          </cell>
          <cell r="AA165">
            <v>566</v>
          </cell>
          <cell r="AB165" t="str">
            <v>Fundamental data p&amp;L</v>
          </cell>
          <cell r="AC165">
            <v>161</v>
          </cell>
          <cell r="AD165">
            <v>0</v>
          </cell>
          <cell r="AE165">
            <v>0</v>
          </cell>
          <cell r="AF165">
            <v>0</v>
          </cell>
          <cell r="AG165">
            <v>0</v>
          </cell>
          <cell r="AH165">
            <v>0</v>
          </cell>
          <cell r="AI165">
            <v>0</v>
          </cell>
          <cell r="AJ165">
            <v>0</v>
          </cell>
          <cell r="AK165">
            <v>0</v>
          </cell>
          <cell r="AL165">
            <v>0</v>
          </cell>
          <cell r="AM165">
            <v>0</v>
          </cell>
          <cell r="AN165" t="e">
            <v>#N/A</v>
          </cell>
          <cell r="AO165" t="e">
            <v>#N/A</v>
          </cell>
          <cell r="AP165" t="e">
            <v>#N/A</v>
          </cell>
          <cell r="AQ165" t="e">
            <v>#N/A</v>
          </cell>
          <cell r="AR165" t="e">
            <v>#N/A</v>
          </cell>
          <cell r="AS165" t="e">
            <v>#N/A</v>
          </cell>
          <cell r="AT165" t="e">
            <v>#N/A</v>
          </cell>
          <cell r="AU165" t="e">
            <v>#N/A</v>
          </cell>
          <cell r="AV165" t="e">
            <v>#N/A</v>
          </cell>
        </row>
        <row r="166">
          <cell r="A166">
            <v>84</v>
          </cell>
          <cell r="B166" t="str">
            <v>1fd_life_mssb</v>
          </cell>
          <cell r="C166" t="str">
            <v>Life MSSB profit</v>
          </cell>
          <cell r="D166" t="str">
            <v>(m)</v>
          </cell>
          <cell r="E166">
            <v>0</v>
          </cell>
          <cell r="F166">
            <v>0</v>
          </cell>
          <cell r="G166">
            <v>0</v>
          </cell>
          <cell r="H166">
            <v>0</v>
          </cell>
          <cell r="I166">
            <v>0</v>
          </cell>
          <cell r="J166">
            <v>0</v>
          </cell>
          <cell r="K166">
            <v>0</v>
          </cell>
          <cell r="L166">
            <v>0</v>
          </cell>
          <cell r="M166">
            <v>0</v>
          </cell>
          <cell r="N166" t="str">
            <v>fd_life_mssb</v>
          </cell>
          <cell r="O166">
            <v>0</v>
          </cell>
          <cell r="P166">
            <v>0</v>
          </cell>
          <cell r="Q166">
            <v>1000000</v>
          </cell>
          <cell r="R166" t="str">
            <v>E</v>
          </cell>
          <cell r="S166">
            <v>2</v>
          </cell>
          <cell r="T166" t="str">
            <v>null</v>
          </cell>
          <cell r="U166">
            <v>1</v>
          </cell>
          <cell r="V166">
            <v>0</v>
          </cell>
          <cell r="W166">
            <v>0</v>
          </cell>
          <cell r="X166">
            <v>0</v>
          </cell>
          <cell r="Y166">
            <v>0</v>
          </cell>
          <cell r="Z166">
            <v>0</v>
          </cell>
          <cell r="AA166">
            <v>311</v>
          </cell>
          <cell r="AB166" t="str">
            <v>Fundamental data p&amp;L</v>
          </cell>
          <cell r="AC166">
            <v>162</v>
          </cell>
          <cell r="AD166">
            <v>0</v>
          </cell>
          <cell r="AE166">
            <v>0</v>
          </cell>
          <cell r="AF166">
            <v>0</v>
          </cell>
          <cell r="AG166">
            <v>0</v>
          </cell>
          <cell r="AH166">
            <v>0</v>
          </cell>
          <cell r="AI166">
            <v>0</v>
          </cell>
          <cell r="AJ166">
            <v>0</v>
          </cell>
          <cell r="AK166">
            <v>0</v>
          </cell>
          <cell r="AL166">
            <v>0</v>
          </cell>
          <cell r="AM166">
            <v>0</v>
          </cell>
          <cell r="AN166">
            <v>84</v>
          </cell>
          <cell r="AO166" t="str">
            <v>Life MSSB Profit</v>
          </cell>
          <cell r="AP166" t="str">
            <v>m</v>
          </cell>
          <cell r="AQ166">
            <v>0</v>
          </cell>
          <cell r="AR166" t="str">
            <v>Insurance</v>
          </cell>
          <cell r="AS166">
            <v>0</v>
          </cell>
          <cell r="AT166">
            <v>0</v>
          </cell>
          <cell r="AU166" t="e">
            <v>#VALUE!</v>
          </cell>
          <cell r="AV166" t="e">
            <v>#VALUE!</v>
          </cell>
        </row>
        <row r="167">
          <cell r="A167">
            <v>88</v>
          </cell>
          <cell r="B167" t="str">
            <v>1fd_underwriting_result</v>
          </cell>
          <cell r="C167" t="str">
            <v>Underwriting result</v>
          </cell>
          <cell r="D167" t="str">
            <v>(m)</v>
          </cell>
          <cell r="E167">
            <v>0</v>
          </cell>
          <cell r="F167">
            <v>0</v>
          </cell>
          <cell r="G167">
            <v>0</v>
          </cell>
          <cell r="H167">
            <v>0</v>
          </cell>
          <cell r="I167">
            <v>0</v>
          </cell>
          <cell r="J167">
            <v>0</v>
          </cell>
          <cell r="K167">
            <v>0</v>
          </cell>
          <cell r="L167">
            <v>0</v>
          </cell>
          <cell r="M167">
            <v>0</v>
          </cell>
          <cell r="N167" t="str">
            <v>fd_underwriting_result</v>
          </cell>
          <cell r="O167">
            <v>0</v>
          </cell>
          <cell r="P167">
            <v>0</v>
          </cell>
          <cell r="Q167">
            <v>1000000</v>
          </cell>
          <cell r="R167" t="str">
            <v>E</v>
          </cell>
          <cell r="S167">
            <v>2</v>
          </cell>
          <cell r="T167" t="str">
            <v>null</v>
          </cell>
          <cell r="U167">
            <v>1</v>
          </cell>
          <cell r="V167">
            <v>0</v>
          </cell>
          <cell r="W167">
            <v>0</v>
          </cell>
          <cell r="X167">
            <v>0</v>
          </cell>
          <cell r="Y167">
            <v>0</v>
          </cell>
          <cell r="Z167">
            <v>0</v>
          </cell>
          <cell r="AA167">
            <v>584</v>
          </cell>
          <cell r="AB167" t="str">
            <v>Fundamental data p&amp;L</v>
          </cell>
          <cell r="AC167">
            <v>168</v>
          </cell>
          <cell r="AD167">
            <v>0</v>
          </cell>
          <cell r="AE167">
            <v>0</v>
          </cell>
          <cell r="AF167">
            <v>0</v>
          </cell>
          <cell r="AG167">
            <v>0</v>
          </cell>
          <cell r="AH167">
            <v>0</v>
          </cell>
          <cell r="AI167">
            <v>0</v>
          </cell>
          <cell r="AJ167">
            <v>0</v>
          </cell>
          <cell r="AK167">
            <v>0</v>
          </cell>
          <cell r="AL167">
            <v>0</v>
          </cell>
          <cell r="AM167">
            <v>0</v>
          </cell>
          <cell r="AN167">
            <v>88</v>
          </cell>
          <cell r="AO167" t="str">
            <v>Underwriting result</v>
          </cell>
          <cell r="AP167" t="str">
            <v>m</v>
          </cell>
          <cell r="AQ167">
            <v>0</v>
          </cell>
          <cell r="AR167" t="str">
            <v>Insurance</v>
          </cell>
          <cell r="AS167">
            <v>0</v>
          </cell>
          <cell r="AT167">
            <v>0</v>
          </cell>
          <cell r="AU167" t="e">
            <v>#VALUE!</v>
          </cell>
          <cell r="AV167" t="e">
            <v>#VALUE!</v>
          </cell>
        </row>
        <row r="168">
          <cell r="A168">
            <v>88.2</v>
          </cell>
          <cell r="B168" t="str">
            <v>1r_underwriting_margin</v>
          </cell>
          <cell r="C168" t="str">
            <v>Underwriting margin</v>
          </cell>
          <cell r="D168" t="str">
            <v>(%)</v>
          </cell>
          <cell r="E168">
            <v>0</v>
          </cell>
          <cell r="F168">
            <v>0</v>
          </cell>
          <cell r="G168">
            <v>0</v>
          </cell>
          <cell r="H168">
            <v>0</v>
          </cell>
          <cell r="I168">
            <v>0</v>
          </cell>
          <cell r="J168">
            <v>0</v>
          </cell>
          <cell r="K168">
            <v>0</v>
          </cell>
          <cell r="L168">
            <v>0</v>
          </cell>
          <cell r="M168">
            <v>0</v>
          </cell>
          <cell r="N168" t="str">
            <v>r_underwriting_margin</v>
          </cell>
          <cell r="O168">
            <v>0</v>
          </cell>
          <cell r="P168">
            <v>0</v>
          </cell>
          <cell r="Q168">
            <v>0.01</v>
          </cell>
          <cell r="R168" t="str">
            <v>E</v>
          </cell>
          <cell r="S168">
            <v>2</v>
          </cell>
          <cell r="T168" t="str">
            <v>null</v>
          </cell>
          <cell r="U168">
            <v>1</v>
          </cell>
          <cell r="V168">
            <v>0</v>
          </cell>
          <cell r="W168">
            <v>0</v>
          </cell>
          <cell r="X168">
            <v>0</v>
          </cell>
          <cell r="Y168">
            <v>0</v>
          </cell>
          <cell r="Z168">
            <v>0</v>
          </cell>
          <cell r="AA168">
            <v>582</v>
          </cell>
          <cell r="AB168" t="str">
            <v>Fundamental data p&amp;L</v>
          </cell>
          <cell r="AC168">
            <v>169</v>
          </cell>
          <cell r="AD168">
            <v>0</v>
          </cell>
          <cell r="AE168">
            <v>0</v>
          </cell>
          <cell r="AF168">
            <v>0</v>
          </cell>
          <cell r="AG168">
            <v>0</v>
          </cell>
          <cell r="AH168">
            <v>0</v>
          </cell>
          <cell r="AI168">
            <v>0</v>
          </cell>
          <cell r="AJ168">
            <v>0</v>
          </cell>
          <cell r="AK168">
            <v>0</v>
          </cell>
          <cell r="AL168">
            <v>0</v>
          </cell>
          <cell r="AM168">
            <v>0</v>
          </cell>
          <cell r="AN168" t="e">
            <v>#N/A</v>
          </cell>
          <cell r="AO168" t="e">
            <v>#N/A</v>
          </cell>
          <cell r="AP168" t="e">
            <v>#N/A</v>
          </cell>
          <cell r="AQ168" t="e">
            <v>#N/A</v>
          </cell>
          <cell r="AR168" t="e">
            <v>#N/A</v>
          </cell>
          <cell r="AS168" t="e">
            <v>#N/A</v>
          </cell>
          <cell r="AT168" t="e">
            <v>#N/A</v>
          </cell>
          <cell r="AU168" t="e">
            <v>#N/A</v>
          </cell>
          <cell r="AV168" t="e">
            <v>#N/A</v>
          </cell>
        </row>
        <row r="169">
          <cell r="A169">
            <v>89</v>
          </cell>
          <cell r="B169" t="str">
            <v>1fd_effective_tax_rate_stat</v>
          </cell>
          <cell r="C169" t="str">
            <v>Operating tax rate</v>
          </cell>
          <cell r="D169" t="str">
            <v>(%)</v>
          </cell>
          <cell r="E169">
            <v>0</v>
          </cell>
          <cell r="F169">
            <v>0</v>
          </cell>
          <cell r="G169">
            <v>0</v>
          </cell>
          <cell r="H169">
            <v>0</v>
          </cell>
          <cell r="I169">
            <v>0</v>
          </cell>
          <cell r="J169">
            <v>0</v>
          </cell>
          <cell r="K169">
            <v>0</v>
          </cell>
          <cell r="L169">
            <v>0</v>
          </cell>
          <cell r="M169">
            <v>0</v>
          </cell>
          <cell r="N169" t="str">
            <v>fd_effective_tax_rate_stat</v>
          </cell>
          <cell r="O169">
            <v>0</v>
          </cell>
          <cell r="P169">
            <v>0</v>
          </cell>
          <cell r="Q169">
            <v>0.01</v>
          </cell>
          <cell r="R169" t="str">
            <v>E</v>
          </cell>
          <cell r="S169">
            <v>2</v>
          </cell>
          <cell r="T169" t="str">
            <v>null</v>
          </cell>
          <cell r="U169">
            <v>1</v>
          </cell>
          <cell r="V169">
            <v>0</v>
          </cell>
          <cell r="W169">
            <v>0</v>
          </cell>
          <cell r="X169">
            <v>0</v>
          </cell>
          <cell r="Y169">
            <v>0</v>
          </cell>
          <cell r="Z169">
            <v>0</v>
          </cell>
          <cell r="AA169">
            <v>438</v>
          </cell>
          <cell r="AB169" t="str">
            <v>Fundamental data p&amp;L</v>
          </cell>
          <cell r="AC169">
            <v>170</v>
          </cell>
          <cell r="AD169">
            <v>0</v>
          </cell>
          <cell r="AE169">
            <v>0</v>
          </cell>
          <cell r="AF169">
            <v>0</v>
          </cell>
          <cell r="AG169">
            <v>0</v>
          </cell>
          <cell r="AH169">
            <v>0</v>
          </cell>
          <cell r="AI169">
            <v>0</v>
          </cell>
          <cell r="AJ169">
            <v>0</v>
          </cell>
          <cell r="AK169">
            <v>0</v>
          </cell>
          <cell r="AL169">
            <v>0</v>
          </cell>
          <cell r="AM169">
            <v>0</v>
          </cell>
          <cell r="AN169">
            <v>89</v>
          </cell>
          <cell r="AO169" t="str">
            <v>Operating Tax Rate - statutory</v>
          </cell>
          <cell r="AP169" t="str">
            <v>%</v>
          </cell>
          <cell r="AQ169">
            <v>0</v>
          </cell>
          <cell r="AR169" t="str">
            <v>Insurance</v>
          </cell>
          <cell r="AS169">
            <v>0</v>
          </cell>
          <cell r="AT169">
            <v>0</v>
          </cell>
          <cell r="AU169" t="e">
            <v>#VALUE!</v>
          </cell>
          <cell r="AV169" t="e">
            <v>#VALUE!</v>
          </cell>
        </row>
        <row r="170">
          <cell r="A170">
            <v>90</v>
          </cell>
          <cell r="B170" t="str">
            <v>1fd_tot_investment_return</v>
          </cell>
          <cell r="C170" t="str">
            <v>Total investment return</v>
          </cell>
          <cell r="D170" t="str">
            <v>(%)</v>
          </cell>
          <cell r="E170">
            <v>0</v>
          </cell>
          <cell r="F170">
            <v>0</v>
          </cell>
          <cell r="G170">
            <v>0</v>
          </cell>
          <cell r="H170">
            <v>0</v>
          </cell>
          <cell r="I170">
            <v>0</v>
          </cell>
          <cell r="J170">
            <v>0</v>
          </cell>
          <cell r="K170">
            <v>0</v>
          </cell>
          <cell r="L170">
            <v>0</v>
          </cell>
          <cell r="M170">
            <v>0</v>
          </cell>
          <cell r="N170" t="str">
            <v>fd_tot_investment_return</v>
          </cell>
          <cell r="O170">
            <v>0</v>
          </cell>
          <cell r="P170">
            <v>0</v>
          </cell>
          <cell r="Q170">
            <v>1000000</v>
          </cell>
          <cell r="R170" t="str">
            <v>E</v>
          </cell>
          <cell r="S170">
            <v>2</v>
          </cell>
          <cell r="T170" t="str">
            <v>null</v>
          </cell>
          <cell r="U170">
            <v>1</v>
          </cell>
          <cell r="V170">
            <v>0</v>
          </cell>
          <cell r="W170">
            <v>0</v>
          </cell>
          <cell r="X170">
            <v>0</v>
          </cell>
          <cell r="Y170">
            <v>0</v>
          </cell>
          <cell r="Z170">
            <v>0</v>
          </cell>
          <cell r="AA170">
            <v>561</v>
          </cell>
          <cell r="AB170" t="str">
            <v>Fundamental data p&amp;L</v>
          </cell>
          <cell r="AC170">
            <v>171</v>
          </cell>
          <cell r="AD170">
            <v>0</v>
          </cell>
          <cell r="AE170">
            <v>0</v>
          </cell>
          <cell r="AF170">
            <v>0</v>
          </cell>
          <cell r="AG170">
            <v>0</v>
          </cell>
          <cell r="AH170">
            <v>0</v>
          </cell>
          <cell r="AI170">
            <v>0</v>
          </cell>
          <cell r="AJ170">
            <v>0</v>
          </cell>
          <cell r="AK170">
            <v>0</v>
          </cell>
          <cell r="AL170">
            <v>0</v>
          </cell>
          <cell r="AM170">
            <v>0</v>
          </cell>
          <cell r="AN170">
            <v>90</v>
          </cell>
          <cell r="AO170" t="str">
            <v>Total Investment return</v>
          </cell>
          <cell r="AP170" t="str">
            <v>m</v>
          </cell>
          <cell r="AQ170">
            <v>0</v>
          </cell>
          <cell r="AR170" t="str">
            <v>Insurance</v>
          </cell>
          <cell r="AS170">
            <v>0</v>
          </cell>
          <cell r="AT170">
            <v>0</v>
          </cell>
          <cell r="AU170" t="e">
            <v>#VALUE!</v>
          </cell>
          <cell r="AV170" t="e">
            <v>#VALUE!</v>
          </cell>
        </row>
        <row r="171">
          <cell r="A171">
            <v>91</v>
          </cell>
          <cell r="B171" t="str">
            <v>1fd_group_pbt</v>
          </cell>
          <cell r="C171" t="str">
            <v>Group PBT</v>
          </cell>
          <cell r="D171" t="str">
            <v>(m)</v>
          </cell>
          <cell r="E171">
            <v>0</v>
          </cell>
          <cell r="F171">
            <v>0</v>
          </cell>
          <cell r="G171">
            <v>0</v>
          </cell>
          <cell r="H171">
            <v>0</v>
          </cell>
          <cell r="I171">
            <v>0</v>
          </cell>
          <cell r="J171">
            <v>0</v>
          </cell>
          <cell r="K171">
            <v>0</v>
          </cell>
          <cell r="L171">
            <v>0</v>
          </cell>
          <cell r="M171">
            <v>0</v>
          </cell>
          <cell r="N171" t="str">
            <v>fd_group_pbt</v>
          </cell>
          <cell r="O171">
            <v>0</v>
          </cell>
          <cell r="P171">
            <v>0</v>
          </cell>
          <cell r="Q171">
            <v>1000000</v>
          </cell>
          <cell r="R171" t="str">
            <v>E</v>
          </cell>
          <cell r="S171">
            <v>2</v>
          </cell>
          <cell r="T171" t="str">
            <v>null</v>
          </cell>
          <cell r="U171">
            <v>1</v>
          </cell>
          <cell r="V171">
            <v>0</v>
          </cell>
          <cell r="W171">
            <v>0</v>
          </cell>
          <cell r="X171">
            <v>0</v>
          </cell>
          <cell r="Y171">
            <v>0</v>
          </cell>
          <cell r="Z171">
            <v>0</v>
          </cell>
          <cell r="AA171">
            <v>289</v>
          </cell>
          <cell r="AB171" t="str">
            <v>Fundamental data p&amp;L</v>
          </cell>
          <cell r="AC171">
            <v>172</v>
          </cell>
          <cell r="AD171">
            <v>0</v>
          </cell>
          <cell r="AE171">
            <v>0</v>
          </cell>
          <cell r="AF171">
            <v>0</v>
          </cell>
          <cell r="AG171">
            <v>0</v>
          </cell>
          <cell r="AH171">
            <v>0</v>
          </cell>
          <cell r="AI171">
            <v>0</v>
          </cell>
          <cell r="AJ171">
            <v>0</v>
          </cell>
          <cell r="AK171">
            <v>0</v>
          </cell>
          <cell r="AL171">
            <v>0</v>
          </cell>
          <cell r="AM171">
            <v>0</v>
          </cell>
          <cell r="AN171">
            <v>91</v>
          </cell>
          <cell r="AO171" t="str">
            <v>Group PBT</v>
          </cell>
          <cell r="AP171" t="str">
            <v>m</v>
          </cell>
          <cell r="AQ171">
            <v>0</v>
          </cell>
          <cell r="AR171" t="str">
            <v>Insurance</v>
          </cell>
          <cell r="AS171">
            <v>0</v>
          </cell>
          <cell r="AT171">
            <v>0</v>
          </cell>
          <cell r="AU171" t="e">
            <v>#VALUE!</v>
          </cell>
          <cell r="AV171" t="e">
            <v>#VALUE!</v>
          </cell>
        </row>
        <row r="172">
          <cell r="A172">
            <v>92</v>
          </cell>
          <cell r="B172" t="str">
            <v>2fd_group_pbt_y_o_y</v>
          </cell>
          <cell r="C172" t="str">
            <v>Group PBT growth y-o-y</v>
          </cell>
          <cell r="D172" t="str">
            <v>(%)</v>
          </cell>
          <cell r="E172">
            <v>0</v>
          </cell>
          <cell r="F172">
            <v>0</v>
          </cell>
          <cell r="G172">
            <v>0</v>
          </cell>
          <cell r="H172">
            <v>0</v>
          </cell>
          <cell r="I172">
            <v>0</v>
          </cell>
          <cell r="J172">
            <v>0</v>
          </cell>
          <cell r="K172">
            <v>0</v>
          </cell>
          <cell r="L172">
            <v>0</v>
          </cell>
          <cell r="M172">
            <v>0</v>
          </cell>
          <cell r="N172" t="str">
            <v>fd_group_pbt_y_o_y</v>
          </cell>
          <cell r="O172">
            <v>0</v>
          </cell>
          <cell r="P172">
            <v>0</v>
          </cell>
          <cell r="Q172">
            <v>0.01</v>
          </cell>
          <cell r="R172" t="str">
            <v>E</v>
          </cell>
          <cell r="S172">
            <v>2</v>
          </cell>
          <cell r="T172" t="str">
            <v>null</v>
          </cell>
          <cell r="U172">
            <v>2</v>
          </cell>
          <cell r="V172">
            <v>0</v>
          </cell>
          <cell r="W172">
            <v>0</v>
          </cell>
          <cell r="X172">
            <v>0</v>
          </cell>
          <cell r="Y172">
            <v>0</v>
          </cell>
          <cell r="Z172">
            <v>0</v>
          </cell>
          <cell r="AA172">
            <v>290</v>
          </cell>
          <cell r="AB172" t="str">
            <v>Fundamental data p&amp;L</v>
          </cell>
          <cell r="AC172">
            <v>173</v>
          </cell>
          <cell r="AD172">
            <v>0</v>
          </cell>
          <cell r="AE172">
            <v>0</v>
          </cell>
          <cell r="AF172">
            <v>0</v>
          </cell>
          <cell r="AG172">
            <v>0</v>
          </cell>
          <cell r="AH172">
            <v>0</v>
          </cell>
          <cell r="AI172">
            <v>0</v>
          </cell>
          <cell r="AJ172">
            <v>0</v>
          </cell>
          <cell r="AK172">
            <v>0</v>
          </cell>
          <cell r="AL172">
            <v>0</v>
          </cell>
          <cell r="AM172">
            <v>0</v>
          </cell>
          <cell r="AN172">
            <v>92</v>
          </cell>
          <cell r="AO172" t="str">
            <v>Group PBT growth</v>
          </cell>
          <cell r="AP172" t="str">
            <v>%</v>
          </cell>
          <cell r="AQ172">
            <v>0</v>
          </cell>
          <cell r="AR172" t="str">
            <v>Insurance</v>
          </cell>
          <cell r="AS172" t="str">
            <v>standard y-o-y growth calc on 91</v>
          </cell>
          <cell r="AT172">
            <v>0</v>
          </cell>
          <cell r="AU172" t="e">
            <v>#VALUE!</v>
          </cell>
          <cell r="AV172" t="e">
            <v>#VALUE!</v>
          </cell>
        </row>
        <row r="173">
          <cell r="A173">
            <v>96</v>
          </cell>
          <cell r="B173" t="str">
            <v>1fd_page_views</v>
          </cell>
          <cell r="C173" t="str">
            <v>Average monthly page impressions</v>
          </cell>
          <cell r="D173" t="str">
            <v>(m)</v>
          </cell>
          <cell r="E173">
            <v>0</v>
          </cell>
          <cell r="F173">
            <v>0</v>
          </cell>
          <cell r="G173">
            <v>0</v>
          </cell>
          <cell r="H173">
            <v>0</v>
          </cell>
          <cell r="I173">
            <v>0</v>
          </cell>
          <cell r="J173">
            <v>0</v>
          </cell>
          <cell r="K173">
            <v>0</v>
          </cell>
          <cell r="L173">
            <v>0</v>
          </cell>
          <cell r="M173">
            <v>0</v>
          </cell>
          <cell r="N173" t="str">
            <v>fd_page_views</v>
          </cell>
          <cell r="O173">
            <v>0</v>
          </cell>
          <cell r="P173">
            <v>0</v>
          </cell>
          <cell r="Q173">
            <v>1000000</v>
          </cell>
          <cell r="R173" t="str">
            <v>E</v>
          </cell>
          <cell r="S173">
            <v>2</v>
          </cell>
          <cell r="T173" t="str">
            <v>null</v>
          </cell>
          <cell r="U173">
            <v>1</v>
          </cell>
          <cell r="V173">
            <v>0</v>
          </cell>
          <cell r="W173">
            <v>0</v>
          </cell>
          <cell r="X173">
            <v>0</v>
          </cell>
          <cell r="Y173">
            <v>0</v>
          </cell>
          <cell r="Z173">
            <v>0</v>
          </cell>
          <cell r="AA173">
            <v>33</v>
          </cell>
          <cell r="AB173" t="str">
            <v>Fundamental data p&amp;L</v>
          </cell>
          <cell r="AC173">
            <v>177</v>
          </cell>
          <cell r="AD173">
            <v>0</v>
          </cell>
          <cell r="AE173">
            <v>0</v>
          </cell>
          <cell r="AF173">
            <v>0</v>
          </cell>
          <cell r="AG173">
            <v>0</v>
          </cell>
          <cell r="AH173">
            <v>0</v>
          </cell>
          <cell r="AI173">
            <v>0</v>
          </cell>
          <cell r="AJ173">
            <v>0</v>
          </cell>
          <cell r="AK173">
            <v>0</v>
          </cell>
          <cell r="AL173">
            <v>0</v>
          </cell>
          <cell r="AM173">
            <v>0</v>
          </cell>
          <cell r="AN173">
            <v>96</v>
          </cell>
          <cell r="AO173" t="str">
            <v>Page Views</v>
          </cell>
          <cell r="AP173" t="str">
            <v>m</v>
          </cell>
          <cell r="AQ173">
            <v>0</v>
          </cell>
          <cell r="AR173" t="str">
            <v>internet</v>
          </cell>
          <cell r="AS173">
            <v>0</v>
          </cell>
          <cell r="AT173">
            <v>0</v>
          </cell>
          <cell r="AU173" t="e">
            <v>#VALUE!</v>
          </cell>
          <cell r="AV173" t="e">
            <v>#VALUE!</v>
          </cell>
        </row>
        <row r="174">
          <cell r="A174">
            <v>97</v>
          </cell>
          <cell r="B174" t="str">
            <v>1fd_minutes_on_line</v>
          </cell>
          <cell r="C174" t="str">
            <v>Minutes on line</v>
          </cell>
          <cell r="D174" t="str">
            <v>(m)</v>
          </cell>
          <cell r="E174">
            <v>0</v>
          </cell>
          <cell r="F174">
            <v>0</v>
          </cell>
          <cell r="G174">
            <v>0</v>
          </cell>
          <cell r="H174">
            <v>0</v>
          </cell>
          <cell r="I174">
            <v>0</v>
          </cell>
          <cell r="J174">
            <v>0</v>
          </cell>
          <cell r="K174">
            <v>0</v>
          </cell>
          <cell r="L174">
            <v>0</v>
          </cell>
          <cell r="M174">
            <v>0</v>
          </cell>
          <cell r="N174" t="str">
            <v>fd_minutes_on_line</v>
          </cell>
          <cell r="O174">
            <v>0</v>
          </cell>
          <cell r="P174">
            <v>0</v>
          </cell>
          <cell r="Q174">
            <v>1000000</v>
          </cell>
          <cell r="R174" t="str">
            <v>E</v>
          </cell>
          <cell r="S174">
            <v>2</v>
          </cell>
          <cell r="T174" t="str">
            <v>null</v>
          </cell>
          <cell r="U174">
            <v>1</v>
          </cell>
          <cell r="V174">
            <v>0</v>
          </cell>
          <cell r="W174">
            <v>0</v>
          </cell>
          <cell r="X174">
            <v>0</v>
          </cell>
          <cell r="Y174">
            <v>0</v>
          </cell>
          <cell r="Z174">
            <v>0</v>
          </cell>
          <cell r="AA174">
            <v>341</v>
          </cell>
          <cell r="AB174" t="str">
            <v>Fundamental data p&amp;L</v>
          </cell>
          <cell r="AC174">
            <v>178</v>
          </cell>
          <cell r="AD174">
            <v>0</v>
          </cell>
          <cell r="AE174">
            <v>0</v>
          </cell>
          <cell r="AF174">
            <v>0</v>
          </cell>
          <cell r="AG174">
            <v>0</v>
          </cell>
          <cell r="AH174">
            <v>0</v>
          </cell>
          <cell r="AI174">
            <v>0</v>
          </cell>
          <cell r="AJ174">
            <v>0</v>
          </cell>
          <cell r="AK174">
            <v>0</v>
          </cell>
          <cell r="AL174">
            <v>0</v>
          </cell>
          <cell r="AM174">
            <v>0</v>
          </cell>
          <cell r="AN174">
            <v>97</v>
          </cell>
          <cell r="AO174" t="str">
            <v>Minutes on line</v>
          </cell>
          <cell r="AP174" t="str">
            <v>m</v>
          </cell>
          <cell r="AQ174">
            <v>0</v>
          </cell>
          <cell r="AR174" t="str">
            <v>internet</v>
          </cell>
          <cell r="AS174">
            <v>0</v>
          </cell>
          <cell r="AT174">
            <v>0</v>
          </cell>
          <cell r="AU174" t="e">
            <v>#VALUE!</v>
          </cell>
          <cell r="AV174" t="e">
            <v>#VALUE!</v>
          </cell>
        </row>
        <row r="175">
          <cell r="A175">
            <v>98</v>
          </cell>
          <cell r="B175" t="str">
            <v>1fd_regd_users</v>
          </cell>
          <cell r="C175" t="str">
            <v>Registered users at period end</v>
          </cell>
          <cell r="D175" t="str">
            <v>(m)</v>
          </cell>
          <cell r="E175">
            <v>0</v>
          </cell>
          <cell r="F175">
            <v>0</v>
          </cell>
          <cell r="G175">
            <v>0</v>
          </cell>
          <cell r="H175">
            <v>0</v>
          </cell>
          <cell r="I175">
            <v>0</v>
          </cell>
          <cell r="J175">
            <v>0</v>
          </cell>
          <cell r="K175">
            <v>0</v>
          </cell>
          <cell r="L175">
            <v>0</v>
          </cell>
          <cell r="M175">
            <v>0</v>
          </cell>
          <cell r="N175" t="str">
            <v>fd_regd_users</v>
          </cell>
          <cell r="O175">
            <v>0</v>
          </cell>
          <cell r="P175">
            <v>0</v>
          </cell>
          <cell r="Q175">
            <v>1000000</v>
          </cell>
          <cell r="R175" t="str">
            <v>E</v>
          </cell>
          <cell r="S175">
            <v>2</v>
          </cell>
          <cell r="T175" t="str">
            <v>null</v>
          </cell>
          <cell r="U175">
            <v>1</v>
          </cell>
          <cell r="V175">
            <v>0</v>
          </cell>
          <cell r="W175">
            <v>0</v>
          </cell>
          <cell r="X175">
            <v>0</v>
          </cell>
          <cell r="Y175">
            <v>0</v>
          </cell>
          <cell r="Z175">
            <v>0</v>
          </cell>
          <cell r="AA175">
            <v>502</v>
          </cell>
          <cell r="AB175" t="str">
            <v>Fundamental data p&amp;L</v>
          </cell>
          <cell r="AC175">
            <v>179</v>
          </cell>
          <cell r="AD175">
            <v>0</v>
          </cell>
          <cell r="AE175">
            <v>0</v>
          </cell>
          <cell r="AF175">
            <v>0</v>
          </cell>
          <cell r="AG175">
            <v>0</v>
          </cell>
          <cell r="AH175">
            <v>0</v>
          </cell>
          <cell r="AI175">
            <v>0</v>
          </cell>
          <cell r="AJ175">
            <v>0</v>
          </cell>
          <cell r="AK175">
            <v>0</v>
          </cell>
          <cell r="AL175">
            <v>0</v>
          </cell>
          <cell r="AM175">
            <v>0</v>
          </cell>
          <cell r="AN175">
            <v>98</v>
          </cell>
          <cell r="AO175" t="str">
            <v>Registered users</v>
          </cell>
          <cell r="AP175" t="str">
            <v>'000</v>
          </cell>
          <cell r="AQ175">
            <v>0</v>
          </cell>
          <cell r="AR175" t="str">
            <v>internet</v>
          </cell>
          <cell r="AS175">
            <v>0</v>
          </cell>
          <cell r="AT175">
            <v>0</v>
          </cell>
          <cell r="AU175" t="e">
            <v>#VALUE!</v>
          </cell>
          <cell r="AV175" t="e">
            <v>#VALUE!</v>
          </cell>
        </row>
        <row r="176">
          <cell r="A176">
            <v>99</v>
          </cell>
          <cell r="B176" t="str">
            <v>1fd_gross_transaction_value</v>
          </cell>
          <cell r="C176" t="str">
            <v>Gross transaction value</v>
          </cell>
          <cell r="D176" t="str">
            <v>(m)</v>
          </cell>
          <cell r="E176">
            <v>0</v>
          </cell>
          <cell r="F176">
            <v>0</v>
          </cell>
          <cell r="G176">
            <v>0</v>
          </cell>
          <cell r="H176">
            <v>0</v>
          </cell>
          <cell r="I176">
            <v>0</v>
          </cell>
          <cell r="J176">
            <v>0</v>
          </cell>
          <cell r="K176">
            <v>0</v>
          </cell>
          <cell r="L176">
            <v>0</v>
          </cell>
          <cell r="M176">
            <v>0</v>
          </cell>
          <cell r="N176" t="str">
            <v>fd_gross_transaction_value</v>
          </cell>
          <cell r="O176">
            <v>0</v>
          </cell>
          <cell r="P176">
            <v>0</v>
          </cell>
          <cell r="Q176">
            <v>1000000</v>
          </cell>
          <cell r="R176" t="str">
            <v>E</v>
          </cell>
          <cell r="S176">
            <v>2</v>
          </cell>
          <cell r="T176" t="str">
            <v>null</v>
          </cell>
          <cell r="U176">
            <v>1</v>
          </cell>
          <cell r="V176">
            <v>0</v>
          </cell>
          <cell r="W176">
            <v>0</v>
          </cell>
          <cell r="X176">
            <v>0</v>
          </cell>
          <cell r="Y176">
            <v>0</v>
          </cell>
          <cell r="Z176">
            <v>0</v>
          </cell>
          <cell r="AA176">
            <v>283</v>
          </cell>
          <cell r="AB176" t="str">
            <v>Fundamental data p&amp;L</v>
          </cell>
          <cell r="AC176">
            <v>180</v>
          </cell>
          <cell r="AD176">
            <v>0</v>
          </cell>
          <cell r="AE176">
            <v>0</v>
          </cell>
          <cell r="AF176">
            <v>0</v>
          </cell>
          <cell r="AG176">
            <v>0</v>
          </cell>
          <cell r="AH176">
            <v>0</v>
          </cell>
          <cell r="AI176">
            <v>0</v>
          </cell>
          <cell r="AJ176">
            <v>0</v>
          </cell>
          <cell r="AK176">
            <v>0</v>
          </cell>
          <cell r="AL176">
            <v>0</v>
          </cell>
          <cell r="AM176">
            <v>0</v>
          </cell>
          <cell r="AN176">
            <v>99</v>
          </cell>
          <cell r="AO176" t="str">
            <v>Gross Transaction Value</v>
          </cell>
          <cell r="AP176" t="str">
            <v>m</v>
          </cell>
          <cell r="AQ176">
            <v>0</v>
          </cell>
          <cell r="AR176" t="str">
            <v>internet</v>
          </cell>
          <cell r="AS176">
            <v>0</v>
          </cell>
          <cell r="AT176">
            <v>0</v>
          </cell>
          <cell r="AU176" t="e">
            <v>#VALUE!</v>
          </cell>
          <cell r="AV176" t="e">
            <v>#VALUE!</v>
          </cell>
        </row>
        <row r="177">
          <cell r="A177">
            <v>100</v>
          </cell>
          <cell r="B177" t="str">
            <v>1fd_turnover_ecommerce</v>
          </cell>
          <cell r="C177" t="str">
            <v>Turnover - ecommerce</v>
          </cell>
          <cell r="D177" t="str">
            <v>(m)</v>
          </cell>
          <cell r="E177">
            <v>0</v>
          </cell>
          <cell r="F177">
            <v>0</v>
          </cell>
          <cell r="G177">
            <v>0</v>
          </cell>
          <cell r="H177">
            <v>0</v>
          </cell>
          <cell r="I177">
            <v>0</v>
          </cell>
          <cell r="J177">
            <v>0</v>
          </cell>
          <cell r="K177">
            <v>0</v>
          </cell>
          <cell r="L177">
            <v>0</v>
          </cell>
          <cell r="M177">
            <v>0</v>
          </cell>
          <cell r="N177" t="str">
            <v>fd_turnover_ecommerce</v>
          </cell>
          <cell r="O177">
            <v>0</v>
          </cell>
          <cell r="P177">
            <v>0</v>
          </cell>
          <cell r="Q177">
            <v>1000000</v>
          </cell>
          <cell r="R177" t="str">
            <v>E</v>
          </cell>
          <cell r="S177">
            <v>2</v>
          </cell>
          <cell r="T177" t="str">
            <v>null</v>
          </cell>
          <cell r="U177">
            <v>1</v>
          </cell>
          <cell r="V177">
            <v>0</v>
          </cell>
          <cell r="W177">
            <v>0</v>
          </cell>
          <cell r="X177">
            <v>0</v>
          </cell>
          <cell r="Y177">
            <v>0</v>
          </cell>
          <cell r="Z177">
            <v>0</v>
          </cell>
          <cell r="AA177">
            <v>574</v>
          </cell>
          <cell r="AB177" t="str">
            <v>Fundamental data p&amp;L</v>
          </cell>
          <cell r="AC177">
            <v>181</v>
          </cell>
          <cell r="AD177">
            <v>0</v>
          </cell>
          <cell r="AE177">
            <v>0</v>
          </cell>
          <cell r="AF177">
            <v>0</v>
          </cell>
          <cell r="AG177">
            <v>0</v>
          </cell>
          <cell r="AH177">
            <v>0</v>
          </cell>
          <cell r="AI177">
            <v>0</v>
          </cell>
          <cell r="AJ177">
            <v>0</v>
          </cell>
          <cell r="AK177">
            <v>0</v>
          </cell>
          <cell r="AL177">
            <v>0</v>
          </cell>
          <cell r="AM177">
            <v>0</v>
          </cell>
          <cell r="AN177">
            <v>100</v>
          </cell>
          <cell r="AO177" t="str">
            <v>Turnover - ecommerce</v>
          </cell>
          <cell r="AP177" t="str">
            <v>m</v>
          </cell>
          <cell r="AQ177">
            <v>0</v>
          </cell>
          <cell r="AR177" t="str">
            <v>internet</v>
          </cell>
          <cell r="AS177">
            <v>0</v>
          </cell>
          <cell r="AT177">
            <v>0</v>
          </cell>
          <cell r="AU177" t="e">
            <v>#VALUE!</v>
          </cell>
          <cell r="AV177" t="e">
            <v>#VALUE!</v>
          </cell>
        </row>
        <row r="178">
          <cell r="A178">
            <v>101</v>
          </cell>
          <cell r="B178" t="str">
            <v>1fd_commission_margin</v>
          </cell>
          <cell r="C178" t="str">
            <v>Commission margin</v>
          </cell>
          <cell r="D178" t="str">
            <v>(%)</v>
          </cell>
          <cell r="E178">
            <v>0</v>
          </cell>
          <cell r="F178">
            <v>0</v>
          </cell>
          <cell r="G178">
            <v>0</v>
          </cell>
          <cell r="H178">
            <v>0</v>
          </cell>
          <cell r="I178">
            <v>0</v>
          </cell>
          <cell r="J178">
            <v>0</v>
          </cell>
          <cell r="K178">
            <v>0</v>
          </cell>
          <cell r="L178">
            <v>0</v>
          </cell>
          <cell r="M178">
            <v>0</v>
          </cell>
          <cell r="N178" t="str">
            <v>fd_commission_margin</v>
          </cell>
          <cell r="O178">
            <v>0</v>
          </cell>
          <cell r="P178">
            <v>0</v>
          </cell>
          <cell r="Q178">
            <v>1</v>
          </cell>
          <cell r="R178" t="str">
            <v>E</v>
          </cell>
          <cell r="S178">
            <v>2</v>
          </cell>
          <cell r="T178" t="str">
            <v>null</v>
          </cell>
          <cell r="U178">
            <v>1</v>
          </cell>
          <cell r="V178">
            <v>0</v>
          </cell>
          <cell r="W178">
            <v>0</v>
          </cell>
          <cell r="X178">
            <v>0</v>
          </cell>
          <cell r="Y178">
            <v>0</v>
          </cell>
          <cell r="Z178">
            <v>0</v>
          </cell>
          <cell r="AA178">
            <v>88</v>
          </cell>
          <cell r="AB178" t="str">
            <v>Fundamental data p&amp;L</v>
          </cell>
          <cell r="AC178">
            <v>182</v>
          </cell>
          <cell r="AD178">
            <v>0</v>
          </cell>
          <cell r="AE178">
            <v>0</v>
          </cell>
          <cell r="AF178">
            <v>0</v>
          </cell>
          <cell r="AG178">
            <v>0</v>
          </cell>
          <cell r="AH178">
            <v>0</v>
          </cell>
          <cell r="AI178">
            <v>0</v>
          </cell>
          <cell r="AJ178">
            <v>0</v>
          </cell>
          <cell r="AK178">
            <v>0</v>
          </cell>
          <cell r="AL178">
            <v>0</v>
          </cell>
          <cell r="AM178">
            <v>0</v>
          </cell>
          <cell r="AN178">
            <v>101</v>
          </cell>
          <cell r="AO178" t="str">
            <v>Commission Margin</v>
          </cell>
          <cell r="AP178" t="str">
            <v>%</v>
          </cell>
          <cell r="AQ178">
            <v>0</v>
          </cell>
          <cell r="AR178" t="str">
            <v>internet</v>
          </cell>
          <cell r="AS178">
            <v>0</v>
          </cell>
          <cell r="AT178">
            <v>0</v>
          </cell>
          <cell r="AU178" t="e">
            <v>#VALUE!</v>
          </cell>
          <cell r="AV178" t="e">
            <v>#VALUE!</v>
          </cell>
        </row>
        <row r="179">
          <cell r="A179">
            <v>102</v>
          </cell>
          <cell r="B179" t="str">
            <v>1fd_unique_visitors</v>
          </cell>
          <cell r="C179" t="str">
            <v>Unique visitors per month</v>
          </cell>
          <cell r="D179" t="str">
            <v>(unit)</v>
          </cell>
          <cell r="E179">
            <v>0</v>
          </cell>
          <cell r="F179">
            <v>0</v>
          </cell>
          <cell r="G179">
            <v>0</v>
          </cell>
          <cell r="H179">
            <v>0</v>
          </cell>
          <cell r="I179">
            <v>0</v>
          </cell>
          <cell r="J179">
            <v>0</v>
          </cell>
          <cell r="K179">
            <v>0</v>
          </cell>
          <cell r="L179">
            <v>0</v>
          </cell>
          <cell r="M179">
            <v>0</v>
          </cell>
          <cell r="N179" t="str">
            <v>fd_unique_visitors</v>
          </cell>
          <cell r="O179">
            <v>0</v>
          </cell>
          <cell r="P179">
            <v>0</v>
          </cell>
          <cell r="Q179">
            <v>1</v>
          </cell>
          <cell r="R179" t="str">
            <v>E</v>
          </cell>
          <cell r="S179">
            <v>2</v>
          </cell>
          <cell r="T179" t="str">
            <v>null</v>
          </cell>
          <cell r="U179">
            <v>1</v>
          </cell>
          <cell r="V179">
            <v>0</v>
          </cell>
          <cell r="W179">
            <v>0</v>
          </cell>
          <cell r="X179">
            <v>0</v>
          </cell>
          <cell r="Y179">
            <v>0</v>
          </cell>
          <cell r="Z179">
            <v>0</v>
          </cell>
          <cell r="AA179">
            <v>585</v>
          </cell>
          <cell r="AB179" t="str">
            <v>Fundamental data p&amp;L</v>
          </cell>
          <cell r="AC179">
            <v>183</v>
          </cell>
          <cell r="AD179">
            <v>0</v>
          </cell>
          <cell r="AE179">
            <v>0</v>
          </cell>
          <cell r="AF179">
            <v>0</v>
          </cell>
          <cell r="AG179">
            <v>0</v>
          </cell>
          <cell r="AH179">
            <v>0</v>
          </cell>
          <cell r="AI179">
            <v>0</v>
          </cell>
          <cell r="AJ179">
            <v>0</v>
          </cell>
          <cell r="AK179">
            <v>0</v>
          </cell>
          <cell r="AL179">
            <v>0</v>
          </cell>
          <cell r="AM179">
            <v>0</v>
          </cell>
          <cell r="AN179">
            <v>102</v>
          </cell>
          <cell r="AO179" t="str">
            <v>Unique Visitors '000</v>
          </cell>
          <cell r="AP179" t="str">
            <v>'000</v>
          </cell>
          <cell r="AQ179">
            <v>0</v>
          </cell>
          <cell r="AR179" t="str">
            <v>internet</v>
          </cell>
          <cell r="AS179">
            <v>0</v>
          </cell>
          <cell r="AT179">
            <v>0</v>
          </cell>
          <cell r="AU179" t="e">
            <v>#VALUE!</v>
          </cell>
          <cell r="AV179" t="e">
            <v>#VALUE!</v>
          </cell>
        </row>
        <row r="180">
          <cell r="A180">
            <v>103</v>
          </cell>
          <cell r="B180" t="str">
            <v>1fd_user_sessions</v>
          </cell>
          <cell r="C180" t="str">
            <v>User sessions per month</v>
          </cell>
          <cell r="D180" t="str">
            <v>(unit)</v>
          </cell>
          <cell r="E180">
            <v>0</v>
          </cell>
          <cell r="F180">
            <v>0</v>
          </cell>
          <cell r="G180">
            <v>0</v>
          </cell>
          <cell r="H180">
            <v>0</v>
          </cell>
          <cell r="I180">
            <v>0</v>
          </cell>
          <cell r="J180">
            <v>0</v>
          </cell>
          <cell r="K180">
            <v>0</v>
          </cell>
          <cell r="L180">
            <v>0</v>
          </cell>
          <cell r="M180">
            <v>0</v>
          </cell>
          <cell r="N180" t="str">
            <v>fd_user_sessions</v>
          </cell>
          <cell r="O180">
            <v>0</v>
          </cell>
          <cell r="P180">
            <v>0</v>
          </cell>
          <cell r="Q180">
            <v>1</v>
          </cell>
          <cell r="R180" t="str">
            <v>E</v>
          </cell>
          <cell r="S180">
            <v>2</v>
          </cell>
          <cell r="T180" t="str">
            <v>null</v>
          </cell>
          <cell r="U180">
            <v>1</v>
          </cell>
          <cell r="V180">
            <v>0</v>
          </cell>
          <cell r="W180">
            <v>0</v>
          </cell>
          <cell r="X180">
            <v>0</v>
          </cell>
          <cell r="Y180">
            <v>0</v>
          </cell>
          <cell r="Z180">
            <v>0</v>
          </cell>
          <cell r="AA180">
            <v>596</v>
          </cell>
          <cell r="AB180" t="str">
            <v>Fundamental data p&amp;L</v>
          </cell>
          <cell r="AC180">
            <v>184</v>
          </cell>
          <cell r="AD180">
            <v>0</v>
          </cell>
          <cell r="AE180">
            <v>0</v>
          </cell>
          <cell r="AF180">
            <v>0</v>
          </cell>
          <cell r="AG180">
            <v>0</v>
          </cell>
          <cell r="AH180">
            <v>0</v>
          </cell>
          <cell r="AI180">
            <v>0</v>
          </cell>
          <cell r="AJ180">
            <v>0</v>
          </cell>
          <cell r="AK180">
            <v>0</v>
          </cell>
          <cell r="AL180">
            <v>0</v>
          </cell>
          <cell r="AM180">
            <v>0</v>
          </cell>
          <cell r="AN180">
            <v>103</v>
          </cell>
          <cell r="AO180" t="str">
            <v>User sessions</v>
          </cell>
          <cell r="AP180" t="str">
            <v>m</v>
          </cell>
          <cell r="AQ180">
            <v>0</v>
          </cell>
          <cell r="AR180" t="str">
            <v>internet</v>
          </cell>
          <cell r="AS180">
            <v>0</v>
          </cell>
          <cell r="AT180">
            <v>0</v>
          </cell>
          <cell r="AU180" t="e">
            <v>#VALUE!</v>
          </cell>
          <cell r="AV180" t="e">
            <v>#VALUE!</v>
          </cell>
        </row>
        <row r="181">
          <cell r="A181">
            <v>104</v>
          </cell>
          <cell r="B181" t="str">
            <v>1fd_sales</v>
          </cell>
          <cell r="C181" t="str">
            <v>Net rental income</v>
          </cell>
          <cell r="D181" t="str">
            <v>(m)</v>
          </cell>
          <cell r="E181">
            <v>0</v>
          </cell>
          <cell r="F181">
            <v>0</v>
          </cell>
          <cell r="G181">
            <v>0</v>
          </cell>
          <cell r="H181">
            <v>0</v>
          </cell>
          <cell r="I181">
            <v>0</v>
          </cell>
          <cell r="J181">
            <v>0</v>
          </cell>
          <cell r="K181">
            <v>0</v>
          </cell>
          <cell r="L181">
            <v>0</v>
          </cell>
          <cell r="M181">
            <v>0</v>
          </cell>
          <cell r="N181" t="str">
            <v>fd_sales</v>
          </cell>
          <cell r="O181">
            <v>0</v>
          </cell>
          <cell r="P181">
            <v>0</v>
          </cell>
          <cell r="Q181">
            <v>1000000</v>
          </cell>
          <cell r="R181" t="str">
            <v>E</v>
          </cell>
          <cell r="S181">
            <v>2</v>
          </cell>
          <cell r="T181" t="str">
            <v>null</v>
          </cell>
          <cell r="U181">
            <v>1</v>
          </cell>
          <cell r="V181">
            <v>0</v>
          </cell>
          <cell r="W181">
            <v>0</v>
          </cell>
          <cell r="X181">
            <v>0</v>
          </cell>
          <cell r="Y181">
            <v>0</v>
          </cell>
          <cell r="Z181">
            <v>0</v>
          </cell>
          <cell r="AA181">
            <v>389</v>
          </cell>
          <cell r="AB181" t="str">
            <v>Fundamental data p&amp;L</v>
          </cell>
          <cell r="AC181">
            <v>185</v>
          </cell>
          <cell r="AD181">
            <v>0</v>
          </cell>
          <cell r="AE181">
            <v>0</v>
          </cell>
          <cell r="AF181">
            <v>0</v>
          </cell>
          <cell r="AG181">
            <v>0</v>
          </cell>
          <cell r="AH181">
            <v>0</v>
          </cell>
          <cell r="AI181">
            <v>0</v>
          </cell>
          <cell r="AJ181">
            <v>0</v>
          </cell>
          <cell r="AK181">
            <v>0</v>
          </cell>
          <cell r="AL181">
            <v>0</v>
          </cell>
          <cell r="AM181">
            <v>0</v>
          </cell>
          <cell r="AN181">
            <v>104</v>
          </cell>
          <cell r="AO181" t="str">
            <v>Net Rental income</v>
          </cell>
          <cell r="AP181" t="str">
            <v>m</v>
          </cell>
          <cell r="AQ181">
            <v>0</v>
          </cell>
          <cell r="AR181" t="str">
            <v>properties</v>
          </cell>
          <cell r="AS181">
            <v>0</v>
          </cell>
          <cell r="AT181">
            <v>0</v>
          </cell>
          <cell r="AU181" t="e">
            <v>#VALUE!</v>
          </cell>
          <cell r="AV181" t="e">
            <v>#VALUE!</v>
          </cell>
        </row>
        <row r="182">
          <cell r="A182">
            <v>105</v>
          </cell>
          <cell r="B182" t="str">
            <v>1fd_develop_profit</v>
          </cell>
          <cell r="C182" t="str">
            <v>Development profit</v>
          </cell>
          <cell r="D182" t="str">
            <v>(m)</v>
          </cell>
          <cell r="E182">
            <v>0</v>
          </cell>
          <cell r="F182">
            <v>0</v>
          </cell>
          <cell r="G182">
            <v>0</v>
          </cell>
          <cell r="H182">
            <v>0</v>
          </cell>
          <cell r="I182">
            <v>0</v>
          </cell>
          <cell r="J182">
            <v>0</v>
          </cell>
          <cell r="K182">
            <v>0</v>
          </cell>
          <cell r="L182">
            <v>0</v>
          </cell>
          <cell r="M182">
            <v>0</v>
          </cell>
          <cell r="N182" t="str">
            <v>fd_develop_profit</v>
          </cell>
          <cell r="O182">
            <v>0</v>
          </cell>
          <cell r="P182">
            <v>0</v>
          </cell>
          <cell r="Q182">
            <v>1000000</v>
          </cell>
          <cell r="R182" t="str">
            <v>E</v>
          </cell>
          <cell r="S182">
            <v>2</v>
          </cell>
          <cell r="T182" t="str">
            <v>null</v>
          </cell>
          <cell r="U182">
            <v>1</v>
          </cell>
          <cell r="V182">
            <v>0</v>
          </cell>
          <cell r="W182">
            <v>0</v>
          </cell>
          <cell r="X182">
            <v>0</v>
          </cell>
          <cell r="Y182">
            <v>0</v>
          </cell>
          <cell r="Z182">
            <v>0</v>
          </cell>
          <cell r="AA182">
            <v>139</v>
          </cell>
          <cell r="AB182" t="str">
            <v>Fundamental data p&amp;L</v>
          </cell>
          <cell r="AC182">
            <v>186</v>
          </cell>
          <cell r="AD182">
            <v>0</v>
          </cell>
          <cell r="AE182">
            <v>0</v>
          </cell>
          <cell r="AF182">
            <v>0</v>
          </cell>
          <cell r="AG182">
            <v>0</v>
          </cell>
          <cell r="AH182">
            <v>0</v>
          </cell>
          <cell r="AI182">
            <v>0</v>
          </cell>
          <cell r="AJ182">
            <v>0</v>
          </cell>
          <cell r="AK182">
            <v>0</v>
          </cell>
          <cell r="AL182">
            <v>0</v>
          </cell>
          <cell r="AM182">
            <v>0</v>
          </cell>
          <cell r="AN182">
            <v>105</v>
          </cell>
          <cell r="AO182" t="str">
            <v>Development profit</v>
          </cell>
          <cell r="AP182" t="str">
            <v>m</v>
          </cell>
          <cell r="AQ182">
            <v>0</v>
          </cell>
          <cell r="AR182" t="str">
            <v>property developers</v>
          </cell>
          <cell r="AS182">
            <v>0</v>
          </cell>
          <cell r="AT182">
            <v>0</v>
          </cell>
          <cell r="AU182" t="e">
            <v>#VALUE!</v>
          </cell>
          <cell r="AV182" t="e">
            <v>#VALUE!</v>
          </cell>
        </row>
        <row r="183">
          <cell r="A183">
            <v>106</v>
          </cell>
          <cell r="B183" t="str">
            <v>1fd_r_and_d</v>
          </cell>
          <cell r="C183" t="str">
            <v>R&amp;D spend</v>
          </cell>
          <cell r="D183" t="str">
            <v>(m)</v>
          </cell>
          <cell r="E183">
            <v>0</v>
          </cell>
          <cell r="F183">
            <v>0</v>
          </cell>
          <cell r="G183">
            <v>0</v>
          </cell>
          <cell r="H183">
            <v>0</v>
          </cell>
          <cell r="I183">
            <v>0</v>
          </cell>
          <cell r="J183">
            <v>0</v>
          </cell>
          <cell r="K183">
            <v>0</v>
          </cell>
          <cell r="L183">
            <v>0</v>
          </cell>
          <cell r="M183">
            <v>0</v>
          </cell>
          <cell r="N183" t="str">
            <v>fd_r_and_d</v>
          </cell>
          <cell r="O183">
            <v>0</v>
          </cell>
          <cell r="P183">
            <v>0</v>
          </cell>
          <cell r="Q183">
            <v>1000000</v>
          </cell>
          <cell r="R183" t="str">
            <v>E</v>
          </cell>
          <cell r="S183">
            <v>2</v>
          </cell>
          <cell r="T183" t="str">
            <v>null</v>
          </cell>
          <cell r="U183">
            <v>1</v>
          </cell>
          <cell r="V183">
            <v>0</v>
          </cell>
          <cell r="W183">
            <v>0</v>
          </cell>
          <cell r="X183">
            <v>0</v>
          </cell>
          <cell r="Y183">
            <v>0</v>
          </cell>
          <cell r="Z183">
            <v>0</v>
          </cell>
          <cell r="AA183">
            <v>496</v>
          </cell>
          <cell r="AB183" t="str">
            <v>Fundamental data p&amp;L</v>
          </cell>
          <cell r="AC183">
            <v>187</v>
          </cell>
          <cell r="AD183">
            <v>0</v>
          </cell>
          <cell r="AE183">
            <v>0</v>
          </cell>
          <cell r="AF183">
            <v>0</v>
          </cell>
          <cell r="AG183">
            <v>0</v>
          </cell>
          <cell r="AH183">
            <v>0</v>
          </cell>
          <cell r="AI183">
            <v>0</v>
          </cell>
          <cell r="AJ183">
            <v>0</v>
          </cell>
          <cell r="AK183">
            <v>0</v>
          </cell>
          <cell r="AL183">
            <v>0</v>
          </cell>
          <cell r="AM183">
            <v>0</v>
          </cell>
          <cell r="AN183">
            <v>106</v>
          </cell>
          <cell r="AO183" t="str">
            <v>R&amp;D spend</v>
          </cell>
          <cell r="AP183" t="str">
            <v>m</v>
          </cell>
          <cell r="AQ183">
            <v>0</v>
          </cell>
          <cell r="AR183" t="str">
            <v>chemicals, pharmaceuticals etc.</v>
          </cell>
          <cell r="AS183">
            <v>0</v>
          </cell>
          <cell r="AT183">
            <v>0</v>
          </cell>
          <cell r="AU183" t="e">
            <v>#VALUE!</v>
          </cell>
          <cell r="AV183" t="e">
            <v>#VALUE!</v>
          </cell>
        </row>
        <row r="184">
          <cell r="A184">
            <v>108</v>
          </cell>
          <cell r="B184" t="str">
            <v>1fd_reg_cap_val</v>
          </cell>
          <cell r="C184" t="str">
            <v>Regulatory capital value</v>
          </cell>
          <cell r="D184" t="str">
            <v>(m)</v>
          </cell>
          <cell r="E184">
            <v>0</v>
          </cell>
          <cell r="F184">
            <v>0</v>
          </cell>
          <cell r="G184">
            <v>0</v>
          </cell>
          <cell r="H184">
            <v>0</v>
          </cell>
          <cell r="I184">
            <v>0</v>
          </cell>
          <cell r="J184">
            <v>0</v>
          </cell>
          <cell r="K184">
            <v>0</v>
          </cell>
          <cell r="L184">
            <v>0</v>
          </cell>
          <cell r="M184">
            <v>0</v>
          </cell>
          <cell r="N184" t="str">
            <v>fd_reg_cap_val</v>
          </cell>
          <cell r="O184">
            <v>0</v>
          </cell>
          <cell r="P184">
            <v>0</v>
          </cell>
          <cell r="Q184">
            <v>1000000</v>
          </cell>
          <cell r="R184" t="str">
            <v>E</v>
          </cell>
          <cell r="S184">
            <v>2</v>
          </cell>
          <cell r="T184" t="str">
            <v>null</v>
          </cell>
          <cell r="U184">
            <v>1</v>
          </cell>
          <cell r="V184">
            <v>0</v>
          </cell>
          <cell r="W184">
            <v>0</v>
          </cell>
          <cell r="X184">
            <v>0</v>
          </cell>
          <cell r="Y184">
            <v>0</v>
          </cell>
          <cell r="Z184">
            <v>0</v>
          </cell>
          <cell r="AA184">
            <v>503</v>
          </cell>
          <cell r="AB184" t="str">
            <v>Fundamental data p&amp;L</v>
          </cell>
          <cell r="AC184">
            <v>189</v>
          </cell>
          <cell r="AD184">
            <v>0</v>
          </cell>
          <cell r="AE184">
            <v>0</v>
          </cell>
          <cell r="AF184">
            <v>0</v>
          </cell>
          <cell r="AG184">
            <v>0</v>
          </cell>
          <cell r="AH184">
            <v>0</v>
          </cell>
          <cell r="AI184">
            <v>0</v>
          </cell>
          <cell r="AJ184">
            <v>0</v>
          </cell>
          <cell r="AK184">
            <v>0</v>
          </cell>
          <cell r="AL184">
            <v>0</v>
          </cell>
          <cell r="AM184">
            <v>0</v>
          </cell>
          <cell r="AN184">
            <v>108</v>
          </cell>
          <cell r="AO184" t="str">
            <v xml:space="preserve">Regulatory Capital Value </v>
          </cell>
          <cell r="AP184" t="str">
            <v>m</v>
          </cell>
          <cell r="AQ184">
            <v>0</v>
          </cell>
          <cell r="AR184" t="str">
            <v xml:space="preserve">utilities </v>
          </cell>
          <cell r="AS184">
            <v>0</v>
          </cell>
          <cell r="AT184">
            <v>0</v>
          </cell>
          <cell r="AU184" t="e">
            <v>#VALUE!</v>
          </cell>
          <cell r="AV184" t="e">
            <v>#VALUE!</v>
          </cell>
        </row>
        <row r="185">
          <cell r="A185">
            <v>347</v>
          </cell>
          <cell r="B185" t="str">
            <v>1fd_daily_oil_prodn</v>
          </cell>
          <cell r="C185" t="str">
            <v>Average daily oil production</v>
          </cell>
          <cell r="D185" t="str">
            <v>(unit)</v>
          </cell>
          <cell r="E185">
            <v>0</v>
          </cell>
          <cell r="F185">
            <v>0</v>
          </cell>
          <cell r="G185">
            <v>0</v>
          </cell>
          <cell r="H185">
            <v>0</v>
          </cell>
          <cell r="I185">
            <v>0</v>
          </cell>
          <cell r="J185">
            <v>0</v>
          </cell>
          <cell r="K185">
            <v>0</v>
          </cell>
          <cell r="L185">
            <v>0</v>
          </cell>
          <cell r="M185">
            <v>0</v>
          </cell>
          <cell r="N185" t="str">
            <v>fd_daily_oil_prodn</v>
          </cell>
          <cell r="O185">
            <v>0</v>
          </cell>
          <cell r="P185">
            <v>0</v>
          </cell>
          <cell r="Q185">
            <v>1</v>
          </cell>
          <cell r="R185" t="str">
            <v>E</v>
          </cell>
          <cell r="S185">
            <v>2</v>
          </cell>
          <cell r="T185" t="str">
            <v>null</v>
          </cell>
          <cell r="U185">
            <v>1</v>
          </cell>
          <cell r="V185">
            <v>0</v>
          </cell>
          <cell r="W185">
            <v>0</v>
          </cell>
          <cell r="X185">
            <v>0</v>
          </cell>
          <cell r="Y185">
            <v>0</v>
          </cell>
          <cell r="Z185">
            <v>0</v>
          </cell>
          <cell r="AA185">
            <v>30</v>
          </cell>
          <cell r="AB185" t="str">
            <v>Fundamental data p&amp;L</v>
          </cell>
          <cell r="AC185">
            <v>201</v>
          </cell>
          <cell r="AD185">
            <v>0</v>
          </cell>
          <cell r="AE185">
            <v>0</v>
          </cell>
          <cell r="AF185">
            <v>0</v>
          </cell>
          <cell r="AG185">
            <v>0</v>
          </cell>
          <cell r="AH185">
            <v>0</v>
          </cell>
          <cell r="AI185">
            <v>0</v>
          </cell>
          <cell r="AJ185">
            <v>0</v>
          </cell>
          <cell r="AK185">
            <v>0</v>
          </cell>
          <cell r="AL185">
            <v>0</v>
          </cell>
          <cell r="AM185">
            <v>0</v>
          </cell>
          <cell r="AN185" t="e">
            <v>#N/A</v>
          </cell>
          <cell r="AO185" t="e">
            <v>#N/A</v>
          </cell>
          <cell r="AP185" t="e">
            <v>#N/A</v>
          </cell>
          <cell r="AQ185" t="e">
            <v>#N/A</v>
          </cell>
          <cell r="AR185" t="e">
            <v>#N/A</v>
          </cell>
          <cell r="AS185" t="e">
            <v>#N/A</v>
          </cell>
          <cell r="AT185" t="e">
            <v>#N/A</v>
          </cell>
          <cell r="AU185" t="e">
            <v>#N/A</v>
          </cell>
          <cell r="AV185" t="e">
            <v>#N/A</v>
          </cell>
        </row>
        <row r="186">
          <cell r="A186">
            <v>348</v>
          </cell>
          <cell r="B186" t="str">
            <v>1fd_daily_gas_prodn</v>
          </cell>
          <cell r="C186" t="str">
            <v>Average daily gas production</v>
          </cell>
          <cell r="D186" t="str">
            <v>(unit)</v>
          </cell>
          <cell r="E186">
            <v>0</v>
          </cell>
          <cell r="F186">
            <v>0</v>
          </cell>
          <cell r="G186">
            <v>0</v>
          </cell>
          <cell r="H186">
            <v>0</v>
          </cell>
          <cell r="I186">
            <v>0</v>
          </cell>
          <cell r="J186">
            <v>0</v>
          </cell>
          <cell r="K186">
            <v>0</v>
          </cell>
          <cell r="L186">
            <v>0</v>
          </cell>
          <cell r="M186">
            <v>0</v>
          </cell>
          <cell r="N186" t="str">
            <v>fd_daily_gas_prodn</v>
          </cell>
          <cell r="O186">
            <v>0</v>
          </cell>
          <cell r="P186">
            <v>0</v>
          </cell>
          <cell r="Q186">
            <v>1</v>
          </cell>
          <cell r="R186" t="str">
            <v>E</v>
          </cell>
          <cell r="S186">
            <v>2</v>
          </cell>
          <cell r="T186" t="str">
            <v>null</v>
          </cell>
          <cell r="U186">
            <v>1</v>
          </cell>
          <cell r="V186">
            <v>0</v>
          </cell>
          <cell r="W186">
            <v>0</v>
          </cell>
          <cell r="X186">
            <v>0</v>
          </cell>
          <cell r="Y186">
            <v>0</v>
          </cell>
          <cell r="Z186">
            <v>0</v>
          </cell>
          <cell r="AA186">
            <v>26</v>
          </cell>
          <cell r="AB186" t="str">
            <v>Fundamental data p&amp;L</v>
          </cell>
          <cell r="AC186">
            <v>202</v>
          </cell>
          <cell r="AD186">
            <v>0</v>
          </cell>
          <cell r="AE186">
            <v>0</v>
          </cell>
          <cell r="AF186">
            <v>0</v>
          </cell>
          <cell r="AG186">
            <v>0</v>
          </cell>
          <cell r="AH186">
            <v>0</v>
          </cell>
          <cell r="AI186">
            <v>0</v>
          </cell>
          <cell r="AJ186">
            <v>0</v>
          </cell>
          <cell r="AK186">
            <v>0</v>
          </cell>
          <cell r="AL186">
            <v>0</v>
          </cell>
          <cell r="AM186">
            <v>0</v>
          </cell>
          <cell r="AN186" t="e">
            <v>#N/A</v>
          </cell>
          <cell r="AO186" t="e">
            <v>#N/A</v>
          </cell>
          <cell r="AP186" t="e">
            <v>#N/A</v>
          </cell>
          <cell r="AQ186" t="e">
            <v>#N/A</v>
          </cell>
          <cell r="AR186" t="e">
            <v>#N/A</v>
          </cell>
          <cell r="AS186" t="e">
            <v>#N/A</v>
          </cell>
          <cell r="AT186" t="e">
            <v>#N/A</v>
          </cell>
          <cell r="AU186" t="e">
            <v>#N/A</v>
          </cell>
          <cell r="AV186" t="e">
            <v>#N/A</v>
          </cell>
        </row>
        <row r="187">
          <cell r="A187">
            <v>349</v>
          </cell>
          <cell r="B187" t="str">
            <v>1fd_daily_oil_equiv_prodn</v>
          </cell>
          <cell r="C187" t="str">
            <v>Average daily oil equivalent production</v>
          </cell>
          <cell r="D187" t="str">
            <v>(unit)</v>
          </cell>
          <cell r="E187">
            <v>0</v>
          </cell>
          <cell r="F187">
            <v>0</v>
          </cell>
          <cell r="G187">
            <v>0</v>
          </cell>
          <cell r="H187">
            <v>0</v>
          </cell>
          <cell r="I187">
            <v>0</v>
          </cell>
          <cell r="J187">
            <v>0</v>
          </cell>
          <cell r="K187">
            <v>0</v>
          </cell>
          <cell r="L187">
            <v>0</v>
          </cell>
          <cell r="M187">
            <v>0</v>
          </cell>
          <cell r="N187" t="str">
            <v>fd_daily_oil_equiv_prodn</v>
          </cell>
          <cell r="O187">
            <v>0</v>
          </cell>
          <cell r="P187">
            <v>0</v>
          </cell>
          <cell r="Q187">
            <v>1</v>
          </cell>
          <cell r="R187" t="str">
            <v>E</v>
          </cell>
          <cell r="S187">
            <v>2</v>
          </cell>
          <cell r="T187" t="str">
            <v>null</v>
          </cell>
          <cell r="U187">
            <v>1</v>
          </cell>
          <cell r="V187">
            <v>0</v>
          </cell>
          <cell r="W187">
            <v>0</v>
          </cell>
          <cell r="X187">
            <v>0</v>
          </cell>
          <cell r="Y187">
            <v>0</v>
          </cell>
          <cell r="Z187">
            <v>0</v>
          </cell>
          <cell r="AA187">
            <v>28</v>
          </cell>
          <cell r="AB187" t="str">
            <v>Fundamental data p&amp;L</v>
          </cell>
          <cell r="AC187">
            <v>203</v>
          </cell>
          <cell r="AD187">
            <v>0</v>
          </cell>
          <cell r="AE187">
            <v>0</v>
          </cell>
          <cell r="AF187">
            <v>0</v>
          </cell>
          <cell r="AG187">
            <v>0</v>
          </cell>
          <cell r="AH187">
            <v>0</v>
          </cell>
          <cell r="AI187">
            <v>0</v>
          </cell>
          <cell r="AJ187">
            <v>0</v>
          </cell>
          <cell r="AK187">
            <v>0</v>
          </cell>
          <cell r="AL187">
            <v>0</v>
          </cell>
          <cell r="AM187">
            <v>0</v>
          </cell>
          <cell r="AN187" t="e">
            <v>#N/A</v>
          </cell>
          <cell r="AO187" t="e">
            <v>#N/A</v>
          </cell>
          <cell r="AP187" t="e">
            <v>#N/A</v>
          </cell>
          <cell r="AQ187" t="e">
            <v>#N/A</v>
          </cell>
          <cell r="AR187" t="e">
            <v>#N/A</v>
          </cell>
          <cell r="AS187" t="e">
            <v>#N/A</v>
          </cell>
          <cell r="AT187" t="e">
            <v>#N/A</v>
          </cell>
          <cell r="AU187" t="e">
            <v>#N/A</v>
          </cell>
          <cell r="AV187" t="e">
            <v>#N/A</v>
          </cell>
        </row>
        <row r="188">
          <cell r="A188">
            <v>350</v>
          </cell>
          <cell r="B188" t="str">
            <v>1fd_daily_oil_prodn_grwth</v>
          </cell>
          <cell r="C188" t="str">
            <v>Average daily oil production growth</v>
          </cell>
          <cell r="D188" t="str">
            <v>(%)</v>
          </cell>
          <cell r="E188">
            <v>0</v>
          </cell>
          <cell r="F188">
            <v>0</v>
          </cell>
          <cell r="G188">
            <v>0</v>
          </cell>
          <cell r="H188">
            <v>0</v>
          </cell>
          <cell r="I188">
            <v>0</v>
          </cell>
          <cell r="J188">
            <v>0</v>
          </cell>
          <cell r="K188">
            <v>0</v>
          </cell>
          <cell r="L188">
            <v>0</v>
          </cell>
          <cell r="M188">
            <v>0</v>
          </cell>
          <cell r="N188" t="str">
            <v>fd_daily_oil_prodn_grwth</v>
          </cell>
          <cell r="O188">
            <v>0</v>
          </cell>
          <cell r="P188">
            <v>0</v>
          </cell>
          <cell r="Q188">
            <v>0.01</v>
          </cell>
          <cell r="R188" t="str">
            <v>E</v>
          </cell>
          <cell r="S188">
            <v>2</v>
          </cell>
          <cell r="T188" t="str">
            <v>null</v>
          </cell>
          <cell r="U188">
            <v>1</v>
          </cell>
          <cell r="V188">
            <v>0</v>
          </cell>
          <cell r="W188">
            <v>0</v>
          </cell>
          <cell r="X188">
            <v>0</v>
          </cell>
          <cell r="Y188">
            <v>0</v>
          </cell>
          <cell r="Z188">
            <v>0</v>
          </cell>
          <cell r="AA188">
            <v>31</v>
          </cell>
          <cell r="AB188" t="str">
            <v>Fundamental data p&amp;L</v>
          </cell>
          <cell r="AC188">
            <v>204</v>
          </cell>
          <cell r="AD188">
            <v>0</v>
          </cell>
          <cell r="AE188">
            <v>0</v>
          </cell>
          <cell r="AF188">
            <v>0</v>
          </cell>
          <cell r="AG188">
            <v>0</v>
          </cell>
          <cell r="AH188">
            <v>0</v>
          </cell>
          <cell r="AI188">
            <v>0</v>
          </cell>
          <cell r="AJ188">
            <v>0</v>
          </cell>
          <cell r="AK188">
            <v>0</v>
          </cell>
          <cell r="AL188">
            <v>0</v>
          </cell>
          <cell r="AM188">
            <v>0</v>
          </cell>
          <cell r="AN188" t="e">
            <v>#N/A</v>
          </cell>
          <cell r="AO188" t="e">
            <v>#N/A</v>
          </cell>
          <cell r="AP188" t="e">
            <v>#N/A</v>
          </cell>
          <cell r="AQ188" t="e">
            <v>#N/A</v>
          </cell>
          <cell r="AR188" t="e">
            <v>#N/A</v>
          </cell>
          <cell r="AS188" t="e">
            <v>#N/A</v>
          </cell>
          <cell r="AT188" t="e">
            <v>#N/A</v>
          </cell>
          <cell r="AU188" t="e">
            <v>#N/A</v>
          </cell>
          <cell r="AV188" t="e">
            <v>#N/A</v>
          </cell>
        </row>
        <row r="189">
          <cell r="A189">
            <v>351</v>
          </cell>
          <cell r="B189" t="str">
            <v>1fd_daily_gas_prodn_grwth</v>
          </cell>
          <cell r="C189" t="str">
            <v>Average daily gas production growth</v>
          </cell>
          <cell r="D189" t="str">
            <v>(%)</v>
          </cell>
          <cell r="E189">
            <v>0</v>
          </cell>
          <cell r="F189">
            <v>0</v>
          </cell>
          <cell r="G189">
            <v>0</v>
          </cell>
          <cell r="H189">
            <v>0</v>
          </cell>
          <cell r="I189">
            <v>0</v>
          </cell>
          <cell r="J189">
            <v>0</v>
          </cell>
          <cell r="K189">
            <v>0</v>
          </cell>
          <cell r="L189">
            <v>0</v>
          </cell>
          <cell r="M189">
            <v>0</v>
          </cell>
          <cell r="N189" t="str">
            <v>fd_daily_gas_prodn_grwth</v>
          </cell>
          <cell r="O189">
            <v>0</v>
          </cell>
          <cell r="P189">
            <v>0</v>
          </cell>
          <cell r="Q189">
            <v>0.01</v>
          </cell>
          <cell r="R189" t="str">
            <v>E</v>
          </cell>
          <cell r="S189">
            <v>2</v>
          </cell>
          <cell r="T189" t="str">
            <v>null</v>
          </cell>
          <cell r="U189">
            <v>1</v>
          </cell>
          <cell r="V189">
            <v>0</v>
          </cell>
          <cell r="W189">
            <v>0</v>
          </cell>
          <cell r="X189">
            <v>0</v>
          </cell>
          <cell r="Y189">
            <v>0</v>
          </cell>
          <cell r="Z189">
            <v>0</v>
          </cell>
          <cell r="AA189">
            <v>27</v>
          </cell>
          <cell r="AB189" t="str">
            <v>Fundamental data p&amp;L</v>
          </cell>
          <cell r="AC189">
            <v>205</v>
          </cell>
          <cell r="AD189">
            <v>0</v>
          </cell>
          <cell r="AE189">
            <v>0</v>
          </cell>
          <cell r="AF189">
            <v>0</v>
          </cell>
          <cell r="AG189">
            <v>0</v>
          </cell>
          <cell r="AH189">
            <v>0</v>
          </cell>
          <cell r="AI189">
            <v>0</v>
          </cell>
          <cell r="AJ189">
            <v>0</v>
          </cell>
          <cell r="AK189">
            <v>0</v>
          </cell>
          <cell r="AL189">
            <v>0</v>
          </cell>
          <cell r="AM189">
            <v>0</v>
          </cell>
          <cell r="AN189" t="e">
            <v>#N/A</v>
          </cell>
          <cell r="AO189" t="e">
            <v>#N/A</v>
          </cell>
          <cell r="AP189" t="e">
            <v>#N/A</v>
          </cell>
          <cell r="AQ189" t="e">
            <v>#N/A</v>
          </cell>
          <cell r="AR189" t="e">
            <v>#N/A</v>
          </cell>
          <cell r="AS189" t="e">
            <v>#N/A</v>
          </cell>
          <cell r="AT189" t="e">
            <v>#N/A</v>
          </cell>
          <cell r="AU189" t="e">
            <v>#N/A</v>
          </cell>
          <cell r="AV189" t="e">
            <v>#N/A</v>
          </cell>
        </row>
        <row r="190">
          <cell r="A190">
            <v>352</v>
          </cell>
          <cell r="B190" t="str">
            <v>1fd_daily_oil_equiv_prodn_grwth</v>
          </cell>
          <cell r="C190" t="str">
            <v>Average daily oil equivalent production growth</v>
          </cell>
          <cell r="D190" t="str">
            <v>(%)</v>
          </cell>
          <cell r="E190">
            <v>0</v>
          </cell>
          <cell r="F190">
            <v>0</v>
          </cell>
          <cell r="G190">
            <v>0</v>
          </cell>
          <cell r="H190">
            <v>0</v>
          </cell>
          <cell r="I190">
            <v>0</v>
          </cell>
          <cell r="J190">
            <v>0</v>
          </cell>
          <cell r="K190">
            <v>0</v>
          </cell>
          <cell r="L190">
            <v>0</v>
          </cell>
          <cell r="M190">
            <v>0</v>
          </cell>
          <cell r="N190" t="str">
            <v>fd_daily_oil_equiv_prodn_grwth</v>
          </cell>
          <cell r="O190">
            <v>0</v>
          </cell>
          <cell r="P190">
            <v>0</v>
          </cell>
          <cell r="Q190">
            <v>0.01</v>
          </cell>
          <cell r="R190" t="str">
            <v>E</v>
          </cell>
          <cell r="S190">
            <v>2</v>
          </cell>
          <cell r="T190" t="str">
            <v>null</v>
          </cell>
          <cell r="U190">
            <v>1</v>
          </cell>
          <cell r="V190">
            <v>0</v>
          </cell>
          <cell r="W190">
            <v>0</v>
          </cell>
          <cell r="X190">
            <v>0</v>
          </cell>
          <cell r="Y190">
            <v>0</v>
          </cell>
          <cell r="Z190">
            <v>0</v>
          </cell>
          <cell r="AA190">
            <v>29</v>
          </cell>
          <cell r="AB190" t="str">
            <v>Fundamental data p&amp;L</v>
          </cell>
          <cell r="AC190">
            <v>206</v>
          </cell>
          <cell r="AD190">
            <v>0</v>
          </cell>
          <cell r="AE190">
            <v>0</v>
          </cell>
          <cell r="AF190">
            <v>0</v>
          </cell>
          <cell r="AG190">
            <v>0</v>
          </cell>
          <cell r="AH190">
            <v>0</v>
          </cell>
          <cell r="AI190">
            <v>0</v>
          </cell>
          <cell r="AJ190">
            <v>0</v>
          </cell>
          <cell r="AK190">
            <v>0</v>
          </cell>
          <cell r="AL190">
            <v>0</v>
          </cell>
          <cell r="AM190">
            <v>0</v>
          </cell>
          <cell r="AN190" t="e">
            <v>#N/A</v>
          </cell>
          <cell r="AO190" t="e">
            <v>#N/A</v>
          </cell>
          <cell r="AP190" t="e">
            <v>#N/A</v>
          </cell>
          <cell r="AQ190" t="e">
            <v>#N/A</v>
          </cell>
          <cell r="AR190" t="e">
            <v>#N/A</v>
          </cell>
          <cell r="AS190" t="e">
            <v>#N/A</v>
          </cell>
          <cell r="AT190" t="e">
            <v>#N/A</v>
          </cell>
          <cell r="AU190" t="e">
            <v>#N/A</v>
          </cell>
          <cell r="AV190" t="e">
            <v>#N/A</v>
          </cell>
        </row>
        <row r="191">
          <cell r="A191">
            <v>353</v>
          </cell>
          <cell r="B191" t="str">
            <v>1fd_oil_reserves_prov</v>
          </cell>
          <cell r="C191" t="str">
            <v>Oil proven reserves</v>
          </cell>
          <cell r="D191" t="str">
            <v>(mmb)</v>
          </cell>
          <cell r="E191">
            <v>0</v>
          </cell>
          <cell r="F191">
            <v>0</v>
          </cell>
          <cell r="G191">
            <v>0</v>
          </cell>
          <cell r="H191">
            <v>0</v>
          </cell>
          <cell r="I191">
            <v>0</v>
          </cell>
          <cell r="J191">
            <v>0</v>
          </cell>
          <cell r="K191">
            <v>0</v>
          </cell>
          <cell r="L191">
            <v>0</v>
          </cell>
          <cell r="M191">
            <v>0</v>
          </cell>
          <cell r="N191" t="str">
            <v>fd_oil_reserves_prov</v>
          </cell>
          <cell r="O191">
            <v>0</v>
          </cell>
          <cell r="P191">
            <v>0</v>
          </cell>
          <cell r="Q191">
            <v>1000000</v>
          </cell>
          <cell r="R191" t="str">
            <v>E</v>
          </cell>
          <cell r="S191">
            <v>2</v>
          </cell>
          <cell r="T191" t="str">
            <v>null</v>
          </cell>
          <cell r="U191">
            <v>1</v>
          </cell>
          <cell r="V191">
            <v>0</v>
          </cell>
          <cell r="W191">
            <v>0</v>
          </cell>
          <cell r="X191">
            <v>0</v>
          </cell>
          <cell r="Y191">
            <v>0</v>
          </cell>
          <cell r="Z191">
            <v>0</v>
          </cell>
          <cell r="AA191">
            <v>417</v>
          </cell>
          <cell r="AB191" t="str">
            <v>Fundamental data p&amp;L</v>
          </cell>
          <cell r="AC191">
            <v>207</v>
          </cell>
          <cell r="AD191">
            <v>0</v>
          </cell>
          <cell r="AE191">
            <v>0</v>
          </cell>
          <cell r="AF191">
            <v>0</v>
          </cell>
          <cell r="AG191">
            <v>0</v>
          </cell>
          <cell r="AH191">
            <v>0</v>
          </cell>
          <cell r="AI191">
            <v>0</v>
          </cell>
          <cell r="AJ191">
            <v>0</v>
          </cell>
          <cell r="AK191">
            <v>0</v>
          </cell>
          <cell r="AL191">
            <v>0</v>
          </cell>
          <cell r="AM191">
            <v>0</v>
          </cell>
          <cell r="AN191" t="e">
            <v>#N/A</v>
          </cell>
          <cell r="AO191" t="e">
            <v>#N/A</v>
          </cell>
          <cell r="AP191" t="e">
            <v>#N/A</v>
          </cell>
          <cell r="AQ191" t="e">
            <v>#N/A</v>
          </cell>
          <cell r="AR191" t="e">
            <v>#N/A</v>
          </cell>
          <cell r="AS191" t="e">
            <v>#N/A</v>
          </cell>
          <cell r="AT191" t="e">
            <v>#N/A</v>
          </cell>
          <cell r="AU191" t="e">
            <v>#N/A</v>
          </cell>
          <cell r="AV191" t="e">
            <v>#N/A</v>
          </cell>
        </row>
        <row r="192">
          <cell r="A192">
            <v>354</v>
          </cell>
          <cell r="B192" t="str">
            <v>1fd_gas_reserves_prov</v>
          </cell>
          <cell r="C192" t="str">
            <v>Gas proven reserves</v>
          </cell>
          <cell r="D192" t="str">
            <v>(bcf)</v>
          </cell>
          <cell r="E192">
            <v>0</v>
          </cell>
          <cell r="F192">
            <v>0</v>
          </cell>
          <cell r="G192">
            <v>0</v>
          </cell>
          <cell r="H192">
            <v>0</v>
          </cell>
          <cell r="I192">
            <v>0</v>
          </cell>
          <cell r="J192">
            <v>0</v>
          </cell>
          <cell r="K192">
            <v>0</v>
          </cell>
          <cell r="L192">
            <v>0</v>
          </cell>
          <cell r="M192">
            <v>0</v>
          </cell>
          <cell r="N192" t="str">
            <v>fd_gas_reserves_prov</v>
          </cell>
          <cell r="O192">
            <v>0</v>
          </cell>
          <cell r="P192">
            <v>0</v>
          </cell>
          <cell r="Q192">
            <v>1000000</v>
          </cell>
          <cell r="R192" t="str">
            <v>E</v>
          </cell>
          <cell r="S192">
            <v>2</v>
          </cell>
          <cell r="T192" t="str">
            <v>null</v>
          </cell>
          <cell r="U192">
            <v>1</v>
          </cell>
          <cell r="V192">
            <v>0</v>
          </cell>
          <cell r="W192">
            <v>0</v>
          </cell>
          <cell r="X192">
            <v>0</v>
          </cell>
          <cell r="Y192">
            <v>0</v>
          </cell>
          <cell r="Z192">
            <v>0</v>
          </cell>
          <cell r="AA192">
            <v>262</v>
          </cell>
          <cell r="AB192" t="str">
            <v>Fundamental data p&amp;L</v>
          </cell>
          <cell r="AC192">
            <v>208</v>
          </cell>
          <cell r="AD192">
            <v>0</v>
          </cell>
          <cell r="AE192">
            <v>0</v>
          </cell>
          <cell r="AF192">
            <v>0</v>
          </cell>
          <cell r="AG192">
            <v>0</v>
          </cell>
          <cell r="AH192">
            <v>0</v>
          </cell>
          <cell r="AI192">
            <v>0</v>
          </cell>
          <cell r="AJ192">
            <v>0</v>
          </cell>
          <cell r="AK192">
            <v>0</v>
          </cell>
          <cell r="AL192">
            <v>0</v>
          </cell>
          <cell r="AM192">
            <v>0</v>
          </cell>
          <cell r="AN192" t="e">
            <v>#N/A</v>
          </cell>
          <cell r="AO192" t="e">
            <v>#N/A</v>
          </cell>
          <cell r="AP192" t="e">
            <v>#N/A</v>
          </cell>
          <cell r="AQ192" t="e">
            <v>#N/A</v>
          </cell>
          <cell r="AR192" t="e">
            <v>#N/A</v>
          </cell>
          <cell r="AS192" t="e">
            <v>#N/A</v>
          </cell>
          <cell r="AT192" t="e">
            <v>#N/A</v>
          </cell>
          <cell r="AU192" t="e">
            <v>#N/A</v>
          </cell>
          <cell r="AV192" t="e">
            <v>#N/A</v>
          </cell>
        </row>
        <row r="193">
          <cell r="A193">
            <v>355</v>
          </cell>
          <cell r="B193" t="str">
            <v>1fd_oil_equiv_reserves_prov</v>
          </cell>
          <cell r="C193" t="str">
            <v>Oil equivalent proven reserves</v>
          </cell>
          <cell r="D193" t="str">
            <v>(mmboe)</v>
          </cell>
          <cell r="E193">
            <v>0</v>
          </cell>
          <cell r="F193">
            <v>0</v>
          </cell>
          <cell r="G193">
            <v>0</v>
          </cell>
          <cell r="H193">
            <v>0</v>
          </cell>
          <cell r="I193">
            <v>0</v>
          </cell>
          <cell r="J193">
            <v>0</v>
          </cell>
          <cell r="K193">
            <v>0</v>
          </cell>
          <cell r="L193">
            <v>0</v>
          </cell>
          <cell r="M193">
            <v>0</v>
          </cell>
          <cell r="N193" t="str">
            <v>fd_oil_equiv_reserves_prov</v>
          </cell>
          <cell r="O193">
            <v>0</v>
          </cell>
          <cell r="P193">
            <v>0</v>
          </cell>
          <cell r="Q193">
            <v>1000000</v>
          </cell>
          <cell r="R193" t="str">
            <v>E</v>
          </cell>
          <cell r="S193">
            <v>2</v>
          </cell>
          <cell r="T193" t="str">
            <v>null</v>
          </cell>
          <cell r="U193">
            <v>1</v>
          </cell>
          <cell r="V193">
            <v>0</v>
          </cell>
          <cell r="W193">
            <v>0</v>
          </cell>
          <cell r="X193">
            <v>0</v>
          </cell>
          <cell r="Y193">
            <v>0</v>
          </cell>
          <cell r="Z193">
            <v>0</v>
          </cell>
          <cell r="AA193">
            <v>413</v>
          </cell>
          <cell r="AB193" t="str">
            <v>Fundamental data p&amp;L</v>
          </cell>
          <cell r="AC193">
            <v>209</v>
          </cell>
          <cell r="AD193">
            <v>0</v>
          </cell>
          <cell r="AE193">
            <v>0</v>
          </cell>
          <cell r="AF193">
            <v>0</v>
          </cell>
          <cell r="AG193">
            <v>0</v>
          </cell>
          <cell r="AH193">
            <v>0</v>
          </cell>
          <cell r="AI193">
            <v>0</v>
          </cell>
          <cell r="AJ193">
            <v>0</v>
          </cell>
          <cell r="AK193">
            <v>0</v>
          </cell>
          <cell r="AL193">
            <v>0</v>
          </cell>
          <cell r="AM193">
            <v>0</v>
          </cell>
          <cell r="AN193" t="e">
            <v>#N/A</v>
          </cell>
          <cell r="AO193" t="e">
            <v>#N/A</v>
          </cell>
          <cell r="AP193" t="e">
            <v>#N/A</v>
          </cell>
          <cell r="AQ193" t="e">
            <v>#N/A</v>
          </cell>
          <cell r="AR193" t="e">
            <v>#N/A</v>
          </cell>
          <cell r="AS193" t="e">
            <v>#N/A</v>
          </cell>
          <cell r="AT193" t="e">
            <v>#N/A</v>
          </cell>
          <cell r="AU193" t="e">
            <v>#N/A</v>
          </cell>
          <cell r="AV193" t="e">
            <v>#N/A</v>
          </cell>
        </row>
        <row r="194">
          <cell r="A194">
            <v>356</v>
          </cell>
          <cell r="B194" t="str">
            <v>1fd_oil_reserves_prov_grwth</v>
          </cell>
          <cell r="C194" t="str">
            <v>Oil proven reserves growth</v>
          </cell>
          <cell r="D194" t="str">
            <v>(%)</v>
          </cell>
          <cell r="E194">
            <v>0</v>
          </cell>
          <cell r="F194">
            <v>0</v>
          </cell>
          <cell r="G194">
            <v>0</v>
          </cell>
          <cell r="H194">
            <v>0</v>
          </cell>
          <cell r="I194">
            <v>0</v>
          </cell>
          <cell r="J194">
            <v>0</v>
          </cell>
          <cell r="K194">
            <v>0</v>
          </cell>
          <cell r="L194">
            <v>0</v>
          </cell>
          <cell r="M194">
            <v>0</v>
          </cell>
          <cell r="N194" t="str">
            <v>fd_oil_reserves_prov_grwth</v>
          </cell>
          <cell r="O194">
            <v>0</v>
          </cell>
          <cell r="P194">
            <v>0</v>
          </cell>
          <cell r="Q194">
            <v>0.01</v>
          </cell>
          <cell r="R194" t="str">
            <v>E</v>
          </cell>
          <cell r="S194">
            <v>2</v>
          </cell>
          <cell r="T194" t="str">
            <v>null</v>
          </cell>
          <cell r="U194">
            <v>1</v>
          </cell>
          <cell r="V194">
            <v>0</v>
          </cell>
          <cell r="W194">
            <v>0</v>
          </cell>
          <cell r="X194">
            <v>0</v>
          </cell>
          <cell r="Y194">
            <v>0</v>
          </cell>
          <cell r="Z194">
            <v>0</v>
          </cell>
          <cell r="AA194">
            <v>418</v>
          </cell>
          <cell r="AB194" t="str">
            <v>Fundamental data p&amp;L</v>
          </cell>
          <cell r="AC194">
            <v>210</v>
          </cell>
          <cell r="AD194">
            <v>0</v>
          </cell>
          <cell r="AE194">
            <v>0</v>
          </cell>
          <cell r="AF194">
            <v>0</v>
          </cell>
          <cell r="AG194">
            <v>0</v>
          </cell>
          <cell r="AH194">
            <v>0</v>
          </cell>
          <cell r="AI194">
            <v>0</v>
          </cell>
          <cell r="AJ194">
            <v>0</v>
          </cell>
          <cell r="AK194">
            <v>0</v>
          </cell>
          <cell r="AL194">
            <v>0</v>
          </cell>
          <cell r="AM194">
            <v>0</v>
          </cell>
          <cell r="AN194" t="e">
            <v>#N/A</v>
          </cell>
          <cell r="AO194" t="e">
            <v>#N/A</v>
          </cell>
          <cell r="AP194" t="e">
            <v>#N/A</v>
          </cell>
          <cell r="AQ194" t="e">
            <v>#N/A</v>
          </cell>
          <cell r="AR194" t="e">
            <v>#N/A</v>
          </cell>
          <cell r="AS194" t="e">
            <v>#N/A</v>
          </cell>
          <cell r="AT194" t="e">
            <v>#N/A</v>
          </cell>
          <cell r="AU194" t="e">
            <v>#N/A</v>
          </cell>
          <cell r="AV194" t="e">
            <v>#N/A</v>
          </cell>
        </row>
        <row r="195">
          <cell r="A195">
            <v>357</v>
          </cell>
          <cell r="B195" t="str">
            <v>1fd_gas_reserves_prov_grwth</v>
          </cell>
          <cell r="C195" t="str">
            <v>Gas proven reserves growth</v>
          </cell>
          <cell r="D195" t="str">
            <v>(%)</v>
          </cell>
          <cell r="E195">
            <v>0</v>
          </cell>
          <cell r="F195">
            <v>0</v>
          </cell>
          <cell r="G195">
            <v>0</v>
          </cell>
          <cell r="H195">
            <v>0</v>
          </cell>
          <cell r="I195">
            <v>0</v>
          </cell>
          <cell r="J195">
            <v>0</v>
          </cell>
          <cell r="K195">
            <v>0</v>
          </cell>
          <cell r="L195">
            <v>0</v>
          </cell>
          <cell r="M195">
            <v>0</v>
          </cell>
          <cell r="N195" t="str">
            <v>fd_gas_reserves_prov_grwth</v>
          </cell>
          <cell r="O195">
            <v>0</v>
          </cell>
          <cell r="P195">
            <v>0</v>
          </cell>
          <cell r="Q195">
            <v>0.01</v>
          </cell>
          <cell r="R195" t="str">
            <v>E</v>
          </cell>
          <cell r="S195">
            <v>2</v>
          </cell>
          <cell r="T195" t="str">
            <v>null</v>
          </cell>
          <cell r="U195">
            <v>1</v>
          </cell>
          <cell r="V195">
            <v>0</v>
          </cell>
          <cell r="W195">
            <v>0</v>
          </cell>
          <cell r="X195">
            <v>0</v>
          </cell>
          <cell r="Y195">
            <v>0</v>
          </cell>
          <cell r="Z195">
            <v>0</v>
          </cell>
          <cell r="AA195">
            <v>263</v>
          </cell>
          <cell r="AB195" t="str">
            <v>Fundamental data p&amp;L</v>
          </cell>
          <cell r="AC195">
            <v>211</v>
          </cell>
          <cell r="AD195">
            <v>0</v>
          </cell>
          <cell r="AE195">
            <v>0</v>
          </cell>
          <cell r="AF195">
            <v>0</v>
          </cell>
          <cell r="AG195">
            <v>0</v>
          </cell>
          <cell r="AH195">
            <v>0</v>
          </cell>
          <cell r="AI195">
            <v>0</v>
          </cell>
          <cell r="AJ195">
            <v>0</v>
          </cell>
          <cell r="AK195">
            <v>0</v>
          </cell>
          <cell r="AL195">
            <v>0</v>
          </cell>
          <cell r="AM195">
            <v>0</v>
          </cell>
          <cell r="AN195" t="e">
            <v>#N/A</v>
          </cell>
          <cell r="AO195" t="e">
            <v>#N/A</v>
          </cell>
          <cell r="AP195" t="e">
            <v>#N/A</v>
          </cell>
          <cell r="AQ195" t="e">
            <v>#N/A</v>
          </cell>
          <cell r="AR195" t="e">
            <v>#N/A</v>
          </cell>
          <cell r="AS195" t="e">
            <v>#N/A</v>
          </cell>
          <cell r="AT195" t="e">
            <v>#N/A</v>
          </cell>
          <cell r="AU195" t="e">
            <v>#N/A</v>
          </cell>
          <cell r="AV195" t="e">
            <v>#N/A</v>
          </cell>
        </row>
        <row r="196">
          <cell r="A196">
            <v>358</v>
          </cell>
          <cell r="B196" t="str">
            <v>1fd_oil_equiv_reserves_prov_grwth</v>
          </cell>
          <cell r="C196" t="str">
            <v>Oil equivalent proven reserves growth</v>
          </cell>
          <cell r="D196" t="str">
            <v>(%)</v>
          </cell>
          <cell r="E196">
            <v>0</v>
          </cell>
          <cell r="F196">
            <v>0</v>
          </cell>
          <cell r="G196">
            <v>0</v>
          </cell>
          <cell r="H196">
            <v>0</v>
          </cell>
          <cell r="I196">
            <v>0</v>
          </cell>
          <cell r="J196">
            <v>0</v>
          </cell>
          <cell r="K196">
            <v>0</v>
          </cell>
          <cell r="L196">
            <v>0</v>
          </cell>
          <cell r="M196">
            <v>0</v>
          </cell>
          <cell r="N196" t="str">
            <v>fd_oil_equiv_reserves_prov_grwth</v>
          </cell>
          <cell r="O196">
            <v>0</v>
          </cell>
          <cell r="P196">
            <v>0</v>
          </cell>
          <cell r="Q196">
            <v>0.01</v>
          </cell>
          <cell r="R196" t="str">
            <v>E</v>
          </cell>
          <cell r="S196">
            <v>2</v>
          </cell>
          <cell r="T196" t="str">
            <v>null</v>
          </cell>
          <cell r="U196">
            <v>1</v>
          </cell>
          <cell r="V196">
            <v>0</v>
          </cell>
          <cell r="W196">
            <v>0</v>
          </cell>
          <cell r="X196">
            <v>0</v>
          </cell>
          <cell r="Y196">
            <v>0</v>
          </cell>
          <cell r="Z196">
            <v>0</v>
          </cell>
          <cell r="AA196">
            <v>414</v>
          </cell>
          <cell r="AB196" t="str">
            <v>Fundamental data p&amp;L</v>
          </cell>
          <cell r="AC196">
            <v>212</v>
          </cell>
          <cell r="AD196">
            <v>0</v>
          </cell>
          <cell r="AE196">
            <v>0</v>
          </cell>
          <cell r="AF196">
            <v>0</v>
          </cell>
          <cell r="AG196">
            <v>0</v>
          </cell>
          <cell r="AH196">
            <v>0</v>
          </cell>
          <cell r="AI196">
            <v>0</v>
          </cell>
          <cell r="AJ196">
            <v>0</v>
          </cell>
          <cell r="AK196">
            <v>0</v>
          </cell>
          <cell r="AL196">
            <v>0</v>
          </cell>
          <cell r="AM196">
            <v>0</v>
          </cell>
          <cell r="AN196" t="e">
            <v>#N/A</v>
          </cell>
          <cell r="AO196" t="e">
            <v>#N/A</v>
          </cell>
          <cell r="AP196" t="e">
            <v>#N/A</v>
          </cell>
          <cell r="AQ196" t="e">
            <v>#N/A</v>
          </cell>
          <cell r="AR196" t="e">
            <v>#N/A</v>
          </cell>
          <cell r="AS196" t="e">
            <v>#N/A</v>
          </cell>
          <cell r="AT196" t="e">
            <v>#N/A</v>
          </cell>
          <cell r="AU196" t="e">
            <v>#N/A</v>
          </cell>
          <cell r="AV196" t="e">
            <v>#N/A</v>
          </cell>
        </row>
        <row r="197">
          <cell r="A197">
            <v>359</v>
          </cell>
          <cell r="B197" t="str">
            <v>1fd_oil_reserves_life</v>
          </cell>
          <cell r="C197" t="str">
            <v>Oil reserves life</v>
          </cell>
          <cell r="D197" t="str">
            <v>Years</v>
          </cell>
          <cell r="E197">
            <v>0</v>
          </cell>
          <cell r="F197">
            <v>0</v>
          </cell>
          <cell r="G197">
            <v>0</v>
          </cell>
          <cell r="H197">
            <v>0</v>
          </cell>
          <cell r="I197">
            <v>0</v>
          </cell>
          <cell r="J197">
            <v>0</v>
          </cell>
          <cell r="K197">
            <v>0</v>
          </cell>
          <cell r="L197">
            <v>0</v>
          </cell>
          <cell r="M197">
            <v>0</v>
          </cell>
          <cell r="N197" t="str">
            <v>fd_oil_reserves_life</v>
          </cell>
          <cell r="O197">
            <v>0</v>
          </cell>
          <cell r="P197">
            <v>0</v>
          </cell>
          <cell r="Q197">
            <v>1</v>
          </cell>
          <cell r="R197" t="str">
            <v>E</v>
          </cell>
          <cell r="S197">
            <v>2</v>
          </cell>
          <cell r="T197" t="str">
            <v>null</v>
          </cell>
          <cell r="U197">
            <v>1</v>
          </cell>
          <cell r="V197">
            <v>0</v>
          </cell>
          <cell r="W197">
            <v>0</v>
          </cell>
          <cell r="X197">
            <v>0</v>
          </cell>
          <cell r="Y197">
            <v>0</v>
          </cell>
          <cell r="Z197">
            <v>0</v>
          </cell>
          <cell r="AA197">
            <v>419</v>
          </cell>
          <cell r="AB197" t="str">
            <v>Fundamental data p&amp;L</v>
          </cell>
          <cell r="AC197">
            <v>213</v>
          </cell>
          <cell r="AD197">
            <v>0</v>
          </cell>
          <cell r="AE197">
            <v>0</v>
          </cell>
          <cell r="AF197">
            <v>0</v>
          </cell>
          <cell r="AG197">
            <v>0</v>
          </cell>
          <cell r="AH197">
            <v>0</v>
          </cell>
          <cell r="AI197">
            <v>0</v>
          </cell>
          <cell r="AJ197">
            <v>0</v>
          </cell>
          <cell r="AK197">
            <v>0</v>
          </cell>
          <cell r="AL197">
            <v>0</v>
          </cell>
          <cell r="AM197">
            <v>0</v>
          </cell>
          <cell r="AN197" t="e">
            <v>#N/A</v>
          </cell>
          <cell r="AO197" t="e">
            <v>#N/A</v>
          </cell>
          <cell r="AP197" t="e">
            <v>#N/A</v>
          </cell>
          <cell r="AQ197" t="e">
            <v>#N/A</v>
          </cell>
          <cell r="AR197" t="e">
            <v>#N/A</v>
          </cell>
          <cell r="AS197" t="e">
            <v>#N/A</v>
          </cell>
          <cell r="AT197" t="e">
            <v>#N/A</v>
          </cell>
          <cell r="AU197" t="e">
            <v>#N/A</v>
          </cell>
          <cell r="AV197" t="e">
            <v>#N/A</v>
          </cell>
        </row>
        <row r="198">
          <cell r="A198">
            <v>360</v>
          </cell>
          <cell r="B198" t="str">
            <v>1fd_gas_reserves_life</v>
          </cell>
          <cell r="C198" t="str">
            <v>Gas reserves life</v>
          </cell>
          <cell r="D198" t="str">
            <v>Years</v>
          </cell>
          <cell r="E198">
            <v>0</v>
          </cell>
          <cell r="F198">
            <v>0</v>
          </cell>
          <cell r="G198">
            <v>0</v>
          </cell>
          <cell r="H198">
            <v>0</v>
          </cell>
          <cell r="I198">
            <v>0</v>
          </cell>
          <cell r="J198">
            <v>0</v>
          </cell>
          <cell r="K198">
            <v>0</v>
          </cell>
          <cell r="L198">
            <v>0</v>
          </cell>
          <cell r="M198">
            <v>0</v>
          </cell>
          <cell r="N198" t="str">
            <v>fd_gas_reserves_life</v>
          </cell>
          <cell r="O198">
            <v>0</v>
          </cell>
          <cell r="P198">
            <v>0</v>
          </cell>
          <cell r="Q198">
            <v>1</v>
          </cell>
          <cell r="R198" t="str">
            <v>E</v>
          </cell>
          <cell r="S198">
            <v>2</v>
          </cell>
          <cell r="T198" t="str">
            <v>null</v>
          </cell>
          <cell r="U198">
            <v>1</v>
          </cell>
          <cell r="V198">
            <v>0</v>
          </cell>
          <cell r="W198">
            <v>0</v>
          </cell>
          <cell r="X198">
            <v>0</v>
          </cell>
          <cell r="Y198">
            <v>0</v>
          </cell>
          <cell r="Z198">
            <v>0</v>
          </cell>
          <cell r="AA198">
            <v>264</v>
          </cell>
          <cell r="AB198" t="str">
            <v>Fundamental data p&amp;L</v>
          </cell>
          <cell r="AC198">
            <v>214</v>
          </cell>
          <cell r="AD198">
            <v>0</v>
          </cell>
          <cell r="AE198">
            <v>0</v>
          </cell>
          <cell r="AF198">
            <v>0</v>
          </cell>
          <cell r="AG198">
            <v>0</v>
          </cell>
          <cell r="AH198">
            <v>0</v>
          </cell>
          <cell r="AI198">
            <v>0</v>
          </cell>
          <cell r="AJ198">
            <v>0</v>
          </cell>
          <cell r="AK198">
            <v>0</v>
          </cell>
          <cell r="AL198">
            <v>0</v>
          </cell>
          <cell r="AM198">
            <v>0</v>
          </cell>
          <cell r="AN198" t="e">
            <v>#N/A</v>
          </cell>
          <cell r="AO198" t="e">
            <v>#N/A</v>
          </cell>
          <cell r="AP198" t="e">
            <v>#N/A</v>
          </cell>
          <cell r="AQ198" t="e">
            <v>#N/A</v>
          </cell>
          <cell r="AR198" t="e">
            <v>#N/A</v>
          </cell>
          <cell r="AS198" t="e">
            <v>#N/A</v>
          </cell>
          <cell r="AT198" t="e">
            <v>#N/A</v>
          </cell>
          <cell r="AU198" t="e">
            <v>#N/A</v>
          </cell>
          <cell r="AV198" t="e">
            <v>#N/A</v>
          </cell>
        </row>
        <row r="199">
          <cell r="A199">
            <v>361</v>
          </cell>
          <cell r="B199" t="str">
            <v>1fd_oil_equiv_reserves_life</v>
          </cell>
          <cell r="C199" t="str">
            <v>Oil equivalent reserves life</v>
          </cell>
          <cell r="D199" t="str">
            <v>Years</v>
          </cell>
          <cell r="E199">
            <v>0</v>
          </cell>
          <cell r="F199">
            <v>0</v>
          </cell>
          <cell r="G199">
            <v>0</v>
          </cell>
          <cell r="H199">
            <v>0</v>
          </cell>
          <cell r="I199">
            <v>0</v>
          </cell>
          <cell r="J199">
            <v>0</v>
          </cell>
          <cell r="K199">
            <v>0</v>
          </cell>
          <cell r="L199">
            <v>0</v>
          </cell>
          <cell r="M199">
            <v>0</v>
          </cell>
          <cell r="N199" t="str">
            <v>fd_oil_equiv_reserves_life</v>
          </cell>
          <cell r="O199">
            <v>0</v>
          </cell>
          <cell r="P199">
            <v>0</v>
          </cell>
          <cell r="Q199">
            <v>1</v>
          </cell>
          <cell r="R199" t="str">
            <v>E</v>
          </cell>
          <cell r="S199">
            <v>2</v>
          </cell>
          <cell r="T199" t="str">
            <v>null</v>
          </cell>
          <cell r="U199">
            <v>1</v>
          </cell>
          <cell r="V199">
            <v>0</v>
          </cell>
          <cell r="W199">
            <v>0</v>
          </cell>
          <cell r="X199">
            <v>0</v>
          </cell>
          <cell r="Y199">
            <v>0</v>
          </cell>
          <cell r="Z199">
            <v>0</v>
          </cell>
          <cell r="AA199">
            <v>415</v>
          </cell>
          <cell r="AB199" t="str">
            <v>Fundamental data p&amp;L</v>
          </cell>
          <cell r="AC199">
            <v>215</v>
          </cell>
          <cell r="AD199">
            <v>0</v>
          </cell>
          <cell r="AE199">
            <v>0</v>
          </cell>
          <cell r="AF199">
            <v>0</v>
          </cell>
          <cell r="AG199">
            <v>0</v>
          </cell>
          <cell r="AH199">
            <v>0</v>
          </cell>
          <cell r="AI199">
            <v>0</v>
          </cell>
          <cell r="AJ199">
            <v>0</v>
          </cell>
          <cell r="AK199">
            <v>0</v>
          </cell>
          <cell r="AL199">
            <v>0</v>
          </cell>
          <cell r="AM199">
            <v>0</v>
          </cell>
          <cell r="AN199" t="e">
            <v>#N/A</v>
          </cell>
          <cell r="AO199" t="e">
            <v>#N/A</v>
          </cell>
          <cell r="AP199" t="e">
            <v>#N/A</v>
          </cell>
          <cell r="AQ199" t="e">
            <v>#N/A</v>
          </cell>
          <cell r="AR199" t="e">
            <v>#N/A</v>
          </cell>
          <cell r="AS199" t="e">
            <v>#N/A</v>
          </cell>
          <cell r="AT199" t="e">
            <v>#N/A</v>
          </cell>
          <cell r="AU199" t="e">
            <v>#N/A</v>
          </cell>
          <cell r="AV199" t="e">
            <v>#N/A</v>
          </cell>
        </row>
        <row r="200">
          <cell r="A200">
            <v>304</v>
          </cell>
          <cell r="B200" t="str">
            <v>1eps_postgoodwill_preexcept</v>
          </cell>
          <cell r="C200" t="str">
            <v>EPS (post goodwill/pre-exceptionals)</v>
          </cell>
          <cell r="D200" t="str">
            <v>(unit)</v>
          </cell>
          <cell r="E200">
            <v>0</v>
          </cell>
          <cell r="F200">
            <v>0</v>
          </cell>
          <cell r="G200">
            <v>0</v>
          </cell>
          <cell r="H200">
            <v>0</v>
          </cell>
          <cell r="I200">
            <v>0</v>
          </cell>
          <cell r="J200">
            <v>0</v>
          </cell>
          <cell r="K200">
            <v>0</v>
          </cell>
          <cell r="L200">
            <v>0</v>
          </cell>
          <cell r="M200">
            <v>0</v>
          </cell>
          <cell r="N200" t="str">
            <v>eps_postgoodwill_preexcept</v>
          </cell>
          <cell r="O200">
            <v>0</v>
          </cell>
          <cell r="P200">
            <v>0</v>
          </cell>
          <cell r="Q200">
            <v>1</v>
          </cell>
          <cell r="R200" t="str">
            <v>S</v>
          </cell>
          <cell r="S200">
            <v>2</v>
          </cell>
          <cell r="T200" t="str">
            <v>null</v>
          </cell>
          <cell r="U200">
            <v>1</v>
          </cell>
          <cell r="V200">
            <v>0</v>
          </cell>
          <cell r="W200">
            <v>0</v>
          </cell>
          <cell r="X200">
            <v>0</v>
          </cell>
          <cell r="Y200">
            <v>0</v>
          </cell>
          <cell r="Z200">
            <v>0</v>
          </cell>
          <cell r="AA200">
            <v>192</v>
          </cell>
          <cell r="AB200" t="str">
            <v>Fundamental data p&amp;L</v>
          </cell>
          <cell r="AC200">
            <v>215</v>
          </cell>
          <cell r="AD200">
            <v>0</v>
          </cell>
          <cell r="AE200">
            <v>0</v>
          </cell>
          <cell r="AF200">
            <v>0</v>
          </cell>
          <cell r="AG200">
            <v>0</v>
          </cell>
          <cell r="AH200">
            <v>0</v>
          </cell>
          <cell r="AI200">
            <v>0</v>
          </cell>
          <cell r="AJ200">
            <v>0</v>
          </cell>
          <cell r="AK200">
            <v>0</v>
          </cell>
          <cell r="AL200">
            <v>0</v>
          </cell>
          <cell r="AM200">
            <v>0</v>
          </cell>
          <cell r="AN200">
            <v>304</v>
          </cell>
          <cell r="AO200" t="str">
            <v>EPS (post goodwill/pre-exceptionals)</v>
          </cell>
          <cell r="AP200">
            <v>0</v>
          </cell>
          <cell r="AQ200">
            <v>0</v>
          </cell>
          <cell r="AR200">
            <v>0</v>
          </cell>
          <cell r="AS200">
            <v>0</v>
          </cell>
          <cell r="AT200">
            <v>0</v>
          </cell>
          <cell r="AU200" t="e">
            <v>#VALUE!</v>
          </cell>
          <cell r="AV200" t="e">
            <v>#VALUE!</v>
          </cell>
        </row>
        <row r="201">
          <cell r="A201">
            <v>310</v>
          </cell>
          <cell r="B201" t="str">
            <v>1fd_cogs</v>
          </cell>
          <cell r="C201" t="str">
            <v>Cost of goods sold</v>
          </cell>
          <cell r="D201" t="str">
            <v>(m)</v>
          </cell>
          <cell r="E201">
            <v>0</v>
          </cell>
          <cell r="F201">
            <v>0</v>
          </cell>
          <cell r="G201">
            <v>0</v>
          </cell>
          <cell r="H201">
            <v>0</v>
          </cell>
          <cell r="I201">
            <v>0</v>
          </cell>
          <cell r="J201">
            <v>0</v>
          </cell>
          <cell r="K201">
            <v>0</v>
          </cell>
          <cell r="L201">
            <v>0</v>
          </cell>
          <cell r="M201">
            <v>0</v>
          </cell>
          <cell r="N201" t="str">
            <v>fd_cogs</v>
          </cell>
          <cell r="O201">
            <v>0</v>
          </cell>
          <cell r="P201">
            <v>0</v>
          </cell>
          <cell r="Q201">
            <v>1000000</v>
          </cell>
          <cell r="R201" t="str">
            <v>E</v>
          </cell>
          <cell r="S201">
            <v>2</v>
          </cell>
          <cell r="T201" t="str">
            <v>null</v>
          </cell>
          <cell r="U201">
            <v>1</v>
          </cell>
          <cell r="V201">
            <v>0</v>
          </cell>
          <cell r="W201">
            <v>0</v>
          </cell>
          <cell r="X201">
            <v>0</v>
          </cell>
          <cell r="Y201">
            <v>0</v>
          </cell>
          <cell r="Z201">
            <v>0</v>
          </cell>
          <cell r="AA201">
            <v>91</v>
          </cell>
          <cell r="AB201" t="str">
            <v>Fundamental data p&amp;L</v>
          </cell>
          <cell r="AC201">
            <v>215</v>
          </cell>
          <cell r="AD201">
            <v>0</v>
          </cell>
          <cell r="AE201">
            <v>0</v>
          </cell>
          <cell r="AF201">
            <v>0</v>
          </cell>
          <cell r="AG201">
            <v>0</v>
          </cell>
          <cell r="AH201">
            <v>0</v>
          </cell>
          <cell r="AI201">
            <v>0</v>
          </cell>
          <cell r="AJ201">
            <v>0</v>
          </cell>
          <cell r="AK201">
            <v>0</v>
          </cell>
          <cell r="AL201">
            <v>0</v>
          </cell>
          <cell r="AM201">
            <v>0</v>
          </cell>
          <cell r="AN201">
            <v>310</v>
          </cell>
          <cell r="AO201" t="str">
            <v>Cost of goods sold</v>
          </cell>
          <cell r="AP201">
            <v>0</v>
          </cell>
          <cell r="AQ201">
            <v>0</v>
          </cell>
          <cell r="AR201">
            <v>0</v>
          </cell>
          <cell r="AS201">
            <v>0</v>
          </cell>
          <cell r="AT201">
            <v>0</v>
          </cell>
          <cell r="AU201" t="e">
            <v>#VALUE!</v>
          </cell>
          <cell r="AV201" t="e">
            <v>#VALUE!</v>
          </cell>
        </row>
        <row r="202">
          <cell r="A202">
            <v>303</v>
          </cell>
          <cell r="B202" t="str">
            <v>1fd_dir_of_estimate_change</v>
          </cell>
          <cell r="C202" t="str">
            <v>Direction of estimate change</v>
          </cell>
          <cell r="D202" t="str">
            <v>(text)</v>
          </cell>
          <cell r="E202">
            <v>0</v>
          </cell>
          <cell r="F202">
            <v>0</v>
          </cell>
          <cell r="G202">
            <v>0</v>
          </cell>
          <cell r="H202">
            <v>0</v>
          </cell>
          <cell r="I202">
            <v>0</v>
          </cell>
          <cell r="J202">
            <v>0</v>
          </cell>
          <cell r="K202">
            <v>0</v>
          </cell>
          <cell r="L202">
            <v>0</v>
          </cell>
          <cell r="M202">
            <v>0</v>
          </cell>
          <cell r="N202" t="str">
            <v>fd_dir_of_estimate_change</v>
          </cell>
          <cell r="O202">
            <v>1</v>
          </cell>
          <cell r="P202">
            <v>0</v>
          </cell>
          <cell r="Q202">
            <v>1</v>
          </cell>
          <cell r="R202" t="str">
            <v>E</v>
          </cell>
          <cell r="S202">
            <v>2</v>
          </cell>
          <cell r="T202" t="str">
            <v>null</v>
          </cell>
          <cell r="U202">
            <v>1</v>
          </cell>
          <cell r="V202">
            <v>0</v>
          </cell>
          <cell r="W202">
            <v>0</v>
          </cell>
          <cell r="X202">
            <v>0</v>
          </cell>
          <cell r="Y202">
            <v>0</v>
          </cell>
          <cell r="Z202">
            <v>0</v>
          </cell>
          <cell r="AA202">
            <v>144</v>
          </cell>
          <cell r="AB202" t="str">
            <v>Fundamental data p&amp;L</v>
          </cell>
          <cell r="AC202">
            <v>215</v>
          </cell>
          <cell r="AD202">
            <v>0</v>
          </cell>
          <cell r="AE202">
            <v>0</v>
          </cell>
          <cell r="AF202">
            <v>0</v>
          </cell>
          <cell r="AG202">
            <v>0</v>
          </cell>
          <cell r="AH202">
            <v>0</v>
          </cell>
          <cell r="AI202">
            <v>0</v>
          </cell>
          <cell r="AJ202">
            <v>0</v>
          </cell>
          <cell r="AK202">
            <v>0</v>
          </cell>
          <cell r="AL202">
            <v>0</v>
          </cell>
          <cell r="AM202">
            <v>0</v>
          </cell>
          <cell r="AN202">
            <v>303</v>
          </cell>
          <cell r="AO202" t="str">
            <v>Direction of estimate change</v>
          </cell>
          <cell r="AP202">
            <v>0</v>
          </cell>
          <cell r="AQ202">
            <v>0</v>
          </cell>
          <cell r="AR202">
            <v>0</v>
          </cell>
          <cell r="AS202" t="str">
            <v>(up/down/neutral)</v>
          </cell>
          <cell r="AT202">
            <v>0</v>
          </cell>
        </row>
        <row r="203">
          <cell r="A203">
            <v>309</v>
          </cell>
          <cell r="B203" t="str">
            <v>1fd_ebita</v>
          </cell>
          <cell r="C203" t="str">
            <v>EBITA</v>
          </cell>
          <cell r="D203" t="str">
            <v>(m)</v>
          </cell>
          <cell r="E203">
            <v>0</v>
          </cell>
          <cell r="F203">
            <v>0</v>
          </cell>
          <cell r="G203">
            <v>0</v>
          </cell>
          <cell r="H203">
            <v>0</v>
          </cell>
          <cell r="I203">
            <v>0</v>
          </cell>
          <cell r="J203">
            <v>0</v>
          </cell>
          <cell r="K203">
            <v>0</v>
          </cell>
          <cell r="L203">
            <v>0</v>
          </cell>
          <cell r="M203">
            <v>0</v>
          </cell>
          <cell r="N203" t="str">
            <v>fd_ebita</v>
          </cell>
          <cell r="O203">
            <v>0</v>
          </cell>
          <cell r="P203">
            <v>0</v>
          </cell>
          <cell r="Q203">
            <v>1000000</v>
          </cell>
          <cell r="R203" t="str">
            <v>E</v>
          </cell>
          <cell r="S203">
            <v>2</v>
          </cell>
          <cell r="T203" t="str">
            <v>null</v>
          </cell>
          <cell r="U203">
            <v>1</v>
          </cell>
          <cell r="V203">
            <v>0</v>
          </cell>
          <cell r="W203">
            <v>0</v>
          </cell>
          <cell r="X203">
            <v>0</v>
          </cell>
          <cell r="Y203">
            <v>0</v>
          </cell>
          <cell r="Z203">
            <v>0</v>
          </cell>
          <cell r="AA203">
            <v>173</v>
          </cell>
          <cell r="AB203" t="str">
            <v>Fundamental data p&amp;L</v>
          </cell>
          <cell r="AC203">
            <v>215</v>
          </cell>
          <cell r="AD203">
            <v>0</v>
          </cell>
          <cell r="AE203">
            <v>0</v>
          </cell>
          <cell r="AF203">
            <v>0</v>
          </cell>
          <cell r="AG203">
            <v>0</v>
          </cell>
          <cell r="AH203">
            <v>0</v>
          </cell>
          <cell r="AI203">
            <v>0</v>
          </cell>
          <cell r="AJ203">
            <v>0</v>
          </cell>
          <cell r="AK203">
            <v>0</v>
          </cell>
          <cell r="AL203">
            <v>0</v>
          </cell>
          <cell r="AM203">
            <v>0</v>
          </cell>
          <cell r="AN203">
            <v>309</v>
          </cell>
          <cell r="AO203" t="str">
            <v>EBITA</v>
          </cell>
          <cell r="AP203">
            <v>0</v>
          </cell>
          <cell r="AQ203">
            <v>0</v>
          </cell>
          <cell r="AR203">
            <v>0</v>
          </cell>
          <cell r="AS203">
            <v>0</v>
          </cell>
          <cell r="AT203">
            <v>0</v>
          </cell>
          <cell r="AU203" t="e">
            <v>#VALUE!</v>
          </cell>
          <cell r="AV203" t="e">
            <v>#VALUE!</v>
          </cell>
        </row>
        <row r="204">
          <cell r="A204">
            <v>298</v>
          </cell>
          <cell r="B204" t="str">
            <v>1fd_ebitda_rec_adj</v>
          </cell>
          <cell r="C204" t="str">
            <v>EBITDA (recurring/adjusted)</v>
          </cell>
          <cell r="D204" t="str">
            <v>(m)</v>
          </cell>
          <cell r="E204">
            <v>0</v>
          </cell>
          <cell r="F204">
            <v>0</v>
          </cell>
          <cell r="G204">
            <v>0</v>
          </cell>
          <cell r="H204">
            <v>0</v>
          </cell>
          <cell r="I204">
            <v>0</v>
          </cell>
          <cell r="J204">
            <v>0</v>
          </cell>
          <cell r="K204">
            <v>0</v>
          </cell>
          <cell r="L204">
            <v>0</v>
          </cell>
          <cell r="M204">
            <v>0</v>
          </cell>
          <cell r="N204" t="str">
            <v>fd_ebitda_rec_adj</v>
          </cell>
          <cell r="O204">
            <v>0</v>
          </cell>
          <cell r="P204">
            <v>0</v>
          </cell>
          <cell r="Q204">
            <v>1000000</v>
          </cell>
          <cell r="R204" t="str">
            <v>E</v>
          </cell>
          <cell r="S204">
            <v>2</v>
          </cell>
          <cell r="T204" t="str">
            <v>null</v>
          </cell>
          <cell r="U204">
            <v>1</v>
          </cell>
          <cell r="V204">
            <v>0</v>
          </cell>
          <cell r="W204">
            <v>0</v>
          </cell>
          <cell r="X204">
            <v>0</v>
          </cell>
          <cell r="Y204">
            <v>0</v>
          </cell>
          <cell r="Z204">
            <v>0</v>
          </cell>
          <cell r="AA204">
            <v>177</v>
          </cell>
          <cell r="AB204" t="str">
            <v>Fundamental data p&amp;L</v>
          </cell>
          <cell r="AC204">
            <v>215</v>
          </cell>
          <cell r="AD204">
            <v>0</v>
          </cell>
          <cell r="AE204">
            <v>0</v>
          </cell>
          <cell r="AF204">
            <v>0</v>
          </cell>
          <cell r="AG204">
            <v>0</v>
          </cell>
          <cell r="AH204">
            <v>0</v>
          </cell>
          <cell r="AI204">
            <v>0</v>
          </cell>
          <cell r="AJ204">
            <v>0</v>
          </cell>
          <cell r="AK204">
            <v>0</v>
          </cell>
          <cell r="AL204">
            <v>0</v>
          </cell>
          <cell r="AM204">
            <v>0</v>
          </cell>
          <cell r="AN204">
            <v>298</v>
          </cell>
          <cell r="AO204" t="str">
            <v>EBITDA (recurring/adjusted)</v>
          </cell>
          <cell r="AP204">
            <v>0</v>
          </cell>
          <cell r="AQ204">
            <v>0</v>
          </cell>
          <cell r="AR204">
            <v>0</v>
          </cell>
          <cell r="AS204">
            <v>0</v>
          </cell>
          <cell r="AT204">
            <v>0</v>
          </cell>
          <cell r="AU204" t="e">
            <v>#VALUE!</v>
          </cell>
          <cell r="AV204" t="e">
            <v>#VALUE!</v>
          </cell>
        </row>
        <row r="205">
          <cell r="A205">
            <v>297</v>
          </cell>
          <cell r="B205" t="str">
            <v>1fd_ebitdar</v>
          </cell>
          <cell r="C205" t="str">
            <v>EBITDAR</v>
          </cell>
          <cell r="D205" t="str">
            <v>(m)</v>
          </cell>
          <cell r="E205">
            <v>0</v>
          </cell>
          <cell r="F205">
            <v>0</v>
          </cell>
          <cell r="G205">
            <v>0</v>
          </cell>
          <cell r="H205">
            <v>0</v>
          </cell>
          <cell r="I205">
            <v>0</v>
          </cell>
          <cell r="J205">
            <v>0</v>
          </cell>
          <cell r="K205">
            <v>0</v>
          </cell>
          <cell r="L205">
            <v>0</v>
          </cell>
          <cell r="M205">
            <v>0</v>
          </cell>
          <cell r="N205" t="str">
            <v>fd_ebitdar</v>
          </cell>
          <cell r="O205">
            <v>0</v>
          </cell>
          <cell r="P205">
            <v>0</v>
          </cell>
          <cell r="Q205">
            <v>1000000</v>
          </cell>
          <cell r="R205" t="str">
            <v>E</v>
          </cell>
          <cell r="S205">
            <v>2</v>
          </cell>
          <cell r="T205" t="str">
            <v>null</v>
          </cell>
          <cell r="U205">
            <v>1</v>
          </cell>
          <cell r="V205">
            <v>0</v>
          </cell>
          <cell r="W205">
            <v>0</v>
          </cell>
          <cell r="X205">
            <v>0</v>
          </cell>
          <cell r="Y205">
            <v>0</v>
          </cell>
          <cell r="Z205">
            <v>0</v>
          </cell>
          <cell r="AA205">
            <v>182</v>
          </cell>
          <cell r="AB205" t="str">
            <v>Fundamental data p&amp;L</v>
          </cell>
          <cell r="AC205">
            <v>215</v>
          </cell>
          <cell r="AD205">
            <v>0</v>
          </cell>
          <cell r="AE205">
            <v>0</v>
          </cell>
          <cell r="AF205">
            <v>0</v>
          </cell>
          <cell r="AG205">
            <v>0</v>
          </cell>
          <cell r="AH205">
            <v>0</v>
          </cell>
          <cell r="AI205">
            <v>0</v>
          </cell>
          <cell r="AJ205">
            <v>0</v>
          </cell>
          <cell r="AK205">
            <v>0</v>
          </cell>
          <cell r="AL205">
            <v>0</v>
          </cell>
          <cell r="AM205">
            <v>0</v>
          </cell>
          <cell r="AN205">
            <v>297</v>
          </cell>
          <cell r="AO205" t="str">
            <v>EBITDAR</v>
          </cell>
          <cell r="AP205">
            <v>0</v>
          </cell>
          <cell r="AQ205">
            <v>0</v>
          </cell>
          <cell r="AR205">
            <v>0</v>
          </cell>
          <cell r="AS205">
            <v>0</v>
          </cell>
          <cell r="AT205">
            <v>0</v>
          </cell>
          <cell r="AU205" t="e">
            <v>#VALUE!</v>
          </cell>
          <cell r="AV205" t="e">
            <v>#VALUE!</v>
          </cell>
        </row>
        <row r="206">
          <cell r="A206">
            <v>307</v>
          </cell>
          <cell r="B206" t="str">
            <v>1fd_exceptionals</v>
          </cell>
          <cell r="C206" t="str">
            <v>Exceptionals (abnormals)</v>
          </cell>
          <cell r="D206" t="str">
            <v>(m)</v>
          </cell>
          <cell r="E206">
            <v>0</v>
          </cell>
          <cell r="F206">
            <v>0</v>
          </cell>
          <cell r="G206">
            <v>0</v>
          </cell>
          <cell r="H206">
            <v>0</v>
          </cell>
          <cell r="I206">
            <v>0</v>
          </cell>
          <cell r="J206">
            <v>0</v>
          </cell>
          <cell r="K206">
            <v>0</v>
          </cell>
          <cell r="L206">
            <v>0</v>
          </cell>
          <cell r="M206">
            <v>0</v>
          </cell>
          <cell r="N206" t="str">
            <v>fd_exceptionals</v>
          </cell>
          <cell r="O206">
            <v>0</v>
          </cell>
          <cell r="P206">
            <v>0</v>
          </cell>
          <cell r="Q206">
            <v>1000000</v>
          </cell>
          <cell r="R206" t="str">
            <v>E</v>
          </cell>
          <cell r="S206">
            <v>2</v>
          </cell>
          <cell r="T206" t="str">
            <v>null</v>
          </cell>
          <cell r="U206">
            <v>1</v>
          </cell>
          <cell r="V206">
            <v>0</v>
          </cell>
          <cell r="W206">
            <v>0</v>
          </cell>
          <cell r="X206">
            <v>0</v>
          </cell>
          <cell r="Y206">
            <v>0</v>
          </cell>
          <cell r="Z206">
            <v>0</v>
          </cell>
          <cell r="AA206">
            <v>234</v>
          </cell>
          <cell r="AB206" t="str">
            <v>Fundamental data p&amp;L</v>
          </cell>
          <cell r="AC206">
            <v>215</v>
          </cell>
          <cell r="AD206">
            <v>0</v>
          </cell>
          <cell r="AE206">
            <v>0</v>
          </cell>
          <cell r="AF206">
            <v>0</v>
          </cell>
          <cell r="AG206">
            <v>0</v>
          </cell>
          <cell r="AH206">
            <v>0</v>
          </cell>
          <cell r="AI206">
            <v>0</v>
          </cell>
          <cell r="AJ206">
            <v>0</v>
          </cell>
          <cell r="AK206">
            <v>0</v>
          </cell>
          <cell r="AL206">
            <v>0</v>
          </cell>
          <cell r="AM206">
            <v>0</v>
          </cell>
          <cell r="AN206">
            <v>307</v>
          </cell>
          <cell r="AO206" t="str">
            <v>Exceptionals (Abnormals)</v>
          </cell>
          <cell r="AP206">
            <v>0</v>
          </cell>
          <cell r="AQ206">
            <v>0</v>
          </cell>
          <cell r="AR206">
            <v>0</v>
          </cell>
          <cell r="AS206">
            <v>0</v>
          </cell>
          <cell r="AT206">
            <v>0</v>
          </cell>
          <cell r="AU206" t="e">
            <v>#VALUE!</v>
          </cell>
          <cell r="AV206" t="e">
            <v>#VALUE!</v>
          </cell>
        </row>
        <row r="207">
          <cell r="A207">
            <v>296</v>
          </cell>
          <cell r="B207" t="str">
            <v>1fd_fleet_rentals</v>
          </cell>
          <cell r="C207" t="str">
            <v>Fleet rentals</v>
          </cell>
          <cell r="D207" t="str">
            <v>(m)</v>
          </cell>
          <cell r="E207">
            <v>0</v>
          </cell>
          <cell r="F207">
            <v>0</v>
          </cell>
          <cell r="G207">
            <v>0</v>
          </cell>
          <cell r="H207">
            <v>0</v>
          </cell>
          <cell r="I207">
            <v>0</v>
          </cell>
          <cell r="J207">
            <v>0</v>
          </cell>
          <cell r="K207">
            <v>0</v>
          </cell>
          <cell r="L207">
            <v>0</v>
          </cell>
          <cell r="M207">
            <v>0</v>
          </cell>
          <cell r="N207" t="str">
            <v>fd_fleet_rentals</v>
          </cell>
          <cell r="O207">
            <v>0</v>
          </cell>
          <cell r="P207">
            <v>0</v>
          </cell>
          <cell r="Q207">
            <v>1000000</v>
          </cell>
          <cell r="R207" t="str">
            <v>E</v>
          </cell>
          <cell r="S207">
            <v>2</v>
          </cell>
          <cell r="T207" t="str">
            <v>null</v>
          </cell>
          <cell r="U207">
            <v>1</v>
          </cell>
          <cell r="V207">
            <v>0</v>
          </cell>
          <cell r="W207">
            <v>0</v>
          </cell>
          <cell r="X207">
            <v>0</v>
          </cell>
          <cell r="Y207">
            <v>0</v>
          </cell>
          <cell r="Z207">
            <v>0</v>
          </cell>
          <cell r="AA207">
            <v>246</v>
          </cell>
          <cell r="AB207" t="str">
            <v>Fundamental data p&amp;L</v>
          </cell>
          <cell r="AC207">
            <v>215</v>
          </cell>
          <cell r="AD207">
            <v>0</v>
          </cell>
          <cell r="AE207">
            <v>0</v>
          </cell>
          <cell r="AF207">
            <v>0</v>
          </cell>
          <cell r="AG207">
            <v>0</v>
          </cell>
          <cell r="AH207">
            <v>0</v>
          </cell>
          <cell r="AI207">
            <v>0</v>
          </cell>
          <cell r="AJ207">
            <v>0</v>
          </cell>
          <cell r="AK207">
            <v>0</v>
          </cell>
          <cell r="AL207">
            <v>0</v>
          </cell>
          <cell r="AM207">
            <v>0</v>
          </cell>
          <cell r="AN207">
            <v>296</v>
          </cell>
          <cell r="AO207" t="str">
            <v>Fleet Rentals</v>
          </cell>
          <cell r="AP207">
            <v>0</v>
          </cell>
          <cell r="AQ207">
            <v>0</v>
          </cell>
          <cell r="AR207">
            <v>0</v>
          </cell>
          <cell r="AS207">
            <v>0</v>
          </cell>
          <cell r="AT207">
            <v>0</v>
          </cell>
          <cell r="AU207" t="e">
            <v>#VALUE!</v>
          </cell>
          <cell r="AV207" t="e">
            <v>#VALUE!</v>
          </cell>
        </row>
        <row r="208">
          <cell r="A208">
            <v>335</v>
          </cell>
          <cell r="B208" t="str">
            <v>1fd_net_income_ex_media</v>
          </cell>
          <cell r="C208" t="str">
            <v>Net income (adjusted ex new media net expense)</v>
          </cell>
          <cell r="D208" t="str">
            <v>(m)</v>
          </cell>
          <cell r="E208">
            <v>0</v>
          </cell>
          <cell r="F208">
            <v>0</v>
          </cell>
          <cell r="G208">
            <v>0</v>
          </cell>
          <cell r="H208">
            <v>0</v>
          </cell>
          <cell r="I208">
            <v>0</v>
          </cell>
          <cell r="J208">
            <v>0</v>
          </cell>
          <cell r="K208">
            <v>0</v>
          </cell>
          <cell r="L208">
            <v>0</v>
          </cell>
          <cell r="M208">
            <v>0</v>
          </cell>
          <cell r="N208" t="str">
            <v>fd_net_income_ex_media</v>
          </cell>
          <cell r="O208">
            <v>0</v>
          </cell>
          <cell r="P208">
            <v>0</v>
          </cell>
          <cell r="Q208">
            <v>1000000</v>
          </cell>
          <cell r="R208" t="str">
            <v>E</v>
          </cell>
          <cell r="S208">
            <v>2</v>
          </cell>
          <cell r="T208" t="str">
            <v>null</v>
          </cell>
          <cell r="U208">
            <v>1</v>
          </cell>
          <cell r="V208">
            <v>0</v>
          </cell>
          <cell r="W208">
            <v>0</v>
          </cell>
          <cell r="X208">
            <v>0</v>
          </cell>
          <cell r="Y208">
            <v>0</v>
          </cell>
          <cell r="Z208">
            <v>0</v>
          </cell>
          <cell r="AA208">
            <v>374</v>
          </cell>
          <cell r="AB208" t="str">
            <v>Fundamental data p&amp;L</v>
          </cell>
          <cell r="AC208">
            <v>215</v>
          </cell>
          <cell r="AD208">
            <v>0</v>
          </cell>
          <cell r="AE208">
            <v>0</v>
          </cell>
          <cell r="AF208">
            <v>0</v>
          </cell>
          <cell r="AG208">
            <v>0</v>
          </cell>
          <cell r="AH208">
            <v>0</v>
          </cell>
          <cell r="AI208">
            <v>0</v>
          </cell>
          <cell r="AJ208">
            <v>0</v>
          </cell>
          <cell r="AK208">
            <v>0</v>
          </cell>
          <cell r="AL208">
            <v>0</v>
          </cell>
          <cell r="AM208">
            <v>0</v>
          </cell>
          <cell r="AN208">
            <v>335</v>
          </cell>
          <cell r="AO208" t="str">
            <v xml:space="preserve">Net income (adjusted ex new media net expense) </v>
          </cell>
          <cell r="AP208">
            <v>0</v>
          </cell>
          <cell r="AQ208">
            <v>0</v>
          </cell>
          <cell r="AR208">
            <v>0</v>
          </cell>
          <cell r="AS208">
            <v>0</v>
          </cell>
          <cell r="AT208">
            <v>0</v>
          </cell>
          <cell r="AU208" t="e">
            <v>#VALUE!</v>
          </cell>
          <cell r="AV208" t="e">
            <v>#VALUE!</v>
          </cell>
        </row>
        <row r="209">
          <cell r="A209">
            <v>323</v>
          </cell>
          <cell r="B209" t="str">
            <v>1fd_non_interest_income</v>
          </cell>
          <cell r="C209" t="str">
            <v>Non-interest income</v>
          </cell>
          <cell r="D209" t="str">
            <v>(m)</v>
          </cell>
          <cell r="E209">
            <v>0</v>
          </cell>
          <cell r="F209">
            <v>0</v>
          </cell>
          <cell r="G209">
            <v>0</v>
          </cell>
          <cell r="H209">
            <v>0</v>
          </cell>
          <cell r="I209">
            <v>0</v>
          </cell>
          <cell r="J209">
            <v>0</v>
          </cell>
          <cell r="K209">
            <v>0</v>
          </cell>
          <cell r="L209">
            <v>0</v>
          </cell>
          <cell r="M209">
            <v>0</v>
          </cell>
          <cell r="N209" t="str">
            <v>fd_non_interest_income</v>
          </cell>
          <cell r="O209">
            <v>0</v>
          </cell>
          <cell r="P209">
            <v>0</v>
          </cell>
          <cell r="Q209">
            <v>1000000</v>
          </cell>
          <cell r="R209" t="str">
            <v>E</v>
          </cell>
          <cell r="S209">
            <v>2</v>
          </cell>
          <cell r="T209" t="str">
            <v>null</v>
          </cell>
          <cell r="U209">
            <v>1</v>
          </cell>
          <cell r="V209">
            <v>0</v>
          </cell>
          <cell r="W209">
            <v>0</v>
          </cell>
          <cell r="X209">
            <v>0</v>
          </cell>
          <cell r="Y209">
            <v>0</v>
          </cell>
          <cell r="Z209">
            <v>0</v>
          </cell>
          <cell r="AA209">
            <v>402</v>
          </cell>
          <cell r="AB209" t="str">
            <v>Fundamental data p&amp;L</v>
          </cell>
          <cell r="AC209">
            <v>215</v>
          </cell>
          <cell r="AD209">
            <v>0</v>
          </cell>
          <cell r="AE209">
            <v>0</v>
          </cell>
          <cell r="AF209">
            <v>0</v>
          </cell>
          <cell r="AG209">
            <v>0</v>
          </cell>
          <cell r="AH209">
            <v>0</v>
          </cell>
          <cell r="AI209">
            <v>0</v>
          </cell>
          <cell r="AJ209">
            <v>0</v>
          </cell>
          <cell r="AK209">
            <v>0</v>
          </cell>
          <cell r="AL209">
            <v>0</v>
          </cell>
          <cell r="AM209">
            <v>0</v>
          </cell>
          <cell r="AN209">
            <v>323</v>
          </cell>
          <cell r="AO209" t="str">
            <v>Non-interest income</v>
          </cell>
          <cell r="AP209">
            <v>0</v>
          </cell>
          <cell r="AQ209">
            <v>0</v>
          </cell>
          <cell r="AR209">
            <v>0</v>
          </cell>
          <cell r="AS209">
            <v>0</v>
          </cell>
          <cell r="AT209">
            <v>0</v>
          </cell>
          <cell r="AU209" t="e">
            <v>#VALUE!</v>
          </cell>
          <cell r="AV209" t="e">
            <v>#VALUE!</v>
          </cell>
        </row>
        <row r="210">
          <cell r="A210">
            <v>305</v>
          </cell>
          <cell r="B210" t="str">
            <v>1fd_operating_profit_postgoodwill</v>
          </cell>
          <cell r="C210" t="str">
            <v>Operating profit (post goodwill)</v>
          </cell>
          <cell r="D210" t="str">
            <v>(m)</v>
          </cell>
          <cell r="E210">
            <v>0</v>
          </cell>
          <cell r="F210">
            <v>0</v>
          </cell>
          <cell r="G210">
            <v>0</v>
          </cell>
          <cell r="H210">
            <v>0</v>
          </cell>
          <cell r="I210">
            <v>0</v>
          </cell>
          <cell r="J210">
            <v>0</v>
          </cell>
          <cell r="K210">
            <v>0</v>
          </cell>
          <cell r="L210">
            <v>0</v>
          </cell>
          <cell r="M210">
            <v>0</v>
          </cell>
          <cell r="N210" t="str">
            <v>fd_operating_profit_postgoodwill</v>
          </cell>
          <cell r="O210">
            <v>0</v>
          </cell>
          <cell r="P210">
            <v>0</v>
          </cell>
          <cell r="Q210">
            <v>1000000</v>
          </cell>
          <cell r="R210" t="str">
            <v>E</v>
          </cell>
          <cell r="S210">
            <v>2</v>
          </cell>
          <cell r="T210" t="str">
            <v>null</v>
          </cell>
          <cell r="U210">
            <v>1</v>
          </cell>
          <cell r="V210">
            <v>0</v>
          </cell>
          <cell r="W210">
            <v>0</v>
          </cell>
          <cell r="X210">
            <v>0</v>
          </cell>
          <cell r="Y210">
            <v>0</v>
          </cell>
          <cell r="Z210">
            <v>0</v>
          </cell>
          <cell r="AA210">
            <v>434</v>
          </cell>
          <cell r="AB210" t="str">
            <v>Fundamental data p&amp;L</v>
          </cell>
          <cell r="AC210">
            <v>215</v>
          </cell>
          <cell r="AD210">
            <v>0</v>
          </cell>
          <cell r="AE210">
            <v>0</v>
          </cell>
          <cell r="AF210">
            <v>0</v>
          </cell>
          <cell r="AG210">
            <v>0</v>
          </cell>
          <cell r="AH210">
            <v>0</v>
          </cell>
          <cell r="AI210">
            <v>0</v>
          </cell>
          <cell r="AJ210">
            <v>0</v>
          </cell>
          <cell r="AK210">
            <v>0</v>
          </cell>
          <cell r="AL210">
            <v>0</v>
          </cell>
          <cell r="AM210">
            <v>0</v>
          </cell>
          <cell r="AN210">
            <v>305</v>
          </cell>
          <cell r="AO210" t="str">
            <v>Operating profit - post goodwill</v>
          </cell>
          <cell r="AP210">
            <v>0</v>
          </cell>
          <cell r="AQ210">
            <v>0</v>
          </cell>
          <cell r="AR210">
            <v>0</v>
          </cell>
          <cell r="AS210">
            <v>0</v>
          </cell>
          <cell r="AT210">
            <v>0</v>
          </cell>
          <cell r="AU210" t="e">
            <v>#VALUE!</v>
          </cell>
          <cell r="AV210" t="e">
            <v>#VALUE!</v>
          </cell>
        </row>
        <row r="211">
          <cell r="A211">
            <v>300</v>
          </cell>
          <cell r="B211" t="str">
            <v>1fd_operating_profit_preprov</v>
          </cell>
          <cell r="C211" t="str">
            <v>Operating profit (pre-provisions)</v>
          </cell>
          <cell r="D211" t="str">
            <v>(m)</v>
          </cell>
          <cell r="E211">
            <v>0</v>
          </cell>
          <cell r="F211">
            <v>0</v>
          </cell>
          <cell r="G211">
            <v>0</v>
          </cell>
          <cell r="H211">
            <v>0</v>
          </cell>
          <cell r="I211">
            <v>0</v>
          </cell>
          <cell r="J211">
            <v>0</v>
          </cell>
          <cell r="K211">
            <v>0</v>
          </cell>
          <cell r="L211">
            <v>0</v>
          </cell>
          <cell r="M211">
            <v>0</v>
          </cell>
          <cell r="N211" t="str">
            <v>fd_operating_profit_preprov</v>
          </cell>
          <cell r="O211">
            <v>0</v>
          </cell>
          <cell r="P211">
            <v>0</v>
          </cell>
          <cell r="Q211">
            <v>1000000</v>
          </cell>
          <cell r="R211" t="str">
            <v>E</v>
          </cell>
          <cell r="S211">
            <v>2</v>
          </cell>
          <cell r="T211" t="str">
            <v>null</v>
          </cell>
          <cell r="U211">
            <v>1</v>
          </cell>
          <cell r="V211">
            <v>0</v>
          </cell>
          <cell r="W211">
            <v>0</v>
          </cell>
          <cell r="X211">
            <v>0</v>
          </cell>
          <cell r="Y211">
            <v>0</v>
          </cell>
          <cell r="Z211">
            <v>0</v>
          </cell>
          <cell r="AA211">
            <v>435</v>
          </cell>
          <cell r="AB211" t="str">
            <v>Fundamental data p&amp;L</v>
          </cell>
          <cell r="AC211">
            <v>215</v>
          </cell>
          <cell r="AD211">
            <v>0</v>
          </cell>
          <cell r="AE211">
            <v>0</v>
          </cell>
          <cell r="AF211">
            <v>0</v>
          </cell>
          <cell r="AG211">
            <v>0</v>
          </cell>
          <cell r="AH211">
            <v>0</v>
          </cell>
          <cell r="AI211">
            <v>0</v>
          </cell>
          <cell r="AJ211">
            <v>0</v>
          </cell>
          <cell r="AK211">
            <v>0</v>
          </cell>
          <cell r="AL211">
            <v>0</v>
          </cell>
          <cell r="AM211">
            <v>0</v>
          </cell>
          <cell r="AN211">
            <v>300</v>
          </cell>
          <cell r="AO211" t="str">
            <v>Operating profit - pre-provisions</v>
          </cell>
          <cell r="AP211">
            <v>0</v>
          </cell>
          <cell r="AQ211">
            <v>0</v>
          </cell>
          <cell r="AR211">
            <v>0</v>
          </cell>
          <cell r="AS211">
            <v>0</v>
          </cell>
          <cell r="AT211">
            <v>0</v>
          </cell>
          <cell r="AU211" t="e">
            <v>#VALUE!</v>
          </cell>
          <cell r="AV211" t="e">
            <v>#VALUE!</v>
          </cell>
        </row>
        <row r="212">
          <cell r="A212">
            <v>306</v>
          </cell>
          <cell r="B212" t="str">
            <v>1fd_prof_bef_tax_post_goodwill</v>
          </cell>
          <cell r="C212" t="str">
            <v>Profit before tax (post goodwill)</v>
          </cell>
          <cell r="D212" t="str">
            <v>(m)</v>
          </cell>
          <cell r="E212">
            <v>0</v>
          </cell>
          <cell r="F212">
            <v>0</v>
          </cell>
          <cell r="G212">
            <v>0</v>
          </cell>
          <cell r="H212">
            <v>0</v>
          </cell>
          <cell r="I212">
            <v>0</v>
          </cell>
          <cell r="J212">
            <v>0</v>
          </cell>
          <cell r="K212">
            <v>0</v>
          </cell>
          <cell r="L212">
            <v>0</v>
          </cell>
          <cell r="M212">
            <v>0</v>
          </cell>
          <cell r="N212" t="str">
            <v>fd_prof_bef_tax_post_goodwill</v>
          </cell>
          <cell r="O212">
            <v>0</v>
          </cell>
          <cell r="P212">
            <v>0</v>
          </cell>
          <cell r="Q212">
            <v>1000000</v>
          </cell>
          <cell r="R212" t="str">
            <v>E</v>
          </cell>
          <cell r="S212">
            <v>2</v>
          </cell>
          <cell r="T212" t="str">
            <v>null</v>
          </cell>
          <cell r="U212">
            <v>1</v>
          </cell>
          <cell r="V212">
            <v>0</v>
          </cell>
          <cell r="W212">
            <v>0</v>
          </cell>
          <cell r="X212">
            <v>0</v>
          </cell>
          <cell r="Y212">
            <v>0</v>
          </cell>
          <cell r="Z212">
            <v>0</v>
          </cell>
          <cell r="AA212">
            <v>485</v>
          </cell>
          <cell r="AB212" t="str">
            <v>Fundamental data p&amp;L</v>
          </cell>
          <cell r="AC212">
            <v>215</v>
          </cell>
          <cell r="AD212">
            <v>0</v>
          </cell>
          <cell r="AE212">
            <v>0</v>
          </cell>
          <cell r="AF212">
            <v>0</v>
          </cell>
          <cell r="AG212">
            <v>0</v>
          </cell>
          <cell r="AH212">
            <v>0</v>
          </cell>
          <cell r="AI212">
            <v>0</v>
          </cell>
          <cell r="AJ212">
            <v>0</v>
          </cell>
          <cell r="AK212">
            <v>0</v>
          </cell>
          <cell r="AL212">
            <v>0</v>
          </cell>
          <cell r="AM212">
            <v>0</v>
          </cell>
          <cell r="AN212">
            <v>306</v>
          </cell>
          <cell r="AO212" t="str">
            <v>Profit before Tax (post goodwill)</v>
          </cell>
          <cell r="AP212">
            <v>0</v>
          </cell>
          <cell r="AQ212">
            <v>0</v>
          </cell>
          <cell r="AR212">
            <v>0</v>
          </cell>
          <cell r="AS212">
            <v>0</v>
          </cell>
          <cell r="AT212">
            <v>0</v>
          </cell>
          <cell r="AU212" t="e">
            <v>#VALUE!</v>
          </cell>
          <cell r="AV212" t="e">
            <v>#VALUE!</v>
          </cell>
        </row>
        <row r="213">
          <cell r="A213">
            <v>324</v>
          </cell>
          <cell r="B213" t="str">
            <v>1fd_prov_for_credit_loss</v>
          </cell>
          <cell r="C213" t="str">
            <v>Provision for credit losses</v>
          </cell>
          <cell r="D213" t="str">
            <v>(m)</v>
          </cell>
          <cell r="E213">
            <v>0</v>
          </cell>
          <cell r="F213">
            <v>0</v>
          </cell>
          <cell r="G213">
            <v>0</v>
          </cell>
          <cell r="H213">
            <v>0</v>
          </cell>
          <cell r="I213">
            <v>0</v>
          </cell>
          <cell r="J213">
            <v>0</v>
          </cell>
          <cell r="K213">
            <v>0</v>
          </cell>
          <cell r="L213">
            <v>0</v>
          </cell>
          <cell r="M213">
            <v>0</v>
          </cell>
          <cell r="N213" t="str">
            <v>fd_prov_for_credit_loss</v>
          </cell>
          <cell r="O213">
            <v>0</v>
          </cell>
          <cell r="P213">
            <v>0</v>
          </cell>
          <cell r="Q213">
            <v>1000000</v>
          </cell>
          <cell r="R213" t="str">
            <v>E</v>
          </cell>
          <cell r="S213">
            <v>2</v>
          </cell>
          <cell r="T213" t="str">
            <v>null</v>
          </cell>
          <cell r="U213">
            <v>1</v>
          </cell>
          <cell r="V213">
            <v>0</v>
          </cell>
          <cell r="W213">
            <v>0</v>
          </cell>
          <cell r="X213">
            <v>0</v>
          </cell>
          <cell r="Y213">
            <v>0</v>
          </cell>
          <cell r="Z213">
            <v>0</v>
          </cell>
          <cell r="AA213">
            <v>491</v>
          </cell>
          <cell r="AB213" t="str">
            <v>Fundamental data p&amp;L</v>
          </cell>
          <cell r="AC213">
            <v>215</v>
          </cell>
          <cell r="AD213">
            <v>0</v>
          </cell>
          <cell r="AE213">
            <v>0</v>
          </cell>
          <cell r="AF213">
            <v>0</v>
          </cell>
          <cell r="AG213">
            <v>0</v>
          </cell>
          <cell r="AH213">
            <v>0</v>
          </cell>
          <cell r="AI213">
            <v>0</v>
          </cell>
          <cell r="AJ213">
            <v>0</v>
          </cell>
          <cell r="AK213">
            <v>0</v>
          </cell>
          <cell r="AL213">
            <v>0</v>
          </cell>
          <cell r="AM213">
            <v>0</v>
          </cell>
          <cell r="AN213">
            <v>324</v>
          </cell>
          <cell r="AO213" t="str">
            <v>Provision for credit losses</v>
          </cell>
          <cell r="AP213">
            <v>0</v>
          </cell>
          <cell r="AQ213">
            <v>0</v>
          </cell>
          <cell r="AR213">
            <v>0</v>
          </cell>
          <cell r="AS213">
            <v>0</v>
          </cell>
          <cell r="AT213">
            <v>0</v>
          </cell>
          <cell r="AU213" t="e">
            <v>#VALUE!</v>
          </cell>
          <cell r="AV213" t="e">
            <v>#VALUE!</v>
          </cell>
        </row>
        <row r="214">
          <cell r="A214">
            <v>417</v>
          </cell>
          <cell r="B214" t="str">
            <v>1fd_sales</v>
          </cell>
          <cell r="C214" t="str">
            <v>Turnover - total</v>
          </cell>
          <cell r="D214" t="str">
            <v>(m)</v>
          </cell>
          <cell r="E214">
            <v>0</v>
          </cell>
          <cell r="F214">
            <v>0</v>
          </cell>
          <cell r="G214">
            <v>0</v>
          </cell>
          <cell r="H214">
            <v>0</v>
          </cell>
          <cell r="I214">
            <v>0</v>
          </cell>
          <cell r="J214">
            <v>0</v>
          </cell>
          <cell r="K214">
            <v>0</v>
          </cell>
          <cell r="L214">
            <v>0</v>
          </cell>
          <cell r="M214">
            <v>0</v>
          </cell>
          <cell r="N214" t="str">
            <v>fd_sales</v>
          </cell>
          <cell r="O214">
            <v>0</v>
          </cell>
          <cell r="P214">
            <v>0</v>
          </cell>
          <cell r="Q214">
            <v>1000000</v>
          </cell>
          <cell r="R214" t="str">
            <v>E</v>
          </cell>
          <cell r="S214">
            <v>2</v>
          </cell>
          <cell r="T214" t="str">
            <v>null</v>
          </cell>
          <cell r="U214">
            <v>1</v>
          </cell>
          <cell r="V214">
            <v>0</v>
          </cell>
          <cell r="W214">
            <v>0</v>
          </cell>
          <cell r="X214">
            <v>0</v>
          </cell>
          <cell r="Y214">
            <v>0</v>
          </cell>
          <cell r="Z214">
            <v>0</v>
          </cell>
          <cell r="AA214">
            <v>576</v>
          </cell>
          <cell r="AB214" t="str">
            <v>Fundamental data p&amp;L</v>
          </cell>
          <cell r="AC214">
            <v>215</v>
          </cell>
          <cell r="AD214">
            <v>0</v>
          </cell>
          <cell r="AE214">
            <v>0</v>
          </cell>
          <cell r="AF214">
            <v>0</v>
          </cell>
          <cell r="AG214">
            <v>0</v>
          </cell>
          <cell r="AH214">
            <v>0</v>
          </cell>
          <cell r="AI214">
            <v>0</v>
          </cell>
          <cell r="AJ214">
            <v>0</v>
          </cell>
          <cell r="AK214">
            <v>0</v>
          </cell>
          <cell r="AL214">
            <v>0</v>
          </cell>
          <cell r="AM214">
            <v>0</v>
          </cell>
          <cell r="AN214" t="e">
            <v>#N/A</v>
          </cell>
          <cell r="AO214" t="e">
            <v>#N/A</v>
          </cell>
          <cell r="AP214" t="e">
            <v>#N/A</v>
          </cell>
          <cell r="AQ214" t="e">
            <v>#N/A</v>
          </cell>
          <cell r="AR214" t="e">
            <v>#N/A</v>
          </cell>
          <cell r="AS214" t="e">
            <v>#N/A</v>
          </cell>
          <cell r="AT214" t="e">
            <v>#N/A</v>
          </cell>
          <cell r="AU214" t="e">
            <v>#N/A</v>
          </cell>
          <cell r="AV214" t="e">
            <v>#N/A</v>
          </cell>
        </row>
        <row r="215">
          <cell r="A215">
            <v>311</v>
          </cell>
          <cell r="B215" t="str">
            <v>1fd_sales_gen_admin</v>
          </cell>
          <cell r="C215" t="str">
            <v>Sales, general &amp; admin</v>
          </cell>
          <cell r="D215" t="str">
            <v>(m)</v>
          </cell>
          <cell r="E215">
            <v>0</v>
          </cell>
          <cell r="F215">
            <v>0</v>
          </cell>
          <cell r="G215">
            <v>0</v>
          </cell>
          <cell r="H215">
            <v>0</v>
          </cell>
          <cell r="I215">
            <v>0</v>
          </cell>
          <cell r="J215">
            <v>0</v>
          </cell>
          <cell r="K215">
            <v>0</v>
          </cell>
          <cell r="L215">
            <v>0</v>
          </cell>
          <cell r="M215">
            <v>0</v>
          </cell>
          <cell r="N215" t="str">
            <v>fd_sales_gen_admin</v>
          </cell>
          <cell r="O215">
            <v>0</v>
          </cell>
          <cell r="P215">
            <v>0</v>
          </cell>
          <cell r="Q215">
            <v>1000000</v>
          </cell>
          <cell r="R215" t="str">
            <v>E</v>
          </cell>
          <cell r="S215">
            <v>2</v>
          </cell>
          <cell r="T215" t="str">
            <v>null</v>
          </cell>
          <cell r="U215">
            <v>1</v>
          </cell>
          <cell r="V215">
            <v>0</v>
          </cell>
          <cell r="W215">
            <v>0</v>
          </cell>
          <cell r="X215">
            <v>0</v>
          </cell>
          <cell r="Y215">
            <v>0</v>
          </cell>
          <cell r="Z215">
            <v>0</v>
          </cell>
          <cell r="AA215">
            <v>526</v>
          </cell>
          <cell r="AB215" t="str">
            <v>Fundamental data p&amp;L</v>
          </cell>
          <cell r="AC215">
            <v>215</v>
          </cell>
          <cell r="AD215">
            <v>0</v>
          </cell>
          <cell r="AE215">
            <v>0</v>
          </cell>
          <cell r="AF215">
            <v>0</v>
          </cell>
          <cell r="AG215">
            <v>0</v>
          </cell>
          <cell r="AH215">
            <v>0</v>
          </cell>
          <cell r="AI215">
            <v>0</v>
          </cell>
          <cell r="AJ215">
            <v>0</v>
          </cell>
          <cell r="AK215">
            <v>0</v>
          </cell>
          <cell r="AL215">
            <v>0</v>
          </cell>
          <cell r="AM215">
            <v>0</v>
          </cell>
          <cell r="AN215">
            <v>311</v>
          </cell>
          <cell r="AO215" t="str">
            <v>Sales, General &amp; Admin</v>
          </cell>
          <cell r="AP215">
            <v>0</v>
          </cell>
          <cell r="AQ215">
            <v>0</v>
          </cell>
          <cell r="AR215">
            <v>0</v>
          </cell>
          <cell r="AS215">
            <v>0</v>
          </cell>
          <cell r="AT215">
            <v>0</v>
          </cell>
          <cell r="AU215" t="e">
            <v>#VALUE!</v>
          </cell>
          <cell r="AV215" t="e">
            <v>#VALUE!</v>
          </cell>
        </row>
        <row r="216">
          <cell r="A216">
            <v>293</v>
          </cell>
          <cell r="B216" t="str">
            <v>1fd_total_op_costs</v>
          </cell>
          <cell r="C216" t="str">
            <v>Total operating costs</v>
          </cell>
          <cell r="D216" t="str">
            <v>(m)</v>
          </cell>
          <cell r="E216">
            <v>0</v>
          </cell>
          <cell r="F216">
            <v>0</v>
          </cell>
          <cell r="G216">
            <v>0</v>
          </cell>
          <cell r="H216">
            <v>0</v>
          </cell>
          <cell r="I216">
            <v>0</v>
          </cell>
          <cell r="J216">
            <v>0</v>
          </cell>
          <cell r="K216">
            <v>0</v>
          </cell>
          <cell r="L216">
            <v>0</v>
          </cell>
          <cell r="M216">
            <v>0</v>
          </cell>
          <cell r="N216" t="str">
            <v>fd_total_op_costs</v>
          </cell>
          <cell r="O216">
            <v>0</v>
          </cell>
          <cell r="P216">
            <v>0</v>
          </cell>
          <cell r="Q216">
            <v>1000000</v>
          </cell>
          <cell r="R216" t="str">
            <v>E</v>
          </cell>
          <cell r="S216">
            <v>2</v>
          </cell>
          <cell r="T216" t="str">
            <v>null</v>
          </cell>
          <cell r="U216">
            <v>1</v>
          </cell>
          <cell r="V216">
            <v>0</v>
          </cell>
          <cell r="W216">
            <v>0</v>
          </cell>
          <cell r="X216">
            <v>0</v>
          </cell>
          <cell r="Y216">
            <v>0</v>
          </cell>
          <cell r="Z216">
            <v>0</v>
          </cell>
          <cell r="AA216">
            <v>564</v>
          </cell>
          <cell r="AB216" t="str">
            <v>Fundamental data p&amp;L</v>
          </cell>
          <cell r="AC216">
            <v>215</v>
          </cell>
          <cell r="AD216">
            <v>0</v>
          </cell>
          <cell r="AE216">
            <v>0</v>
          </cell>
          <cell r="AF216">
            <v>0</v>
          </cell>
          <cell r="AG216">
            <v>0</v>
          </cell>
          <cell r="AH216">
            <v>0</v>
          </cell>
          <cell r="AI216">
            <v>0</v>
          </cell>
          <cell r="AJ216">
            <v>0</v>
          </cell>
          <cell r="AK216">
            <v>0</v>
          </cell>
          <cell r="AL216">
            <v>0</v>
          </cell>
          <cell r="AM216">
            <v>0</v>
          </cell>
          <cell r="AN216">
            <v>293</v>
          </cell>
          <cell r="AO216" t="str">
            <v>Total operating costs</v>
          </cell>
          <cell r="AP216" t="str">
            <v>m</v>
          </cell>
          <cell r="AQ216">
            <v>0</v>
          </cell>
          <cell r="AR216" t="str">
            <v>Oil &amp; Gas</v>
          </cell>
          <cell r="AS216">
            <v>0</v>
          </cell>
          <cell r="AT216">
            <v>0</v>
          </cell>
          <cell r="AU216" t="e">
            <v>#VALUE!</v>
          </cell>
          <cell r="AV216" t="e">
            <v>#VALUE!</v>
          </cell>
        </row>
        <row r="217">
          <cell r="A217">
            <v>312</v>
          </cell>
          <cell r="B217" t="str">
            <v>1fd_turnover_other</v>
          </cell>
          <cell r="C217" t="str">
            <v>Turnover - other</v>
          </cell>
          <cell r="D217" t="str">
            <v>(m)</v>
          </cell>
          <cell r="E217">
            <v>0</v>
          </cell>
          <cell r="F217">
            <v>0</v>
          </cell>
          <cell r="G217">
            <v>0</v>
          </cell>
          <cell r="H217">
            <v>0</v>
          </cell>
          <cell r="I217">
            <v>0</v>
          </cell>
          <cell r="J217">
            <v>0</v>
          </cell>
          <cell r="K217">
            <v>0</v>
          </cell>
          <cell r="L217">
            <v>0</v>
          </cell>
          <cell r="M217">
            <v>0</v>
          </cell>
          <cell r="N217" t="str">
            <v>fd_turnover_other</v>
          </cell>
          <cell r="O217">
            <v>0</v>
          </cell>
          <cell r="P217">
            <v>0</v>
          </cell>
          <cell r="Q217">
            <v>1000000</v>
          </cell>
          <cell r="R217" t="str">
            <v>E</v>
          </cell>
          <cell r="S217">
            <v>2</v>
          </cell>
          <cell r="T217" t="str">
            <v>null</v>
          </cell>
          <cell r="U217">
            <v>1</v>
          </cell>
          <cell r="V217">
            <v>0</v>
          </cell>
          <cell r="W217">
            <v>0</v>
          </cell>
          <cell r="X217">
            <v>0</v>
          </cell>
          <cell r="Y217">
            <v>0</v>
          </cell>
          <cell r="Z217">
            <v>0</v>
          </cell>
          <cell r="AA217">
            <v>575</v>
          </cell>
          <cell r="AB217" t="str">
            <v>Fundamental data p&amp;L</v>
          </cell>
          <cell r="AC217">
            <v>215</v>
          </cell>
          <cell r="AD217">
            <v>0</v>
          </cell>
          <cell r="AE217">
            <v>0</v>
          </cell>
          <cell r="AF217">
            <v>0</v>
          </cell>
          <cell r="AG217">
            <v>0</v>
          </cell>
          <cell r="AH217">
            <v>0</v>
          </cell>
          <cell r="AI217">
            <v>0</v>
          </cell>
          <cell r="AJ217">
            <v>0</v>
          </cell>
          <cell r="AK217">
            <v>0</v>
          </cell>
          <cell r="AL217">
            <v>0</v>
          </cell>
          <cell r="AM217">
            <v>0</v>
          </cell>
          <cell r="AN217">
            <v>312</v>
          </cell>
          <cell r="AO217" t="str">
            <v>Turnover - other</v>
          </cell>
          <cell r="AP217">
            <v>0</v>
          </cell>
          <cell r="AQ217">
            <v>0</v>
          </cell>
          <cell r="AR217">
            <v>0</v>
          </cell>
          <cell r="AS217">
            <v>0</v>
          </cell>
          <cell r="AT217">
            <v>0</v>
          </cell>
          <cell r="AU217" t="e">
            <v>#VALUE!</v>
          </cell>
          <cell r="AV217" t="e">
            <v>#VALUE!</v>
          </cell>
        </row>
        <row r="218">
          <cell r="A218">
            <v>111.9</v>
          </cell>
          <cell r="B218" t="str">
            <v>--</v>
          </cell>
          <cell r="C218" t="str">
            <v>Cashflow</v>
          </cell>
          <cell r="D218">
            <v>0</v>
          </cell>
          <cell r="E218">
            <v>0</v>
          </cell>
          <cell r="F218">
            <v>0</v>
          </cell>
          <cell r="G218">
            <v>0</v>
          </cell>
          <cell r="H218">
            <v>0</v>
          </cell>
          <cell r="I218">
            <v>0</v>
          </cell>
          <cell r="J218">
            <v>0</v>
          </cell>
          <cell r="K218">
            <v>0</v>
          </cell>
          <cell r="L218">
            <v>0</v>
          </cell>
          <cell r="M218">
            <v>0</v>
          </cell>
          <cell r="N218" t="str">
            <v>-</v>
          </cell>
          <cell r="O218" t="str">
            <v>-</v>
          </cell>
          <cell r="P218">
            <v>0</v>
          </cell>
          <cell r="Q218" t="str">
            <v>-</v>
          </cell>
          <cell r="R218" t="str">
            <v>Heading</v>
          </cell>
          <cell r="S218" t="str">
            <v>-</v>
          </cell>
          <cell r="T218">
            <v>1001</v>
          </cell>
          <cell r="U218" t="str">
            <v>-</v>
          </cell>
          <cell r="V218">
            <v>0</v>
          </cell>
          <cell r="W218">
            <v>0</v>
          </cell>
          <cell r="X218">
            <v>0</v>
          </cell>
          <cell r="Y218">
            <v>0</v>
          </cell>
          <cell r="Z218">
            <v>0</v>
          </cell>
          <cell r="AA218">
            <v>70</v>
          </cell>
          <cell r="AB218" t="str">
            <v>cashflowdata</v>
          </cell>
          <cell r="AC218">
            <v>216</v>
          </cell>
          <cell r="AD218">
            <v>0</v>
          </cell>
          <cell r="AE218">
            <v>0</v>
          </cell>
          <cell r="AF218">
            <v>0</v>
          </cell>
          <cell r="AG218">
            <v>0</v>
          </cell>
          <cell r="AH218">
            <v>0</v>
          </cell>
          <cell r="AI218">
            <v>0</v>
          </cell>
          <cell r="AJ218">
            <v>0</v>
          </cell>
          <cell r="AK218">
            <v>0</v>
          </cell>
          <cell r="AL218">
            <v>0</v>
          </cell>
          <cell r="AM218">
            <v>0</v>
          </cell>
          <cell r="AN218" t="e">
            <v>#N/A</v>
          </cell>
          <cell r="AO218" t="e">
            <v>#N/A</v>
          </cell>
          <cell r="AP218" t="e">
            <v>#N/A</v>
          </cell>
          <cell r="AQ218" t="e">
            <v>#N/A</v>
          </cell>
          <cell r="AR218" t="e">
            <v>#N/A</v>
          </cell>
          <cell r="AS218" t="e">
            <v>#N/A</v>
          </cell>
          <cell r="AT218" t="e">
            <v>#N/A</v>
          </cell>
          <cell r="AU218" t="e">
            <v>#N/A</v>
          </cell>
          <cell r="AV218" t="e">
            <v>#N/A</v>
          </cell>
        </row>
        <row r="219">
          <cell r="A219">
            <v>109</v>
          </cell>
          <cell r="B219" t="str">
            <v>2fd_operating_profit</v>
          </cell>
          <cell r="C219" t="str">
            <v>Operating profit</v>
          </cell>
          <cell r="D219" t="str">
            <v>(m)</v>
          </cell>
          <cell r="E219">
            <v>0</v>
          </cell>
          <cell r="F219">
            <v>0</v>
          </cell>
          <cell r="G219">
            <v>0</v>
          </cell>
          <cell r="H219">
            <v>0</v>
          </cell>
          <cell r="I219">
            <v>0</v>
          </cell>
          <cell r="J219">
            <v>0</v>
          </cell>
          <cell r="K219">
            <v>0</v>
          </cell>
          <cell r="L219">
            <v>0</v>
          </cell>
          <cell r="M219">
            <v>0</v>
          </cell>
          <cell r="N219" t="str">
            <v>fd_operating_profit</v>
          </cell>
          <cell r="O219">
            <v>0</v>
          </cell>
          <cell r="P219">
            <v>0</v>
          </cell>
          <cell r="Q219">
            <v>1000000</v>
          </cell>
          <cell r="R219" t="str">
            <v>E</v>
          </cell>
          <cell r="S219">
            <v>2</v>
          </cell>
          <cell r="T219" t="str">
            <v>null</v>
          </cell>
          <cell r="U219">
            <v>2</v>
          </cell>
          <cell r="V219">
            <v>0</v>
          </cell>
          <cell r="W219">
            <v>0</v>
          </cell>
          <cell r="X219">
            <v>0</v>
          </cell>
          <cell r="Y219">
            <v>0</v>
          </cell>
          <cell r="Z219">
            <v>0</v>
          </cell>
          <cell r="AA219">
            <v>433</v>
          </cell>
          <cell r="AB219" t="str">
            <v>cashflowdata</v>
          </cell>
          <cell r="AC219">
            <v>218</v>
          </cell>
          <cell r="AD219">
            <v>0</v>
          </cell>
          <cell r="AE219" t="str">
            <v>fd_operating_profit</v>
          </cell>
          <cell r="AF219">
            <v>0</v>
          </cell>
          <cell r="AG219">
            <v>0</v>
          </cell>
          <cell r="AH219">
            <v>0</v>
          </cell>
          <cell r="AI219">
            <v>0</v>
          </cell>
          <cell r="AJ219">
            <v>43</v>
          </cell>
          <cell r="AK219">
            <v>0</v>
          </cell>
          <cell r="AL219">
            <v>0</v>
          </cell>
          <cell r="AM219">
            <v>0</v>
          </cell>
          <cell r="AN219">
            <v>109</v>
          </cell>
          <cell r="AO219" t="str">
            <v>Operating profit</v>
          </cell>
          <cell r="AP219" t="str">
            <v>m</v>
          </cell>
          <cell r="AQ219">
            <v>0</v>
          </cell>
          <cell r="AR219" t="str">
            <v>from P&amp;L</v>
          </cell>
          <cell r="AS219">
            <v>0</v>
          </cell>
          <cell r="AT219">
            <v>0</v>
          </cell>
          <cell r="AU219" t="e">
            <v>#VALUE!</v>
          </cell>
          <cell r="AV219" t="e">
            <v>#VALUE!</v>
          </cell>
        </row>
        <row r="220">
          <cell r="A220">
            <v>112</v>
          </cell>
          <cell r="B220" t="str">
            <v>1c_chng_working_cap</v>
          </cell>
          <cell r="C220" t="str">
            <v>Change in working capital</v>
          </cell>
          <cell r="D220" t="str">
            <v>(m)</v>
          </cell>
          <cell r="E220">
            <v>0</v>
          </cell>
          <cell r="F220">
            <v>0</v>
          </cell>
          <cell r="G220">
            <v>0</v>
          </cell>
          <cell r="H220">
            <v>0</v>
          </cell>
          <cell r="I220">
            <v>0</v>
          </cell>
          <cell r="J220">
            <v>0</v>
          </cell>
          <cell r="K220">
            <v>0</v>
          </cell>
          <cell r="L220">
            <v>0</v>
          </cell>
          <cell r="M220">
            <v>0</v>
          </cell>
          <cell r="N220" t="str">
            <v>c_chng_working_cap</v>
          </cell>
          <cell r="O220">
            <v>0</v>
          </cell>
          <cell r="P220">
            <v>0</v>
          </cell>
          <cell r="Q220">
            <v>1000000</v>
          </cell>
          <cell r="R220" t="str">
            <v>E</v>
          </cell>
          <cell r="S220">
            <v>2</v>
          </cell>
          <cell r="T220" t="str">
            <v>null</v>
          </cell>
          <cell r="U220">
            <v>1</v>
          </cell>
          <cell r="V220">
            <v>0</v>
          </cell>
          <cell r="W220">
            <v>0</v>
          </cell>
          <cell r="X220">
            <v>0</v>
          </cell>
          <cell r="Y220">
            <v>0</v>
          </cell>
          <cell r="Z220">
            <v>0</v>
          </cell>
          <cell r="AA220">
            <v>83</v>
          </cell>
          <cell r="AB220" t="str">
            <v>cashflowdata</v>
          </cell>
          <cell r="AC220">
            <v>219</v>
          </cell>
          <cell r="AD220">
            <v>0</v>
          </cell>
          <cell r="AE220">
            <v>0</v>
          </cell>
          <cell r="AF220">
            <v>0</v>
          </cell>
          <cell r="AG220">
            <v>0</v>
          </cell>
          <cell r="AH220">
            <v>0</v>
          </cell>
          <cell r="AI220">
            <v>0</v>
          </cell>
          <cell r="AJ220">
            <v>0</v>
          </cell>
          <cell r="AK220">
            <v>0</v>
          </cell>
          <cell r="AL220">
            <v>0</v>
          </cell>
          <cell r="AM220">
            <v>0</v>
          </cell>
          <cell r="AN220">
            <v>112</v>
          </cell>
          <cell r="AO220" t="str">
            <v>Change in Working capital</v>
          </cell>
          <cell r="AP220" t="str">
            <v>m</v>
          </cell>
          <cell r="AQ220">
            <v>0</v>
          </cell>
          <cell r="AR220">
            <v>0</v>
          </cell>
          <cell r="AS220">
            <v>0</v>
          </cell>
          <cell r="AT220">
            <v>0</v>
          </cell>
          <cell r="AU220" t="e">
            <v>#VALUE!</v>
          </cell>
          <cell r="AV220" t="e">
            <v>#VALUE!</v>
          </cell>
        </row>
        <row r="221">
          <cell r="A221">
            <v>112.4</v>
          </cell>
          <cell r="B221" t="str">
            <v>1c_chng_working_cap_op</v>
          </cell>
          <cell r="C221" t="str">
            <v>Change in working capital - operating</v>
          </cell>
          <cell r="D221" t="str">
            <v>(m)</v>
          </cell>
          <cell r="E221">
            <v>0</v>
          </cell>
          <cell r="F221">
            <v>0</v>
          </cell>
          <cell r="G221">
            <v>0</v>
          </cell>
          <cell r="H221">
            <v>0</v>
          </cell>
          <cell r="I221">
            <v>0</v>
          </cell>
          <cell r="J221">
            <v>0</v>
          </cell>
          <cell r="K221">
            <v>0</v>
          </cell>
          <cell r="L221">
            <v>0</v>
          </cell>
          <cell r="M221">
            <v>0</v>
          </cell>
          <cell r="N221" t="str">
            <v>c_chng_working_cap_op</v>
          </cell>
          <cell r="O221">
            <v>0</v>
          </cell>
          <cell r="P221">
            <v>0</v>
          </cell>
          <cell r="Q221">
            <v>1000000</v>
          </cell>
          <cell r="R221" t="str">
            <v>E</v>
          </cell>
          <cell r="S221">
            <v>2</v>
          </cell>
          <cell r="T221" t="str">
            <v>null</v>
          </cell>
          <cell r="U221">
            <v>1</v>
          </cell>
          <cell r="V221">
            <v>0</v>
          </cell>
          <cell r="W221">
            <v>0</v>
          </cell>
          <cell r="X221">
            <v>0</v>
          </cell>
          <cell r="Y221">
            <v>0</v>
          </cell>
          <cell r="Z221">
            <v>0</v>
          </cell>
          <cell r="AA221">
            <v>83</v>
          </cell>
          <cell r="AB221" t="str">
            <v>cashflowdata</v>
          </cell>
          <cell r="AC221">
            <v>219.3</v>
          </cell>
          <cell r="AD221">
            <v>0</v>
          </cell>
          <cell r="AE221">
            <v>0</v>
          </cell>
          <cell r="AF221">
            <v>0</v>
          </cell>
          <cell r="AG221">
            <v>0</v>
          </cell>
          <cell r="AH221">
            <v>0</v>
          </cell>
          <cell r="AI221">
            <v>0</v>
          </cell>
          <cell r="AJ221">
            <v>0</v>
          </cell>
          <cell r="AK221">
            <v>0</v>
          </cell>
          <cell r="AL221">
            <v>0</v>
          </cell>
          <cell r="AM221">
            <v>0</v>
          </cell>
          <cell r="AN221" t="e">
            <v>#N/A</v>
          </cell>
          <cell r="AO221" t="e">
            <v>#N/A</v>
          </cell>
          <cell r="AP221" t="e">
            <v>#N/A</v>
          </cell>
          <cell r="AQ221" t="e">
            <v>#N/A</v>
          </cell>
          <cell r="AR221" t="e">
            <v>#N/A</v>
          </cell>
          <cell r="AS221" t="e">
            <v>#N/A</v>
          </cell>
          <cell r="AT221" t="e">
            <v>#N/A</v>
          </cell>
          <cell r="AU221" t="e">
            <v>#N/A</v>
          </cell>
          <cell r="AV221" t="e">
            <v>#N/A</v>
          </cell>
        </row>
        <row r="222">
          <cell r="A222">
            <v>112.2</v>
          </cell>
          <cell r="B222" t="str">
            <v>2c_chng_working_cap</v>
          </cell>
          <cell r="C222" t="str">
            <v>Change in working capital</v>
          </cell>
          <cell r="D222" t="str">
            <v>(m)</v>
          </cell>
          <cell r="E222">
            <v>0</v>
          </cell>
          <cell r="F222">
            <v>0</v>
          </cell>
          <cell r="G222">
            <v>0</v>
          </cell>
          <cell r="H222">
            <v>0</v>
          </cell>
          <cell r="I222">
            <v>0</v>
          </cell>
          <cell r="J222">
            <v>0</v>
          </cell>
          <cell r="K222">
            <v>0</v>
          </cell>
          <cell r="L222">
            <v>0</v>
          </cell>
          <cell r="M222">
            <v>0</v>
          </cell>
          <cell r="N222" t="str">
            <v>c_chng_working_cap</v>
          </cell>
          <cell r="O222">
            <v>0</v>
          </cell>
          <cell r="P222">
            <v>0</v>
          </cell>
          <cell r="Q222">
            <v>1000000</v>
          </cell>
          <cell r="R222" t="str">
            <v>E</v>
          </cell>
          <cell r="S222">
            <v>2</v>
          </cell>
          <cell r="T222" t="str">
            <v>null</v>
          </cell>
          <cell r="U222">
            <v>2</v>
          </cell>
          <cell r="V222">
            <v>0</v>
          </cell>
          <cell r="W222">
            <v>0</v>
          </cell>
          <cell r="X222">
            <v>0</v>
          </cell>
          <cell r="Y222">
            <v>0</v>
          </cell>
          <cell r="Z222">
            <v>0</v>
          </cell>
          <cell r="AA222">
            <v>84</v>
          </cell>
          <cell r="AB222" t="str">
            <v>cashflowdata</v>
          </cell>
          <cell r="AC222">
            <v>220</v>
          </cell>
          <cell r="AD222">
            <v>0</v>
          </cell>
          <cell r="AE222" t="str">
            <v>c_chng_working_cap</v>
          </cell>
          <cell r="AF222">
            <v>0</v>
          </cell>
          <cell r="AG222">
            <v>0</v>
          </cell>
          <cell r="AH222">
            <v>0</v>
          </cell>
          <cell r="AI222">
            <v>0</v>
          </cell>
          <cell r="AJ222">
            <v>112</v>
          </cell>
          <cell r="AK222">
            <v>0</v>
          </cell>
          <cell r="AL222">
            <v>0</v>
          </cell>
          <cell r="AM222">
            <v>0</v>
          </cell>
          <cell r="AN222" t="e">
            <v>#N/A</v>
          </cell>
          <cell r="AO222" t="e">
            <v>#N/A</v>
          </cell>
          <cell r="AP222" t="e">
            <v>#N/A</v>
          </cell>
          <cell r="AQ222" t="e">
            <v>#N/A</v>
          </cell>
          <cell r="AR222" t="e">
            <v>#N/A</v>
          </cell>
          <cell r="AS222" t="e">
            <v>#N/A</v>
          </cell>
          <cell r="AT222" t="e">
            <v>#N/A</v>
          </cell>
          <cell r="AU222" t="e">
            <v>#N/A</v>
          </cell>
          <cell r="AV222" t="e">
            <v>#N/A</v>
          </cell>
        </row>
        <row r="223">
          <cell r="A223">
            <v>113.2</v>
          </cell>
          <cell r="B223" t="str">
            <v>2c_cash_gen_cons_by_ops</v>
          </cell>
          <cell r="C223" t="str">
            <v>Cash generated/consumed by operations</v>
          </cell>
          <cell r="D223" t="str">
            <v>(m)</v>
          </cell>
          <cell r="E223">
            <v>0</v>
          </cell>
          <cell r="F223">
            <v>0</v>
          </cell>
          <cell r="G223">
            <v>0</v>
          </cell>
          <cell r="H223">
            <v>0</v>
          </cell>
          <cell r="I223">
            <v>0</v>
          </cell>
          <cell r="J223">
            <v>0</v>
          </cell>
          <cell r="K223">
            <v>0</v>
          </cell>
          <cell r="L223">
            <v>0</v>
          </cell>
          <cell r="M223">
            <v>0</v>
          </cell>
          <cell r="N223" t="str">
            <v>c_cash_gen_cons_by_ops</v>
          </cell>
          <cell r="O223">
            <v>0</v>
          </cell>
          <cell r="P223">
            <v>0</v>
          </cell>
          <cell r="Q223">
            <v>1000000</v>
          </cell>
          <cell r="R223" t="str">
            <v>E</v>
          </cell>
          <cell r="S223">
            <v>2</v>
          </cell>
          <cell r="T223" t="str">
            <v>null</v>
          </cell>
          <cell r="U223">
            <v>2</v>
          </cell>
          <cell r="V223">
            <v>0</v>
          </cell>
          <cell r="W223">
            <v>0</v>
          </cell>
          <cell r="X223">
            <v>0</v>
          </cell>
          <cell r="Y223">
            <v>0</v>
          </cell>
          <cell r="Z223">
            <v>0</v>
          </cell>
          <cell r="AA223">
            <v>63</v>
          </cell>
          <cell r="AB223" t="str">
            <v>cashflowdata</v>
          </cell>
          <cell r="AC223">
            <v>221</v>
          </cell>
          <cell r="AD223">
            <v>0</v>
          </cell>
          <cell r="AE223" t="str">
            <v>c_cash_gen_cons_by_ops</v>
          </cell>
          <cell r="AF223">
            <v>0</v>
          </cell>
          <cell r="AG223">
            <v>0</v>
          </cell>
          <cell r="AH223">
            <v>0</v>
          </cell>
          <cell r="AI223">
            <v>0</v>
          </cell>
          <cell r="AJ223">
            <v>113</v>
          </cell>
          <cell r="AK223">
            <v>0</v>
          </cell>
          <cell r="AL223">
            <v>0</v>
          </cell>
          <cell r="AM223">
            <v>0</v>
          </cell>
          <cell r="AN223" t="e">
            <v>#N/A</v>
          </cell>
          <cell r="AO223" t="e">
            <v>#N/A</v>
          </cell>
          <cell r="AP223" t="e">
            <v>#N/A</v>
          </cell>
          <cell r="AQ223" t="e">
            <v>#N/A</v>
          </cell>
          <cell r="AR223" t="e">
            <v>#N/A</v>
          </cell>
          <cell r="AS223" t="e">
            <v>#N/A</v>
          </cell>
          <cell r="AT223" t="e">
            <v>#N/A</v>
          </cell>
          <cell r="AU223" t="e">
            <v>#N/A</v>
          </cell>
          <cell r="AV223" t="e">
            <v>#N/A</v>
          </cell>
        </row>
        <row r="224">
          <cell r="A224">
            <v>112.6</v>
          </cell>
          <cell r="B224" t="str">
            <v>1c_non_cash_items</v>
          </cell>
          <cell r="C224" t="str">
            <v>Non cash items</v>
          </cell>
          <cell r="D224" t="str">
            <v>(m)</v>
          </cell>
          <cell r="E224">
            <v>0</v>
          </cell>
          <cell r="F224">
            <v>0</v>
          </cell>
          <cell r="G224">
            <v>0</v>
          </cell>
          <cell r="H224">
            <v>0</v>
          </cell>
          <cell r="I224">
            <v>0</v>
          </cell>
          <cell r="J224">
            <v>0</v>
          </cell>
          <cell r="K224">
            <v>0</v>
          </cell>
          <cell r="L224">
            <v>0</v>
          </cell>
          <cell r="M224">
            <v>0</v>
          </cell>
          <cell r="N224" t="str">
            <v>c_non_cash_items</v>
          </cell>
          <cell r="O224">
            <v>0</v>
          </cell>
          <cell r="P224">
            <v>0</v>
          </cell>
          <cell r="Q224">
            <v>1000000</v>
          </cell>
          <cell r="R224" t="str">
            <v>E</v>
          </cell>
          <cell r="S224">
            <v>2</v>
          </cell>
          <cell r="T224" t="str">
            <v>null</v>
          </cell>
          <cell r="U224">
            <v>1</v>
          </cell>
          <cell r="V224">
            <v>0</v>
          </cell>
          <cell r="W224">
            <v>0</v>
          </cell>
          <cell r="X224">
            <v>0</v>
          </cell>
          <cell r="Y224">
            <v>0</v>
          </cell>
          <cell r="Z224">
            <v>0</v>
          </cell>
          <cell r="AA224">
            <v>63</v>
          </cell>
          <cell r="AB224" t="str">
            <v>cashflowdata</v>
          </cell>
          <cell r="AC224">
            <v>221</v>
          </cell>
          <cell r="AD224">
            <v>0</v>
          </cell>
          <cell r="AE224">
            <v>0</v>
          </cell>
          <cell r="AF224">
            <v>0</v>
          </cell>
          <cell r="AG224">
            <v>0</v>
          </cell>
          <cell r="AH224">
            <v>0</v>
          </cell>
          <cell r="AI224">
            <v>0</v>
          </cell>
          <cell r="AJ224">
            <v>0</v>
          </cell>
          <cell r="AK224">
            <v>0</v>
          </cell>
          <cell r="AL224">
            <v>0</v>
          </cell>
          <cell r="AM224">
            <v>0</v>
          </cell>
          <cell r="AN224" t="e">
            <v>#N/A</v>
          </cell>
          <cell r="AO224" t="e">
            <v>#N/A</v>
          </cell>
          <cell r="AP224" t="e">
            <v>#N/A</v>
          </cell>
          <cell r="AQ224" t="e">
            <v>#N/A</v>
          </cell>
          <cell r="AR224" t="e">
            <v>#N/A</v>
          </cell>
          <cell r="AS224" t="e">
            <v>#N/A</v>
          </cell>
          <cell r="AT224" t="e">
            <v>#N/A</v>
          </cell>
          <cell r="AU224" t="e">
            <v>#N/A</v>
          </cell>
          <cell r="AV224" t="e">
            <v>#N/A</v>
          </cell>
        </row>
        <row r="225">
          <cell r="A225">
            <v>113</v>
          </cell>
          <cell r="B225" t="str">
            <v>1c_cash_gen_cons_by_ops</v>
          </cell>
          <cell r="C225" t="str">
            <v>Cash generated/consumed by operations</v>
          </cell>
          <cell r="D225" t="str">
            <v>(m)</v>
          </cell>
          <cell r="E225">
            <v>0</v>
          </cell>
          <cell r="F225">
            <v>0</v>
          </cell>
          <cell r="G225">
            <v>0</v>
          </cell>
          <cell r="H225">
            <v>0</v>
          </cell>
          <cell r="I225">
            <v>0</v>
          </cell>
          <cell r="J225">
            <v>0</v>
          </cell>
          <cell r="K225">
            <v>0</v>
          </cell>
          <cell r="L225">
            <v>0</v>
          </cell>
          <cell r="M225">
            <v>0</v>
          </cell>
          <cell r="N225" t="str">
            <v>c_cash_gen_cons_by_ops</v>
          </cell>
          <cell r="O225">
            <v>0</v>
          </cell>
          <cell r="P225">
            <v>0</v>
          </cell>
          <cell r="Q225">
            <v>1000000</v>
          </cell>
          <cell r="R225" t="str">
            <v>E</v>
          </cell>
          <cell r="S225">
            <v>2</v>
          </cell>
          <cell r="T225" t="str">
            <v>null</v>
          </cell>
          <cell r="U225">
            <v>1</v>
          </cell>
          <cell r="V225">
            <v>0</v>
          </cell>
          <cell r="W225">
            <v>0</v>
          </cell>
          <cell r="X225">
            <v>0</v>
          </cell>
          <cell r="Y225">
            <v>0</v>
          </cell>
          <cell r="Z225">
            <v>0</v>
          </cell>
          <cell r="AA225">
            <v>64</v>
          </cell>
          <cell r="AB225" t="str">
            <v>cashflowdata</v>
          </cell>
          <cell r="AC225">
            <v>222</v>
          </cell>
          <cell r="AD225">
            <v>0</v>
          </cell>
          <cell r="AE225">
            <v>0</v>
          </cell>
          <cell r="AF225">
            <v>0</v>
          </cell>
          <cell r="AG225">
            <v>0</v>
          </cell>
          <cell r="AH225">
            <v>0</v>
          </cell>
          <cell r="AI225">
            <v>0</v>
          </cell>
          <cell r="AJ225">
            <v>109</v>
          </cell>
          <cell r="AK225">
            <v>110</v>
          </cell>
          <cell r="AL225">
            <v>112</v>
          </cell>
          <cell r="AM225">
            <v>0</v>
          </cell>
          <cell r="AN225">
            <v>113</v>
          </cell>
          <cell r="AO225" t="str">
            <v>Cash generated/consumed by Operations</v>
          </cell>
          <cell r="AP225" t="str">
            <v>m</v>
          </cell>
          <cell r="AQ225">
            <v>0</v>
          </cell>
          <cell r="AR225">
            <v>0</v>
          </cell>
          <cell r="AS225" t="str">
            <v>109+110+111+112</v>
          </cell>
          <cell r="AT225" t="str">
            <v>opProfit+Depn&amp;amort+change in provisions+changein workingcap</v>
          </cell>
          <cell r="AU225" t="e">
            <v>#VALUE!</v>
          </cell>
          <cell r="AV225" t="e">
            <v>#VALUE!</v>
          </cell>
        </row>
        <row r="226">
          <cell r="A226">
            <v>114</v>
          </cell>
          <cell r="B226" t="str">
            <v>1c_tax_paid</v>
          </cell>
          <cell r="C226" t="str">
            <v>Tax paid</v>
          </cell>
          <cell r="D226" t="str">
            <v>(m)</v>
          </cell>
          <cell r="E226">
            <v>0</v>
          </cell>
          <cell r="F226">
            <v>0</v>
          </cell>
          <cell r="G226">
            <v>0</v>
          </cell>
          <cell r="H226">
            <v>0</v>
          </cell>
          <cell r="I226">
            <v>0</v>
          </cell>
          <cell r="J226">
            <v>0</v>
          </cell>
          <cell r="K226">
            <v>0</v>
          </cell>
          <cell r="L226">
            <v>0</v>
          </cell>
          <cell r="M226">
            <v>0</v>
          </cell>
          <cell r="N226" t="str">
            <v>c_tax_paid</v>
          </cell>
          <cell r="O226">
            <v>0</v>
          </cell>
          <cell r="P226">
            <v>0</v>
          </cell>
          <cell r="Q226">
            <v>1000000</v>
          </cell>
          <cell r="R226" t="str">
            <v>E</v>
          </cell>
          <cell r="S226">
            <v>2</v>
          </cell>
          <cell r="T226" t="str">
            <v>null</v>
          </cell>
          <cell r="U226">
            <v>1</v>
          </cell>
          <cell r="V226">
            <v>0</v>
          </cell>
          <cell r="W226">
            <v>0</v>
          </cell>
          <cell r="X226">
            <v>0</v>
          </cell>
          <cell r="Y226">
            <v>0</v>
          </cell>
          <cell r="Z226">
            <v>0</v>
          </cell>
          <cell r="AA226">
            <v>552</v>
          </cell>
          <cell r="AB226" t="str">
            <v>cashflowdata</v>
          </cell>
          <cell r="AC226">
            <v>223</v>
          </cell>
          <cell r="AD226">
            <v>0</v>
          </cell>
          <cell r="AE226">
            <v>0</v>
          </cell>
          <cell r="AF226">
            <v>0</v>
          </cell>
          <cell r="AG226">
            <v>0</v>
          </cell>
          <cell r="AH226">
            <v>0</v>
          </cell>
          <cell r="AI226">
            <v>0</v>
          </cell>
          <cell r="AJ226">
            <v>0</v>
          </cell>
          <cell r="AK226">
            <v>0</v>
          </cell>
          <cell r="AL226">
            <v>0</v>
          </cell>
          <cell r="AM226">
            <v>0</v>
          </cell>
          <cell r="AN226">
            <v>114</v>
          </cell>
          <cell r="AO226" t="str">
            <v>Tax paid</v>
          </cell>
          <cell r="AP226" t="str">
            <v>m</v>
          </cell>
          <cell r="AQ226">
            <v>0</v>
          </cell>
          <cell r="AR226">
            <v>0</v>
          </cell>
          <cell r="AS226">
            <v>0</v>
          </cell>
          <cell r="AT226">
            <v>0</v>
          </cell>
          <cell r="AU226" t="e">
            <v>#VALUE!</v>
          </cell>
          <cell r="AV226" t="e">
            <v>#VALUE!</v>
          </cell>
        </row>
        <row r="227">
          <cell r="A227">
            <v>115</v>
          </cell>
          <cell r="B227" t="str">
            <v>1c_opcf_aft_tax</v>
          </cell>
          <cell r="C227" t="str">
            <v>Operating cashflow after tax</v>
          </cell>
          <cell r="D227" t="str">
            <v>(m)</v>
          </cell>
          <cell r="E227">
            <v>0</v>
          </cell>
          <cell r="F227">
            <v>0</v>
          </cell>
          <cell r="G227">
            <v>0</v>
          </cell>
          <cell r="H227">
            <v>0</v>
          </cell>
          <cell r="I227">
            <v>0</v>
          </cell>
          <cell r="J227">
            <v>0</v>
          </cell>
          <cell r="K227">
            <v>0</v>
          </cell>
          <cell r="L227">
            <v>0</v>
          </cell>
          <cell r="M227">
            <v>0</v>
          </cell>
          <cell r="N227" t="str">
            <v>c_opcf_aft_tax</v>
          </cell>
          <cell r="O227">
            <v>0</v>
          </cell>
          <cell r="P227">
            <v>0</v>
          </cell>
          <cell r="Q227">
            <v>1000000</v>
          </cell>
          <cell r="R227" t="str">
            <v>E</v>
          </cell>
          <cell r="S227">
            <v>2</v>
          </cell>
          <cell r="T227" t="str">
            <v>null</v>
          </cell>
          <cell r="U227">
            <v>1</v>
          </cell>
          <cell r="V227">
            <v>0</v>
          </cell>
          <cell r="W227">
            <v>0</v>
          </cell>
          <cell r="X227">
            <v>0</v>
          </cell>
          <cell r="Y227">
            <v>0</v>
          </cell>
          <cell r="Z227">
            <v>0</v>
          </cell>
          <cell r="AA227">
            <v>421</v>
          </cell>
          <cell r="AB227" t="str">
            <v>cashflowdata</v>
          </cell>
          <cell r="AC227">
            <v>225</v>
          </cell>
          <cell r="AD227">
            <v>0</v>
          </cell>
          <cell r="AE227">
            <v>0</v>
          </cell>
          <cell r="AF227">
            <v>0</v>
          </cell>
          <cell r="AG227">
            <v>0</v>
          </cell>
          <cell r="AH227">
            <v>0</v>
          </cell>
          <cell r="AI227">
            <v>0</v>
          </cell>
          <cell r="AJ227">
            <v>113</v>
          </cell>
          <cell r="AK227">
            <v>114</v>
          </cell>
          <cell r="AL227">
            <v>0</v>
          </cell>
          <cell r="AM227">
            <v>0</v>
          </cell>
          <cell r="AN227">
            <v>115</v>
          </cell>
          <cell r="AO227" t="str">
            <v>Operating Cashflow after tax</v>
          </cell>
          <cell r="AP227" t="str">
            <v>m</v>
          </cell>
          <cell r="AQ227" t="str">
            <v>Net cash provided by operating activites</v>
          </cell>
          <cell r="AR227">
            <v>0</v>
          </cell>
          <cell r="AS227" t="str">
            <v>113-114</v>
          </cell>
          <cell r="AT227">
            <v>0</v>
          </cell>
          <cell r="AU227" t="e">
            <v>#VALUE!</v>
          </cell>
          <cell r="AV227" t="e">
            <v>#VALUE!</v>
          </cell>
        </row>
        <row r="228">
          <cell r="A228">
            <v>116</v>
          </cell>
          <cell r="B228" t="str">
            <v>1c_interest_received</v>
          </cell>
          <cell r="C228" t="str">
            <v>Only use label no 117.2Interest received#</v>
          </cell>
          <cell r="D228" t="str">
            <v>(m)</v>
          </cell>
          <cell r="E228">
            <v>0</v>
          </cell>
          <cell r="F228">
            <v>0</v>
          </cell>
          <cell r="G228">
            <v>0</v>
          </cell>
          <cell r="H228">
            <v>0</v>
          </cell>
          <cell r="I228">
            <v>0</v>
          </cell>
          <cell r="J228">
            <v>0</v>
          </cell>
          <cell r="K228">
            <v>0</v>
          </cell>
          <cell r="L228">
            <v>0</v>
          </cell>
          <cell r="M228">
            <v>0</v>
          </cell>
          <cell r="N228" t="str">
            <v>c_interest_received</v>
          </cell>
          <cell r="O228">
            <v>0</v>
          </cell>
          <cell r="P228">
            <v>0</v>
          </cell>
          <cell r="Q228">
            <v>1000000</v>
          </cell>
          <cell r="R228" t="str">
            <v>E</v>
          </cell>
          <cell r="S228">
            <v>2</v>
          </cell>
          <cell r="T228" t="str">
            <v>null</v>
          </cell>
          <cell r="U228">
            <v>1</v>
          </cell>
          <cell r="V228">
            <v>0</v>
          </cell>
          <cell r="W228">
            <v>0</v>
          </cell>
          <cell r="X228">
            <v>0</v>
          </cell>
          <cell r="Y228">
            <v>0</v>
          </cell>
          <cell r="Z228">
            <v>0</v>
          </cell>
          <cell r="AA228">
            <v>301</v>
          </cell>
          <cell r="AB228" t="str">
            <v>cashflowdata</v>
          </cell>
          <cell r="AC228">
            <v>226</v>
          </cell>
          <cell r="AD228" t="str">
            <v>#instead of label no 116 or 117 there should only be a label 117.2</v>
          </cell>
          <cell r="AE228">
            <v>0</v>
          </cell>
          <cell r="AF228">
            <v>0</v>
          </cell>
          <cell r="AG228">
            <v>0</v>
          </cell>
          <cell r="AH228">
            <v>0</v>
          </cell>
          <cell r="AI228">
            <v>0</v>
          </cell>
          <cell r="AJ228">
            <v>0</v>
          </cell>
          <cell r="AK228">
            <v>0</v>
          </cell>
          <cell r="AL228">
            <v>0</v>
          </cell>
          <cell r="AM228">
            <v>0</v>
          </cell>
          <cell r="AN228">
            <v>116</v>
          </cell>
          <cell r="AO228" t="str">
            <v>Interest received</v>
          </cell>
          <cell r="AP228" t="str">
            <v>m</v>
          </cell>
          <cell r="AQ228">
            <v>0</v>
          </cell>
          <cell r="AR228">
            <v>0</v>
          </cell>
          <cell r="AS228">
            <v>0</v>
          </cell>
          <cell r="AT228">
            <v>0</v>
          </cell>
          <cell r="AU228" t="e">
            <v>#VALUE!</v>
          </cell>
          <cell r="AV228" t="e">
            <v>#VALUE!</v>
          </cell>
        </row>
        <row r="229">
          <cell r="A229">
            <v>117.2</v>
          </cell>
          <cell r="B229" t="str">
            <v>1c_interest_paid</v>
          </cell>
          <cell r="C229" t="str">
            <v>Net interest</v>
          </cell>
          <cell r="D229" t="str">
            <v>(m)</v>
          </cell>
          <cell r="E229">
            <v>0</v>
          </cell>
          <cell r="F229">
            <v>0</v>
          </cell>
          <cell r="G229">
            <v>0</v>
          </cell>
          <cell r="H229">
            <v>0</v>
          </cell>
          <cell r="I229">
            <v>0</v>
          </cell>
          <cell r="J229">
            <v>0</v>
          </cell>
          <cell r="K229">
            <v>0</v>
          </cell>
          <cell r="L229">
            <v>0</v>
          </cell>
          <cell r="M229">
            <v>0</v>
          </cell>
          <cell r="N229" t="str">
            <v>c_interest_paid</v>
          </cell>
          <cell r="O229">
            <v>0</v>
          </cell>
          <cell r="P229">
            <v>0</v>
          </cell>
          <cell r="Q229">
            <v>1000000</v>
          </cell>
          <cell r="R229" t="str">
            <v>E</v>
          </cell>
          <cell r="S229">
            <v>2</v>
          </cell>
          <cell r="T229" t="str">
            <v>null</v>
          </cell>
          <cell r="U229">
            <v>1</v>
          </cell>
          <cell r="V229" t="str">
            <v>UK/US</v>
          </cell>
          <cell r="W229">
            <v>0</v>
          </cell>
          <cell r="X229">
            <v>0</v>
          </cell>
          <cell r="Y229">
            <v>0</v>
          </cell>
          <cell r="Z229">
            <v>0</v>
          </cell>
          <cell r="AA229">
            <v>379</v>
          </cell>
          <cell r="AB229" t="str">
            <v>cashflowdata</v>
          </cell>
          <cell r="AC229">
            <v>228</v>
          </cell>
          <cell r="AD229" t="str">
            <v>cashflow figure</v>
          </cell>
          <cell r="AE229">
            <v>0</v>
          </cell>
          <cell r="AF229">
            <v>0</v>
          </cell>
          <cell r="AG229">
            <v>0</v>
          </cell>
          <cell r="AH229">
            <v>0</v>
          </cell>
          <cell r="AI229">
            <v>0</v>
          </cell>
          <cell r="AJ229">
            <v>0</v>
          </cell>
          <cell r="AK229">
            <v>0</v>
          </cell>
          <cell r="AL229">
            <v>0</v>
          </cell>
          <cell r="AM229">
            <v>0</v>
          </cell>
          <cell r="AN229" t="e">
            <v>#N/A</v>
          </cell>
          <cell r="AO229" t="e">
            <v>#N/A</v>
          </cell>
          <cell r="AP229" t="e">
            <v>#N/A</v>
          </cell>
          <cell r="AQ229" t="e">
            <v>#N/A</v>
          </cell>
          <cell r="AR229" t="e">
            <v>#N/A</v>
          </cell>
          <cell r="AS229" t="e">
            <v>#N/A</v>
          </cell>
          <cell r="AT229" t="e">
            <v>#N/A</v>
          </cell>
          <cell r="AU229" t="e">
            <v>#N/A</v>
          </cell>
          <cell r="AV229" t="e">
            <v>#N/A</v>
          </cell>
        </row>
        <row r="230">
          <cell r="A230">
            <v>115.5</v>
          </cell>
          <cell r="B230" t="str">
            <v>1c_opcf_opts</v>
          </cell>
          <cell r="C230" t="str">
            <v>Net cashflow from operations</v>
          </cell>
          <cell r="D230" t="str">
            <v>(m)</v>
          </cell>
          <cell r="E230">
            <v>0</v>
          </cell>
          <cell r="F230">
            <v>0</v>
          </cell>
          <cell r="G230">
            <v>0</v>
          </cell>
          <cell r="H230">
            <v>0</v>
          </cell>
          <cell r="I230">
            <v>0</v>
          </cell>
          <cell r="J230">
            <v>0</v>
          </cell>
          <cell r="K230">
            <v>0</v>
          </cell>
          <cell r="L230">
            <v>0</v>
          </cell>
          <cell r="M230">
            <v>0</v>
          </cell>
          <cell r="N230" t="str">
            <v>c_opcf_opts</v>
          </cell>
          <cell r="O230">
            <v>0</v>
          </cell>
          <cell r="P230">
            <v>0</v>
          </cell>
          <cell r="Q230">
            <v>1000000</v>
          </cell>
          <cell r="R230" t="str">
            <v>E</v>
          </cell>
          <cell r="S230">
            <v>2</v>
          </cell>
          <cell r="T230" t="str">
            <v>null</v>
          </cell>
          <cell r="U230">
            <v>1</v>
          </cell>
          <cell r="V230">
            <v>0</v>
          </cell>
          <cell r="W230">
            <v>0</v>
          </cell>
          <cell r="X230">
            <v>0</v>
          </cell>
          <cell r="Y230">
            <v>0</v>
          </cell>
          <cell r="Z230">
            <v>0</v>
          </cell>
          <cell r="AA230">
            <v>421</v>
          </cell>
          <cell r="AB230" t="str">
            <v>cashflowdata</v>
          </cell>
          <cell r="AC230">
            <v>225</v>
          </cell>
          <cell r="AD230">
            <v>0</v>
          </cell>
          <cell r="AE230">
            <v>0</v>
          </cell>
          <cell r="AF230">
            <v>0</v>
          </cell>
          <cell r="AG230">
            <v>0</v>
          </cell>
          <cell r="AH230">
            <v>0</v>
          </cell>
          <cell r="AI230">
            <v>0</v>
          </cell>
          <cell r="AJ230">
            <v>0</v>
          </cell>
          <cell r="AK230">
            <v>0</v>
          </cell>
          <cell r="AL230">
            <v>0</v>
          </cell>
          <cell r="AM230">
            <v>0</v>
          </cell>
          <cell r="AN230" t="e">
            <v>#N/A</v>
          </cell>
          <cell r="AO230" t="e">
            <v>#N/A</v>
          </cell>
          <cell r="AP230" t="e">
            <v>#N/A</v>
          </cell>
          <cell r="AQ230" t="e">
            <v>#N/A</v>
          </cell>
          <cell r="AR230" t="e">
            <v>#N/A</v>
          </cell>
          <cell r="AS230" t="e">
            <v>#N/A</v>
          </cell>
          <cell r="AT230" t="e">
            <v>#N/A</v>
          </cell>
          <cell r="AU230" t="e">
            <v>#N/A</v>
          </cell>
          <cell r="AV230" t="e">
            <v>#N/A</v>
          </cell>
        </row>
        <row r="231">
          <cell r="A231">
            <v>118</v>
          </cell>
          <cell r="B231" t="str">
            <v>1c_dividends_received</v>
          </cell>
          <cell r="C231" t="str">
            <v>Dividends received</v>
          </cell>
          <cell r="D231" t="str">
            <v>(m)</v>
          </cell>
          <cell r="E231">
            <v>0</v>
          </cell>
          <cell r="F231">
            <v>0</v>
          </cell>
          <cell r="G231">
            <v>0</v>
          </cell>
          <cell r="H231">
            <v>0</v>
          </cell>
          <cell r="I231">
            <v>0</v>
          </cell>
          <cell r="J231">
            <v>0</v>
          </cell>
          <cell r="K231">
            <v>0</v>
          </cell>
          <cell r="L231">
            <v>0</v>
          </cell>
          <cell r="M231">
            <v>0</v>
          </cell>
          <cell r="N231" t="str">
            <v>c_dividends_received</v>
          </cell>
          <cell r="O231">
            <v>0</v>
          </cell>
          <cell r="P231">
            <v>0</v>
          </cell>
          <cell r="Q231">
            <v>1000000</v>
          </cell>
          <cell r="R231" t="str">
            <v>E</v>
          </cell>
          <cell r="S231">
            <v>2</v>
          </cell>
          <cell r="T231" t="str">
            <v>null</v>
          </cell>
          <cell r="U231">
            <v>1</v>
          </cell>
          <cell r="V231">
            <v>0</v>
          </cell>
          <cell r="W231">
            <v>0</v>
          </cell>
          <cell r="X231">
            <v>0</v>
          </cell>
          <cell r="Y231">
            <v>0</v>
          </cell>
          <cell r="Z231">
            <v>0</v>
          </cell>
          <cell r="AA231">
            <v>157</v>
          </cell>
          <cell r="AB231" t="str">
            <v>cashflowdata</v>
          </cell>
          <cell r="AC231">
            <v>230</v>
          </cell>
          <cell r="AD231">
            <v>0</v>
          </cell>
          <cell r="AE231">
            <v>0</v>
          </cell>
          <cell r="AF231">
            <v>0</v>
          </cell>
          <cell r="AG231">
            <v>0</v>
          </cell>
          <cell r="AH231">
            <v>0</v>
          </cell>
          <cell r="AI231">
            <v>0</v>
          </cell>
          <cell r="AJ231">
            <v>0</v>
          </cell>
          <cell r="AK231">
            <v>0</v>
          </cell>
          <cell r="AL231">
            <v>0</v>
          </cell>
          <cell r="AM231">
            <v>0</v>
          </cell>
          <cell r="AN231">
            <v>118</v>
          </cell>
          <cell r="AO231" t="str">
            <v>Dividends received</v>
          </cell>
          <cell r="AP231" t="str">
            <v>m</v>
          </cell>
          <cell r="AQ231">
            <v>0</v>
          </cell>
          <cell r="AR231">
            <v>0</v>
          </cell>
          <cell r="AS231">
            <v>0</v>
          </cell>
          <cell r="AT231">
            <v>0</v>
          </cell>
          <cell r="AU231" t="e">
            <v>#VALUE!</v>
          </cell>
          <cell r="AV231" t="e">
            <v>#VALUE!</v>
          </cell>
        </row>
        <row r="232">
          <cell r="A232">
            <v>46.2</v>
          </cell>
          <cell r="B232" t="str">
            <v>2fd_ebit_rec_adj</v>
          </cell>
          <cell r="C232" t="str">
            <v>EBIT</v>
          </cell>
          <cell r="D232" t="str">
            <v>(m)</v>
          </cell>
          <cell r="E232">
            <v>0</v>
          </cell>
          <cell r="F232">
            <v>0</v>
          </cell>
          <cell r="G232">
            <v>0</v>
          </cell>
          <cell r="H232">
            <v>0</v>
          </cell>
          <cell r="I232">
            <v>0</v>
          </cell>
          <cell r="J232">
            <v>0</v>
          </cell>
          <cell r="K232">
            <v>0</v>
          </cell>
          <cell r="L232">
            <v>0</v>
          </cell>
          <cell r="M232">
            <v>0</v>
          </cell>
          <cell r="N232" t="str">
            <v>fd_ebit_rec_adj</v>
          </cell>
          <cell r="O232">
            <v>0</v>
          </cell>
          <cell r="P232">
            <v>0</v>
          </cell>
          <cell r="Q232">
            <v>1000000</v>
          </cell>
          <cell r="R232" t="str">
            <v>E</v>
          </cell>
          <cell r="S232">
            <v>2</v>
          </cell>
          <cell r="T232" t="str">
            <v>null</v>
          </cell>
          <cell r="U232">
            <v>2</v>
          </cell>
          <cell r="V232">
            <v>0</v>
          </cell>
          <cell r="W232">
            <v>0</v>
          </cell>
          <cell r="X232">
            <v>0</v>
          </cell>
          <cell r="Y232">
            <v>0</v>
          </cell>
          <cell r="Z232">
            <v>0</v>
          </cell>
          <cell r="AA232">
            <v>167</v>
          </cell>
          <cell r="AB232" t="str">
            <v>cashflowdata</v>
          </cell>
          <cell r="AC232">
            <v>230.1</v>
          </cell>
          <cell r="AD232" t="str">
            <v>Requires 46 or 301</v>
          </cell>
          <cell r="AE232" t="str">
            <v>fd_ebit_rec_adj</v>
          </cell>
          <cell r="AF232">
            <v>0</v>
          </cell>
          <cell r="AG232">
            <v>0</v>
          </cell>
          <cell r="AH232">
            <v>0</v>
          </cell>
          <cell r="AI232">
            <v>0</v>
          </cell>
          <cell r="AJ232">
            <v>46</v>
          </cell>
          <cell r="AK232">
            <v>0</v>
          </cell>
          <cell r="AL232">
            <v>0</v>
          </cell>
          <cell r="AM232">
            <v>0</v>
          </cell>
          <cell r="AN232" t="e">
            <v>#N/A</v>
          </cell>
          <cell r="AO232" t="e">
            <v>#N/A</v>
          </cell>
          <cell r="AP232" t="e">
            <v>#N/A</v>
          </cell>
          <cell r="AQ232" t="e">
            <v>#N/A</v>
          </cell>
          <cell r="AR232" t="e">
            <v>#N/A</v>
          </cell>
          <cell r="AS232" t="e">
            <v>#N/A</v>
          </cell>
          <cell r="AT232" t="e">
            <v>#N/A</v>
          </cell>
          <cell r="AU232" t="e">
            <v>#N/A</v>
          </cell>
          <cell r="AV232" t="e">
            <v>#N/A</v>
          </cell>
        </row>
        <row r="233">
          <cell r="A233">
            <v>119</v>
          </cell>
          <cell r="B233" t="str">
            <v>1c_non_equity_div_paid</v>
          </cell>
          <cell r="C233" t="str">
            <v>Non-equity dividends paid</v>
          </cell>
          <cell r="D233" t="str">
            <v>(m)</v>
          </cell>
          <cell r="E233">
            <v>0</v>
          </cell>
          <cell r="F233">
            <v>0</v>
          </cell>
          <cell r="G233">
            <v>0</v>
          </cell>
          <cell r="H233">
            <v>0</v>
          </cell>
          <cell r="I233">
            <v>0</v>
          </cell>
          <cell r="J233">
            <v>0</v>
          </cell>
          <cell r="K233">
            <v>0</v>
          </cell>
          <cell r="L233">
            <v>0</v>
          </cell>
          <cell r="M233">
            <v>0</v>
          </cell>
          <cell r="N233" t="str">
            <v>c_non_equity_div_paid</v>
          </cell>
          <cell r="O233">
            <v>0</v>
          </cell>
          <cell r="P233">
            <v>0</v>
          </cell>
          <cell r="Q233">
            <v>1000000</v>
          </cell>
          <cell r="R233" t="str">
            <v>E</v>
          </cell>
          <cell r="S233">
            <v>2</v>
          </cell>
          <cell r="T233" t="str">
            <v>null</v>
          </cell>
          <cell r="U233">
            <v>1</v>
          </cell>
          <cell r="V233">
            <v>0</v>
          </cell>
          <cell r="W233">
            <v>0</v>
          </cell>
          <cell r="X233">
            <v>0</v>
          </cell>
          <cell r="Y233">
            <v>0</v>
          </cell>
          <cell r="Z233">
            <v>0</v>
          </cell>
          <cell r="AA233">
            <v>400</v>
          </cell>
          <cell r="AB233" t="str">
            <v>cashflowdata</v>
          </cell>
          <cell r="AC233">
            <v>231</v>
          </cell>
          <cell r="AD233">
            <v>0</v>
          </cell>
          <cell r="AE233">
            <v>0</v>
          </cell>
          <cell r="AF233">
            <v>0</v>
          </cell>
          <cell r="AG233">
            <v>0</v>
          </cell>
          <cell r="AH233">
            <v>0</v>
          </cell>
          <cell r="AI233">
            <v>0</v>
          </cell>
          <cell r="AJ233">
            <v>0</v>
          </cell>
          <cell r="AK233">
            <v>0</v>
          </cell>
          <cell r="AL233">
            <v>0</v>
          </cell>
          <cell r="AM233">
            <v>0</v>
          </cell>
          <cell r="AN233">
            <v>119</v>
          </cell>
          <cell r="AO233" t="str">
            <v>Non-equity dividends paid</v>
          </cell>
          <cell r="AP233" t="str">
            <v>m</v>
          </cell>
          <cell r="AQ233">
            <v>0</v>
          </cell>
          <cell r="AR233">
            <v>0</v>
          </cell>
          <cell r="AS233">
            <v>0</v>
          </cell>
          <cell r="AT233">
            <v>0</v>
          </cell>
          <cell r="AU233" t="e">
            <v>#VALUE!</v>
          </cell>
          <cell r="AV233" t="e">
            <v>#VALUE!</v>
          </cell>
        </row>
        <row r="234">
          <cell r="A234">
            <v>120</v>
          </cell>
          <cell r="B234" t="str">
            <v>1c_capex_fixed_assets</v>
          </cell>
          <cell r="C234" t="str">
            <v>Capital expenditure on fixed assets</v>
          </cell>
          <cell r="D234" t="str">
            <v>(m)</v>
          </cell>
          <cell r="E234">
            <v>0</v>
          </cell>
          <cell r="F234">
            <v>0</v>
          </cell>
          <cell r="G234">
            <v>0</v>
          </cell>
          <cell r="H234">
            <v>0</v>
          </cell>
          <cell r="I234">
            <v>0</v>
          </cell>
          <cell r="J234">
            <v>0</v>
          </cell>
          <cell r="K234">
            <v>0</v>
          </cell>
          <cell r="L234">
            <v>0</v>
          </cell>
          <cell r="M234">
            <v>0</v>
          </cell>
          <cell r="N234" t="str">
            <v>c_capex_fixed_assets</v>
          </cell>
          <cell r="O234">
            <v>0</v>
          </cell>
          <cell r="P234">
            <v>0</v>
          </cell>
          <cell r="Q234">
            <v>1000000</v>
          </cell>
          <cell r="R234" t="str">
            <v>E</v>
          </cell>
          <cell r="S234">
            <v>2</v>
          </cell>
          <cell r="T234" t="str">
            <v>null</v>
          </cell>
          <cell r="U234">
            <v>1</v>
          </cell>
          <cell r="V234">
            <v>0</v>
          </cell>
          <cell r="W234">
            <v>0</v>
          </cell>
          <cell r="X234">
            <v>0</v>
          </cell>
          <cell r="Y234">
            <v>0</v>
          </cell>
          <cell r="Z234">
            <v>0</v>
          </cell>
          <cell r="AA234">
            <v>55</v>
          </cell>
          <cell r="AB234" t="str">
            <v>cashflowdata</v>
          </cell>
          <cell r="AC234">
            <v>232</v>
          </cell>
          <cell r="AD234">
            <v>0</v>
          </cell>
          <cell r="AE234">
            <v>0</v>
          </cell>
          <cell r="AF234">
            <v>0</v>
          </cell>
          <cell r="AG234">
            <v>0</v>
          </cell>
          <cell r="AH234">
            <v>0</v>
          </cell>
          <cell r="AI234">
            <v>0</v>
          </cell>
          <cell r="AJ234">
            <v>0</v>
          </cell>
          <cell r="AK234">
            <v>0</v>
          </cell>
          <cell r="AL234">
            <v>0</v>
          </cell>
          <cell r="AM234">
            <v>0</v>
          </cell>
          <cell r="AN234">
            <v>120</v>
          </cell>
          <cell r="AO234" t="str">
            <v>Capital expenditure on fixed assets</v>
          </cell>
          <cell r="AP234" t="str">
            <v>m</v>
          </cell>
          <cell r="AQ234">
            <v>0</v>
          </cell>
          <cell r="AR234">
            <v>0</v>
          </cell>
          <cell r="AS234">
            <v>0</v>
          </cell>
          <cell r="AT234">
            <v>0</v>
          </cell>
          <cell r="AU234" t="e">
            <v>#VALUE!</v>
          </cell>
          <cell r="AV234" t="e">
            <v>#VALUE!</v>
          </cell>
        </row>
        <row r="235">
          <cell r="A235">
            <v>121</v>
          </cell>
          <cell r="B235" t="str">
            <v>1c_proceeds_sales_fix_ass</v>
          </cell>
          <cell r="C235" t="str">
            <v>Proceeds from sale of fixed assets</v>
          </cell>
          <cell r="D235" t="str">
            <v>(m)</v>
          </cell>
          <cell r="E235">
            <v>0</v>
          </cell>
          <cell r="F235">
            <v>0</v>
          </cell>
          <cell r="G235">
            <v>0</v>
          </cell>
          <cell r="H235">
            <v>0</v>
          </cell>
          <cell r="I235">
            <v>0</v>
          </cell>
          <cell r="J235">
            <v>0</v>
          </cell>
          <cell r="K235">
            <v>0</v>
          </cell>
          <cell r="L235">
            <v>0</v>
          </cell>
          <cell r="M235">
            <v>0</v>
          </cell>
          <cell r="N235" t="str">
            <v>c_proceeds_sales_fix_ass</v>
          </cell>
          <cell r="O235">
            <v>0</v>
          </cell>
          <cell r="P235">
            <v>0</v>
          </cell>
          <cell r="Q235">
            <v>1000000</v>
          </cell>
          <cell r="R235" t="str">
            <v>E</v>
          </cell>
          <cell r="S235">
            <v>2</v>
          </cell>
          <cell r="T235" t="str">
            <v>null</v>
          </cell>
          <cell r="U235">
            <v>1</v>
          </cell>
          <cell r="V235">
            <v>0</v>
          </cell>
          <cell r="W235">
            <v>0</v>
          </cell>
          <cell r="X235">
            <v>0</v>
          </cell>
          <cell r="Y235">
            <v>0</v>
          </cell>
          <cell r="Z235">
            <v>0</v>
          </cell>
          <cell r="AA235">
            <v>479</v>
          </cell>
          <cell r="AB235" t="str">
            <v>cashflowdata</v>
          </cell>
          <cell r="AC235">
            <v>233</v>
          </cell>
          <cell r="AD235">
            <v>0</v>
          </cell>
          <cell r="AE235">
            <v>0</v>
          </cell>
          <cell r="AF235">
            <v>0</v>
          </cell>
          <cell r="AG235">
            <v>0</v>
          </cell>
          <cell r="AH235">
            <v>0</v>
          </cell>
          <cell r="AI235">
            <v>0</v>
          </cell>
          <cell r="AJ235">
            <v>0</v>
          </cell>
          <cell r="AK235">
            <v>0</v>
          </cell>
          <cell r="AL235">
            <v>0</v>
          </cell>
          <cell r="AM235">
            <v>0</v>
          </cell>
          <cell r="AN235">
            <v>121</v>
          </cell>
          <cell r="AO235" t="str">
            <v>Proceeds from sale of fixed assets</v>
          </cell>
          <cell r="AP235" t="str">
            <v>m</v>
          </cell>
          <cell r="AQ235">
            <v>0</v>
          </cell>
          <cell r="AR235">
            <v>0</v>
          </cell>
          <cell r="AS235">
            <v>0</v>
          </cell>
          <cell r="AT235">
            <v>0</v>
          </cell>
          <cell r="AU235" t="e">
            <v>#VALUE!</v>
          </cell>
          <cell r="AV235" t="e">
            <v>#VALUE!</v>
          </cell>
        </row>
        <row r="236">
          <cell r="A236">
            <v>122</v>
          </cell>
          <cell r="B236" t="str">
            <v>1c_net_cash_cost_aq</v>
          </cell>
          <cell r="C236" t="str">
            <v>Net cash cost of acquisitions</v>
          </cell>
          <cell r="D236" t="str">
            <v>(m)</v>
          </cell>
          <cell r="E236">
            <v>0</v>
          </cell>
          <cell r="F236">
            <v>0</v>
          </cell>
          <cell r="G236">
            <v>0</v>
          </cell>
          <cell r="H236">
            <v>0</v>
          </cell>
          <cell r="I236">
            <v>0</v>
          </cell>
          <cell r="J236">
            <v>0</v>
          </cell>
          <cell r="K236">
            <v>0</v>
          </cell>
          <cell r="L236">
            <v>0</v>
          </cell>
          <cell r="M236">
            <v>0</v>
          </cell>
          <cell r="N236" t="str">
            <v>c_net_cash_cost_aq</v>
          </cell>
          <cell r="O236">
            <v>0</v>
          </cell>
          <cell r="P236">
            <v>0</v>
          </cell>
          <cell r="Q236">
            <v>1000000</v>
          </cell>
          <cell r="R236" t="str">
            <v>E</v>
          </cell>
          <cell r="S236">
            <v>2</v>
          </cell>
          <cell r="T236" t="str">
            <v>null</v>
          </cell>
          <cell r="U236">
            <v>1</v>
          </cell>
          <cell r="V236">
            <v>0</v>
          </cell>
          <cell r="W236">
            <v>0</v>
          </cell>
          <cell r="X236">
            <v>0</v>
          </cell>
          <cell r="Y236">
            <v>0</v>
          </cell>
          <cell r="Z236">
            <v>0</v>
          </cell>
          <cell r="AA236">
            <v>355</v>
          </cell>
          <cell r="AB236" t="str">
            <v>cashflowdata</v>
          </cell>
          <cell r="AC236">
            <v>234</v>
          </cell>
          <cell r="AD236">
            <v>0</v>
          </cell>
          <cell r="AE236">
            <v>0</v>
          </cell>
          <cell r="AF236">
            <v>0</v>
          </cell>
          <cell r="AG236">
            <v>0</v>
          </cell>
          <cell r="AH236">
            <v>0</v>
          </cell>
          <cell r="AI236">
            <v>0</v>
          </cell>
          <cell r="AJ236">
            <v>0</v>
          </cell>
          <cell r="AK236">
            <v>0</v>
          </cell>
          <cell r="AL236">
            <v>0</v>
          </cell>
          <cell r="AM236">
            <v>0</v>
          </cell>
          <cell r="AN236">
            <v>122</v>
          </cell>
          <cell r="AO236" t="str">
            <v>Net cash cost of Acquisitions</v>
          </cell>
          <cell r="AP236" t="str">
            <v>m</v>
          </cell>
          <cell r="AQ236">
            <v>0</v>
          </cell>
          <cell r="AR236">
            <v>0</v>
          </cell>
          <cell r="AS236">
            <v>0</v>
          </cell>
          <cell r="AT236">
            <v>0</v>
          </cell>
          <cell r="AU236" t="e">
            <v>#VALUE!</v>
          </cell>
          <cell r="AV236" t="e">
            <v>#VALUE!</v>
          </cell>
        </row>
        <row r="237">
          <cell r="A237">
            <v>123</v>
          </cell>
          <cell r="B237" t="str">
            <v>1c_net_cash_disposals</v>
          </cell>
          <cell r="C237" t="str">
            <v>Net cash from disposals</v>
          </cell>
          <cell r="D237" t="str">
            <v>(m)</v>
          </cell>
          <cell r="E237">
            <v>0</v>
          </cell>
          <cell r="F237">
            <v>0</v>
          </cell>
          <cell r="G237">
            <v>0</v>
          </cell>
          <cell r="H237">
            <v>0</v>
          </cell>
          <cell r="I237">
            <v>0</v>
          </cell>
          <cell r="J237">
            <v>0</v>
          </cell>
          <cell r="K237">
            <v>0</v>
          </cell>
          <cell r="L237">
            <v>0</v>
          </cell>
          <cell r="M237">
            <v>0</v>
          </cell>
          <cell r="N237" t="str">
            <v>c_net_cash_disposals</v>
          </cell>
          <cell r="O237">
            <v>0</v>
          </cell>
          <cell r="P237">
            <v>0</v>
          </cell>
          <cell r="Q237">
            <v>1000000</v>
          </cell>
          <cell r="R237" t="str">
            <v>E</v>
          </cell>
          <cell r="S237">
            <v>2</v>
          </cell>
          <cell r="T237" t="str">
            <v>null</v>
          </cell>
          <cell r="U237">
            <v>1</v>
          </cell>
          <cell r="V237">
            <v>0</v>
          </cell>
          <cell r="W237">
            <v>0</v>
          </cell>
          <cell r="X237">
            <v>0</v>
          </cell>
          <cell r="Y237">
            <v>0</v>
          </cell>
          <cell r="Z237">
            <v>0</v>
          </cell>
          <cell r="AA237">
            <v>356</v>
          </cell>
          <cell r="AB237" t="str">
            <v>cashflowdata</v>
          </cell>
          <cell r="AC237">
            <v>235</v>
          </cell>
          <cell r="AD237">
            <v>0</v>
          </cell>
          <cell r="AE237">
            <v>0</v>
          </cell>
          <cell r="AF237">
            <v>0</v>
          </cell>
          <cell r="AG237">
            <v>0</v>
          </cell>
          <cell r="AH237">
            <v>0</v>
          </cell>
          <cell r="AI237">
            <v>0</v>
          </cell>
          <cell r="AJ237">
            <v>0</v>
          </cell>
          <cell r="AK237">
            <v>0</v>
          </cell>
          <cell r="AL237">
            <v>0</v>
          </cell>
          <cell r="AM237">
            <v>0</v>
          </cell>
          <cell r="AN237">
            <v>123</v>
          </cell>
          <cell r="AO237" t="str">
            <v>Net cash from Disposals</v>
          </cell>
          <cell r="AP237" t="str">
            <v>m</v>
          </cell>
          <cell r="AQ237">
            <v>0</v>
          </cell>
          <cell r="AR237">
            <v>0</v>
          </cell>
          <cell r="AS237">
            <v>0</v>
          </cell>
          <cell r="AT237">
            <v>0</v>
          </cell>
          <cell r="AU237" t="e">
            <v>#VALUE!</v>
          </cell>
          <cell r="AV237" t="e">
            <v>#VALUE!</v>
          </cell>
        </row>
        <row r="238">
          <cell r="A238">
            <v>123.4</v>
          </cell>
          <cell r="B238" t="str">
            <v>1c_net_cash_disposals_leased_ass</v>
          </cell>
          <cell r="C238" t="str">
            <v>Proceeds from disposal of leased assets</v>
          </cell>
          <cell r="D238" t="str">
            <v>(m)</v>
          </cell>
          <cell r="E238">
            <v>0</v>
          </cell>
          <cell r="F238">
            <v>0</v>
          </cell>
          <cell r="G238">
            <v>0</v>
          </cell>
          <cell r="H238">
            <v>0</v>
          </cell>
          <cell r="I238">
            <v>0</v>
          </cell>
          <cell r="J238">
            <v>0</v>
          </cell>
          <cell r="K238">
            <v>0</v>
          </cell>
          <cell r="L238">
            <v>0</v>
          </cell>
          <cell r="M238">
            <v>0</v>
          </cell>
          <cell r="N238" t="str">
            <v>c_net_cash_disposals_leased_ass</v>
          </cell>
          <cell r="O238">
            <v>0</v>
          </cell>
          <cell r="P238">
            <v>0</v>
          </cell>
          <cell r="Q238">
            <v>1000000</v>
          </cell>
          <cell r="R238" t="str">
            <v>E</v>
          </cell>
          <cell r="S238">
            <v>2</v>
          </cell>
          <cell r="T238" t="str">
            <v>null</v>
          </cell>
          <cell r="U238">
            <v>1</v>
          </cell>
          <cell r="V238">
            <v>0</v>
          </cell>
          <cell r="W238">
            <v>0</v>
          </cell>
          <cell r="X238">
            <v>0</v>
          </cell>
          <cell r="Y238">
            <v>0</v>
          </cell>
          <cell r="Z238">
            <v>0</v>
          </cell>
          <cell r="AA238">
            <v>356</v>
          </cell>
          <cell r="AB238" t="str">
            <v>cashflowdata</v>
          </cell>
          <cell r="AC238">
            <v>235</v>
          </cell>
          <cell r="AD238">
            <v>0</v>
          </cell>
          <cell r="AE238">
            <v>0</v>
          </cell>
          <cell r="AF238">
            <v>0</v>
          </cell>
          <cell r="AG238">
            <v>0</v>
          </cell>
          <cell r="AH238">
            <v>0</v>
          </cell>
          <cell r="AI238">
            <v>0</v>
          </cell>
          <cell r="AJ238">
            <v>0</v>
          </cell>
          <cell r="AK238">
            <v>0</v>
          </cell>
          <cell r="AL238">
            <v>0</v>
          </cell>
          <cell r="AM238">
            <v>0</v>
          </cell>
          <cell r="AN238" t="e">
            <v>#N/A</v>
          </cell>
          <cell r="AO238" t="e">
            <v>#N/A</v>
          </cell>
          <cell r="AP238" t="e">
            <v>#N/A</v>
          </cell>
          <cell r="AQ238" t="e">
            <v>#N/A</v>
          </cell>
          <cell r="AR238" t="e">
            <v>#N/A</v>
          </cell>
          <cell r="AS238" t="e">
            <v>#N/A</v>
          </cell>
          <cell r="AT238" t="e">
            <v>#N/A</v>
          </cell>
          <cell r="AU238" t="e">
            <v>#N/A</v>
          </cell>
          <cell r="AV238" t="e">
            <v>#N/A</v>
          </cell>
        </row>
        <row r="239">
          <cell r="A239">
            <v>123.2</v>
          </cell>
          <cell r="B239" t="str">
            <v>1c_net_cf_bef_finan</v>
          </cell>
          <cell r="C239" t="str">
            <v>Net cashflow before financing</v>
          </cell>
          <cell r="D239" t="str">
            <v>(m)</v>
          </cell>
          <cell r="E239">
            <v>0</v>
          </cell>
          <cell r="F239">
            <v>0</v>
          </cell>
          <cell r="G239">
            <v>0</v>
          </cell>
          <cell r="H239">
            <v>0</v>
          </cell>
          <cell r="I239">
            <v>0</v>
          </cell>
          <cell r="J239">
            <v>0</v>
          </cell>
          <cell r="K239">
            <v>0</v>
          </cell>
          <cell r="L239">
            <v>0</v>
          </cell>
          <cell r="M239">
            <v>0</v>
          </cell>
          <cell r="N239" t="str">
            <v>c_net_cf_bef_finan</v>
          </cell>
          <cell r="O239">
            <v>0</v>
          </cell>
          <cell r="P239">
            <v>0</v>
          </cell>
          <cell r="Q239">
            <v>1000000</v>
          </cell>
          <cell r="R239" t="str">
            <v>E</v>
          </cell>
          <cell r="S239">
            <v>2</v>
          </cell>
          <cell r="T239" t="str">
            <v>null</v>
          </cell>
          <cell r="U239">
            <v>1</v>
          </cell>
          <cell r="V239">
            <v>0</v>
          </cell>
          <cell r="W239">
            <v>0</v>
          </cell>
          <cell r="X239">
            <v>0</v>
          </cell>
          <cell r="Y239">
            <v>0</v>
          </cell>
          <cell r="Z239">
            <v>0</v>
          </cell>
          <cell r="AA239">
            <v>359</v>
          </cell>
          <cell r="AB239" t="str">
            <v>cashflowdata</v>
          </cell>
          <cell r="AC239">
            <v>236</v>
          </cell>
          <cell r="AD239">
            <v>0</v>
          </cell>
          <cell r="AE239">
            <v>0</v>
          </cell>
          <cell r="AF239">
            <v>0</v>
          </cell>
          <cell r="AG239">
            <v>0</v>
          </cell>
          <cell r="AH239">
            <v>0</v>
          </cell>
          <cell r="AI239">
            <v>0</v>
          </cell>
          <cell r="AJ239">
            <v>0</v>
          </cell>
          <cell r="AK239">
            <v>0</v>
          </cell>
          <cell r="AL239">
            <v>0</v>
          </cell>
          <cell r="AM239">
            <v>0</v>
          </cell>
          <cell r="AN239" t="e">
            <v>#N/A</v>
          </cell>
          <cell r="AO239" t="e">
            <v>#N/A</v>
          </cell>
          <cell r="AP239" t="e">
            <v>#N/A</v>
          </cell>
          <cell r="AQ239" t="e">
            <v>#N/A</v>
          </cell>
          <cell r="AR239" t="e">
            <v>#N/A</v>
          </cell>
          <cell r="AS239" t="e">
            <v>#N/A</v>
          </cell>
          <cell r="AT239" t="e">
            <v>#N/A</v>
          </cell>
          <cell r="AU239" t="e">
            <v>#N/A</v>
          </cell>
          <cell r="AV239" t="e">
            <v>#N/A</v>
          </cell>
        </row>
        <row r="240">
          <cell r="A240">
            <v>124</v>
          </cell>
          <cell r="B240" t="str">
            <v>1c_other_inv_cf</v>
          </cell>
          <cell r="C240" t="str">
            <v>Other investing cashflows</v>
          </cell>
          <cell r="D240" t="str">
            <v>(m)</v>
          </cell>
          <cell r="E240">
            <v>0</v>
          </cell>
          <cell r="F240">
            <v>0</v>
          </cell>
          <cell r="G240">
            <v>0</v>
          </cell>
          <cell r="H240">
            <v>0</v>
          </cell>
          <cell r="I240">
            <v>0</v>
          </cell>
          <cell r="J240">
            <v>0</v>
          </cell>
          <cell r="K240">
            <v>0</v>
          </cell>
          <cell r="L240">
            <v>0</v>
          </cell>
          <cell r="M240">
            <v>0</v>
          </cell>
          <cell r="N240" t="str">
            <v>c_other_inv_cf</v>
          </cell>
          <cell r="O240">
            <v>0</v>
          </cell>
          <cell r="P240">
            <v>0</v>
          </cell>
          <cell r="Q240">
            <v>1000000</v>
          </cell>
          <cell r="R240" t="str">
            <v>E</v>
          </cell>
          <cell r="S240">
            <v>2</v>
          </cell>
          <cell r="T240" t="str">
            <v>null</v>
          </cell>
          <cell r="U240">
            <v>1</v>
          </cell>
          <cell r="V240">
            <v>0</v>
          </cell>
          <cell r="W240">
            <v>0</v>
          </cell>
          <cell r="X240">
            <v>0</v>
          </cell>
          <cell r="Y240">
            <v>0</v>
          </cell>
          <cell r="Z240">
            <v>0</v>
          </cell>
          <cell r="AA240">
            <v>446</v>
          </cell>
          <cell r="AB240" t="str">
            <v>cashflowdata</v>
          </cell>
          <cell r="AC240">
            <v>237</v>
          </cell>
          <cell r="AD240">
            <v>0</v>
          </cell>
          <cell r="AE240">
            <v>0</v>
          </cell>
          <cell r="AF240">
            <v>0</v>
          </cell>
          <cell r="AG240">
            <v>0</v>
          </cell>
          <cell r="AH240">
            <v>0</v>
          </cell>
          <cell r="AI240">
            <v>0</v>
          </cell>
          <cell r="AJ240">
            <v>0</v>
          </cell>
          <cell r="AK240">
            <v>0</v>
          </cell>
          <cell r="AL240">
            <v>0</v>
          </cell>
          <cell r="AM240">
            <v>0</v>
          </cell>
          <cell r="AN240">
            <v>124</v>
          </cell>
          <cell r="AO240" t="str">
            <v>Other investing cashflows</v>
          </cell>
          <cell r="AP240" t="str">
            <v>m</v>
          </cell>
          <cell r="AQ240">
            <v>0</v>
          </cell>
          <cell r="AR240">
            <v>0</v>
          </cell>
          <cell r="AS240">
            <v>0</v>
          </cell>
          <cell r="AT240">
            <v>0</v>
          </cell>
          <cell r="AU240" t="e">
            <v>#VALUE!</v>
          </cell>
          <cell r="AV240" t="e">
            <v>#VALUE!</v>
          </cell>
        </row>
        <row r="241">
          <cell r="A241">
            <v>125</v>
          </cell>
          <cell r="B241" t="str">
            <v>1c_inv_activities</v>
          </cell>
          <cell r="C241" t="str">
            <v>Other investing activities excluding capex</v>
          </cell>
          <cell r="D241" t="str">
            <v>(m)</v>
          </cell>
          <cell r="E241">
            <v>0</v>
          </cell>
          <cell r="F241">
            <v>0</v>
          </cell>
          <cell r="G241">
            <v>0</v>
          </cell>
          <cell r="H241">
            <v>0</v>
          </cell>
          <cell r="I241">
            <v>0</v>
          </cell>
          <cell r="J241">
            <v>0</v>
          </cell>
          <cell r="K241">
            <v>0</v>
          </cell>
          <cell r="L241">
            <v>0</v>
          </cell>
          <cell r="M241">
            <v>0</v>
          </cell>
          <cell r="N241" t="str">
            <v>c_inv_activities</v>
          </cell>
          <cell r="O241">
            <v>0</v>
          </cell>
          <cell r="P241">
            <v>0</v>
          </cell>
          <cell r="Q241">
            <v>1000000</v>
          </cell>
          <cell r="R241" t="str">
            <v>E</v>
          </cell>
          <cell r="S241">
            <v>2</v>
          </cell>
          <cell r="T241" t="str">
            <v>null</v>
          </cell>
          <cell r="U241">
            <v>1</v>
          </cell>
          <cell r="V241">
            <v>0</v>
          </cell>
          <cell r="W241">
            <v>0</v>
          </cell>
          <cell r="X241">
            <v>0</v>
          </cell>
          <cell r="Y241">
            <v>0</v>
          </cell>
          <cell r="Z241">
            <v>0</v>
          </cell>
          <cell r="AA241">
            <v>304</v>
          </cell>
          <cell r="AB241" t="str">
            <v>cashflowdata</v>
          </cell>
          <cell r="AC241">
            <v>238</v>
          </cell>
          <cell r="AD241">
            <v>0</v>
          </cell>
          <cell r="AE241">
            <v>0</v>
          </cell>
          <cell r="AF241">
            <v>0</v>
          </cell>
          <cell r="AG241">
            <v>0</v>
          </cell>
          <cell r="AH241">
            <v>0</v>
          </cell>
          <cell r="AI241">
            <v>0</v>
          </cell>
          <cell r="AJ241">
            <v>0</v>
          </cell>
          <cell r="AK241">
            <v>0</v>
          </cell>
          <cell r="AL241">
            <v>0</v>
          </cell>
          <cell r="AM241">
            <v>0</v>
          </cell>
          <cell r="AN241">
            <v>125</v>
          </cell>
          <cell r="AO241" t="str">
            <v>Investing activites</v>
          </cell>
          <cell r="AP241" t="str">
            <v>m</v>
          </cell>
          <cell r="AQ241" t="str">
            <v>Cash flow from Investing</v>
          </cell>
          <cell r="AR241">
            <v>0</v>
          </cell>
          <cell r="AS241">
            <v>0</v>
          </cell>
          <cell r="AT241">
            <v>0</v>
          </cell>
          <cell r="AU241" t="e">
            <v>#VALUE!</v>
          </cell>
          <cell r="AV241" t="e">
            <v>#VALUE!</v>
          </cell>
        </row>
        <row r="242">
          <cell r="A242">
            <v>126</v>
          </cell>
          <cell r="B242" t="str">
            <v>1c_net_cf_share_issue_bb</v>
          </cell>
          <cell r="C242" t="str">
            <v>Net cashflows from share issue/buyback</v>
          </cell>
          <cell r="D242" t="str">
            <v>(m)</v>
          </cell>
          <cell r="E242">
            <v>0</v>
          </cell>
          <cell r="F242">
            <v>0</v>
          </cell>
          <cell r="G242">
            <v>0</v>
          </cell>
          <cell r="H242">
            <v>0</v>
          </cell>
          <cell r="I242">
            <v>0</v>
          </cell>
          <cell r="J242">
            <v>0</v>
          </cell>
          <cell r="K242">
            <v>0</v>
          </cell>
          <cell r="L242">
            <v>0</v>
          </cell>
          <cell r="M242">
            <v>0</v>
          </cell>
          <cell r="N242" t="str">
            <v>c_net_cf_share_issue_bb</v>
          </cell>
          <cell r="O242">
            <v>0</v>
          </cell>
          <cell r="P242">
            <v>0</v>
          </cell>
          <cell r="Q242">
            <v>1000000</v>
          </cell>
          <cell r="R242" t="str">
            <v>E</v>
          </cell>
          <cell r="S242">
            <v>2</v>
          </cell>
          <cell r="T242" t="str">
            <v>null</v>
          </cell>
          <cell r="U242">
            <v>1</v>
          </cell>
          <cell r="V242">
            <v>0</v>
          </cell>
          <cell r="W242">
            <v>0</v>
          </cell>
          <cell r="X242">
            <v>0</v>
          </cell>
          <cell r="Y242">
            <v>0</v>
          </cell>
          <cell r="Z242">
            <v>0</v>
          </cell>
          <cell r="AA242">
            <v>362</v>
          </cell>
          <cell r="AB242" t="str">
            <v>cashflowdata</v>
          </cell>
          <cell r="AC242">
            <v>239</v>
          </cell>
          <cell r="AD242">
            <v>0</v>
          </cell>
          <cell r="AE242">
            <v>0</v>
          </cell>
          <cell r="AF242">
            <v>0</v>
          </cell>
          <cell r="AG242">
            <v>0</v>
          </cell>
          <cell r="AH242">
            <v>0</v>
          </cell>
          <cell r="AI242">
            <v>0</v>
          </cell>
          <cell r="AJ242">
            <v>0</v>
          </cell>
          <cell r="AK242">
            <v>0</v>
          </cell>
          <cell r="AL242">
            <v>0</v>
          </cell>
          <cell r="AM242">
            <v>0</v>
          </cell>
          <cell r="AN242">
            <v>126</v>
          </cell>
          <cell r="AO242" t="str">
            <v>Net cashflows from share issue/buyback</v>
          </cell>
          <cell r="AP242" t="str">
            <v>m</v>
          </cell>
          <cell r="AQ242">
            <v>0</v>
          </cell>
          <cell r="AR242">
            <v>0</v>
          </cell>
          <cell r="AS242">
            <v>0</v>
          </cell>
          <cell r="AT242">
            <v>0</v>
          </cell>
          <cell r="AU242" t="e">
            <v>#VALUE!</v>
          </cell>
          <cell r="AV242" t="e">
            <v>#VALUE!</v>
          </cell>
        </row>
        <row r="243">
          <cell r="A243">
            <v>126.2</v>
          </cell>
          <cell r="B243" t="str">
            <v>1c_share_repurchase</v>
          </cell>
          <cell r="C243" t="str">
            <v>Share repurchase</v>
          </cell>
          <cell r="D243" t="str">
            <v>(m)</v>
          </cell>
          <cell r="E243">
            <v>0</v>
          </cell>
          <cell r="F243">
            <v>0</v>
          </cell>
          <cell r="G243">
            <v>0</v>
          </cell>
          <cell r="H243">
            <v>0</v>
          </cell>
          <cell r="I243">
            <v>0</v>
          </cell>
          <cell r="J243">
            <v>0</v>
          </cell>
          <cell r="K243">
            <v>0</v>
          </cell>
          <cell r="L243">
            <v>0</v>
          </cell>
          <cell r="M243">
            <v>0</v>
          </cell>
          <cell r="N243" t="str">
            <v>c_share_repurchase</v>
          </cell>
          <cell r="O243">
            <v>0</v>
          </cell>
          <cell r="P243">
            <v>0</v>
          </cell>
          <cell r="Q243">
            <v>1000000</v>
          </cell>
          <cell r="R243" t="str">
            <v>E</v>
          </cell>
          <cell r="S243">
            <v>2</v>
          </cell>
          <cell r="T243" t="str">
            <v>null</v>
          </cell>
          <cell r="U243">
            <v>1</v>
          </cell>
          <cell r="V243">
            <v>0</v>
          </cell>
          <cell r="W243">
            <v>0</v>
          </cell>
          <cell r="X243">
            <v>0</v>
          </cell>
          <cell r="Y243">
            <v>0</v>
          </cell>
          <cell r="Z243">
            <v>0</v>
          </cell>
          <cell r="AA243">
            <v>537</v>
          </cell>
          <cell r="AB243" t="str">
            <v>cashflowdata</v>
          </cell>
          <cell r="AC243">
            <v>240</v>
          </cell>
          <cell r="AD243">
            <v>0</v>
          </cell>
          <cell r="AE243">
            <v>0</v>
          </cell>
          <cell r="AF243">
            <v>0</v>
          </cell>
          <cell r="AG243">
            <v>0</v>
          </cell>
          <cell r="AH243">
            <v>0</v>
          </cell>
          <cell r="AI243">
            <v>0</v>
          </cell>
          <cell r="AJ243">
            <v>0</v>
          </cell>
          <cell r="AK243">
            <v>0</v>
          </cell>
          <cell r="AL243">
            <v>0</v>
          </cell>
          <cell r="AM243">
            <v>0</v>
          </cell>
          <cell r="AN243" t="e">
            <v>#N/A</v>
          </cell>
          <cell r="AO243" t="e">
            <v>#N/A</v>
          </cell>
          <cell r="AP243" t="e">
            <v>#N/A</v>
          </cell>
          <cell r="AQ243" t="e">
            <v>#N/A</v>
          </cell>
          <cell r="AR243" t="e">
            <v>#N/A</v>
          </cell>
          <cell r="AS243" t="e">
            <v>#N/A</v>
          </cell>
          <cell r="AT243" t="e">
            <v>#N/A</v>
          </cell>
          <cell r="AU243" t="e">
            <v>#N/A</v>
          </cell>
          <cell r="AV243" t="e">
            <v>#N/A</v>
          </cell>
        </row>
        <row r="244">
          <cell r="A244">
            <v>126.5</v>
          </cell>
          <cell r="B244" t="str">
            <v>1c_srepurchase_of_commonstock</v>
          </cell>
          <cell r="C244" t="str">
            <v>Repurchase of common stock</v>
          </cell>
          <cell r="D244" t="str">
            <v>(m)</v>
          </cell>
          <cell r="E244">
            <v>0</v>
          </cell>
          <cell r="F244">
            <v>0</v>
          </cell>
          <cell r="G244">
            <v>0</v>
          </cell>
          <cell r="H244">
            <v>0</v>
          </cell>
          <cell r="I244">
            <v>0</v>
          </cell>
          <cell r="J244">
            <v>0</v>
          </cell>
          <cell r="K244">
            <v>0</v>
          </cell>
          <cell r="L244">
            <v>0</v>
          </cell>
          <cell r="M244">
            <v>0</v>
          </cell>
          <cell r="N244" t="str">
            <v>c_srepurchase_of_commonstock</v>
          </cell>
          <cell r="O244">
            <v>0</v>
          </cell>
          <cell r="P244">
            <v>0</v>
          </cell>
          <cell r="Q244">
            <v>1000000</v>
          </cell>
          <cell r="R244" t="str">
            <v>E</v>
          </cell>
          <cell r="S244">
            <v>2</v>
          </cell>
          <cell r="T244" t="str">
            <v>null</v>
          </cell>
          <cell r="U244">
            <v>1</v>
          </cell>
          <cell r="V244">
            <v>0</v>
          </cell>
          <cell r="W244">
            <v>0</v>
          </cell>
          <cell r="X244">
            <v>0</v>
          </cell>
          <cell r="Y244">
            <v>0</v>
          </cell>
          <cell r="Z244">
            <v>0</v>
          </cell>
          <cell r="AA244">
            <v>535</v>
          </cell>
          <cell r="AB244" t="str">
            <v>cashflowdata</v>
          </cell>
          <cell r="AC244">
            <v>241</v>
          </cell>
          <cell r="AD244">
            <v>0</v>
          </cell>
          <cell r="AE244">
            <v>0</v>
          </cell>
          <cell r="AF244">
            <v>0</v>
          </cell>
          <cell r="AG244">
            <v>0</v>
          </cell>
          <cell r="AH244">
            <v>0</v>
          </cell>
          <cell r="AI244">
            <v>0</v>
          </cell>
          <cell r="AJ244">
            <v>0</v>
          </cell>
          <cell r="AK244">
            <v>0</v>
          </cell>
          <cell r="AL244">
            <v>0</v>
          </cell>
          <cell r="AM244">
            <v>0</v>
          </cell>
          <cell r="AN244" t="e">
            <v>#N/A</v>
          </cell>
          <cell r="AO244" t="e">
            <v>#N/A</v>
          </cell>
          <cell r="AP244" t="e">
            <v>#N/A</v>
          </cell>
          <cell r="AQ244" t="e">
            <v>#N/A</v>
          </cell>
          <cell r="AR244" t="e">
            <v>#N/A</v>
          </cell>
          <cell r="AS244" t="e">
            <v>#N/A</v>
          </cell>
          <cell r="AT244" t="e">
            <v>#N/A</v>
          </cell>
          <cell r="AU244" t="e">
            <v>#N/A</v>
          </cell>
          <cell r="AV244" t="e">
            <v>#N/A</v>
          </cell>
        </row>
        <row r="245">
          <cell r="A245">
            <v>126.6</v>
          </cell>
          <cell r="B245" t="str">
            <v>1c_proceeds_issue_stock</v>
          </cell>
          <cell r="C245" t="str">
            <v>Proceeds from issue of stock</v>
          </cell>
          <cell r="D245" t="str">
            <v>(m)</v>
          </cell>
          <cell r="E245">
            <v>0</v>
          </cell>
          <cell r="F245">
            <v>0</v>
          </cell>
          <cell r="G245">
            <v>0</v>
          </cell>
          <cell r="H245">
            <v>0</v>
          </cell>
          <cell r="I245">
            <v>0</v>
          </cell>
          <cell r="J245">
            <v>0</v>
          </cell>
          <cell r="K245">
            <v>0</v>
          </cell>
          <cell r="L245">
            <v>0</v>
          </cell>
          <cell r="M245">
            <v>0</v>
          </cell>
          <cell r="N245" t="str">
            <v>c_proceeds_issue_stock</v>
          </cell>
          <cell r="O245">
            <v>0</v>
          </cell>
          <cell r="P245">
            <v>0</v>
          </cell>
          <cell r="Q245">
            <v>1000000</v>
          </cell>
          <cell r="R245" t="str">
            <v>E</v>
          </cell>
          <cell r="S245">
            <v>2</v>
          </cell>
          <cell r="T245" t="str">
            <v>null</v>
          </cell>
          <cell r="U245">
            <v>1</v>
          </cell>
          <cell r="V245">
            <v>0</v>
          </cell>
          <cell r="W245">
            <v>0</v>
          </cell>
          <cell r="X245">
            <v>0</v>
          </cell>
          <cell r="Y245">
            <v>0</v>
          </cell>
          <cell r="Z245">
            <v>0</v>
          </cell>
          <cell r="AA245">
            <v>535</v>
          </cell>
          <cell r="AB245" t="str">
            <v>cashflowdata</v>
          </cell>
          <cell r="AC245">
            <v>241</v>
          </cell>
          <cell r="AD245">
            <v>0</v>
          </cell>
          <cell r="AE245">
            <v>0</v>
          </cell>
          <cell r="AF245">
            <v>0</v>
          </cell>
          <cell r="AG245">
            <v>0</v>
          </cell>
          <cell r="AH245">
            <v>0</v>
          </cell>
          <cell r="AI245">
            <v>0</v>
          </cell>
          <cell r="AJ245">
            <v>0</v>
          </cell>
          <cell r="AK245">
            <v>0</v>
          </cell>
          <cell r="AL245">
            <v>0</v>
          </cell>
          <cell r="AM245">
            <v>0</v>
          </cell>
          <cell r="AN245" t="e">
            <v>#N/A</v>
          </cell>
          <cell r="AO245" t="e">
            <v>#N/A</v>
          </cell>
          <cell r="AP245" t="e">
            <v>#N/A</v>
          </cell>
          <cell r="AQ245" t="e">
            <v>#N/A</v>
          </cell>
          <cell r="AR245" t="e">
            <v>#N/A</v>
          </cell>
          <cell r="AS245" t="e">
            <v>#N/A</v>
          </cell>
          <cell r="AT245" t="e">
            <v>#N/A</v>
          </cell>
          <cell r="AU245" t="e">
            <v>#N/A</v>
          </cell>
          <cell r="AV245" t="e">
            <v>#N/A</v>
          </cell>
        </row>
        <row r="246">
          <cell r="A246">
            <v>126.7</v>
          </cell>
          <cell r="B246" t="str">
            <v>1c_proceeds_stock_options</v>
          </cell>
          <cell r="C246" t="str">
            <v>Proceeds from stock options</v>
          </cell>
          <cell r="D246" t="str">
            <v>(m)</v>
          </cell>
          <cell r="E246">
            <v>0</v>
          </cell>
          <cell r="F246">
            <v>0</v>
          </cell>
          <cell r="G246">
            <v>0</v>
          </cell>
          <cell r="H246">
            <v>0</v>
          </cell>
          <cell r="I246">
            <v>0</v>
          </cell>
          <cell r="J246">
            <v>0</v>
          </cell>
          <cell r="K246">
            <v>0</v>
          </cell>
          <cell r="L246">
            <v>0</v>
          </cell>
          <cell r="M246">
            <v>0</v>
          </cell>
          <cell r="N246" t="str">
            <v>c_proceeds_stock_options</v>
          </cell>
          <cell r="O246">
            <v>0</v>
          </cell>
          <cell r="P246">
            <v>0</v>
          </cell>
          <cell r="Q246">
            <v>1000000</v>
          </cell>
          <cell r="R246" t="str">
            <v>E</v>
          </cell>
          <cell r="S246">
            <v>2</v>
          </cell>
          <cell r="T246" t="str">
            <v>null</v>
          </cell>
          <cell r="U246">
            <v>1</v>
          </cell>
          <cell r="V246">
            <v>0</v>
          </cell>
          <cell r="W246">
            <v>0</v>
          </cell>
          <cell r="X246">
            <v>0</v>
          </cell>
          <cell r="Y246">
            <v>0</v>
          </cell>
          <cell r="Z246">
            <v>0</v>
          </cell>
          <cell r="AA246">
            <v>535</v>
          </cell>
          <cell r="AB246" t="str">
            <v>cashflowdata</v>
          </cell>
          <cell r="AC246">
            <v>241</v>
          </cell>
          <cell r="AD246">
            <v>0</v>
          </cell>
          <cell r="AE246">
            <v>0</v>
          </cell>
          <cell r="AF246">
            <v>0</v>
          </cell>
          <cell r="AG246">
            <v>0</v>
          </cell>
          <cell r="AH246">
            <v>0</v>
          </cell>
          <cell r="AI246">
            <v>0</v>
          </cell>
          <cell r="AJ246">
            <v>0</v>
          </cell>
          <cell r="AK246">
            <v>0</v>
          </cell>
          <cell r="AL246">
            <v>0</v>
          </cell>
          <cell r="AM246">
            <v>0</v>
          </cell>
          <cell r="AN246" t="e">
            <v>#N/A</v>
          </cell>
          <cell r="AO246" t="e">
            <v>#N/A</v>
          </cell>
          <cell r="AP246" t="e">
            <v>#N/A</v>
          </cell>
          <cell r="AQ246" t="e">
            <v>#N/A</v>
          </cell>
          <cell r="AR246" t="e">
            <v>#N/A</v>
          </cell>
          <cell r="AS246" t="e">
            <v>#N/A</v>
          </cell>
          <cell r="AT246" t="e">
            <v>#N/A</v>
          </cell>
          <cell r="AU246" t="e">
            <v>#N/A</v>
          </cell>
          <cell r="AV246" t="e">
            <v>#N/A</v>
          </cell>
        </row>
        <row r="247">
          <cell r="A247">
            <v>126.4</v>
          </cell>
          <cell r="B247" t="str">
            <v>1c_shareissue_stockoptions</v>
          </cell>
          <cell r="C247" t="str">
            <v>Share issue/stock options</v>
          </cell>
          <cell r="D247" t="str">
            <v>(m)</v>
          </cell>
          <cell r="E247">
            <v>0</v>
          </cell>
          <cell r="F247">
            <v>0</v>
          </cell>
          <cell r="G247">
            <v>0</v>
          </cell>
          <cell r="H247">
            <v>0</v>
          </cell>
          <cell r="I247">
            <v>0</v>
          </cell>
          <cell r="J247">
            <v>0</v>
          </cell>
          <cell r="K247">
            <v>0</v>
          </cell>
          <cell r="L247">
            <v>0</v>
          </cell>
          <cell r="M247">
            <v>0</v>
          </cell>
          <cell r="N247" t="str">
            <v>c_shareissue_stockoptions</v>
          </cell>
          <cell r="O247">
            <v>0</v>
          </cell>
          <cell r="P247">
            <v>0</v>
          </cell>
          <cell r="Q247">
            <v>1000000</v>
          </cell>
          <cell r="R247" t="str">
            <v>E</v>
          </cell>
          <cell r="S247">
            <v>2</v>
          </cell>
          <cell r="T247" t="str">
            <v>null</v>
          </cell>
          <cell r="U247">
            <v>1</v>
          </cell>
          <cell r="V247">
            <v>0</v>
          </cell>
          <cell r="W247">
            <v>0</v>
          </cell>
          <cell r="X247">
            <v>0</v>
          </cell>
          <cell r="Y247">
            <v>0</v>
          </cell>
          <cell r="Z247">
            <v>0</v>
          </cell>
          <cell r="AA247">
            <v>535</v>
          </cell>
          <cell r="AB247" t="str">
            <v>cashflowdata</v>
          </cell>
          <cell r="AC247">
            <v>241</v>
          </cell>
          <cell r="AD247">
            <v>0</v>
          </cell>
          <cell r="AE247">
            <v>0</v>
          </cell>
          <cell r="AF247">
            <v>0</v>
          </cell>
          <cell r="AG247">
            <v>0</v>
          </cell>
          <cell r="AH247">
            <v>0</v>
          </cell>
          <cell r="AI247">
            <v>0</v>
          </cell>
          <cell r="AJ247">
            <v>0</v>
          </cell>
          <cell r="AK247">
            <v>0</v>
          </cell>
          <cell r="AL247">
            <v>0</v>
          </cell>
          <cell r="AM247">
            <v>0</v>
          </cell>
          <cell r="AN247" t="e">
            <v>#N/A</v>
          </cell>
          <cell r="AO247" t="e">
            <v>#N/A</v>
          </cell>
          <cell r="AP247" t="e">
            <v>#N/A</v>
          </cell>
          <cell r="AQ247" t="e">
            <v>#N/A</v>
          </cell>
          <cell r="AR247" t="e">
            <v>#N/A</v>
          </cell>
          <cell r="AS247" t="e">
            <v>#N/A</v>
          </cell>
          <cell r="AT247" t="e">
            <v>#N/A</v>
          </cell>
          <cell r="AU247" t="e">
            <v>#N/A</v>
          </cell>
          <cell r="AV247" t="e">
            <v>#N/A</v>
          </cell>
        </row>
        <row r="248">
          <cell r="A248">
            <v>127</v>
          </cell>
          <cell r="B248" t="str">
            <v>1c_net_cf_debt_issue_bb</v>
          </cell>
          <cell r="C248" t="str">
            <v>Net cashflows from debt issue/buyback</v>
          </cell>
          <cell r="D248" t="str">
            <v>(m)</v>
          </cell>
          <cell r="E248">
            <v>0</v>
          </cell>
          <cell r="F248">
            <v>0</v>
          </cell>
          <cell r="G248">
            <v>0</v>
          </cell>
          <cell r="H248">
            <v>0</v>
          </cell>
          <cell r="I248">
            <v>0</v>
          </cell>
          <cell r="J248">
            <v>0</v>
          </cell>
          <cell r="K248">
            <v>0</v>
          </cell>
          <cell r="L248">
            <v>0</v>
          </cell>
          <cell r="M248">
            <v>0</v>
          </cell>
          <cell r="N248" t="str">
            <v>c_net_cf_debt_issue_bb</v>
          </cell>
          <cell r="O248">
            <v>0</v>
          </cell>
          <cell r="P248">
            <v>0</v>
          </cell>
          <cell r="Q248">
            <v>1000000</v>
          </cell>
          <cell r="R248" t="str">
            <v>E</v>
          </cell>
          <cell r="S248">
            <v>2</v>
          </cell>
          <cell r="T248" t="str">
            <v>null</v>
          </cell>
          <cell r="U248">
            <v>1</v>
          </cell>
          <cell r="V248">
            <v>0</v>
          </cell>
          <cell r="W248">
            <v>0</v>
          </cell>
          <cell r="X248">
            <v>0</v>
          </cell>
          <cell r="Y248">
            <v>0</v>
          </cell>
          <cell r="Z248">
            <v>0</v>
          </cell>
          <cell r="AA248">
            <v>360</v>
          </cell>
          <cell r="AB248" t="str">
            <v>cashflowdata</v>
          </cell>
          <cell r="AC248">
            <v>242</v>
          </cell>
          <cell r="AD248">
            <v>0</v>
          </cell>
          <cell r="AE248">
            <v>0</v>
          </cell>
          <cell r="AF248">
            <v>0</v>
          </cell>
          <cell r="AG248">
            <v>0</v>
          </cell>
          <cell r="AH248">
            <v>0</v>
          </cell>
          <cell r="AI248">
            <v>0</v>
          </cell>
          <cell r="AJ248">
            <v>0</v>
          </cell>
          <cell r="AK248">
            <v>0</v>
          </cell>
          <cell r="AL248">
            <v>0</v>
          </cell>
          <cell r="AM248">
            <v>0</v>
          </cell>
          <cell r="AN248">
            <v>127</v>
          </cell>
          <cell r="AO248" t="str">
            <v>Net cashflows from debt issue/buyback</v>
          </cell>
          <cell r="AP248" t="str">
            <v>m</v>
          </cell>
          <cell r="AQ248">
            <v>0</v>
          </cell>
          <cell r="AR248">
            <v>0</v>
          </cell>
          <cell r="AS248">
            <v>0</v>
          </cell>
          <cell r="AT248">
            <v>0</v>
          </cell>
          <cell r="AU248" t="e">
            <v>#VALUE!</v>
          </cell>
          <cell r="AV248" t="e">
            <v>#VALUE!</v>
          </cell>
        </row>
        <row r="249">
          <cell r="A249">
            <v>127.2</v>
          </cell>
          <cell r="B249" t="str">
            <v>1c_capital_receipts</v>
          </cell>
          <cell r="C249" t="str">
            <v>Capital receipts</v>
          </cell>
          <cell r="D249" t="str">
            <v>(m)</v>
          </cell>
          <cell r="E249">
            <v>0</v>
          </cell>
          <cell r="F249">
            <v>0</v>
          </cell>
          <cell r="G249">
            <v>0</v>
          </cell>
          <cell r="H249">
            <v>0</v>
          </cell>
          <cell r="I249">
            <v>0</v>
          </cell>
          <cell r="J249">
            <v>0</v>
          </cell>
          <cell r="K249">
            <v>0</v>
          </cell>
          <cell r="L249">
            <v>0</v>
          </cell>
          <cell r="M249">
            <v>0</v>
          </cell>
          <cell r="N249" t="str">
            <v>c_capital_receipts</v>
          </cell>
          <cell r="O249">
            <v>0</v>
          </cell>
          <cell r="P249">
            <v>0</v>
          </cell>
          <cell r="Q249">
            <v>1000000</v>
          </cell>
          <cell r="R249" t="str">
            <v>E</v>
          </cell>
          <cell r="S249">
            <v>2</v>
          </cell>
          <cell r="T249" t="str">
            <v>null</v>
          </cell>
          <cell r="U249">
            <v>1</v>
          </cell>
          <cell r="V249">
            <v>0</v>
          </cell>
          <cell r="W249">
            <v>0</v>
          </cell>
          <cell r="X249">
            <v>0</v>
          </cell>
          <cell r="Y249">
            <v>0</v>
          </cell>
          <cell r="Z249">
            <v>0</v>
          </cell>
          <cell r="AA249">
            <v>57</v>
          </cell>
          <cell r="AB249" t="str">
            <v>cashflowdata</v>
          </cell>
          <cell r="AC249">
            <v>243</v>
          </cell>
          <cell r="AD249">
            <v>0</v>
          </cell>
          <cell r="AE249">
            <v>0</v>
          </cell>
          <cell r="AF249">
            <v>0</v>
          </cell>
          <cell r="AG249">
            <v>0</v>
          </cell>
          <cell r="AH249">
            <v>0</v>
          </cell>
          <cell r="AI249">
            <v>0</v>
          </cell>
          <cell r="AJ249">
            <v>0</v>
          </cell>
          <cell r="AK249">
            <v>0</v>
          </cell>
          <cell r="AL249">
            <v>0</v>
          </cell>
          <cell r="AM249">
            <v>0</v>
          </cell>
          <cell r="AN249" t="e">
            <v>#N/A</v>
          </cell>
          <cell r="AO249" t="e">
            <v>#N/A</v>
          </cell>
          <cell r="AP249" t="e">
            <v>#N/A</v>
          </cell>
          <cell r="AQ249" t="e">
            <v>#N/A</v>
          </cell>
          <cell r="AR249" t="e">
            <v>#N/A</v>
          </cell>
          <cell r="AS249" t="e">
            <v>#N/A</v>
          </cell>
          <cell r="AT249" t="e">
            <v>#N/A</v>
          </cell>
          <cell r="AU249" t="e">
            <v>#N/A</v>
          </cell>
          <cell r="AV249" t="e">
            <v>#N/A</v>
          </cell>
        </row>
        <row r="250">
          <cell r="A250">
            <v>128</v>
          </cell>
          <cell r="B250" t="str">
            <v>1c_financing_activities</v>
          </cell>
          <cell r="C250" t="str">
            <v>Other financing activities excluding dividends</v>
          </cell>
          <cell r="D250" t="str">
            <v>(m)</v>
          </cell>
          <cell r="E250">
            <v>0</v>
          </cell>
          <cell r="F250">
            <v>0</v>
          </cell>
          <cell r="G250">
            <v>0</v>
          </cell>
          <cell r="H250">
            <v>0</v>
          </cell>
          <cell r="I250">
            <v>0</v>
          </cell>
          <cell r="J250">
            <v>0</v>
          </cell>
          <cell r="K250">
            <v>0</v>
          </cell>
          <cell r="L250">
            <v>0</v>
          </cell>
          <cell r="M250">
            <v>0</v>
          </cell>
          <cell r="N250" t="str">
            <v>c_financing_activities</v>
          </cell>
          <cell r="O250">
            <v>0</v>
          </cell>
          <cell r="P250">
            <v>0</v>
          </cell>
          <cell r="Q250">
            <v>1000000</v>
          </cell>
          <cell r="R250" t="str">
            <v>E</v>
          </cell>
          <cell r="S250">
            <v>2</v>
          </cell>
          <cell r="T250" t="str">
            <v>null</v>
          </cell>
          <cell r="U250">
            <v>1</v>
          </cell>
          <cell r="V250">
            <v>0</v>
          </cell>
          <cell r="W250">
            <v>0</v>
          </cell>
          <cell r="X250">
            <v>0</v>
          </cell>
          <cell r="Y250">
            <v>0</v>
          </cell>
          <cell r="Z250">
            <v>0</v>
          </cell>
          <cell r="AA250">
            <v>241</v>
          </cell>
          <cell r="AB250" t="str">
            <v>cashflowdata</v>
          </cell>
          <cell r="AC250">
            <v>244</v>
          </cell>
          <cell r="AD250">
            <v>0</v>
          </cell>
          <cell r="AE250">
            <v>0</v>
          </cell>
          <cell r="AF250">
            <v>0</v>
          </cell>
          <cell r="AG250">
            <v>0</v>
          </cell>
          <cell r="AH250">
            <v>0</v>
          </cell>
          <cell r="AI250">
            <v>0</v>
          </cell>
          <cell r="AJ250">
            <v>0</v>
          </cell>
          <cell r="AK250">
            <v>0</v>
          </cell>
          <cell r="AL250">
            <v>0</v>
          </cell>
          <cell r="AM250">
            <v>0</v>
          </cell>
          <cell r="AN250">
            <v>128</v>
          </cell>
          <cell r="AO250" t="str">
            <v xml:space="preserve">Financing activities </v>
          </cell>
          <cell r="AP250" t="str">
            <v>m</v>
          </cell>
          <cell r="AQ250" t="str">
            <v>Cash flow from financing</v>
          </cell>
          <cell r="AR250">
            <v>0</v>
          </cell>
          <cell r="AS250">
            <v>0</v>
          </cell>
          <cell r="AT250">
            <v>0</v>
          </cell>
          <cell r="AU250" t="e">
            <v>#VALUE!</v>
          </cell>
          <cell r="AV250" t="e">
            <v>#VALUE!</v>
          </cell>
        </row>
        <row r="251">
          <cell r="A251">
            <v>129</v>
          </cell>
          <cell r="B251" t="str">
            <v>1c_equity_div_paid</v>
          </cell>
          <cell r="C251" t="str">
            <v>Equity dividends paid</v>
          </cell>
          <cell r="D251" t="str">
            <v>(m)</v>
          </cell>
          <cell r="E251">
            <v>0</v>
          </cell>
          <cell r="F251">
            <v>0</v>
          </cell>
          <cell r="G251">
            <v>0</v>
          </cell>
          <cell r="H251">
            <v>0</v>
          </cell>
          <cell r="I251">
            <v>0</v>
          </cell>
          <cell r="J251">
            <v>0</v>
          </cell>
          <cell r="K251">
            <v>0</v>
          </cell>
          <cell r="L251">
            <v>0</v>
          </cell>
          <cell r="M251">
            <v>0</v>
          </cell>
          <cell r="N251" t="str">
            <v>c_equity_div_paid</v>
          </cell>
          <cell r="O251">
            <v>0</v>
          </cell>
          <cell r="P251">
            <v>0</v>
          </cell>
          <cell r="Q251">
            <v>1000000</v>
          </cell>
          <cell r="R251" t="str">
            <v>E</v>
          </cell>
          <cell r="S251">
            <v>2</v>
          </cell>
          <cell r="T251" t="str">
            <v>null</v>
          </cell>
          <cell r="U251">
            <v>1</v>
          </cell>
          <cell r="V251">
            <v>0</v>
          </cell>
          <cell r="W251">
            <v>0</v>
          </cell>
          <cell r="X251">
            <v>0</v>
          </cell>
          <cell r="Y251">
            <v>0</v>
          </cell>
          <cell r="Z251">
            <v>0</v>
          </cell>
          <cell r="AA251">
            <v>195</v>
          </cell>
          <cell r="AB251" t="str">
            <v>cashflowdata</v>
          </cell>
          <cell r="AC251">
            <v>245</v>
          </cell>
          <cell r="AD251">
            <v>0</v>
          </cell>
          <cell r="AE251">
            <v>0</v>
          </cell>
          <cell r="AF251">
            <v>0</v>
          </cell>
          <cell r="AG251">
            <v>0</v>
          </cell>
          <cell r="AH251">
            <v>0</v>
          </cell>
          <cell r="AI251">
            <v>0</v>
          </cell>
          <cell r="AJ251">
            <v>0</v>
          </cell>
          <cell r="AK251">
            <v>0</v>
          </cell>
          <cell r="AL251">
            <v>0</v>
          </cell>
          <cell r="AM251">
            <v>0</v>
          </cell>
          <cell r="AN251">
            <v>129</v>
          </cell>
          <cell r="AO251" t="str">
            <v>Equity dividends paid</v>
          </cell>
          <cell r="AP251" t="str">
            <v>m</v>
          </cell>
          <cell r="AQ251">
            <v>0</v>
          </cell>
          <cell r="AR251">
            <v>0</v>
          </cell>
          <cell r="AS251">
            <v>0</v>
          </cell>
          <cell r="AT251">
            <v>0</v>
          </cell>
          <cell r="AU251" t="e">
            <v>#VALUE!</v>
          </cell>
          <cell r="AV251" t="e">
            <v>#VALUE!</v>
          </cell>
        </row>
        <row r="252">
          <cell r="A252">
            <v>130</v>
          </cell>
          <cell r="B252" t="str">
            <v>1c_chng_net_debt</v>
          </cell>
          <cell r="C252" t="str">
            <v>Change in net debt</v>
          </cell>
          <cell r="D252" t="str">
            <v>(m)</v>
          </cell>
          <cell r="E252">
            <v>0</v>
          </cell>
          <cell r="F252">
            <v>0</v>
          </cell>
          <cell r="G252">
            <v>0</v>
          </cell>
          <cell r="H252">
            <v>0</v>
          </cell>
          <cell r="I252">
            <v>0</v>
          </cell>
          <cell r="J252">
            <v>0</v>
          </cell>
          <cell r="K252">
            <v>0</v>
          </cell>
          <cell r="L252">
            <v>0</v>
          </cell>
          <cell r="M252">
            <v>0</v>
          </cell>
          <cell r="N252" t="str">
            <v>c_chng_net_debt</v>
          </cell>
          <cell r="O252">
            <v>0</v>
          </cell>
          <cell r="P252">
            <v>0</v>
          </cell>
          <cell r="Q252">
            <v>1000000</v>
          </cell>
          <cell r="R252" t="str">
            <v>E</v>
          </cell>
          <cell r="S252">
            <v>2</v>
          </cell>
          <cell r="T252" t="str">
            <v>null</v>
          </cell>
          <cell r="U252">
            <v>1</v>
          </cell>
          <cell r="V252">
            <v>0</v>
          </cell>
          <cell r="W252">
            <v>0</v>
          </cell>
          <cell r="X252">
            <v>0</v>
          </cell>
          <cell r="Y252">
            <v>0</v>
          </cell>
          <cell r="Z252">
            <v>0</v>
          </cell>
          <cell r="AA252">
            <v>75</v>
          </cell>
          <cell r="AB252" t="str">
            <v>cashflowdata</v>
          </cell>
          <cell r="AC252">
            <v>246</v>
          </cell>
          <cell r="AD252">
            <v>0</v>
          </cell>
          <cell r="AE252">
            <v>0</v>
          </cell>
          <cell r="AF252">
            <v>0</v>
          </cell>
          <cell r="AG252">
            <v>0</v>
          </cell>
          <cell r="AH252">
            <v>0</v>
          </cell>
          <cell r="AI252">
            <v>0</v>
          </cell>
          <cell r="AJ252">
            <v>0</v>
          </cell>
          <cell r="AK252">
            <v>0</v>
          </cell>
          <cell r="AL252">
            <v>0</v>
          </cell>
          <cell r="AM252">
            <v>0</v>
          </cell>
          <cell r="AN252">
            <v>130</v>
          </cell>
          <cell r="AO252" t="str">
            <v>Change in net debt</v>
          </cell>
          <cell r="AP252" t="str">
            <v>m</v>
          </cell>
          <cell r="AQ252">
            <v>0</v>
          </cell>
          <cell r="AR252">
            <v>0</v>
          </cell>
          <cell r="AS252">
            <v>0</v>
          </cell>
          <cell r="AT252">
            <v>0</v>
          </cell>
          <cell r="AU252" t="e">
            <v>#VALUE!</v>
          </cell>
          <cell r="AV252" t="e">
            <v>#VALUE!</v>
          </cell>
        </row>
        <row r="253">
          <cell r="A253">
            <v>130.19999999999999</v>
          </cell>
          <cell r="B253" t="str">
            <v>1c_chng_net_debt_operate</v>
          </cell>
          <cell r="C253" t="str">
            <v>Change in net debt (operating activities)</v>
          </cell>
          <cell r="D253" t="str">
            <v>(m)</v>
          </cell>
          <cell r="E253">
            <v>0</v>
          </cell>
          <cell r="F253">
            <v>0</v>
          </cell>
          <cell r="G253">
            <v>0</v>
          </cell>
          <cell r="H253">
            <v>0</v>
          </cell>
          <cell r="I253">
            <v>0</v>
          </cell>
          <cell r="J253">
            <v>0</v>
          </cell>
          <cell r="K253">
            <v>0</v>
          </cell>
          <cell r="L253">
            <v>0</v>
          </cell>
          <cell r="M253">
            <v>0</v>
          </cell>
          <cell r="N253" t="str">
            <v>c_chng_net_debt_operate</v>
          </cell>
          <cell r="O253">
            <v>0</v>
          </cell>
          <cell r="P253">
            <v>0</v>
          </cell>
          <cell r="Q253">
            <v>1000000</v>
          </cell>
          <cell r="R253" t="str">
            <v>E</v>
          </cell>
          <cell r="S253">
            <v>2</v>
          </cell>
          <cell r="T253" t="str">
            <v>null</v>
          </cell>
          <cell r="U253">
            <v>1</v>
          </cell>
          <cell r="V253">
            <v>0</v>
          </cell>
          <cell r="W253">
            <v>0</v>
          </cell>
          <cell r="X253">
            <v>0</v>
          </cell>
          <cell r="Y253">
            <v>0</v>
          </cell>
          <cell r="Z253">
            <v>0</v>
          </cell>
          <cell r="AA253">
            <v>77</v>
          </cell>
          <cell r="AB253" t="str">
            <v>cashflowdata</v>
          </cell>
          <cell r="AC253">
            <v>247</v>
          </cell>
          <cell r="AD253">
            <v>0</v>
          </cell>
          <cell r="AE253">
            <v>0</v>
          </cell>
          <cell r="AF253">
            <v>0</v>
          </cell>
          <cell r="AG253">
            <v>0</v>
          </cell>
          <cell r="AH253">
            <v>0</v>
          </cell>
          <cell r="AI253">
            <v>0</v>
          </cell>
          <cell r="AJ253">
            <v>0</v>
          </cell>
          <cell r="AK253">
            <v>0</v>
          </cell>
          <cell r="AL253">
            <v>0</v>
          </cell>
          <cell r="AM253">
            <v>0</v>
          </cell>
          <cell r="AN253" t="e">
            <v>#N/A</v>
          </cell>
          <cell r="AO253" t="e">
            <v>#N/A</v>
          </cell>
          <cell r="AP253" t="e">
            <v>#N/A</v>
          </cell>
          <cell r="AQ253" t="e">
            <v>#N/A</v>
          </cell>
          <cell r="AR253" t="e">
            <v>#N/A</v>
          </cell>
          <cell r="AS253" t="e">
            <v>#N/A</v>
          </cell>
          <cell r="AT253" t="e">
            <v>#N/A</v>
          </cell>
          <cell r="AU253" t="e">
            <v>#N/A</v>
          </cell>
          <cell r="AV253" t="e">
            <v>#N/A</v>
          </cell>
        </row>
        <row r="254">
          <cell r="A254">
            <v>130.4</v>
          </cell>
          <cell r="B254" t="str">
            <v>1c_chng_net_debt_finance</v>
          </cell>
          <cell r="C254" t="str">
            <v>Change in net debt (financing activities)</v>
          </cell>
          <cell r="D254" t="str">
            <v>(m)</v>
          </cell>
          <cell r="E254">
            <v>0</v>
          </cell>
          <cell r="F254">
            <v>0</v>
          </cell>
          <cell r="G254">
            <v>0</v>
          </cell>
          <cell r="H254">
            <v>0</v>
          </cell>
          <cell r="I254">
            <v>0</v>
          </cell>
          <cell r="J254">
            <v>0</v>
          </cell>
          <cell r="K254">
            <v>0</v>
          </cell>
          <cell r="L254">
            <v>0</v>
          </cell>
          <cell r="M254">
            <v>0</v>
          </cell>
          <cell r="N254" t="str">
            <v>c_chng_net_debt_finance</v>
          </cell>
          <cell r="O254">
            <v>0</v>
          </cell>
          <cell r="P254">
            <v>0</v>
          </cell>
          <cell r="Q254">
            <v>1000000</v>
          </cell>
          <cell r="R254" t="str">
            <v>E</v>
          </cell>
          <cell r="S254">
            <v>2</v>
          </cell>
          <cell r="T254" t="str">
            <v>null</v>
          </cell>
          <cell r="U254">
            <v>1</v>
          </cell>
          <cell r="V254">
            <v>0</v>
          </cell>
          <cell r="W254">
            <v>0</v>
          </cell>
          <cell r="X254">
            <v>0</v>
          </cell>
          <cell r="Y254">
            <v>0</v>
          </cell>
          <cell r="Z254">
            <v>0</v>
          </cell>
          <cell r="AA254">
            <v>76</v>
          </cell>
          <cell r="AB254" t="str">
            <v>cashflowdata</v>
          </cell>
          <cell r="AC254">
            <v>248</v>
          </cell>
          <cell r="AD254">
            <v>0</v>
          </cell>
          <cell r="AE254">
            <v>0</v>
          </cell>
          <cell r="AF254">
            <v>0</v>
          </cell>
          <cell r="AG254">
            <v>0</v>
          </cell>
          <cell r="AH254">
            <v>0</v>
          </cell>
          <cell r="AI254">
            <v>0</v>
          </cell>
          <cell r="AJ254">
            <v>0</v>
          </cell>
          <cell r="AK254">
            <v>0</v>
          </cell>
          <cell r="AL254">
            <v>0</v>
          </cell>
          <cell r="AM254">
            <v>0</v>
          </cell>
          <cell r="AN254" t="e">
            <v>#N/A</v>
          </cell>
          <cell r="AO254" t="e">
            <v>#N/A</v>
          </cell>
          <cell r="AP254" t="e">
            <v>#N/A</v>
          </cell>
          <cell r="AQ254" t="e">
            <v>#N/A</v>
          </cell>
          <cell r="AR254" t="e">
            <v>#N/A</v>
          </cell>
          <cell r="AS254" t="e">
            <v>#N/A</v>
          </cell>
          <cell r="AT254" t="e">
            <v>#N/A</v>
          </cell>
          <cell r="AU254" t="e">
            <v>#N/A</v>
          </cell>
          <cell r="AV254" t="e">
            <v>#N/A</v>
          </cell>
        </row>
        <row r="255">
          <cell r="A255">
            <v>131</v>
          </cell>
          <cell r="B255" t="str">
            <v>1c_funds_av_dist_per_share</v>
          </cell>
          <cell r="C255" t="str">
            <v>Funds available for distribution per share</v>
          </cell>
          <cell r="D255" t="str">
            <v>(unit)</v>
          </cell>
          <cell r="E255">
            <v>0</v>
          </cell>
          <cell r="F255">
            <v>0</v>
          </cell>
          <cell r="G255">
            <v>0</v>
          </cell>
          <cell r="H255">
            <v>0</v>
          </cell>
          <cell r="I255">
            <v>0</v>
          </cell>
          <cell r="J255">
            <v>0</v>
          </cell>
          <cell r="K255">
            <v>0</v>
          </cell>
          <cell r="L255">
            <v>0</v>
          </cell>
          <cell r="M255">
            <v>0</v>
          </cell>
          <cell r="N255" t="str">
            <v>c_funds_av_dist_per_share</v>
          </cell>
          <cell r="O255">
            <v>0</v>
          </cell>
          <cell r="P255">
            <v>0</v>
          </cell>
          <cell r="Q255">
            <v>1</v>
          </cell>
          <cell r="R255" t="str">
            <v>E</v>
          </cell>
          <cell r="S255">
            <v>2</v>
          </cell>
          <cell r="T255" t="str">
            <v>null</v>
          </cell>
          <cell r="U255">
            <v>1</v>
          </cell>
          <cell r="V255">
            <v>0</v>
          </cell>
          <cell r="W255">
            <v>0</v>
          </cell>
          <cell r="X255">
            <v>0</v>
          </cell>
          <cell r="Y255">
            <v>0</v>
          </cell>
          <cell r="Z255">
            <v>0</v>
          </cell>
          <cell r="AA255">
            <v>258</v>
          </cell>
          <cell r="AB255" t="str">
            <v>cashflowdata</v>
          </cell>
          <cell r="AC255">
            <v>249</v>
          </cell>
          <cell r="AD255">
            <v>0</v>
          </cell>
          <cell r="AE255">
            <v>0</v>
          </cell>
          <cell r="AF255">
            <v>0</v>
          </cell>
          <cell r="AG255">
            <v>0</v>
          </cell>
          <cell r="AH255">
            <v>0</v>
          </cell>
          <cell r="AI255">
            <v>0</v>
          </cell>
          <cell r="AJ255">
            <v>0</v>
          </cell>
          <cell r="AK255">
            <v>0</v>
          </cell>
          <cell r="AL255">
            <v>0</v>
          </cell>
          <cell r="AM255">
            <v>0</v>
          </cell>
          <cell r="AN255">
            <v>131</v>
          </cell>
          <cell r="AO255" t="str">
            <v>Funds available for Distribution per share</v>
          </cell>
          <cell r="AP255" t="str">
            <v>p</v>
          </cell>
          <cell r="AQ255">
            <v>0</v>
          </cell>
          <cell r="AR255" t="str">
            <v>properties</v>
          </cell>
          <cell r="AS255">
            <v>0</v>
          </cell>
          <cell r="AT255">
            <v>0</v>
          </cell>
          <cell r="AU255" t="e">
            <v>#VALUE!</v>
          </cell>
          <cell r="AV255" t="e">
            <v>#VALUE!</v>
          </cell>
        </row>
        <row r="256">
          <cell r="A256">
            <v>362</v>
          </cell>
          <cell r="B256" t="str">
            <v>1c_expl_app_spend</v>
          </cell>
          <cell r="C256" t="str">
            <v>Exploration and appraisal spend (£)</v>
          </cell>
          <cell r="D256" t="str">
            <v>(m)</v>
          </cell>
          <cell r="E256">
            <v>0</v>
          </cell>
          <cell r="F256">
            <v>0</v>
          </cell>
          <cell r="G256">
            <v>0</v>
          </cell>
          <cell r="H256">
            <v>0</v>
          </cell>
          <cell r="I256">
            <v>0</v>
          </cell>
          <cell r="J256">
            <v>0</v>
          </cell>
          <cell r="K256">
            <v>0</v>
          </cell>
          <cell r="L256">
            <v>0</v>
          </cell>
          <cell r="M256">
            <v>0</v>
          </cell>
          <cell r="N256" t="str">
            <v>c_expl_app_spend</v>
          </cell>
          <cell r="O256">
            <v>0</v>
          </cell>
          <cell r="P256">
            <v>0</v>
          </cell>
          <cell r="Q256">
            <v>1000000</v>
          </cell>
          <cell r="R256" t="str">
            <v>E</v>
          </cell>
          <cell r="S256">
            <v>2</v>
          </cell>
          <cell r="T256" t="str">
            <v>null</v>
          </cell>
          <cell r="U256">
            <v>1</v>
          </cell>
          <cell r="V256">
            <v>0</v>
          </cell>
          <cell r="W256">
            <v>0</v>
          </cell>
          <cell r="X256">
            <v>0</v>
          </cell>
          <cell r="Y256">
            <v>0</v>
          </cell>
          <cell r="Z256">
            <v>0</v>
          </cell>
          <cell r="AA256">
            <v>237</v>
          </cell>
          <cell r="AB256" t="str">
            <v>cashflowdata</v>
          </cell>
          <cell r="AC256">
            <v>250</v>
          </cell>
          <cell r="AD256">
            <v>0</v>
          </cell>
          <cell r="AE256">
            <v>0</v>
          </cell>
          <cell r="AF256">
            <v>0</v>
          </cell>
          <cell r="AG256">
            <v>0</v>
          </cell>
          <cell r="AH256">
            <v>0</v>
          </cell>
          <cell r="AI256">
            <v>0</v>
          </cell>
          <cell r="AJ256">
            <v>0</v>
          </cell>
          <cell r="AK256">
            <v>0</v>
          </cell>
          <cell r="AL256">
            <v>0</v>
          </cell>
          <cell r="AM256">
            <v>0</v>
          </cell>
          <cell r="AN256" t="e">
            <v>#N/A</v>
          </cell>
          <cell r="AO256" t="e">
            <v>#N/A</v>
          </cell>
          <cell r="AP256" t="e">
            <v>#N/A</v>
          </cell>
          <cell r="AQ256" t="e">
            <v>#N/A</v>
          </cell>
          <cell r="AR256" t="e">
            <v>#N/A</v>
          </cell>
          <cell r="AS256" t="e">
            <v>#N/A</v>
          </cell>
          <cell r="AT256" t="e">
            <v>#N/A</v>
          </cell>
          <cell r="AU256" t="e">
            <v>#N/A</v>
          </cell>
          <cell r="AV256" t="e">
            <v>#N/A</v>
          </cell>
        </row>
        <row r="257">
          <cell r="A257">
            <v>362.2</v>
          </cell>
          <cell r="B257" t="str">
            <v>1c_expl_app_spend_usd</v>
          </cell>
          <cell r="C257" t="str">
            <v>Exploration and appraisal spend (US$)</v>
          </cell>
          <cell r="D257" t="str">
            <v>(m)</v>
          </cell>
          <cell r="E257">
            <v>0</v>
          </cell>
          <cell r="F257">
            <v>0</v>
          </cell>
          <cell r="G257">
            <v>0</v>
          </cell>
          <cell r="H257">
            <v>0</v>
          </cell>
          <cell r="I257">
            <v>0</v>
          </cell>
          <cell r="J257">
            <v>0</v>
          </cell>
          <cell r="K257">
            <v>0</v>
          </cell>
          <cell r="L257">
            <v>0</v>
          </cell>
          <cell r="M257">
            <v>0</v>
          </cell>
          <cell r="N257" t="str">
            <v>c_expl_app_spend_usd</v>
          </cell>
          <cell r="O257">
            <v>0</v>
          </cell>
          <cell r="P257">
            <v>0</v>
          </cell>
          <cell r="Q257">
            <v>1000000</v>
          </cell>
          <cell r="R257" t="str">
            <v>E</v>
          </cell>
          <cell r="S257">
            <v>2</v>
          </cell>
          <cell r="T257" t="str">
            <v>null</v>
          </cell>
          <cell r="U257">
            <v>1</v>
          </cell>
          <cell r="V257">
            <v>0</v>
          </cell>
          <cell r="W257">
            <v>0</v>
          </cell>
          <cell r="X257">
            <v>0</v>
          </cell>
          <cell r="Y257">
            <v>0</v>
          </cell>
          <cell r="Z257">
            <v>0</v>
          </cell>
          <cell r="AA257">
            <v>238</v>
          </cell>
          <cell r="AB257" t="str">
            <v>cashflowdata</v>
          </cell>
          <cell r="AC257">
            <v>251</v>
          </cell>
          <cell r="AD257">
            <v>0</v>
          </cell>
          <cell r="AE257">
            <v>0</v>
          </cell>
          <cell r="AF257">
            <v>0</v>
          </cell>
          <cell r="AG257">
            <v>0</v>
          </cell>
          <cell r="AH257">
            <v>0</v>
          </cell>
          <cell r="AI257">
            <v>0</v>
          </cell>
          <cell r="AJ257">
            <v>0</v>
          </cell>
          <cell r="AK257">
            <v>0</v>
          </cell>
          <cell r="AL257">
            <v>0</v>
          </cell>
          <cell r="AM257">
            <v>0</v>
          </cell>
          <cell r="AN257" t="e">
            <v>#N/A</v>
          </cell>
          <cell r="AO257" t="e">
            <v>#N/A</v>
          </cell>
          <cell r="AP257" t="e">
            <v>#N/A</v>
          </cell>
          <cell r="AQ257" t="e">
            <v>#N/A</v>
          </cell>
          <cell r="AR257" t="e">
            <v>#N/A</v>
          </cell>
          <cell r="AS257" t="e">
            <v>#N/A</v>
          </cell>
          <cell r="AT257" t="e">
            <v>#N/A</v>
          </cell>
          <cell r="AU257" t="e">
            <v>#N/A</v>
          </cell>
          <cell r="AV257" t="e">
            <v>#N/A</v>
          </cell>
        </row>
        <row r="258">
          <cell r="A258">
            <v>363</v>
          </cell>
          <cell r="B258" t="str">
            <v>1c_dev_prodn_spend</v>
          </cell>
          <cell r="C258" t="str">
            <v>Development and production spend (£)</v>
          </cell>
          <cell r="D258" t="str">
            <v>(m)</v>
          </cell>
          <cell r="E258">
            <v>0</v>
          </cell>
          <cell r="F258">
            <v>0</v>
          </cell>
          <cell r="G258">
            <v>0</v>
          </cell>
          <cell r="H258">
            <v>0</v>
          </cell>
          <cell r="I258">
            <v>0</v>
          </cell>
          <cell r="J258">
            <v>0</v>
          </cell>
          <cell r="K258">
            <v>0</v>
          </cell>
          <cell r="L258">
            <v>0</v>
          </cell>
          <cell r="M258">
            <v>0</v>
          </cell>
          <cell r="N258" t="str">
            <v>c_dev_prodn_spend</v>
          </cell>
          <cell r="O258">
            <v>0</v>
          </cell>
          <cell r="P258">
            <v>0</v>
          </cell>
          <cell r="Q258">
            <v>1000000</v>
          </cell>
          <cell r="R258" t="str">
            <v>E</v>
          </cell>
          <cell r="S258">
            <v>2</v>
          </cell>
          <cell r="T258" t="str">
            <v>null</v>
          </cell>
          <cell r="U258">
            <v>1</v>
          </cell>
          <cell r="V258">
            <v>0</v>
          </cell>
          <cell r="W258">
            <v>0</v>
          </cell>
          <cell r="X258">
            <v>0</v>
          </cell>
          <cell r="Y258">
            <v>0</v>
          </cell>
          <cell r="Z258">
            <v>0</v>
          </cell>
          <cell r="AA258">
            <v>136</v>
          </cell>
          <cell r="AB258" t="str">
            <v>cashflowdata</v>
          </cell>
          <cell r="AC258">
            <v>252</v>
          </cell>
          <cell r="AD258">
            <v>0</v>
          </cell>
          <cell r="AE258">
            <v>0</v>
          </cell>
          <cell r="AF258">
            <v>0</v>
          </cell>
          <cell r="AG258">
            <v>0</v>
          </cell>
          <cell r="AH258">
            <v>0</v>
          </cell>
          <cell r="AI258">
            <v>0</v>
          </cell>
          <cell r="AJ258">
            <v>0</v>
          </cell>
          <cell r="AK258">
            <v>0</v>
          </cell>
          <cell r="AL258">
            <v>0</v>
          </cell>
          <cell r="AM258">
            <v>0</v>
          </cell>
          <cell r="AN258" t="e">
            <v>#N/A</v>
          </cell>
          <cell r="AO258" t="e">
            <v>#N/A</v>
          </cell>
          <cell r="AP258" t="e">
            <v>#N/A</v>
          </cell>
          <cell r="AQ258" t="e">
            <v>#N/A</v>
          </cell>
          <cell r="AR258" t="e">
            <v>#N/A</v>
          </cell>
          <cell r="AS258" t="e">
            <v>#N/A</v>
          </cell>
          <cell r="AT258" t="e">
            <v>#N/A</v>
          </cell>
          <cell r="AU258" t="e">
            <v>#N/A</v>
          </cell>
          <cell r="AV258" t="e">
            <v>#N/A</v>
          </cell>
        </row>
        <row r="259">
          <cell r="A259">
            <v>363.2</v>
          </cell>
          <cell r="B259" t="str">
            <v>1c_dev_prodn_spend_usd</v>
          </cell>
          <cell r="C259" t="str">
            <v>Development and production spend (US$)</v>
          </cell>
          <cell r="D259" t="str">
            <v>(m)</v>
          </cell>
          <cell r="E259">
            <v>0</v>
          </cell>
          <cell r="F259">
            <v>0</v>
          </cell>
          <cell r="G259">
            <v>0</v>
          </cell>
          <cell r="H259">
            <v>0</v>
          </cell>
          <cell r="I259">
            <v>0</v>
          </cell>
          <cell r="J259">
            <v>0</v>
          </cell>
          <cell r="K259">
            <v>0</v>
          </cell>
          <cell r="L259">
            <v>0</v>
          </cell>
          <cell r="M259">
            <v>0</v>
          </cell>
          <cell r="N259" t="str">
            <v>c_dev_prodn_spend_usd</v>
          </cell>
          <cell r="O259">
            <v>0</v>
          </cell>
          <cell r="P259">
            <v>0</v>
          </cell>
          <cell r="Q259">
            <v>1000000</v>
          </cell>
          <cell r="R259" t="str">
            <v>E</v>
          </cell>
          <cell r="S259">
            <v>2</v>
          </cell>
          <cell r="T259" t="str">
            <v>null</v>
          </cell>
          <cell r="U259">
            <v>1</v>
          </cell>
          <cell r="V259">
            <v>0</v>
          </cell>
          <cell r="W259">
            <v>0</v>
          </cell>
          <cell r="X259">
            <v>0</v>
          </cell>
          <cell r="Y259">
            <v>0</v>
          </cell>
          <cell r="Z259">
            <v>0</v>
          </cell>
          <cell r="AA259">
            <v>137</v>
          </cell>
          <cell r="AB259" t="str">
            <v>cashflowdata</v>
          </cell>
          <cell r="AC259">
            <v>253</v>
          </cell>
          <cell r="AD259">
            <v>0</v>
          </cell>
          <cell r="AE259">
            <v>0</v>
          </cell>
          <cell r="AF259">
            <v>0</v>
          </cell>
          <cell r="AG259">
            <v>0</v>
          </cell>
          <cell r="AH259">
            <v>0</v>
          </cell>
          <cell r="AI259">
            <v>0</v>
          </cell>
          <cell r="AJ259">
            <v>0</v>
          </cell>
          <cell r="AK259">
            <v>0</v>
          </cell>
          <cell r="AL259">
            <v>0</v>
          </cell>
          <cell r="AM259">
            <v>0</v>
          </cell>
          <cell r="AN259" t="e">
            <v>#N/A</v>
          </cell>
          <cell r="AO259" t="e">
            <v>#N/A</v>
          </cell>
          <cell r="AP259" t="e">
            <v>#N/A</v>
          </cell>
          <cell r="AQ259" t="e">
            <v>#N/A</v>
          </cell>
          <cell r="AR259" t="e">
            <v>#N/A</v>
          </cell>
          <cell r="AS259" t="e">
            <v>#N/A</v>
          </cell>
          <cell r="AT259" t="e">
            <v>#N/A</v>
          </cell>
          <cell r="AU259" t="e">
            <v>#N/A</v>
          </cell>
          <cell r="AV259" t="e">
            <v>#N/A</v>
          </cell>
        </row>
        <row r="260">
          <cell r="A260">
            <v>366</v>
          </cell>
          <cell r="B260" t="str">
            <v>1r_cash_unit_cost</v>
          </cell>
          <cell r="C260" t="str">
            <v>Cash unit costs</v>
          </cell>
          <cell r="D260" t="str">
            <v>(unit/boe)</v>
          </cell>
          <cell r="E260">
            <v>0</v>
          </cell>
          <cell r="F260">
            <v>0</v>
          </cell>
          <cell r="G260">
            <v>0</v>
          </cell>
          <cell r="H260">
            <v>0</v>
          </cell>
          <cell r="I260">
            <v>0</v>
          </cell>
          <cell r="J260">
            <v>0</v>
          </cell>
          <cell r="K260">
            <v>0</v>
          </cell>
          <cell r="L260">
            <v>0</v>
          </cell>
          <cell r="M260">
            <v>0</v>
          </cell>
          <cell r="N260" t="str">
            <v>r_cash_unit_cost</v>
          </cell>
          <cell r="O260">
            <v>0</v>
          </cell>
          <cell r="P260">
            <v>0</v>
          </cell>
          <cell r="Q260">
            <v>1000000</v>
          </cell>
          <cell r="R260" t="str">
            <v>E</v>
          </cell>
          <cell r="S260">
            <v>2</v>
          </cell>
          <cell r="T260" t="str">
            <v>null</v>
          </cell>
          <cell r="U260">
            <v>1</v>
          </cell>
          <cell r="V260">
            <v>0</v>
          </cell>
          <cell r="W260">
            <v>0</v>
          </cell>
          <cell r="X260">
            <v>0</v>
          </cell>
          <cell r="Y260">
            <v>0</v>
          </cell>
          <cell r="Z260">
            <v>0</v>
          </cell>
          <cell r="AA260">
            <v>67</v>
          </cell>
          <cell r="AB260" t="str">
            <v>cashflowdata</v>
          </cell>
          <cell r="AC260">
            <v>254</v>
          </cell>
          <cell r="AD260">
            <v>0</v>
          </cell>
          <cell r="AE260">
            <v>0</v>
          </cell>
          <cell r="AF260">
            <v>0</v>
          </cell>
          <cell r="AG260">
            <v>0</v>
          </cell>
          <cell r="AH260">
            <v>0</v>
          </cell>
          <cell r="AI260">
            <v>0</v>
          </cell>
          <cell r="AJ260">
            <v>0</v>
          </cell>
          <cell r="AK260">
            <v>0</v>
          </cell>
          <cell r="AL260">
            <v>0</v>
          </cell>
          <cell r="AM260">
            <v>0</v>
          </cell>
          <cell r="AN260" t="e">
            <v>#N/A</v>
          </cell>
          <cell r="AO260" t="e">
            <v>#N/A</v>
          </cell>
          <cell r="AP260" t="e">
            <v>#N/A</v>
          </cell>
          <cell r="AQ260" t="e">
            <v>#N/A</v>
          </cell>
          <cell r="AR260" t="e">
            <v>#N/A</v>
          </cell>
          <cell r="AS260" t="e">
            <v>#N/A</v>
          </cell>
          <cell r="AT260" t="e">
            <v>#N/A</v>
          </cell>
          <cell r="AU260" t="e">
            <v>#N/A</v>
          </cell>
          <cell r="AV260" t="e">
            <v>#N/A</v>
          </cell>
        </row>
        <row r="261">
          <cell r="A261">
            <v>366.2</v>
          </cell>
          <cell r="B261" t="str">
            <v>1r_cash_unit_cost_usd</v>
          </cell>
          <cell r="C261" t="str">
            <v>Cash unit costs (US$/boe)</v>
          </cell>
          <cell r="D261" t="str">
            <v>(US$/boe)</v>
          </cell>
          <cell r="E261">
            <v>0</v>
          </cell>
          <cell r="F261">
            <v>0</v>
          </cell>
          <cell r="G261">
            <v>0</v>
          </cell>
          <cell r="H261">
            <v>0</v>
          </cell>
          <cell r="I261">
            <v>0</v>
          </cell>
          <cell r="J261">
            <v>0</v>
          </cell>
          <cell r="K261">
            <v>0</v>
          </cell>
          <cell r="L261">
            <v>0</v>
          </cell>
          <cell r="M261">
            <v>0</v>
          </cell>
          <cell r="N261" t="str">
            <v>r_cash_unit_cost_usd</v>
          </cell>
          <cell r="O261">
            <v>0</v>
          </cell>
          <cell r="P261">
            <v>0</v>
          </cell>
          <cell r="Q261">
            <v>1000000</v>
          </cell>
          <cell r="R261" t="str">
            <v>E</v>
          </cell>
          <cell r="S261">
            <v>2</v>
          </cell>
          <cell r="T261" t="str">
            <v>null</v>
          </cell>
          <cell r="U261">
            <v>1</v>
          </cell>
          <cell r="V261">
            <v>0</v>
          </cell>
          <cell r="W261">
            <v>0</v>
          </cell>
          <cell r="X261">
            <v>0</v>
          </cell>
          <cell r="Y261">
            <v>0</v>
          </cell>
          <cell r="Z261">
            <v>0</v>
          </cell>
          <cell r="AA261">
            <v>68</v>
          </cell>
          <cell r="AB261" t="str">
            <v>cashflowdata</v>
          </cell>
          <cell r="AC261">
            <v>255</v>
          </cell>
          <cell r="AD261">
            <v>0</v>
          </cell>
          <cell r="AE261">
            <v>0</v>
          </cell>
          <cell r="AF261">
            <v>0</v>
          </cell>
          <cell r="AG261">
            <v>0</v>
          </cell>
          <cell r="AH261">
            <v>0</v>
          </cell>
          <cell r="AI261">
            <v>0</v>
          </cell>
          <cell r="AJ261">
            <v>0</v>
          </cell>
          <cell r="AK261">
            <v>0</v>
          </cell>
          <cell r="AL261">
            <v>0</v>
          </cell>
          <cell r="AM261">
            <v>0</v>
          </cell>
          <cell r="AN261" t="e">
            <v>#N/A</v>
          </cell>
          <cell r="AO261" t="e">
            <v>#N/A</v>
          </cell>
          <cell r="AP261" t="e">
            <v>#N/A</v>
          </cell>
          <cell r="AQ261" t="e">
            <v>#N/A</v>
          </cell>
          <cell r="AR261" t="e">
            <v>#N/A</v>
          </cell>
          <cell r="AS261" t="e">
            <v>#N/A</v>
          </cell>
          <cell r="AT261" t="e">
            <v>#N/A</v>
          </cell>
          <cell r="AU261" t="e">
            <v>#N/A</v>
          </cell>
          <cell r="AV261" t="e">
            <v>#N/A</v>
          </cell>
        </row>
        <row r="262">
          <cell r="A262">
            <v>367</v>
          </cell>
          <cell r="B262" t="str">
            <v>1r_noncash_unit_cost</v>
          </cell>
          <cell r="C262" t="str">
            <v>Non-cash unit costs (£/boe)</v>
          </cell>
          <cell r="D262" t="str">
            <v>(£/boe)</v>
          </cell>
          <cell r="E262">
            <v>0</v>
          </cell>
          <cell r="F262">
            <v>0</v>
          </cell>
          <cell r="G262">
            <v>0</v>
          </cell>
          <cell r="H262">
            <v>0</v>
          </cell>
          <cell r="I262">
            <v>0</v>
          </cell>
          <cell r="J262">
            <v>0</v>
          </cell>
          <cell r="K262">
            <v>0</v>
          </cell>
          <cell r="L262">
            <v>0</v>
          </cell>
          <cell r="M262">
            <v>0</v>
          </cell>
          <cell r="N262" t="str">
            <v>r_noncash_unit_cost</v>
          </cell>
          <cell r="O262">
            <v>0</v>
          </cell>
          <cell r="P262">
            <v>0</v>
          </cell>
          <cell r="Q262">
            <v>1000000</v>
          </cell>
          <cell r="R262" t="str">
            <v>E</v>
          </cell>
          <cell r="S262">
            <v>2</v>
          </cell>
          <cell r="T262" t="str">
            <v>null</v>
          </cell>
          <cell r="U262">
            <v>1</v>
          </cell>
          <cell r="V262">
            <v>0</v>
          </cell>
          <cell r="W262">
            <v>0</v>
          </cell>
          <cell r="X262">
            <v>0</v>
          </cell>
          <cell r="Y262">
            <v>0</v>
          </cell>
          <cell r="Z262">
            <v>0</v>
          </cell>
          <cell r="AA262">
            <v>398</v>
          </cell>
          <cell r="AB262" t="str">
            <v>cashflowdata</v>
          </cell>
          <cell r="AC262">
            <v>256</v>
          </cell>
          <cell r="AD262">
            <v>0</v>
          </cell>
          <cell r="AE262">
            <v>0</v>
          </cell>
          <cell r="AF262">
            <v>0</v>
          </cell>
          <cell r="AG262">
            <v>0</v>
          </cell>
          <cell r="AH262">
            <v>0</v>
          </cell>
          <cell r="AI262">
            <v>0</v>
          </cell>
          <cell r="AJ262">
            <v>0</v>
          </cell>
          <cell r="AK262">
            <v>0</v>
          </cell>
          <cell r="AL262">
            <v>0</v>
          </cell>
          <cell r="AM262">
            <v>0</v>
          </cell>
          <cell r="AN262" t="e">
            <v>#N/A</v>
          </cell>
          <cell r="AO262" t="e">
            <v>#N/A</v>
          </cell>
          <cell r="AP262" t="e">
            <v>#N/A</v>
          </cell>
          <cell r="AQ262" t="e">
            <v>#N/A</v>
          </cell>
          <cell r="AR262" t="e">
            <v>#N/A</v>
          </cell>
          <cell r="AS262" t="e">
            <v>#N/A</v>
          </cell>
          <cell r="AT262" t="e">
            <v>#N/A</v>
          </cell>
          <cell r="AU262" t="e">
            <v>#N/A</v>
          </cell>
          <cell r="AV262" t="e">
            <v>#N/A</v>
          </cell>
        </row>
        <row r="263">
          <cell r="A263">
            <v>367.2</v>
          </cell>
          <cell r="B263" t="str">
            <v>1r_noncash_unit_cost_usd</v>
          </cell>
          <cell r="C263" t="str">
            <v>Non-cash unit costs (US$/boe)</v>
          </cell>
          <cell r="D263" t="str">
            <v>(US$/boe)</v>
          </cell>
          <cell r="E263">
            <v>0</v>
          </cell>
          <cell r="F263">
            <v>0</v>
          </cell>
          <cell r="G263">
            <v>0</v>
          </cell>
          <cell r="H263">
            <v>0</v>
          </cell>
          <cell r="I263">
            <v>0</v>
          </cell>
          <cell r="J263">
            <v>0</v>
          </cell>
          <cell r="K263">
            <v>0</v>
          </cell>
          <cell r="L263">
            <v>0</v>
          </cell>
          <cell r="M263">
            <v>0</v>
          </cell>
          <cell r="N263" t="str">
            <v>r_noncash_unit_cost_usd</v>
          </cell>
          <cell r="O263">
            <v>0</v>
          </cell>
          <cell r="P263">
            <v>0</v>
          </cell>
          <cell r="Q263">
            <v>1000000</v>
          </cell>
          <cell r="R263" t="str">
            <v>E</v>
          </cell>
          <cell r="S263">
            <v>2</v>
          </cell>
          <cell r="T263" t="str">
            <v>null</v>
          </cell>
          <cell r="U263">
            <v>1</v>
          </cell>
          <cell r="V263">
            <v>0</v>
          </cell>
          <cell r="W263">
            <v>0</v>
          </cell>
          <cell r="X263">
            <v>0</v>
          </cell>
          <cell r="Y263">
            <v>0</v>
          </cell>
          <cell r="Z263">
            <v>0</v>
          </cell>
          <cell r="AA263">
            <v>399</v>
          </cell>
          <cell r="AB263" t="str">
            <v>cashflowdata</v>
          </cell>
          <cell r="AC263">
            <v>257</v>
          </cell>
          <cell r="AD263">
            <v>0</v>
          </cell>
          <cell r="AE263">
            <v>0</v>
          </cell>
          <cell r="AF263">
            <v>0</v>
          </cell>
          <cell r="AG263">
            <v>0</v>
          </cell>
          <cell r="AH263">
            <v>0</v>
          </cell>
          <cell r="AI263">
            <v>0</v>
          </cell>
          <cell r="AJ263">
            <v>0</v>
          </cell>
          <cell r="AK263">
            <v>0</v>
          </cell>
          <cell r="AL263">
            <v>0</v>
          </cell>
          <cell r="AM263">
            <v>0</v>
          </cell>
          <cell r="AN263" t="e">
            <v>#N/A</v>
          </cell>
          <cell r="AO263" t="e">
            <v>#N/A</v>
          </cell>
          <cell r="AP263" t="e">
            <v>#N/A</v>
          </cell>
          <cell r="AQ263" t="e">
            <v>#N/A</v>
          </cell>
          <cell r="AR263" t="e">
            <v>#N/A</v>
          </cell>
          <cell r="AS263" t="e">
            <v>#N/A</v>
          </cell>
          <cell r="AT263" t="e">
            <v>#N/A</v>
          </cell>
          <cell r="AU263" t="e">
            <v>#N/A</v>
          </cell>
          <cell r="AV263" t="e">
            <v>#N/A</v>
          </cell>
        </row>
        <row r="264">
          <cell r="A264">
            <v>368</v>
          </cell>
          <cell r="B264" t="str">
            <v>1r_totalprodn_cost</v>
          </cell>
          <cell r="C264" t="str">
            <v>Total production costs (£/boe)</v>
          </cell>
          <cell r="D264" t="str">
            <v>(£/boe)</v>
          </cell>
          <cell r="E264">
            <v>0</v>
          </cell>
          <cell r="F264">
            <v>0</v>
          </cell>
          <cell r="G264">
            <v>0</v>
          </cell>
          <cell r="H264">
            <v>0</v>
          </cell>
          <cell r="I264">
            <v>0</v>
          </cell>
          <cell r="J264">
            <v>0</v>
          </cell>
          <cell r="K264">
            <v>0</v>
          </cell>
          <cell r="L264">
            <v>0</v>
          </cell>
          <cell r="M264">
            <v>0</v>
          </cell>
          <cell r="N264" t="str">
            <v>r_totalprodn_cost</v>
          </cell>
          <cell r="O264">
            <v>0</v>
          </cell>
          <cell r="P264">
            <v>0</v>
          </cell>
          <cell r="Q264">
            <v>1000000</v>
          </cell>
          <cell r="R264" t="str">
            <v>E</v>
          </cell>
          <cell r="S264">
            <v>2</v>
          </cell>
          <cell r="T264" t="str">
            <v>null</v>
          </cell>
          <cell r="U264">
            <v>1</v>
          </cell>
          <cell r="V264">
            <v>0</v>
          </cell>
          <cell r="W264">
            <v>0</v>
          </cell>
          <cell r="X264">
            <v>0</v>
          </cell>
          <cell r="Y264">
            <v>0</v>
          </cell>
          <cell r="Z264">
            <v>0</v>
          </cell>
          <cell r="AA264">
            <v>567</v>
          </cell>
          <cell r="AB264" t="str">
            <v>cashflowdata</v>
          </cell>
          <cell r="AC264">
            <v>258</v>
          </cell>
          <cell r="AD264">
            <v>0</v>
          </cell>
          <cell r="AE264">
            <v>0</v>
          </cell>
          <cell r="AF264">
            <v>0</v>
          </cell>
          <cell r="AG264">
            <v>0</v>
          </cell>
          <cell r="AH264">
            <v>0</v>
          </cell>
          <cell r="AI264">
            <v>0</v>
          </cell>
          <cell r="AJ264">
            <v>0</v>
          </cell>
          <cell r="AK264">
            <v>0</v>
          </cell>
          <cell r="AL264">
            <v>0</v>
          </cell>
          <cell r="AM264">
            <v>0</v>
          </cell>
          <cell r="AN264" t="e">
            <v>#N/A</v>
          </cell>
          <cell r="AO264" t="e">
            <v>#N/A</v>
          </cell>
          <cell r="AP264" t="e">
            <v>#N/A</v>
          </cell>
          <cell r="AQ264" t="e">
            <v>#N/A</v>
          </cell>
          <cell r="AR264" t="e">
            <v>#N/A</v>
          </cell>
          <cell r="AS264" t="e">
            <v>#N/A</v>
          </cell>
          <cell r="AT264" t="e">
            <v>#N/A</v>
          </cell>
          <cell r="AU264" t="e">
            <v>#N/A</v>
          </cell>
          <cell r="AV264" t="e">
            <v>#N/A</v>
          </cell>
        </row>
        <row r="265">
          <cell r="A265">
            <v>368.2</v>
          </cell>
          <cell r="B265" t="str">
            <v>1r_totalprodn_cost_usd</v>
          </cell>
          <cell r="C265" t="str">
            <v>Total production costs (US$/boe)</v>
          </cell>
          <cell r="D265" t="str">
            <v>(US$/boe)</v>
          </cell>
          <cell r="E265">
            <v>0</v>
          </cell>
          <cell r="F265">
            <v>0</v>
          </cell>
          <cell r="G265">
            <v>0</v>
          </cell>
          <cell r="H265">
            <v>0</v>
          </cell>
          <cell r="I265">
            <v>0</v>
          </cell>
          <cell r="J265">
            <v>0</v>
          </cell>
          <cell r="K265">
            <v>0</v>
          </cell>
          <cell r="L265">
            <v>0</v>
          </cell>
          <cell r="M265">
            <v>0</v>
          </cell>
          <cell r="N265" t="str">
            <v>r_totalprodn_cost_usd</v>
          </cell>
          <cell r="O265">
            <v>0</v>
          </cell>
          <cell r="P265">
            <v>0</v>
          </cell>
          <cell r="Q265">
            <v>1000000</v>
          </cell>
          <cell r="R265" t="str">
            <v>E</v>
          </cell>
          <cell r="S265">
            <v>2</v>
          </cell>
          <cell r="T265" t="str">
            <v>null</v>
          </cell>
          <cell r="U265">
            <v>1</v>
          </cell>
          <cell r="V265">
            <v>0</v>
          </cell>
          <cell r="W265">
            <v>0</v>
          </cell>
          <cell r="X265">
            <v>0</v>
          </cell>
          <cell r="Y265">
            <v>0</v>
          </cell>
          <cell r="Z265">
            <v>0</v>
          </cell>
          <cell r="AA265">
            <v>568</v>
          </cell>
          <cell r="AB265" t="str">
            <v>cashflowdata</v>
          </cell>
          <cell r="AC265">
            <v>259</v>
          </cell>
          <cell r="AD265">
            <v>0</v>
          </cell>
          <cell r="AE265">
            <v>0</v>
          </cell>
          <cell r="AF265">
            <v>0</v>
          </cell>
          <cell r="AG265">
            <v>0</v>
          </cell>
          <cell r="AH265">
            <v>0</v>
          </cell>
          <cell r="AI265">
            <v>0</v>
          </cell>
          <cell r="AJ265">
            <v>0</v>
          </cell>
          <cell r="AK265">
            <v>0</v>
          </cell>
          <cell r="AL265">
            <v>0</v>
          </cell>
          <cell r="AM265">
            <v>0</v>
          </cell>
          <cell r="AN265" t="e">
            <v>#N/A</v>
          </cell>
          <cell r="AO265" t="e">
            <v>#N/A</v>
          </cell>
          <cell r="AP265" t="e">
            <v>#N/A</v>
          </cell>
          <cell r="AQ265" t="e">
            <v>#N/A</v>
          </cell>
          <cell r="AR265" t="e">
            <v>#N/A</v>
          </cell>
          <cell r="AS265" t="e">
            <v>#N/A</v>
          </cell>
          <cell r="AT265" t="e">
            <v>#N/A</v>
          </cell>
          <cell r="AU265" t="e">
            <v>#N/A</v>
          </cell>
          <cell r="AV265" t="e">
            <v>#N/A</v>
          </cell>
        </row>
        <row r="266">
          <cell r="A266">
            <v>132</v>
          </cell>
          <cell r="B266" t="str">
            <v>2fd_net_income_adj</v>
          </cell>
          <cell r="C266" t="str">
            <v>Net income (adjusted)</v>
          </cell>
          <cell r="D266" t="str">
            <v>(m)</v>
          </cell>
          <cell r="E266">
            <v>0</v>
          </cell>
          <cell r="F266">
            <v>0</v>
          </cell>
          <cell r="G266">
            <v>0</v>
          </cell>
          <cell r="H266">
            <v>0</v>
          </cell>
          <cell r="I266">
            <v>0</v>
          </cell>
          <cell r="J266">
            <v>0</v>
          </cell>
          <cell r="K266">
            <v>0</v>
          </cell>
          <cell r="L266">
            <v>0</v>
          </cell>
          <cell r="M266">
            <v>0</v>
          </cell>
          <cell r="N266" t="str">
            <v>fd_net_income_adj</v>
          </cell>
          <cell r="O266">
            <v>0</v>
          </cell>
          <cell r="P266">
            <v>0</v>
          </cell>
          <cell r="Q266">
            <v>1000000</v>
          </cell>
          <cell r="R266" t="str">
            <v>E</v>
          </cell>
          <cell r="S266">
            <v>2</v>
          </cell>
          <cell r="T266" t="str">
            <v>null</v>
          </cell>
          <cell r="U266">
            <v>2</v>
          </cell>
          <cell r="V266">
            <v>0</v>
          </cell>
          <cell r="W266">
            <v>0</v>
          </cell>
          <cell r="X266">
            <v>0</v>
          </cell>
          <cell r="Y266">
            <v>0</v>
          </cell>
          <cell r="Z266">
            <v>0</v>
          </cell>
          <cell r="AA266">
            <v>373</v>
          </cell>
          <cell r="AB266" t="str">
            <v>cashflowdata</v>
          </cell>
          <cell r="AC266">
            <v>261</v>
          </cell>
          <cell r="AD266">
            <v>0</v>
          </cell>
          <cell r="AE266" t="str">
            <v>fd_net_income_adj</v>
          </cell>
          <cell r="AF266">
            <v>0</v>
          </cell>
          <cell r="AG266">
            <v>0</v>
          </cell>
          <cell r="AH266">
            <v>0</v>
          </cell>
          <cell r="AI266">
            <v>0</v>
          </cell>
          <cell r="AJ266">
            <v>0</v>
          </cell>
          <cell r="AK266">
            <v>0</v>
          </cell>
          <cell r="AL266">
            <v>0</v>
          </cell>
          <cell r="AM266">
            <v>0</v>
          </cell>
          <cell r="AN266">
            <v>132</v>
          </cell>
          <cell r="AO266" t="str">
            <v>Net Income</v>
          </cell>
          <cell r="AP266" t="str">
            <v>m</v>
          </cell>
          <cell r="AQ266">
            <v>0</v>
          </cell>
          <cell r="AR266" t="str">
            <v>from P&amp;L</v>
          </cell>
          <cell r="AS266">
            <v>0</v>
          </cell>
          <cell r="AT266">
            <v>0</v>
          </cell>
          <cell r="AU266" t="e">
            <v>#VALUE!</v>
          </cell>
          <cell r="AV266" t="e">
            <v>#VALUE!</v>
          </cell>
        </row>
        <row r="267">
          <cell r="A267">
            <v>134</v>
          </cell>
          <cell r="B267" t="str">
            <v>1c_equity_income</v>
          </cell>
          <cell r="C267" t="str">
            <v>Equity income</v>
          </cell>
          <cell r="D267" t="str">
            <v>(m)</v>
          </cell>
          <cell r="E267">
            <v>0</v>
          </cell>
          <cell r="F267">
            <v>0</v>
          </cell>
          <cell r="G267">
            <v>0</v>
          </cell>
          <cell r="H267">
            <v>0</v>
          </cell>
          <cell r="I267">
            <v>0</v>
          </cell>
          <cell r="J267">
            <v>0</v>
          </cell>
          <cell r="K267">
            <v>0</v>
          </cell>
          <cell r="L267">
            <v>0</v>
          </cell>
          <cell r="M267">
            <v>0</v>
          </cell>
          <cell r="N267" t="str">
            <v>c_equity_income</v>
          </cell>
          <cell r="O267">
            <v>0</v>
          </cell>
          <cell r="P267">
            <v>0</v>
          </cell>
          <cell r="Q267">
            <v>1000000</v>
          </cell>
          <cell r="R267" t="str">
            <v>E</v>
          </cell>
          <cell r="S267">
            <v>2</v>
          </cell>
          <cell r="T267" t="str">
            <v>null</v>
          </cell>
          <cell r="U267">
            <v>1</v>
          </cell>
          <cell r="V267">
            <v>0</v>
          </cell>
          <cell r="W267">
            <v>0</v>
          </cell>
          <cell r="X267">
            <v>0</v>
          </cell>
          <cell r="Y267">
            <v>0</v>
          </cell>
          <cell r="Z267">
            <v>0</v>
          </cell>
          <cell r="AA267">
            <v>196</v>
          </cell>
          <cell r="AB267" t="str">
            <v>cashflowdata</v>
          </cell>
          <cell r="AC267">
            <v>262</v>
          </cell>
          <cell r="AD267">
            <v>0</v>
          </cell>
          <cell r="AE267">
            <v>0</v>
          </cell>
          <cell r="AF267">
            <v>0</v>
          </cell>
          <cell r="AG267">
            <v>0</v>
          </cell>
          <cell r="AH267">
            <v>0</v>
          </cell>
          <cell r="AI267">
            <v>0</v>
          </cell>
          <cell r="AJ267">
            <v>0</v>
          </cell>
          <cell r="AK267">
            <v>0</v>
          </cell>
          <cell r="AL267">
            <v>0</v>
          </cell>
          <cell r="AM267">
            <v>0</v>
          </cell>
          <cell r="AN267">
            <v>134</v>
          </cell>
          <cell r="AO267" t="str">
            <v>Equity income</v>
          </cell>
          <cell r="AP267" t="str">
            <v>m</v>
          </cell>
          <cell r="AQ267">
            <v>0</v>
          </cell>
          <cell r="AR267">
            <v>0</v>
          </cell>
          <cell r="AS267">
            <v>0</v>
          </cell>
          <cell r="AT267">
            <v>0</v>
          </cell>
          <cell r="AU267" t="e">
            <v>#VALUE!</v>
          </cell>
          <cell r="AV267" t="e">
            <v>#VALUE!</v>
          </cell>
        </row>
        <row r="268">
          <cell r="A268">
            <v>134.19999999999999</v>
          </cell>
          <cell r="B268" t="str">
            <v>2c_equity_income</v>
          </cell>
          <cell r="C268" t="str">
            <v>Equity income</v>
          </cell>
          <cell r="D268" t="str">
            <v>(m)</v>
          </cell>
          <cell r="E268">
            <v>0</v>
          </cell>
          <cell r="F268">
            <v>0</v>
          </cell>
          <cell r="G268">
            <v>0</v>
          </cell>
          <cell r="H268">
            <v>0</v>
          </cell>
          <cell r="I268">
            <v>0</v>
          </cell>
          <cell r="J268">
            <v>0</v>
          </cell>
          <cell r="K268">
            <v>0</v>
          </cell>
          <cell r="L268">
            <v>0</v>
          </cell>
          <cell r="M268">
            <v>0</v>
          </cell>
          <cell r="N268" t="str">
            <v>c_equity_income</v>
          </cell>
          <cell r="O268">
            <v>0</v>
          </cell>
          <cell r="P268">
            <v>0</v>
          </cell>
          <cell r="Q268">
            <v>1000000</v>
          </cell>
          <cell r="R268" t="str">
            <v>E</v>
          </cell>
          <cell r="S268">
            <v>2</v>
          </cell>
          <cell r="T268" t="str">
            <v>null</v>
          </cell>
          <cell r="U268">
            <v>2</v>
          </cell>
          <cell r="V268">
            <v>0</v>
          </cell>
          <cell r="W268">
            <v>0</v>
          </cell>
          <cell r="X268">
            <v>0</v>
          </cell>
          <cell r="Y268">
            <v>0</v>
          </cell>
          <cell r="Z268">
            <v>0</v>
          </cell>
          <cell r="AA268">
            <v>197</v>
          </cell>
          <cell r="AB268" t="str">
            <v>cashflowdata</v>
          </cell>
          <cell r="AC268">
            <v>263</v>
          </cell>
          <cell r="AD268" t="str">
            <v>requires 134</v>
          </cell>
          <cell r="AE268" t="str">
            <v>c_equity_income</v>
          </cell>
          <cell r="AF268">
            <v>0</v>
          </cell>
          <cell r="AG268">
            <v>0</v>
          </cell>
          <cell r="AH268">
            <v>0</v>
          </cell>
          <cell r="AI268">
            <v>0</v>
          </cell>
          <cell r="AJ268">
            <v>134</v>
          </cell>
          <cell r="AK268">
            <v>0</v>
          </cell>
          <cell r="AL268">
            <v>0</v>
          </cell>
          <cell r="AM268">
            <v>0</v>
          </cell>
          <cell r="AN268" t="e">
            <v>#N/A</v>
          </cell>
          <cell r="AO268" t="e">
            <v>#N/A</v>
          </cell>
          <cell r="AP268" t="e">
            <v>#N/A</v>
          </cell>
          <cell r="AQ268" t="e">
            <v>#N/A</v>
          </cell>
          <cell r="AR268" t="e">
            <v>#N/A</v>
          </cell>
          <cell r="AS268" t="e">
            <v>#N/A</v>
          </cell>
          <cell r="AT268" t="e">
            <v>#N/A</v>
          </cell>
          <cell r="AU268" t="e">
            <v>#N/A</v>
          </cell>
          <cell r="AV268" t="e">
            <v>#N/A</v>
          </cell>
        </row>
        <row r="269">
          <cell r="A269">
            <v>135</v>
          </cell>
          <cell r="B269" t="str">
            <v>1c_forex_curr_adj</v>
          </cell>
          <cell r="C269" t="str">
            <v>Foreign currency adjustments</v>
          </cell>
          <cell r="D269" t="str">
            <v>(m)</v>
          </cell>
          <cell r="E269">
            <v>0</v>
          </cell>
          <cell r="F269">
            <v>0</v>
          </cell>
          <cell r="G269">
            <v>0</v>
          </cell>
          <cell r="H269">
            <v>0</v>
          </cell>
          <cell r="I269">
            <v>0</v>
          </cell>
          <cell r="J269">
            <v>0</v>
          </cell>
          <cell r="K269">
            <v>0</v>
          </cell>
          <cell r="L269">
            <v>0</v>
          </cell>
          <cell r="M269">
            <v>0</v>
          </cell>
          <cell r="N269" t="str">
            <v>c_forex_curr_adj</v>
          </cell>
          <cell r="O269">
            <v>0</v>
          </cell>
          <cell r="P269">
            <v>0</v>
          </cell>
          <cell r="Q269">
            <v>1000000</v>
          </cell>
          <cell r="R269" t="str">
            <v>E</v>
          </cell>
          <cell r="S269">
            <v>2</v>
          </cell>
          <cell r="T269" t="str">
            <v>null</v>
          </cell>
          <cell r="U269">
            <v>1</v>
          </cell>
          <cell r="V269">
            <v>0</v>
          </cell>
          <cell r="W269">
            <v>0</v>
          </cell>
          <cell r="X269">
            <v>0</v>
          </cell>
          <cell r="Y269">
            <v>0</v>
          </cell>
          <cell r="Z269">
            <v>0</v>
          </cell>
          <cell r="AA269">
            <v>249</v>
          </cell>
          <cell r="AB269" t="str">
            <v>cashflowdata</v>
          </cell>
          <cell r="AC269">
            <v>264</v>
          </cell>
          <cell r="AD269">
            <v>0</v>
          </cell>
          <cell r="AE269">
            <v>0</v>
          </cell>
          <cell r="AF269">
            <v>0</v>
          </cell>
          <cell r="AG269">
            <v>0</v>
          </cell>
          <cell r="AH269">
            <v>0</v>
          </cell>
          <cell r="AI269">
            <v>0</v>
          </cell>
          <cell r="AJ269">
            <v>0</v>
          </cell>
          <cell r="AK269">
            <v>0</v>
          </cell>
          <cell r="AL269">
            <v>0</v>
          </cell>
          <cell r="AM269">
            <v>0</v>
          </cell>
          <cell r="AN269">
            <v>135</v>
          </cell>
          <cell r="AO269" t="str">
            <v>Foreign currency adjustments</v>
          </cell>
          <cell r="AP269" t="str">
            <v>m</v>
          </cell>
          <cell r="AQ269">
            <v>0</v>
          </cell>
          <cell r="AR269">
            <v>0</v>
          </cell>
          <cell r="AS269">
            <v>0</v>
          </cell>
          <cell r="AT269">
            <v>0</v>
          </cell>
          <cell r="AU269" t="e">
            <v>#VALUE!</v>
          </cell>
          <cell r="AV269" t="e">
            <v>#VALUE!</v>
          </cell>
        </row>
        <row r="270">
          <cell r="A270">
            <v>136</v>
          </cell>
          <cell r="B270" t="str">
            <v>1c_gains_disposals_assets</v>
          </cell>
          <cell r="C270" t="str">
            <v>Gains on disposals of assets</v>
          </cell>
          <cell r="D270" t="str">
            <v>(m)</v>
          </cell>
          <cell r="E270">
            <v>0</v>
          </cell>
          <cell r="F270">
            <v>0</v>
          </cell>
          <cell r="G270">
            <v>0</v>
          </cell>
          <cell r="H270">
            <v>0</v>
          </cell>
          <cell r="I270">
            <v>0</v>
          </cell>
          <cell r="J270">
            <v>0</v>
          </cell>
          <cell r="K270">
            <v>0</v>
          </cell>
          <cell r="L270">
            <v>0</v>
          </cell>
          <cell r="M270">
            <v>0</v>
          </cell>
          <cell r="N270" t="str">
            <v>c_gains_disposals_assets</v>
          </cell>
          <cell r="O270">
            <v>0</v>
          </cell>
          <cell r="P270">
            <v>0</v>
          </cell>
          <cell r="Q270">
            <v>1000000</v>
          </cell>
          <cell r="R270" t="str">
            <v>E</v>
          </cell>
          <cell r="S270">
            <v>2</v>
          </cell>
          <cell r="T270" t="str">
            <v>null</v>
          </cell>
          <cell r="U270">
            <v>1</v>
          </cell>
          <cell r="V270">
            <v>0</v>
          </cell>
          <cell r="W270">
            <v>0</v>
          </cell>
          <cell r="X270">
            <v>0</v>
          </cell>
          <cell r="Y270">
            <v>0</v>
          </cell>
          <cell r="Z270">
            <v>0</v>
          </cell>
          <cell r="AA270">
            <v>260</v>
          </cell>
          <cell r="AB270" t="str">
            <v>cashflowdata</v>
          </cell>
          <cell r="AC270">
            <v>265</v>
          </cell>
          <cell r="AD270">
            <v>0</v>
          </cell>
          <cell r="AE270">
            <v>0</v>
          </cell>
          <cell r="AF270">
            <v>0</v>
          </cell>
          <cell r="AG270">
            <v>0</v>
          </cell>
          <cell r="AH270">
            <v>0</v>
          </cell>
          <cell r="AI270">
            <v>0</v>
          </cell>
          <cell r="AJ270">
            <v>0</v>
          </cell>
          <cell r="AK270">
            <v>0</v>
          </cell>
          <cell r="AL270">
            <v>0</v>
          </cell>
          <cell r="AM270">
            <v>0</v>
          </cell>
          <cell r="AN270">
            <v>136</v>
          </cell>
          <cell r="AO270" t="str">
            <v>Gains on disposals of assets</v>
          </cell>
          <cell r="AP270" t="str">
            <v>m</v>
          </cell>
          <cell r="AQ270">
            <v>0</v>
          </cell>
          <cell r="AR270">
            <v>0</v>
          </cell>
          <cell r="AS270">
            <v>0</v>
          </cell>
          <cell r="AT270">
            <v>0</v>
          </cell>
          <cell r="AU270" t="e">
            <v>#VALUE!</v>
          </cell>
          <cell r="AV270" t="e">
            <v>#VALUE!</v>
          </cell>
        </row>
        <row r="271">
          <cell r="A271">
            <v>137</v>
          </cell>
          <cell r="B271" t="str">
            <v>1re_other</v>
          </cell>
          <cell r="C271" t="str">
            <v>Other (non-cashflow) items</v>
          </cell>
          <cell r="D271" t="str">
            <v>(m)</v>
          </cell>
          <cell r="E271">
            <v>0</v>
          </cell>
          <cell r="F271">
            <v>0</v>
          </cell>
          <cell r="G271">
            <v>0</v>
          </cell>
          <cell r="H271">
            <v>0</v>
          </cell>
          <cell r="I271">
            <v>0</v>
          </cell>
          <cell r="J271">
            <v>0</v>
          </cell>
          <cell r="K271">
            <v>0</v>
          </cell>
          <cell r="L271">
            <v>0</v>
          </cell>
          <cell r="M271">
            <v>0</v>
          </cell>
          <cell r="N271" t="str">
            <v>re_other</v>
          </cell>
          <cell r="O271">
            <v>0</v>
          </cell>
          <cell r="P271">
            <v>0</v>
          </cell>
          <cell r="Q271">
            <v>1000000</v>
          </cell>
          <cell r="R271" t="str">
            <v>E</v>
          </cell>
          <cell r="S271">
            <v>2</v>
          </cell>
          <cell r="T271" t="str">
            <v>null</v>
          </cell>
          <cell r="U271">
            <v>1</v>
          </cell>
          <cell r="V271">
            <v>0</v>
          </cell>
          <cell r="W271">
            <v>0</v>
          </cell>
          <cell r="X271">
            <v>0</v>
          </cell>
          <cell r="Y271">
            <v>0</v>
          </cell>
          <cell r="Z271">
            <v>0</v>
          </cell>
          <cell r="AA271">
            <v>441</v>
          </cell>
          <cell r="AB271" t="str">
            <v>cashflowdata</v>
          </cell>
          <cell r="AC271">
            <v>266</v>
          </cell>
          <cell r="AD271">
            <v>0</v>
          </cell>
          <cell r="AE271">
            <v>0</v>
          </cell>
          <cell r="AF271">
            <v>0</v>
          </cell>
          <cell r="AG271">
            <v>0</v>
          </cell>
          <cell r="AH271">
            <v>0</v>
          </cell>
          <cell r="AI271">
            <v>0</v>
          </cell>
          <cell r="AJ271">
            <v>0</v>
          </cell>
          <cell r="AK271">
            <v>0</v>
          </cell>
          <cell r="AL271">
            <v>0</v>
          </cell>
          <cell r="AM271">
            <v>0</v>
          </cell>
          <cell r="AN271">
            <v>137</v>
          </cell>
          <cell r="AO271" t="str">
            <v>Other (non-cashflow) items</v>
          </cell>
          <cell r="AP271" t="str">
            <v>m</v>
          </cell>
          <cell r="AQ271">
            <v>0</v>
          </cell>
          <cell r="AR271">
            <v>0</v>
          </cell>
          <cell r="AS271">
            <v>0</v>
          </cell>
          <cell r="AT271">
            <v>0</v>
          </cell>
          <cell r="AU271" t="e">
            <v>#VALUE!</v>
          </cell>
          <cell r="AV271" t="e">
            <v>#VALUE!</v>
          </cell>
        </row>
        <row r="272">
          <cell r="A272">
            <v>137.19999999999999</v>
          </cell>
          <cell r="B272" t="str">
            <v>1c_other</v>
          </cell>
          <cell r="C272" t="str">
            <v>Other</v>
          </cell>
          <cell r="D272" t="str">
            <v>(m)</v>
          </cell>
          <cell r="E272">
            <v>0</v>
          </cell>
          <cell r="F272">
            <v>0</v>
          </cell>
          <cell r="G272">
            <v>0</v>
          </cell>
          <cell r="H272">
            <v>0</v>
          </cell>
          <cell r="I272">
            <v>0</v>
          </cell>
          <cell r="J272">
            <v>0</v>
          </cell>
          <cell r="K272">
            <v>0</v>
          </cell>
          <cell r="L272">
            <v>0</v>
          </cell>
          <cell r="M272">
            <v>0</v>
          </cell>
          <cell r="N272" t="str">
            <v>c_other</v>
          </cell>
          <cell r="O272">
            <v>0</v>
          </cell>
          <cell r="P272">
            <v>0</v>
          </cell>
          <cell r="Q272">
            <v>1000000</v>
          </cell>
          <cell r="R272" t="str">
            <v>E</v>
          </cell>
          <cell r="S272">
            <v>2</v>
          </cell>
          <cell r="T272" t="str">
            <v>null</v>
          </cell>
          <cell r="U272">
            <v>1</v>
          </cell>
          <cell r="V272">
            <v>0</v>
          </cell>
          <cell r="W272">
            <v>0</v>
          </cell>
          <cell r="X272">
            <v>0</v>
          </cell>
          <cell r="Y272">
            <v>0</v>
          </cell>
          <cell r="Z272">
            <v>0</v>
          </cell>
          <cell r="AA272">
            <v>440</v>
          </cell>
          <cell r="AB272" t="str">
            <v>cashflowdata</v>
          </cell>
          <cell r="AC272">
            <v>268</v>
          </cell>
          <cell r="AD272">
            <v>0</v>
          </cell>
          <cell r="AE272">
            <v>0</v>
          </cell>
          <cell r="AF272">
            <v>0</v>
          </cell>
          <cell r="AG272">
            <v>0</v>
          </cell>
          <cell r="AH272">
            <v>0</v>
          </cell>
          <cell r="AI272">
            <v>0</v>
          </cell>
          <cell r="AJ272">
            <v>0</v>
          </cell>
          <cell r="AK272">
            <v>0</v>
          </cell>
          <cell r="AL272">
            <v>0</v>
          </cell>
          <cell r="AM272">
            <v>0</v>
          </cell>
          <cell r="AN272" t="e">
            <v>#N/A</v>
          </cell>
          <cell r="AO272" t="e">
            <v>#N/A</v>
          </cell>
          <cell r="AP272" t="e">
            <v>#N/A</v>
          </cell>
          <cell r="AQ272" t="e">
            <v>#N/A</v>
          </cell>
          <cell r="AR272" t="e">
            <v>#N/A</v>
          </cell>
          <cell r="AS272" t="e">
            <v>#N/A</v>
          </cell>
          <cell r="AT272" t="e">
            <v>#N/A</v>
          </cell>
          <cell r="AU272" t="e">
            <v>#N/A</v>
          </cell>
          <cell r="AV272" t="e">
            <v>#N/A</v>
          </cell>
        </row>
        <row r="273">
          <cell r="A273">
            <v>139</v>
          </cell>
          <cell r="B273" t="str">
            <v>1c_chng_in_cash_eq</v>
          </cell>
          <cell r="C273" t="str">
            <v>Change in cash &amp; cash equivalents</v>
          </cell>
          <cell r="D273" t="str">
            <v>(m)</v>
          </cell>
          <cell r="E273">
            <v>0</v>
          </cell>
          <cell r="F273">
            <v>0</v>
          </cell>
          <cell r="G273">
            <v>0</v>
          </cell>
          <cell r="H273">
            <v>0</v>
          </cell>
          <cell r="I273">
            <v>0</v>
          </cell>
          <cell r="J273">
            <v>0</v>
          </cell>
          <cell r="K273">
            <v>0</v>
          </cell>
          <cell r="L273">
            <v>0</v>
          </cell>
          <cell r="M273">
            <v>0</v>
          </cell>
          <cell r="N273" t="str">
            <v>c_chng_in_cash_eq</v>
          </cell>
          <cell r="O273">
            <v>0</v>
          </cell>
          <cell r="P273">
            <v>0</v>
          </cell>
          <cell r="Q273">
            <v>1000000</v>
          </cell>
          <cell r="R273" t="str">
            <v>E</v>
          </cell>
          <cell r="S273">
            <v>2</v>
          </cell>
          <cell r="T273" t="str">
            <v>null</v>
          </cell>
          <cell r="U273">
            <v>1</v>
          </cell>
          <cell r="V273">
            <v>0</v>
          </cell>
          <cell r="W273">
            <v>0</v>
          </cell>
          <cell r="X273">
            <v>0</v>
          </cell>
          <cell r="Y273">
            <v>0</v>
          </cell>
          <cell r="Z273">
            <v>0</v>
          </cell>
          <cell r="AA273">
            <v>73</v>
          </cell>
          <cell r="AB273" t="str">
            <v>cashflowdata</v>
          </cell>
          <cell r="AC273">
            <v>270</v>
          </cell>
          <cell r="AD273">
            <v>0</v>
          </cell>
          <cell r="AE273">
            <v>0</v>
          </cell>
          <cell r="AF273">
            <v>0</v>
          </cell>
          <cell r="AG273">
            <v>0</v>
          </cell>
          <cell r="AH273">
            <v>0</v>
          </cell>
          <cell r="AI273">
            <v>0</v>
          </cell>
          <cell r="AJ273">
            <v>0</v>
          </cell>
          <cell r="AK273">
            <v>0</v>
          </cell>
          <cell r="AL273">
            <v>0</v>
          </cell>
          <cell r="AM273">
            <v>0</v>
          </cell>
          <cell r="AN273">
            <v>139</v>
          </cell>
          <cell r="AO273" t="str">
            <v>Change in cash &amp; cash equivalents</v>
          </cell>
          <cell r="AP273" t="str">
            <v>m</v>
          </cell>
          <cell r="AQ273">
            <v>0</v>
          </cell>
          <cell r="AR273">
            <v>0</v>
          </cell>
          <cell r="AS273">
            <v>0</v>
          </cell>
          <cell r="AT273">
            <v>0</v>
          </cell>
          <cell r="AU273" t="e">
            <v>#VALUE!</v>
          </cell>
          <cell r="AV273" t="e">
            <v>#VALUE!</v>
          </cell>
        </row>
        <row r="274">
          <cell r="A274">
            <v>139.6</v>
          </cell>
          <cell r="B274" t="str">
            <v>1c_cash_at_yr_start</v>
          </cell>
          <cell r="C274" t="str">
            <v>Opening cash balance</v>
          </cell>
          <cell r="D274" t="str">
            <v>(m)</v>
          </cell>
          <cell r="E274">
            <v>0</v>
          </cell>
          <cell r="F274">
            <v>0</v>
          </cell>
          <cell r="G274">
            <v>0</v>
          </cell>
          <cell r="H274">
            <v>0</v>
          </cell>
          <cell r="I274">
            <v>0</v>
          </cell>
          <cell r="J274">
            <v>0</v>
          </cell>
          <cell r="K274">
            <v>0</v>
          </cell>
          <cell r="L274">
            <v>0</v>
          </cell>
          <cell r="M274">
            <v>0</v>
          </cell>
          <cell r="N274" t="str">
            <v>c_cash_at_yr_start</v>
          </cell>
          <cell r="O274">
            <v>0</v>
          </cell>
          <cell r="P274">
            <v>0</v>
          </cell>
          <cell r="Q274">
            <v>1000000</v>
          </cell>
          <cell r="R274" t="str">
            <v>E</v>
          </cell>
          <cell r="S274">
            <v>2</v>
          </cell>
          <cell r="T274" t="str">
            <v>null</v>
          </cell>
          <cell r="U274">
            <v>1</v>
          </cell>
          <cell r="V274">
            <v>0</v>
          </cell>
          <cell r="W274">
            <v>0</v>
          </cell>
          <cell r="X274">
            <v>0</v>
          </cell>
          <cell r="Y274">
            <v>0</v>
          </cell>
          <cell r="Z274">
            <v>0</v>
          </cell>
          <cell r="AA274">
            <v>420</v>
          </cell>
          <cell r="AB274" t="str">
            <v>cashflowdata</v>
          </cell>
          <cell r="AC274">
            <v>272</v>
          </cell>
          <cell r="AD274">
            <v>0</v>
          </cell>
          <cell r="AE274">
            <v>0</v>
          </cell>
          <cell r="AF274">
            <v>0</v>
          </cell>
          <cell r="AG274">
            <v>0</v>
          </cell>
          <cell r="AH274">
            <v>0</v>
          </cell>
          <cell r="AI274">
            <v>0</v>
          </cell>
          <cell r="AJ274">
            <v>0</v>
          </cell>
          <cell r="AK274">
            <v>0</v>
          </cell>
          <cell r="AL274">
            <v>0</v>
          </cell>
          <cell r="AM274">
            <v>0</v>
          </cell>
          <cell r="AN274" t="e">
            <v>#N/A</v>
          </cell>
          <cell r="AO274" t="e">
            <v>#N/A</v>
          </cell>
          <cell r="AP274" t="e">
            <v>#N/A</v>
          </cell>
          <cell r="AQ274" t="e">
            <v>#N/A</v>
          </cell>
          <cell r="AR274" t="e">
            <v>#N/A</v>
          </cell>
          <cell r="AS274" t="e">
            <v>#N/A</v>
          </cell>
          <cell r="AT274" t="e">
            <v>#N/A</v>
          </cell>
          <cell r="AU274" t="e">
            <v>#N/A</v>
          </cell>
          <cell r="AV274" t="e">
            <v>#N/A</v>
          </cell>
        </row>
        <row r="275">
          <cell r="A275">
            <v>139.4</v>
          </cell>
          <cell r="B275" t="str">
            <v>1c_cash_at_yr_end</v>
          </cell>
          <cell r="C275" t="str">
            <v>Cash at year end</v>
          </cell>
          <cell r="D275" t="str">
            <v>(m)</v>
          </cell>
          <cell r="E275">
            <v>0</v>
          </cell>
          <cell r="F275">
            <v>0</v>
          </cell>
          <cell r="G275">
            <v>0</v>
          </cell>
          <cell r="H275">
            <v>0</v>
          </cell>
          <cell r="I275">
            <v>0</v>
          </cell>
          <cell r="J275">
            <v>0</v>
          </cell>
          <cell r="K275">
            <v>0</v>
          </cell>
          <cell r="L275">
            <v>0</v>
          </cell>
          <cell r="M275">
            <v>0</v>
          </cell>
          <cell r="N275" t="str">
            <v>c_cash_at_yr_end</v>
          </cell>
          <cell r="O275">
            <v>0</v>
          </cell>
          <cell r="P275">
            <v>0</v>
          </cell>
          <cell r="Q275">
            <v>1000000</v>
          </cell>
          <cell r="R275" t="str">
            <v>E</v>
          </cell>
          <cell r="S275">
            <v>2</v>
          </cell>
          <cell r="T275" t="str">
            <v>null</v>
          </cell>
          <cell r="U275">
            <v>1</v>
          </cell>
          <cell r="V275">
            <v>0</v>
          </cell>
          <cell r="W275">
            <v>0</v>
          </cell>
          <cell r="X275">
            <v>0</v>
          </cell>
          <cell r="Y275">
            <v>0</v>
          </cell>
          <cell r="Z275">
            <v>0</v>
          </cell>
          <cell r="AA275">
            <v>59</v>
          </cell>
          <cell r="AB275" t="str">
            <v>cashflowdata</v>
          </cell>
          <cell r="AC275">
            <v>273</v>
          </cell>
          <cell r="AD275">
            <v>0</v>
          </cell>
          <cell r="AE275">
            <v>0</v>
          </cell>
          <cell r="AF275">
            <v>0</v>
          </cell>
          <cell r="AG275">
            <v>0</v>
          </cell>
          <cell r="AH275">
            <v>0</v>
          </cell>
          <cell r="AI275">
            <v>0</v>
          </cell>
          <cell r="AJ275">
            <v>0</v>
          </cell>
          <cell r="AK275">
            <v>0</v>
          </cell>
          <cell r="AL275">
            <v>0</v>
          </cell>
          <cell r="AM275">
            <v>0</v>
          </cell>
          <cell r="AN275" t="e">
            <v>#N/A</v>
          </cell>
          <cell r="AO275" t="e">
            <v>#N/A</v>
          </cell>
          <cell r="AP275" t="e">
            <v>#N/A</v>
          </cell>
          <cell r="AQ275" t="e">
            <v>#N/A</v>
          </cell>
          <cell r="AR275" t="e">
            <v>#N/A</v>
          </cell>
          <cell r="AS275" t="e">
            <v>#N/A</v>
          </cell>
          <cell r="AT275" t="e">
            <v>#N/A</v>
          </cell>
          <cell r="AU275" t="e">
            <v>#N/A</v>
          </cell>
          <cell r="AV275" t="e">
            <v>#N/A</v>
          </cell>
        </row>
        <row r="276">
          <cell r="A276">
            <v>140</v>
          </cell>
          <cell r="B276" t="str">
            <v>1c_amortisation</v>
          </cell>
          <cell r="C276" t="str">
            <v>Amortisation</v>
          </cell>
          <cell r="D276" t="str">
            <v>(m)</v>
          </cell>
          <cell r="E276">
            <v>0</v>
          </cell>
          <cell r="F276">
            <v>0</v>
          </cell>
          <cell r="G276">
            <v>0</v>
          </cell>
          <cell r="H276">
            <v>0</v>
          </cell>
          <cell r="I276">
            <v>0</v>
          </cell>
          <cell r="J276">
            <v>0</v>
          </cell>
          <cell r="K276">
            <v>0</v>
          </cell>
          <cell r="L276">
            <v>0</v>
          </cell>
          <cell r="M276">
            <v>0</v>
          </cell>
          <cell r="N276" t="str">
            <v>c_amortisation</v>
          </cell>
          <cell r="O276">
            <v>0</v>
          </cell>
          <cell r="P276">
            <v>0</v>
          </cell>
          <cell r="Q276">
            <v>1000000</v>
          </cell>
          <cell r="R276" t="str">
            <v>E</v>
          </cell>
          <cell r="S276">
            <v>2</v>
          </cell>
          <cell r="T276" t="str">
            <v>null</v>
          </cell>
          <cell r="U276">
            <v>1</v>
          </cell>
          <cell r="V276">
            <v>0</v>
          </cell>
          <cell r="W276">
            <v>0</v>
          </cell>
          <cell r="X276">
            <v>0</v>
          </cell>
          <cell r="Y276">
            <v>0</v>
          </cell>
          <cell r="Z276">
            <v>0</v>
          </cell>
          <cell r="AA276">
            <v>20</v>
          </cell>
          <cell r="AB276" t="str">
            <v>cashflowdata</v>
          </cell>
          <cell r="AC276">
            <v>275</v>
          </cell>
          <cell r="AD276">
            <v>0</v>
          </cell>
          <cell r="AE276">
            <v>0</v>
          </cell>
          <cell r="AF276">
            <v>0</v>
          </cell>
          <cell r="AG276">
            <v>0</v>
          </cell>
          <cell r="AH276">
            <v>0</v>
          </cell>
          <cell r="AI276">
            <v>0</v>
          </cell>
          <cell r="AJ276">
            <v>0</v>
          </cell>
          <cell r="AK276">
            <v>0</v>
          </cell>
          <cell r="AL276">
            <v>0</v>
          </cell>
          <cell r="AM276">
            <v>0</v>
          </cell>
          <cell r="AN276">
            <v>140</v>
          </cell>
          <cell r="AO276" t="str">
            <v>Amortisation</v>
          </cell>
          <cell r="AP276" t="str">
            <v>m</v>
          </cell>
          <cell r="AQ276">
            <v>0</v>
          </cell>
          <cell r="AR276">
            <v>0</v>
          </cell>
          <cell r="AS276">
            <v>0</v>
          </cell>
          <cell r="AT276">
            <v>0</v>
          </cell>
          <cell r="AU276" t="e">
            <v>#VALUE!</v>
          </cell>
          <cell r="AV276" t="e">
            <v>#VALUE!</v>
          </cell>
        </row>
        <row r="277">
          <cell r="A277">
            <v>144</v>
          </cell>
          <cell r="B277" t="str">
            <v>1c_noplat</v>
          </cell>
          <cell r="C277" t="str">
            <v>NOPLAT (Net Operating Profit Less Adjusted Tax)</v>
          </cell>
          <cell r="D277" t="str">
            <v>(m)</v>
          </cell>
          <cell r="E277">
            <v>0</v>
          </cell>
          <cell r="F277">
            <v>0</v>
          </cell>
          <cell r="G277">
            <v>0</v>
          </cell>
          <cell r="H277">
            <v>0</v>
          </cell>
          <cell r="I277">
            <v>0</v>
          </cell>
          <cell r="J277">
            <v>0</v>
          </cell>
          <cell r="K277">
            <v>0</v>
          </cell>
          <cell r="L277">
            <v>0</v>
          </cell>
          <cell r="M277">
            <v>0</v>
          </cell>
          <cell r="N277" t="str">
            <v>c_noplat</v>
          </cell>
          <cell r="O277">
            <v>0</v>
          </cell>
          <cell r="P277">
            <v>0</v>
          </cell>
          <cell r="Q277">
            <v>1000000</v>
          </cell>
          <cell r="R277" t="str">
            <v>E</v>
          </cell>
          <cell r="S277">
            <v>2</v>
          </cell>
          <cell r="T277" t="str">
            <v>null</v>
          </cell>
          <cell r="U277">
            <v>1</v>
          </cell>
          <cell r="V277">
            <v>0</v>
          </cell>
          <cell r="W277">
            <v>0</v>
          </cell>
          <cell r="X277">
            <v>0</v>
          </cell>
          <cell r="Y277">
            <v>0</v>
          </cell>
          <cell r="Z277">
            <v>0</v>
          </cell>
          <cell r="AA277">
            <v>407</v>
          </cell>
          <cell r="AB277" t="str">
            <v>cashflowdata</v>
          </cell>
          <cell r="AC277">
            <v>282</v>
          </cell>
          <cell r="AD277">
            <v>0</v>
          </cell>
          <cell r="AE277">
            <v>0</v>
          </cell>
          <cell r="AF277">
            <v>0</v>
          </cell>
          <cell r="AG277">
            <v>0</v>
          </cell>
          <cell r="AH277">
            <v>0</v>
          </cell>
          <cell r="AI277">
            <v>0</v>
          </cell>
          <cell r="AJ277">
            <v>0</v>
          </cell>
          <cell r="AK277">
            <v>0</v>
          </cell>
          <cell r="AL277">
            <v>0</v>
          </cell>
          <cell r="AM277">
            <v>0</v>
          </cell>
          <cell r="AN277">
            <v>144</v>
          </cell>
          <cell r="AO277" t="str">
            <v>NOPLAT (Net Operating Profit Less Adjusted Tax)</v>
          </cell>
          <cell r="AP277" t="str">
            <v>m</v>
          </cell>
          <cell r="AQ277">
            <v>0</v>
          </cell>
          <cell r="AR277">
            <v>0</v>
          </cell>
          <cell r="AS277" t="str">
            <v>(109+140+111)-143</v>
          </cell>
          <cell r="AT277" t="str">
            <v>(op profit + amortisation + change in provisions) - adjusted tax</v>
          </cell>
          <cell r="AU277" t="e">
            <v>#VALUE!</v>
          </cell>
          <cell r="AV277" t="e">
            <v>#VALUE!</v>
          </cell>
        </row>
        <row r="278">
          <cell r="A278">
            <v>149</v>
          </cell>
          <cell r="B278" t="str">
            <v>1c_capex</v>
          </cell>
          <cell r="C278" t="str">
            <v>Capex</v>
          </cell>
          <cell r="D278" t="str">
            <v>(m)</v>
          </cell>
          <cell r="E278">
            <v>0</v>
          </cell>
          <cell r="F278">
            <v>0</v>
          </cell>
          <cell r="G278">
            <v>0</v>
          </cell>
          <cell r="H278">
            <v>0</v>
          </cell>
          <cell r="I278">
            <v>0</v>
          </cell>
          <cell r="J278">
            <v>0</v>
          </cell>
          <cell r="K278">
            <v>0</v>
          </cell>
          <cell r="L278">
            <v>0</v>
          </cell>
          <cell r="M278">
            <v>0</v>
          </cell>
          <cell r="N278" t="str">
            <v>c_capex</v>
          </cell>
          <cell r="O278">
            <v>0</v>
          </cell>
          <cell r="P278">
            <v>0</v>
          </cell>
          <cell r="Q278">
            <v>1000000</v>
          </cell>
          <cell r="R278" t="str">
            <v>E</v>
          </cell>
          <cell r="S278">
            <v>2</v>
          </cell>
          <cell r="T278" t="str">
            <v>null</v>
          </cell>
          <cell r="U278">
            <v>1</v>
          </cell>
          <cell r="V278">
            <v>0</v>
          </cell>
          <cell r="W278">
            <v>0</v>
          </cell>
          <cell r="X278">
            <v>0</v>
          </cell>
          <cell r="Y278">
            <v>0</v>
          </cell>
          <cell r="Z278">
            <v>0</v>
          </cell>
          <cell r="AA278">
            <v>50</v>
          </cell>
          <cell r="AB278" t="str">
            <v>cashflowdata</v>
          </cell>
          <cell r="AC278">
            <v>286</v>
          </cell>
          <cell r="AD278">
            <v>0</v>
          </cell>
          <cell r="AE278">
            <v>0</v>
          </cell>
          <cell r="AF278">
            <v>0</v>
          </cell>
          <cell r="AG278">
            <v>0</v>
          </cell>
          <cell r="AH278">
            <v>0</v>
          </cell>
          <cell r="AI278">
            <v>0</v>
          </cell>
          <cell r="AJ278">
            <v>0</v>
          </cell>
          <cell r="AK278">
            <v>0</v>
          </cell>
          <cell r="AL278">
            <v>0</v>
          </cell>
          <cell r="AM278">
            <v>0</v>
          </cell>
          <cell r="AN278">
            <v>149</v>
          </cell>
          <cell r="AO278" t="str">
            <v>Capex</v>
          </cell>
          <cell r="AP278" t="str">
            <v>m</v>
          </cell>
          <cell r="AQ278">
            <v>0</v>
          </cell>
          <cell r="AR278">
            <v>0</v>
          </cell>
          <cell r="AS278">
            <v>0</v>
          </cell>
          <cell r="AT278">
            <v>0</v>
          </cell>
          <cell r="AU278" t="e">
            <v>#VALUE!</v>
          </cell>
          <cell r="AV278" t="e">
            <v>#VALUE!</v>
          </cell>
        </row>
        <row r="279">
          <cell r="A279">
            <v>149.19999999999999</v>
          </cell>
          <cell r="B279" t="str">
            <v>1c_capex_operating</v>
          </cell>
          <cell r="C279" t="str">
            <v>Capex - operating activities</v>
          </cell>
          <cell r="D279" t="str">
            <v>(m)</v>
          </cell>
          <cell r="E279">
            <v>0</v>
          </cell>
          <cell r="F279">
            <v>0</v>
          </cell>
          <cell r="G279">
            <v>0</v>
          </cell>
          <cell r="H279">
            <v>0</v>
          </cell>
          <cell r="I279">
            <v>0</v>
          </cell>
          <cell r="J279">
            <v>0</v>
          </cell>
          <cell r="K279">
            <v>0</v>
          </cell>
          <cell r="L279">
            <v>0</v>
          </cell>
          <cell r="M279">
            <v>0</v>
          </cell>
          <cell r="N279" t="str">
            <v>c_capex_operating</v>
          </cell>
          <cell r="O279">
            <v>0</v>
          </cell>
          <cell r="P279">
            <v>0</v>
          </cell>
          <cell r="Q279">
            <v>1000000</v>
          </cell>
          <cell r="R279" t="str">
            <v>E</v>
          </cell>
          <cell r="S279">
            <v>2</v>
          </cell>
          <cell r="T279" t="str">
            <v>null</v>
          </cell>
          <cell r="U279">
            <v>1</v>
          </cell>
          <cell r="V279">
            <v>0</v>
          </cell>
          <cell r="W279">
            <v>0</v>
          </cell>
          <cell r="X279">
            <v>0</v>
          </cell>
          <cell r="Y279">
            <v>0</v>
          </cell>
          <cell r="Z279">
            <v>0</v>
          </cell>
          <cell r="AA279">
            <v>52</v>
          </cell>
          <cell r="AB279" t="str">
            <v>cashflowdata</v>
          </cell>
          <cell r="AC279">
            <v>287</v>
          </cell>
          <cell r="AD279">
            <v>0</v>
          </cell>
          <cell r="AE279">
            <v>0</v>
          </cell>
          <cell r="AF279">
            <v>0</v>
          </cell>
          <cell r="AG279">
            <v>0</v>
          </cell>
          <cell r="AH279">
            <v>0</v>
          </cell>
          <cell r="AI279">
            <v>0</v>
          </cell>
          <cell r="AJ279">
            <v>0</v>
          </cell>
          <cell r="AK279">
            <v>0</v>
          </cell>
          <cell r="AL279">
            <v>0</v>
          </cell>
          <cell r="AM279">
            <v>0</v>
          </cell>
          <cell r="AN279" t="e">
            <v>#N/A</v>
          </cell>
          <cell r="AO279" t="e">
            <v>#N/A</v>
          </cell>
          <cell r="AP279" t="e">
            <v>#N/A</v>
          </cell>
          <cell r="AQ279" t="e">
            <v>#N/A</v>
          </cell>
          <cell r="AR279" t="e">
            <v>#N/A</v>
          </cell>
          <cell r="AS279" t="e">
            <v>#N/A</v>
          </cell>
          <cell r="AT279" t="e">
            <v>#N/A</v>
          </cell>
          <cell r="AU279" t="e">
            <v>#N/A</v>
          </cell>
          <cell r="AV279" t="e">
            <v>#N/A</v>
          </cell>
        </row>
        <row r="280">
          <cell r="A280">
            <v>149.4</v>
          </cell>
          <cell r="B280" t="str">
            <v>1c_capex_financing</v>
          </cell>
          <cell r="C280" t="str">
            <v>Capex - financing activities</v>
          </cell>
          <cell r="D280" t="str">
            <v>(m)</v>
          </cell>
          <cell r="E280">
            <v>0</v>
          </cell>
          <cell r="F280">
            <v>0</v>
          </cell>
          <cell r="G280">
            <v>0</v>
          </cell>
          <cell r="H280">
            <v>0</v>
          </cell>
          <cell r="I280">
            <v>0</v>
          </cell>
          <cell r="J280">
            <v>0</v>
          </cell>
          <cell r="K280">
            <v>0</v>
          </cell>
          <cell r="L280">
            <v>0</v>
          </cell>
          <cell r="M280">
            <v>0</v>
          </cell>
          <cell r="N280" t="str">
            <v>c_capex_financing</v>
          </cell>
          <cell r="O280">
            <v>0</v>
          </cell>
          <cell r="P280">
            <v>0</v>
          </cell>
          <cell r="Q280">
            <v>1000000</v>
          </cell>
          <cell r="R280" t="str">
            <v>E</v>
          </cell>
          <cell r="S280">
            <v>2</v>
          </cell>
          <cell r="T280" t="str">
            <v>null</v>
          </cell>
          <cell r="U280">
            <v>1</v>
          </cell>
          <cell r="V280">
            <v>0</v>
          </cell>
          <cell r="W280">
            <v>0</v>
          </cell>
          <cell r="X280">
            <v>0</v>
          </cell>
          <cell r="Y280">
            <v>0</v>
          </cell>
          <cell r="Z280">
            <v>0</v>
          </cell>
          <cell r="AA280">
            <v>51</v>
          </cell>
          <cell r="AB280" t="str">
            <v>cashflowdata</v>
          </cell>
          <cell r="AC280">
            <v>288</v>
          </cell>
          <cell r="AD280">
            <v>0</v>
          </cell>
          <cell r="AE280">
            <v>0</v>
          </cell>
          <cell r="AF280">
            <v>0</v>
          </cell>
          <cell r="AG280">
            <v>0</v>
          </cell>
          <cell r="AH280">
            <v>0</v>
          </cell>
          <cell r="AI280">
            <v>0</v>
          </cell>
          <cell r="AJ280">
            <v>0</v>
          </cell>
          <cell r="AK280">
            <v>0</v>
          </cell>
          <cell r="AL280">
            <v>0</v>
          </cell>
          <cell r="AM280">
            <v>0</v>
          </cell>
          <cell r="AN280" t="e">
            <v>#N/A</v>
          </cell>
          <cell r="AO280" t="e">
            <v>#N/A</v>
          </cell>
          <cell r="AP280" t="e">
            <v>#N/A</v>
          </cell>
          <cell r="AQ280" t="e">
            <v>#N/A</v>
          </cell>
          <cell r="AR280" t="e">
            <v>#N/A</v>
          </cell>
          <cell r="AS280" t="e">
            <v>#N/A</v>
          </cell>
          <cell r="AT280" t="e">
            <v>#N/A</v>
          </cell>
          <cell r="AU280" t="e">
            <v>#N/A</v>
          </cell>
          <cell r="AV280" t="e">
            <v>#N/A</v>
          </cell>
        </row>
        <row r="281">
          <cell r="A281">
            <v>149.6</v>
          </cell>
          <cell r="B281" t="str">
            <v>1re_capex</v>
          </cell>
          <cell r="C281" t="str">
            <v>Capex incl leases</v>
          </cell>
          <cell r="D281" t="str">
            <v>(m)</v>
          </cell>
          <cell r="E281">
            <v>0</v>
          </cell>
          <cell r="F281">
            <v>0</v>
          </cell>
          <cell r="G281">
            <v>0</v>
          </cell>
          <cell r="H281">
            <v>0</v>
          </cell>
          <cell r="I281">
            <v>0</v>
          </cell>
          <cell r="J281">
            <v>0</v>
          </cell>
          <cell r="K281">
            <v>0</v>
          </cell>
          <cell r="L281">
            <v>0</v>
          </cell>
          <cell r="M281">
            <v>0</v>
          </cell>
          <cell r="N281" t="str">
            <v>re_capex</v>
          </cell>
          <cell r="O281">
            <v>0</v>
          </cell>
          <cell r="P281">
            <v>0</v>
          </cell>
          <cell r="Q281">
            <v>1000000</v>
          </cell>
          <cell r="R281" t="str">
            <v>E</v>
          </cell>
          <cell r="S281">
            <v>2</v>
          </cell>
          <cell r="T281" t="str">
            <v>null</v>
          </cell>
          <cell r="U281">
            <v>1</v>
          </cell>
          <cell r="V281">
            <v>0</v>
          </cell>
          <cell r="W281">
            <v>0</v>
          </cell>
          <cell r="X281">
            <v>0</v>
          </cell>
          <cell r="Y281">
            <v>0</v>
          </cell>
          <cell r="Z281">
            <v>0</v>
          </cell>
          <cell r="AA281">
            <v>53</v>
          </cell>
          <cell r="AB281" t="str">
            <v>cashflowdata</v>
          </cell>
          <cell r="AC281">
            <v>289</v>
          </cell>
          <cell r="AD281">
            <v>0</v>
          </cell>
          <cell r="AE281">
            <v>0</v>
          </cell>
          <cell r="AF281">
            <v>0</v>
          </cell>
          <cell r="AG281">
            <v>0</v>
          </cell>
          <cell r="AH281">
            <v>0</v>
          </cell>
          <cell r="AI281">
            <v>0</v>
          </cell>
          <cell r="AJ281">
            <v>0</v>
          </cell>
          <cell r="AK281">
            <v>0</v>
          </cell>
          <cell r="AL281">
            <v>0</v>
          </cell>
          <cell r="AM281">
            <v>0</v>
          </cell>
          <cell r="AN281" t="e">
            <v>#N/A</v>
          </cell>
          <cell r="AO281" t="e">
            <v>#N/A</v>
          </cell>
          <cell r="AP281" t="e">
            <v>#N/A</v>
          </cell>
          <cell r="AQ281" t="e">
            <v>#N/A</v>
          </cell>
          <cell r="AR281" t="e">
            <v>#N/A</v>
          </cell>
          <cell r="AS281" t="e">
            <v>#N/A</v>
          </cell>
          <cell r="AT281" t="e">
            <v>#N/A</v>
          </cell>
          <cell r="AU281" t="e">
            <v>#N/A</v>
          </cell>
          <cell r="AV281" t="e">
            <v>#N/A</v>
          </cell>
        </row>
        <row r="282">
          <cell r="A282">
            <v>152</v>
          </cell>
          <cell r="B282" t="str">
            <v>1c_maint_opfc</v>
          </cell>
          <cell r="C282" t="str">
            <v>Free cashflow</v>
          </cell>
          <cell r="D282" t="str">
            <v>(m)</v>
          </cell>
          <cell r="E282">
            <v>0</v>
          </cell>
          <cell r="F282">
            <v>0</v>
          </cell>
          <cell r="G282">
            <v>0</v>
          </cell>
          <cell r="H282">
            <v>0</v>
          </cell>
          <cell r="I282">
            <v>0</v>
          </cell>
          <cell r="J282">
            <v>0</v>
          </cell>
          <cell r="K282">
            <v>0</v>
          </cell>
          <cell r="L282">
            <v>0</v>
          </cell>
          <cell r="M282">
            <v>0</v>
          </cell>
          <cell r="N282" t="str">
            <v>c_maint_opfc</v>
          </cell>
          <cell r="O282">
            <v>0</v>
          </cell>
          <cell r="P282">
            <v>0</v>
          </cell>
          <cell r="Q282">
            <v>1000000</v>
          </cell>
          <cell r="R282" t="str">
            <v>E</v>
          </cell>
          <cell r="S282">
            <v>2</v>
          </cell>
          <cell r="T282" t="str">
            <v>null</v>
          </cell>
          <cell r="U282">
            <v>1</v>
          </cell>
          <cell r="V282">
            <v>0</v>
          </cell>
          <cell r="W282">
            <v>0</v>
          </cell>
          <cell r="X282">
            <v>0</v>
          </cell>
          <cell r="Y282">
            <v>0</v>
          </cell>
          <cell r="Z282">
            <v>0</v>
          </cell>
          <cell r="AA282">
            <v>429</v>
          </cell>
          <cell r="AB282" t="str">
            <v>cashflowdata</v>
          </cell>
          <cell r="AC282">
            <v>292</v>
          </cell>
          <cell r="AD282">
            <v>0</v>
          </cell>
          <cell r="AE282">
            <v>0</v>
          </cell>
          <cell r="AF282">
            <v>0</v>
          </cell>
          <cell r="AG282">
            <v>0</v>
          </cell>
          <cell r="AH282">
            <v>0</v>
          </cell>
          <cell r="AI282">
            <v>0</v>
          </cell>
          <cell r="AJ282">
            <v>0</v>
          </cell>
          <cell r="AK282">
            <v>0</v>
          </cell>
          <cell r="AL282">
            <v>0</v>
          </cell>
          <cell r="AM282">
            <v>0</v>
          </cell>
          <cell r="AN282">
            <v>152</v>
          </cell>
          <cell r="AO282" t="str">
            <v>Operating Free Cash Flow</v>
          </cell>
          <cell r="AP282" t="str">
            <v>m</v>
          </cell>
          <cell r="AQ282">
            <v>0</v>
          </cell>
          <cell r="AR282">
            <v>0</v>
          </cell>
          <cell r="AS282">
            <v>0</v>
          </cell>
          <cell r="AT282">
            <v>0</v>
          </cell>
          <cell r="AU282" t="e">
            <v>#VALUE!</v>
          </cell>
          <cell r="AV282" t="e">
            <v>#VALUE!</v>
          </cell>
        </row>
        <row r="283">
          <cell r="A283">
            <v>154</v>
          </cell>
          <cell r="B283" t="str">
            <v>1c_maint_fcf_for_eq</v>
          </cell>
          <cell r="C283" t="str">
            <v>Free cashflow for equity</v>
          </cell>
          <cell r="D283" t="str">
            <v>(m)</v>
          </cell>
          <cell r="E283">
            <v>0</v>
          </cell>
          <cell r="F283">
            <v>0</v>
          </cell>
          <cell r="G283">
            <v>0</v>
          </cell>
          <cell r="H283">
            <v>0</v>
          </cell>
          <cell r="I283">
            <v>0</v>
          </cell>
          <cell r="J283">
            <v>0</v>
          </cell>
          <cell r="K283">
            <v>0</v>
          </cell>
          <cell r="L283">
            <v>0</v>
          </cell>
          <cell r="M283">
            <v>0</v>
          </cell>
          <cell r="N283" t="str">
            <v>c_maint_fcf_for_eq</v>
          </cell>
          <cell r="O283">
            <v>0</v>
          </cell>
          <cell r="P283">
            <v>0</v>
          </cell>
          <cell r="Q283">
            <v>1000000</v>
          </cell>
          <cell r="R283" t="str">
            <v>E</v>
          </cell>
          <cell r="S283">
            <v>2</v>
          </cell>
          <cell r="T283" t="str">
            <v>null</v>
          </cell>
          <cell r="U283">
            <v>1</v>
          </cell>
          <cell r="V283">
            <v>0</v>
          </cell>
          <cell r="W283">
            <v>0</v>
          </cell>
          <cell r="X283">
            <v>0</v>
          </cell>
          <cell r="Y283">
            <v>0</v>
          </cell>
          <cell r="Z283">
            <v>0</v>
          </cell>
          <cell r="AA283">
            <v>328</v>
          </cell>
          <cell r="AB283" t="str">
            <v>cashflowdata</v>
          </cell>
          <cell r="AC283">
            <v>295</v>
          </cell>
          <cell r="AD283">
            <v>0</v>
          </cell>
          <cell r="AE283">
            <v>0</v>
          </cell>
          <cell r="AF283">
            <v>0</v>
          </cell>
          <cell r="AG283">
            <v>0</v>
          </cell>
          <cell r="AH283">
            <v>0</v>
          </cell>
          <cell r="AI283">
            <v>0</v>
          </cell>
          <cell r="AJ283">
            <v>0</v>
          </cell>
          <cell r="AK283">
            <v>0</v>
          </cell>
          <cell r="AL283">
            <v>0</v>
          </cell>
          <cell r="AM283">
            <v>0</v>
          </cell>
          <cell r="AN283">
            <v>154</v>
          </cell>
          <cell r="AO283" t="str">
            <v>Maintenance Free Cash Flow for equity</v>
          </cell>
          <cell r="AP283" t="str">
            <v>m</v>
          </cell>
          <cell r="AQ283">
            <v>0</v>
          </cell>
          <cell r="AR283">
            <v>0</v>
          </cell>
          <cell r="AS283">
            <v>0</v>
          </cell>
          <cell r="AT283">
            <v>0</v>
          </cell>
          <cell r="AU283" t="e">
            <v>#VALUE!</v>
          </cell>
          <cell r="AV283" t="e">
            <v>#VALUE!</v>
          </cell>
        </row>
        <row r="284">
          <cell r="A284">
            <v>110</v>
          </cell>
          <cell r="B284" t="str">
            <v>1c_depreciation_amortisation</v>
          </cell>
          <cell r="C284" t="str">
            <v>Depreciation &amp; amortisation</v>
          </cell>
          <cell r="D284" t="str">
            <v>(m)</v>
          </cell>
          <cell r="E284">
            <v>0</v>
          </cell>
          <cell r="F284">
            <v>0</v>
          </cell>
          <cell r="G284">
            <v>0</v>
          </cell>
          <cell r="H284">
            <v>0</v>
          </cell>
          <cell r="I284">
            <v>0</v>
          </cell>
          <cell r="J284">
            <v>0</v>
          </cell>
          <cell r="K284">
            <v>0</v>
          </cell>
          <cell r="L284">
            <v>0</v>
          </cell>
          <cell r="M284">
            <v>0</v>
          </cell>
          <cell r="N284" t="str">
            <v>c_depreciation_amortisation</v>
          </cell>
          <cell r="O284">
            <v>0</v>
          </cell>
          <cell r="P284">
            <v>0</v>
          </cell>
          <cell r="Q284">
            <v>1000000</v>
          </cell>
          <cell r="R284" t="str">
            <v>E</v>
          </cell>
          <cell r="S284">
            <v>2</v>
          </cell>
          <cell r="T284" t="str">
            <v>null</v>
          </cell>
          <cell r="U284">
            <v>1</v>
          </cell>
          <cell r="V284">
            <v>0</v>
          </cell>
          <cell r="W284">
            <v>0</v>
          </cell>
          <cell r="X284">
            <v>0</v>
          </cell>
          <cell r="Y284">
            <v>0</v>
          </cell>
          <cell r="Z284">
            <v>0</v>
          </cell>
          <cell r="AA284">
            <v>130</v>
          </cell>
          <cell r="AB284" t="str">
            <v>cashflowdata</v>
          </cell>
          <cell r="AC284">
            <v>296</v>
          </cell>
          <cell r="AD284">
            <v>0</v>
          </cell>
          <cell r="AE284">
            <v>0</v>
          </cell>
          <cell r="AF284">
            <v>0</v>
          </cell>
          <cell r="AG284">
            <v>0</v>
          </cell>
          <cell r="AH284">
            <v>0</v>
          </cell>
          <cell r="AI284">
            <v>0</v>
          </cell>
          <cell r="AJ284">
            <v>0</v>
          </cell>
          <cell r="AK284">
            <v>0</v>
          </cell>
          <cell r="AL284">
            <v>0</v>
          </cell>
          <cell r="AM284">
            <v>0</v>
          </cell>
          <cell r="AN284">
            <v>110</v>
          </cell>
          <cell r="AO284" t="str">
            <v>Depreciation &amp; Amortisation</v>
          </cell>
          <cell r="AP284" t="str">
            <v>m</v>
          </cell>
          <cell r="AQ284" t="str">
            <v>Depreciation, Depletion &amp; Amortisation</v>
          </cell>
          <cell r="AR284">
            <v>0</v>
          </cell>
          <cell r="AS284">
            <v>0</v>
          </cell>
          <cell r="AT284">
            <v>0</v>
          </cell>
          <cell r="AU284" t="e">
            <v>#VALUE!</v>
          </cell>
          <cell r="AV284" t="e">
            <v>#VALUE!</v>
          </cell>
        </row>
        <row r="285">
          <cell r="A285">
            <v>110.2</v>
          </cell>
          <cell r="B285" t="str">
            <v>1c_depreciation</v>
          </cell>
          <cell r="C285" t="str">
            <v>Depreciation</v>
          </cell>
          <cell r="D285" t="str">
            <v>(m)</v>
          </cell>
          <cell r="E285">
            <v>0</v>
          </cell>
          <cell r="F285">
            <v>0</v>
          </cell>
          <cell r="G285">
            <v>0</v>
          </cell>
          <cell r="H285">
            <v>0</v>
          </cell>
          <cell r="I285">
            <v>0</v>
          </cell>
          <cell r="J285">
            <v>0</v>
          </cell>
          <cell r="K285">
            <v>0</v>
          </cell>
          <cell r="L285">
            <v>0</v>
          </cell>
          <cell r="M285">
            <v>0</v>
          </cell>
          <cell r="N285" t="str">
            <v>c_depreciation</v>
          </cell>
          <cell r="O285">
            <v>0</v>
          </cell>
          <cell r="P285">
            <v>0</v>
          </cell>
          <cell r="Q285">
            <v>1000000</v>
          </cell>
          <cell r="R285" t="str">
            <v>E</v>
          </cell>
          <cell r="S285">
            <v>2</v>
          </cell>
          <cell r="T285" t="str">
            <v>null</v>
          </cell>
          <cell r="U285">
            <v>1</v>
          </cell>
          <cell r="V285">
            <v>0</v>
          </cell>
          <cell r="W285">
            <v>0</v>
          </cell>
          <cell r="X285">
            <v>0</v>
          </cell>
          <cell r="Y285">
            <v>0</v>
          </cell>
          <cell r="Z285">
            <v>0</v>
          </cell>
          <cell r="AA285">
            <v>128</v>
          </cell>
          <cell r="AB285" t="str">
            <v>cashflowdata</v>
          </cell>
          <cell r="AC285">
            <v>296</v>
          </cell>
          <cell r="AD285">
            <v>0</v>
          </cell>
          <cell r="AE285">
            <v>0</v>
          </cell>
          <cell r="AF285">
            <v>0</v>
          </cell>
          <cell r="AG285">
            <v>0</v>
          </cell>
          <cell r="AH285">
            <v>0</v>
          </cell>
          <cell r="AI285">
            <v>0</v>
          </cell>
          <cell r="AJ285">
            <v>0</v>
          </cell>
          <cell r="AK285">
            <v>0</v>
          </cell>
          <cell r="AL285">
            <v>0</v>
          </cell>
          <cell r="AM285">
            <v>0</v>
          </cell>
          <cell r="AN285" t="e">
            <v>#N/A</v>
          </cell>
          <cell r="AO285" t="e">
            <v>#N/A</v>
          </cell>
          <cell r="AP285" t="e">
            <v>#N/A</v>
          </cell>
          <cell r="AQ285" t="e">
            <v>#N/A</v>
          </cell>
          <cell r="AR285" t="e">
            <v>#N/A</v>
          </cell>
          <cell r="AS285" t="e">
            <v>#N/A</v>
          </cell>
          <cell r="AT285" t="e">
            <v>#N/A</v>
          </cell>
          <cell r="AU285" t="e">
            <v>#N/A</v>
          </cell>
          <cell r="AV285" t="e">
            <v>#N/A</v>
          </cell>
        </row>
        <row r="286">
          <cell r="A286">
            <v>110.3</v>
          </cell>
          <cell r="B286" t="str">
            <v>2c_depreciation</v>
          </cell>
          <cell r="C286" t="str">
            <v>Depreciation</v>
          </cell>
          <cell r="D286" t="str">
            <v>(m)</v>
          </cell>
          <cell r="E286">
            <v>0</v>
          </cell>
          <cell r="F286">
            <v>0</v>
          </cell>
          <cell r="G286">
            <v>0</v>
          </cell>
          <cell r="H286">
            <v>0</v>
          </cell>
          <cell r="I286">
            <v>0</v>
          </cell>
          <cell r="J286">
            <v>0</v>
          </cell>
          <cell r="K286">
            <v>0</v>
          </cell>
          <cell r="L286">
            <v>0</v>
          </cell>
          <cell r="M286">
            <v>0</v>
          </cell>
          <cell r="N286" t="str">
            <v>c_depreciation</v>
          </cell>
          <cell r="O286">
            <v>0</v>
          </cell>
          <cell r="P286">
            <v>0</v>
          </cell>
          <cell r="Q286">
            <v>1000000</v>
          </cell>
          <cell r="R286" t="str">
            <v>E</v>
          </cell>
          <cell r="S286">
            <v>2</v>
          </cell>
          <cell r="T286" t="str">
            <v>null</v>
          </cell>
          <cell r="U286">
            <v>2</v>
          </cell>
          <cell r="V286">
            <v>0</v>
          </cell>
          <cell r="W286">
            <v>0</v>
          </cell>
          <cell r="X286">
            <v>0</v>
          </cell>
          <cell r="Y286">
            <v>0</v>
          </cell>
          <cell r="Z286">
            <v>0</v>
          </cell>
          <cell r="AA286">
            <v>129</v>
          </cell>
          <cell r="AB286" t="str">
            <v>cashflowdata</v>
          </cell>
          <cell r="AC286">
            <v>296</v>
          </cell>
          <cell r="AD286" t="str">
            <v>requires 110.2</v>
          </cell>
          <cell r="AE286" t="str">
            <v>c_depreciation</v>
          </cell>
          <cell r="AF286">
            <v>0</v>
          </cell>
          <cell r="AG286">
            <v>0</v>
          </cell>
          <cell r="AH286">
            <v>0</v>
          </cell>
          <cell r="AI286">
            <v>0</v>
          </cell>
          <cell r="AJ286">
            <v>110.2</v>
          </cell>
          <cell r="AK286">
            <v>0</v>
          </cell>
          <cell r="AL286">
            <v>0</v>
          </cell>
          <cell r="AM286">
            <v>0</v>
          </cell>
          <cell r="AN286" t="e">
            <v>#N/A</v>
          </cell>
          <cell r="AO286" t="e">
            <v>#N/A</v>
          </cell>
          <cell r="AP286" t="e">
            <v>#N/A</v>
          </cell>
          <cell r="AQ286" t="e">
            <v>#N/A</v>
          </cell>
          <cell r="AR286" t="e">
            <v>#N/A</v>
          </cell>
          <cell r="AS286" t="e">
            <v>#N/A</v>
          </cell>
          <cell r="AT286" t="e">
            <v>#N/A</v>
          </cell>
          <cell r="AU286" t="e">
            <v>#N/A</v>
          </cell>
          <cell r="AV286" t="e">
            <v>#N/A</v>
          </cell>
        </row>
        <row r="287">
          <cell r="A287">
            <v>110.4</v>
          </cell>
          <cell r="B287" t="str">
            <v>1c_depreciation_fixed_assets</v>
          </cell>
          <cell r="C287" t="str">
            <v>Depreciation of fixed assets</v>
          </cell>
          <cell r="D287" t="str">
            <v>(m)</v>
          </cell>
          <cell r="E287">
            <v>0</v>
          </cell>
          <cell r="F287">
            <v>0</v>
          </cell>
          <cell r="G287">
            <v>0</v>
          </cell>
          <cell r="H287">
            <v>0</v>
          </cell>
          <cell r="I287">
            <v>0</v>
          </cell>
          <cell r="J287">
            <v>0</v>
          </cell>
          <cell r="K287">
            <v>0</v>
          </cell>
          <cell r="L287">
            <v>0</v>
          </cell>
          <cell r="M287">
            <v>0</v>
          </cell>
          <cell r="N287" t="str">
            <v>c_depreciation_fixed_assets</v>
          </cell>
          <cell r="O287">
            <v>0</v>
          </cell>
          <cell r="P287">
            <v>0</v>
          </cell>
          <cell r="Q287">
            <v>1000000</v>
          </cell>
          <cell r="R287" t="str">
            <v>E</v>
          </cell>
          <cell r="S287">
            <v>2</v>
          </cell>
          <cell r="T287" t="str">
            <v>null</v>
          </cell>
          <cell r="U287">
            <v>1</v>
          </cell>
          <cell r="V287">
            <v>0</v>
          </cell>
          <cell r="W287">
            <v>0</v>
          </cell>
          <cell r="X287">
            <v>0</v>
          </cell>
          <cell r="Y287">
            <v>0</v>
          </cell>
          <cell r="Z287">
            <v>0</v>
          </cell>
          <cell r="AA287">
            <v>133</v>
          </cell>
          <cell r="AB287" t="str">
            <v>cashflowdata</v>
          </cell>
          <cell r="AC287">
            <v>296</v>
          </cell>
          <cell r="AD287">
            <v>0</v>
          </cell>
          <cell r="AE287">
            <v>0</v>
          </cell>
          <cell r="AF287">
            <v>0</v>
          </cell>
          <cell r="AG287">
            <v>0</v>
          </cell>
          <cell r="AH287">
            <v>0</v>
          </cell>
          <cell r="AI287">
            <v>0</v>
          </cell>
          <cell r="AJ287">
            <v>0</v>
          </cell>
          <cell r="AK287">
            <v>0</v>
          </cell>
          <cell r="AL287">
            <v>0</v>
          </cell>
          <cell r="AM287">
            <v>0</v>
          </cell>
          <cell r="AN287" t="e">
            <v>#N/A</v>
          </cell>
          <cell r="AO287" t="e">
            <v>#N/A</v>
          </cell>
          <cell r="AP287" t="e">
            <v>#N/A</v>
          </cell>
          <cell r="AQ287" t="e">
            <v>#N/A</v>
          </cell>
          <cell r="AR287" t="e">
            <v>#N/A</v>
          </cell>
          <cell r="AS287" t="e">
            <v>#N/A</v>
          </cell>
          <cell r="AT287" t="e">
            <v>#N/A</v>
          </cell>
          <cell r="AU287" t="e">
            <v>#N/A</v>
          </cell>
          <cell r="AV287" t="e">
            <v>#N/A</v>
          </cell>
        </row>
        <row r="288">
          <cell r="A288">
            <v>110.6</v>
          </cell>
          <cell r="B288" t="str">
            <v>1c_depreciation_finance_acts</v>
          </cell>
          <cell r="C288" t="str">
            <v>Depreciation of financing activities</v>
          </cell>
          <cell r="D288" t="str">
            <v>(m)</v>
          </cell>
          <cell r="E288">
            <v>0</v>
          </cell>
          <cell r="F288">
            <v>0</v>
          </cell>
          <cell r="G288">
            <v>0</v>
          </cell>
          <cell r="H288">
            <v>0</v>
          </cell>
          <cell r="I288">
            <v>0</v>
          </cell>
          <cell r="J288">
            <v>0</v>
          </cell>
          <cell r="K288">
            <v>0</v>
          </cell>
          <cell r="L288">
            <v>0</v>
          </cell>
          <cell r="M288">
            <v>0</v>
          </cell>
          <cell r="N288" t="str">
            <v>c_depreciation_finance_acts</v>
          </cell>
          <cell r="O288">
            <v>0</v>
          </cell>
          <cell r="P288">
            <v>0</v>
          </cell>
          <cell r="Q288">
            <v>1000000</v>
          </cell>
          <cell r="R288" t="str">
            <v>E</v>
          </cell>
          <cell r="S288">
            <v>2</v>
          </cell>
          <cell r="T288" t="str">
            <v>null</v>
          </cell>
          <cell r="U288">
            <v>1</v>
          </cell>
          <cell r="V288">
            <v>0</v>
          </cell>
          <cell r="W288">
            <v>0</v>
          </cell>
          <cell r="X288">
            <v>0</v>
          </cell>
          <cell r="Y288">
            <v>0</v>
          </cell>
          <cell r="Z288">
            <v>0</v>
          </cell>
          <cell r="AA288">
            <v>132</v>
          </cell>
          <cell r="AB288" t="str">
            <v>cashflowdata</v>
          </cell>
          <cell r="AC288">
            <v>296</v>
          </cell>
          <cell r="AD288">
            <v>0</v>
          </cell>
          <cell r="AE288">
            <v>0</v>
          </cell>
          <cell r="AF288">
            <v>0</v>
          </cell>
          <cell r="AG288">
            <v>0</v>
          </cell>
          <cell r="AH288">
            <v>0</v>
          </cell>
          <cell r="AI288">
            <v>0</v>
          </cell>
          <cell r="AJ288">
            <v>0</v>
          </cell>
          <cell r="AK288">
            <v>0</v>
          </cell>
          <cell r="AL288">
            <v>0</v>
          </cell>
          <cell r="AM288">
            <v>0</v>
          </cell>
          <cell r="AN288" t="e">
            <v>#N/A</v>
          </cell>
          <cell r="AO288" t="e">
            <v>#N/A</v>
          </cell>
          <cell r="AP288" t="e">
            <v>#N/A</v>
          </cell>
          <cell r="AQ288" t="e">
            <v>#N/A</v>
          </cell>
          <cell r="AR288" t="e">
            <v>#N/A</v>
          </cell>
          <cell r="AS288" t="e">
            <v>#N/A</v>
          </cell>
          <cell r="AT288" t="e">
            <v>#N/A</v>
          </cell>
          <cell r="AU288" t="e">
            <v>#N/A</v>
          </cell>
          <cell r="AV288" t="e">
            <v>#N/A</v>
          </cell>
        </row>
        <row r="289">
          <cell r="A289">
            <v>111</v>
          </cell>
          <cell r="B289" t="str">
            <v>1c_chng_provisions</v>
          </cell>
          <cell r="C289" t="str">
            <v>Change in provisions</v>
          </cell>
          <cell r="D289" t="str">
            <v>(m)</v>
          </cell>
          <cell r="E289">
            <v>0</v>
          </cell>
          <cell r="F289">
            <v>0</v>
          </cell>
          <cell r="G289">
            <v>0</v>
          </cell>
          <cell r="H289">
            <v>0</v>
          </cell>
          <cell r="I289">
            <v>0</v>
          </cell>
          <cell r="J289">
            <v>0</v>
          </cell>
          <cell r="K289">
            <v>0</v>
          </cell>
          <cell r="L289">
            <v>0</v>
          </cell>
          <cell r="M289">
            <v>0</v>
          </cell>
          <cell r="N289" t="str">
            <v>c_chng_provisions</v>
          </cell>
          <cell r="O289">
            <v>0</v>
          </cell>
          <cell r="P289">
            <v>0</v>
          </cell>
          <cell r="Q289">
            <v>1000000</v>
          </cell>
          <cell r="R289" t="str">
            <v>E</v>
          </cell>
          <cell r="S289">
            <v>2</v>
          </cell>
          <cell r="T289" t="str">
            <v>null</v>
          </cell>
          <cell r="U289">
            <v>1</v>
          </cell>
          <cell r="V289">
            <v>0</v>
          </cell>
          <cell r="W289">
            <v>0</v>
          </cell>
          <cell r="X289">
            <v>0</v>
          </cell>
          <cell r="Y289">
            <v>0</v>
          </cell>
          <cell r="Z289">
            <v>0</v>
          </cell>
          <cell r="AA289">
            <v>80</v>
          </cell>
          <cell r="AB289" t="str">
            <v>cashflowdata</v>
          </cell>
          <cell r="AC289">
            <v>296</v>
          </cell>
          <cell r="AD289">
            <v>0</v>
          </cell>
          <cell r="AE289">
            <v>0</v>
          </cell>
          <cell r="AF289">
            <v>0</v>
          </cell>
          <cell r="AG289">
            <v>0</v>
          </cell>
          <cell r="AH289">
            <v>0</v>
          </cell>
          <cell r="AI289">
            <v>0</v>
          </cell>
          <cell r="AJ289">
            <v>0</v>
          </cell>
          <cell r="AK289">
            <v>0</v>
          </cell>
          <cell r="AL289">
            <v>0</v>
          </cell>
          <cell r="AM289">
            <v>0</v>
          </cell>
          <cell r="AN289">
            <v>111</v>
          </cell>
          <cell r="AO289" t="str">
            <v>Change in Provisions</v>
          </cell>
          <cell r="AP289" t="str">
            <v>m</v>
          </cell>
          <cell r="AQ289">
            <v>0</v>
          </cell>
          <cell r="AR289">
            <v>0</v>
          </cell>
          <cell r="AS289">
            <v>0</v>
          </cell>
          <cell r="AT289">
            <v>0</v>
          </cell>
          <cell r="AU289" t="e">
            <v>#VALUE!</v>
          </cell>
          <cell r="AV289" t="e">
            <v>#VALUE!</v>
          </cell>
        </row>
        <row r="290">
          <cell r="A290">
            <v>111.2</v>
          </cell>
          <cell r="B290" t="str">
            <v>1c_change_payables</v>
          </cell>
          <cell r="C290" t="str">
            <v>Change in payables</v>
          </cell>
          <cell r="D290" t="str">
            <v>(m)</v>
          </cell>
          <cell r="E290">
            <v>0</v>
          </cell>
          <cell r="F290">
            <v>0</v>
          </cell>
          <cell r="G290">
            <v>0</v>
          </cell>
          <cell r="H290">
            <v>0</v>
          </cell>
          <cell r="I290">
            <v>0</v>
          </cell>
          <cell r="J290">
            <v>0</v>
          </cell>
          <cell r="K290">
            <v>0</v>
          </cell>
          <cell r="L290">
            <v>0</v>
          </cell>
          <cell r="M290">
            <v>0</v>
          </cell>
          <cell r="N290" t="str">
            <v>c_change_payables</v>
          </cell>
          <cell r="O290">
            <v>0</v>
          </cell>
          <cell r="P290">
            <v>0</v>
          </cell>
          <cell r="Q290">
            <v>1000000</v>
          </cell>
          <cell r="R290" t="str">
            <v>E</v>
          </cell>
          <cell r="S290">
            <v>2</v>
          </cell>
          <cell r="T290" t="str">
            <v>null</v>
          </cell>
          <cell r="U290">
            <v>1</v>
          </cell>
          <cell r="V290">
            <v>0</v>
          </cell>
          <cell r="W290">
            <v>0</v>
          </cell>
          <cell r="X290">
            <v>0</v>
          </cell>
          <cell r="Y290">
            <v>0</v>
          </cell>
          <cell r="Z290">
            <v>0</v>
          </cell>
          <cell r="AA290">
            <v>79</v>
          </cell>
          <cell r="AB290" t="str">
            <v>cashflowdata</v>
          </cell>
          <cell r="AC290">
            <v>296</v>
          </cell>
          <cell r="AD290">
            <v>0</v>
          </cell>
          <cell r="AE290">
            <v>0</v>
          </cell>
          <cell r="AF290">
            <v>0</v>
          </cell>
          <cell r="AG290">
            <v>0</v>
          </cell>
          <cell r="AH290">
            <v>0</v>
          </cell>
          <cell r="AI290">
            <v>0</v>
          </cell>
          <cell r="AJ290">
            <v>0</v>
          </cell>
          <cell r="AK290">
            <v>0</v>
          </cell>
          <cell r="AL290">
            <v>0</v>
          </cell>
          <cell r="AM290">
            <v>0</v>
          </cell>
          <cell r="AN290" t="e">
            <v>#N/A</v>
          </cell>
          <cell r="AO290" t="e">
            <v>#N/A</v>
          </cell>
          <cell r="AP290" t="e">
            <v>#N/A</v>
          </cell>
          <cell r="AQ290" t="e">
            <v>#N/A</v>
          </cell>
          <cell r="AR290" t="e">
            <v>#N/A</v>
          </cell>
          <cell r="AS290" t="e">
            <v>#N/A</v>
          </cell>
          <cell r="AT290" t="e">
            <v>#N/A</v>
          </cell>
          <cell r="AU290" t="e">
            <v>#N/A</v>
          </cell>
          <cell r="AV290" t="e">
            <v>#N/A</v>
          </cell>
        </row>
        <row r="291">
          <cell r="A291">
            <v>111.4</v>
          </cell>
          <cell r="B291" t="str">
            <v>1c_change_receivables</v>
          </cell>
          <cell r="C291" t="str">
            <v>Change in receivables</v>
          </cell>
          <cell r="D291" t="str">
            <v>(m)</v>
          </cell>
          <cell r="E291">
            <v>0</v>
          </cell>
          <cell r="F291">
            <v>0</v>
          </cell>
          <cell r="G291">
            <v>0</v>
          </cell>
          <cell r="H291">
            <v>0</v>
          </cell>
          <cell r="I291">
            <v>0</v>
          </cell>
          <cell r="J291">
            <v>0</v>
          </cell>
          <cell r="K291">
            <v>0</v>
          </cell>
          <cell r="L291">
            <v>0</v>
          </cell>
          <cell r="M291">
            <v>0</v>
          </cell>
          <cell r="N291" t="str">
            <v>c_change_receivables</v>
          </cell>
          <cell r="O291">
            <v>0</v>
          </cell>
          <cell r="P291">
            <v>0</v>
          </cell>
          <cell r="Q291">
            <v>1000000</v>
          </cell>
          <cell r="R291" t="str">
            <v>E</v>
          </cell>
          <cell r="S291">
            <v>2</v>
          </cell>
          <cell r="T291" t="str">
            <v>null</v>
          </cell>
          <cell r="U291">
            <v>1</v>
          </cell>
          <cell r="V291">
            <v>0</v>
          </cell>
          <cell r="W291">
            <v>0</v>
          </cell>
          <cell r="X291">
            <v>0</v>
          </cell>
          <cell r="Y291">
            <v>0</v>
          </cell>
          <cell r="Z291">
            <v>0</v>
          </cell>
          <cell r="AA291">
            <v>82</v>
          </cell>
          <cell r="AB291" t="str">
            <v>cashflowdata</v>
          </cell>
          <cell r="AC291">
            <v>296</v>
          </cell>
          <cell r="AD291">
            <v>0</v>
          </cell>
          <cell r="AE291">
            <v>0</v>
          </cell>
          <cell r="AF291">
            <v>0</v>
          </cell>
          <cell r="AG291">
            <v>0</v>
          </cell>
          <cell r="AH291">
            <v>0</v>
          </cell>
          <cell r="AI291">
            <v>0</v>
          </cell>
          <cell r="AJ291">
            <v>0</v>
          </cell>
          <cell r="AK291">
            <v>0</v>
          </cell>
          <cell r="AL291">
            <v>0</v>
          </cell>
          <cell r="AM291">
            <v>0</v>
          </cell>
          <cell r="AN291" t="e">
            <v>#N/A</v>
          </cell>
          <cell r="AO291" t="e">
            <v>#N/A</v>
          </cell>
          <cell r="AP291" t="e">
            <v>#N/A</v>
          </cell>
          <cell r="AQ291" t="e">
            <v>#N/A</v>
          </cell>
          <cell r="AR291" t="e">
            <v>#N/A</v>
          </cell>
          <cell r="AS291" t="e">
            <v>#N/A</v>
          </cell>
          <cell r="AT291" t="e">
            <v>#N/A</v>
          </cell>
          <cell r="AU291" t="e">
            <v>#N/A</v>
          </cell>
          <cell r="AV291" t="e">
            <v>#N/A</v>
          </cell>
        </row>
        <row r="292">
          <cell r="A292">
            <v>111.6</v>
          </cell>
          <cell r="B292" t="str">
            <v>1c_chng_other_cur_assets</v>
          </cell>
          <cell r="C292" t="str">
            <v>Change in other current assets</v>
          </cell>
          <cell r="D292" t="str">
            <v>(m)</v>
          </cell>
          <cell r="E292">
            <v>0</v>
          </cell>
          <cell r="F292">
            <v>0</v>
          </cell>
          <cell r="G292">
            <v>0</v>
          </cell>
          <cell r="H292">
            <v>0</v>
          </cell>
          <cell r="I292">
            <v>0</v>
          </cell>
          <cell r="J292">
            <v>0</v>
          </cell>
          <cell r="K292">
            <v>0</v>
          </cell>
          <cell r="L292">
            <v>0</v>
          </cell>
          <cell r="M292">
            <v>0</v>
          </cell>
          <cell r="N292" t="str">
            <v>c_chng_other_cur_assets</v>
          </cell>
          <cell r="O292">
            <v>0</v>
          </cell>
          <cell r="P292">
            <v>0</v>
          </cell>
          <cell r="Q292">
            <v>1000000</v>
          </cell>
          <cell r="R292" t="str">
            <v>E</v>
          </cell>
          <cell r="S292">
            <v>2</v>
          </cell>
          <cell r="T292" t="str">
            <v>null</v>
          </cell>
          <cell r="U292">
            <v>1</v>
          </cell>
          <cell r="V292">
            <v>0</v>
          </cell>
          <cell r="W292">
            <v>0</v>
          </cell>
          <cell r="X292">
            <v>0</v>
          </cell>
          <cell r="Y292">
            <v>0</v>
          </cell>
          <cell r="Z292">
            <v>0</v>
          </cell>
          <cell r="AA292">
            <v>78</v>
          </cell>
          <cell r="AB292" t="str">
            <v>cashflowdata</v>
          </cell>
          <cell r="AC292">
            <v>296</v>
          </cell>
          <cell r="AD292">
            <v>0</v>
          </cell>
          <cell r="AE292">
            <v>0</v>
          </cell>
          <cell r="AF292">
            <v>0</v>
          </cell>
          <cell r="AG292">
            <v>0</v>
          </cell>
          <cell r="AH292">
            <v>0</v>
          </cell>
          <cell r="AI292">
            <v>0</v>
          </cell>
          <cell r="AJ292">
            <v>0</v>
          </cell>
          <cell r="AK292">
            <v>0</v>
          </cell>
          <cell r="AL292">
            <v>0</v>
          </cell>
          <cell r="AM292">
            <v>0</v>
          </cell>
          <cell r="AN292" t="e">
            <v>#N/A</v>
          </cell>
          <cell r="AO292" t="e">
            <v>#N/A</v>
          </cell>
          <cell r="AP292" t="e">
            <v>#N/A</v>
          </cell>
          <cell r="AQ292" t="e">
            <v>#N/A</v>
          </cell>
          <cell r="AR292" t="e">
            <v>#N/A</v>
          </cell>
          <cell r="AS292" t="e">
            <v>#N/A</v>
          </cell>
          <cell r="AT292" t="e">
            <v>#N/A</v>
          </cell>
          <cell r="AU292" t="e">
            <v>#N/A</v>
          </cell>
          <cell r="AV292" t="e">
            <v>#N/A</v>
          </cell>
        </row>
        <row r="293">
          <cell r="A293">
            <v>112.5</v>
          </cell>
          <cell r="B293" t="str">
            <v>1c_chng_working_cap_fin</v>
          </cell>
          <cell r="C293" t="str">
            <v>Change in working capital - financing</v>
          </cell>
          <cell r="D293" t="str">
            <v>(m)</v>
          </cell>
          <cell r="E293">
            <v>0</v>
          </cell>
          <cell r="F293">
            <v>0</v>
          </cell>
          <cell r="G293">
            <v>0</v>
          </cell>
          <cell r="H293">
            <v>0</v>
          </cell>
          <cell r="I293">
            <v>0</v>
          </cell>
          <cell r="J293">
            <v>0</v>
          </cell>
          <cell r="K293">
            <v>0</v>
          </cell>
          <cell r="L293">
            <v>0</v>
          </cell>
          <cell r="M293">
            <v>0</v>
          </cell>
          <cell r="N293" t="str">
            <v>c_chng_working_cap_fin</v>
          </cell>
          <cell r="O293">
            <v>0</v>
          </cell>
          <cell r="P293">
            <v>0</v>
          </cell>
          <cell r="Q293">
            <v>1000000</v>
          </cell>
          <cell r="R293" t="str">
            <v>E</v>
          </cell>
          <cell r="S293">
            <v>2</v>
          </cell>
          <cell r="T293" t="str">
            <v>null</v>
          </cell>
          <cell r="U293">
            <v>1</v>
          </cell>
          <cell r="V293">
            <v>0</v>
          </cell>
          <cell r="W293">
            <v>0</v>
          </cell>
          <cell r="X293">
            <v>0</v>
          </cell>
          <cell r="Y293">
            <v>0</v>
          </cell>
          <cell r="Z293">
            <v>0</v>
          </cell>
          <cell r="AA293">
            <v>83</v>
          </cell>
          <cell r="AB293" t="str">
            <v>cashflowdata</v>
          </cell>
          <cell r="AC293">
            <v>296</v>
          </cell>
          <cell r="AD293">
            <v>0</v>
          </cell>
          <cell r="AE293">
            <v>0</v>
          </cell>
          <cell r="AF293">
            <v>0</v>
          </cell>
          <cell r="AG293">
            <v>0</v>
          </cell>
          <cell r="AH293">
            <v>0</v>
          </cell>
          <cell r="AI293">
            <v>0</v>
          </cell>
          <cell r="AJ293">
            <v>0</v>
          </cell>
          <cell r="AK293">
            <v>0</v>
          </cell>
          <cell r="AL293">
            <v>0</v>
          </cell>
          <cell r="AM293">
            <v>0</v>
          </cell>
          <cell r="AN293" t="e">
            <v>#N/A</v>
          </cell>
          <cell r="AO293" t="e">
            <v>#N/A</v>
          </cell>
          <cell r="AP293" t="e">
            <v>#N/A</v>
          </cell>
          <cell r="AQ293" t="e">
            <v>#N/A</v>
          </cell>
          <cell r="AR293" t="e">
            <v>#N/A</v>
          </cell>
          <cell r="AS293" t="e">
            <v>#N/A</v>
          </cell>
          <cell r="AT293" t="e">
            <v>#N/A</v>
          </cell>
          <cell r="AU293" t="e">
            <v>#N/A</v>
          </cell>
          <cell r="AV293" t="e">
            <v>#N/A</v>
          </cell>
        </row>
        <row r="294">
          <cell r="A294">
            <v>155</v>
          </cell>
          <cell r="B294" t="str">
            <v>2c_maint_fcf_per_share</v>
          </cell>
          <cell r="C294" t="str">
            <v>Free cashflow for equity per share</v>
          </cell>
          <cell r="D294" t="str">
            <v>(unit)</v>
          </cell>
          <cell r="E294">
            <v>0</v>
          </cell>
          <cell r="F294">
            <v>0</v>
          </cell>
          <cell r="G294">
            <v>0</v>
          </cell>
          <cell r="H294">
            <v>0</v>
          </cell>
          <cell r="I294">
            <v>0</v>
          </cell>
          <cell r="J294">
            <v>0</v>
          </cell>
          <cell r="K294">
            <v>0</v>
          </cell>
          <cell r="L294">
            <v>0</v>
          </cell>
          <cell r="M294">
            <v>0</v>
          </cell>
          <cell r="N294" t="str">
            <v>c_maint_fcf_per_share</v>
          </cell>
          <cell r="O294">
            <v>0</v>
          </cell>
          <cell r="P294">
            <v>0</v>
          </cell>
          <cell r="Q294">
            <v>1</v>
          </cell>
          <cell r="R294" t="str">
            <v>S</v>
          </cell>
          <cell r="S294">
            <v>2</v>
          </cell>
          <cell r="T294" t="str">
            <v>null</v>
          </cell>
          <cell r="U294">
            <v>2</v>
          </cell>
          <cell r="V294">
            <v>0</v>
          </cell>
          <cell r="W294">
            <v>0</v>
          </cell>
          <cell r="X294">
            <v>0</v>
          </cell>
          <cell r="Y294">
            <v>0</v>
          </cell>
          <cell r="Z294">
            <v>0</v>
          </cell>
          <cell r="AA294">
            <v>327</v>
          </cell>
          <cell r="AB294" t="str">
            <v>cashflowdata</v>
          </cell>
          <cell r="AC294">
            <v>296</v>
          </cell>
          <cell r="AD294" t="str">
            <v>requires 154</v>
          </cell>
          <cell r="AE294" t="str">
            <v>c_maint_fcf_for_eq</v>
          </cell>
          <cell r="AF294" t="str">
            <v>num_shares_issue</v>
          </cell>
          <cell r="AG294">
            <v>0</v>
          </cell>
          <cell r="AH294">
            <v>0</v>
          </cell>
          <cell r="AI294">
            <v>0</v>
          </cell>
          <cell r="AJ294">
            <v>154</v>
          </cell>
          <cell r="AK294">
            <v>32</v>
          </cell>
          <cell r="AL294">
            <v>0</v>
          </cell>
          <cell r="AM294">
            <v>0</v>
          </cell>
          <cell r="AN294">
            <v>155</v>
          </cell>
          <cell r="AO294" t="str">
            <v>Maintenance FCFe per share (= Cashflow per share)</v>
          </cell>
          <cell r="AP294" t="str">
            <v>p</v>
          </cell>
          <cell r="AQ294">
            <v>0</v>
          </cell>
          <cell r="AR294">
            <v>0</v>
          </cell>
          <cell r="AS294" t="str">
            <v>154/32</v>
          </cell>
          <cell r="AT294" t="str">
            <v>see note to 13. Ordinary shares only</v>
          </cell>
          <cell r="AU294" t="str">
            <v>154</v>
          </cell>
          <cell r="AV294" t="str">
            <v>32</v>
          </cell>
        </row>
        <row r="295">
          <cell r="A295">
            <v>155.5</v>
          </cell>
          <cell r="B295" t="str">
            <v>2c_opcf_opts_per_share</v>
          </cell>
          <cell r="C295" t="str">
            <v>Net operating cashflow from operations per share</v>
          </cell>
          <cell r="D295" t="str">
            <v>(unit)</v>
          </cell>
          <cell r="E295">
            <v>0</v>
          </cell>
          <cell r="F295">
            <v>0</v>
          </cell>
          <cell r="G295">
            <v>0</v>
          </cell>
          <cell r="H295">
            <v>0</v>
          </cell>
          <cell r="I295">
            <v>0</v>
          </cell>
          <cell r="J295">
            <v>0</v>
          </cell>
          <cell r="K295">
            <v>0</v>
          </cell>
          <cell r="L295">
            <v>0</v>
          </cell>
          <cell r="M295">
            <v>0</v>
          </cell>
          <cell r="N295" t="str">
            <v>c_opcf_opts_per_share</v>
          </cell>
          <cell r="O295">
            <v>0</v>
          </cell>
          <cell r="P295">
            <v>0</v>
          </cell>
          <cell r="Q295">
            <v>1</v>
          </cell>
          <cell r="R295" t="str">
            <v>S</v>
          </cell>
          <cell r="S295">
            <v>2</v>
          </cell>
          <cell r="T295" t="str">
            <v>null</v>
          </cell>
          <cell r="U295">
            <v>2</v>
          </cell>
          <cell r="V295">
            <v>0</v>
          </cell>
          <cell r="W295">
            <v>0</v>
          </cell>
          <cell r="X295">
            <v>0</v>
          </cell>
          <cell r="Y295">
            <v>0</v>
          </cell>
          <cell r="Z295">
            <v>0</v>
          </cell>
          <cell r="AA295">
            <v>327</v>
          </cell>
          <cell r="AB295" t="str">
            <v>cashflowdata</v>
          </cell>
          <cell r="AC295">
            <v>296</v>
          </cell>
          <cell r="AD295" t="str">
            <v>requires 154</v>
          </cell>
          <cell r="AE295" t="str">
            <v>c_opcf_opts</v>
          </cell>
          <cell r="AF295" t="str">
            <v>num_shares_issue</v>
          </cell>
          <cell r="AG295">
            <v>0</v>
          </cell>
          <cell r="AH295">
            <v>0</v>
          </cell>
          <cell r="AI295">
            <v>0</v>
          </cell>
          <cell r="AJ295">
            <v>154</v>
          </cell>
          <cell r="AK295">
            <v>32</v>
          </cell>
          <cell r="AL295">
            <v>0</v>
          </cell>
          <cell r="AM295">
            <v>0</v>
          </cell>
          <cell r="AN295">
            <v>155</v>
          </cell>
          <cell r="AO295" t="str">
            <v>Maintenance FCFe per share (= Cashflow per share)</v>
          </cell>
          <cell r="AP295" t="str">
            <v>p</v>
          </cell>
          <cell r="AQ295">
            <v>0</v>
          </cell>
          <cell r="AR295">
            <v>0</v>
          </cell>
          <cell r="AS295" t="str">
            <v>154/32</v>
          </cell>
          <cell r="AT295" t="str">
            <v>see note to 13. Ordinary shares only</v>
          </cell>
          <cell r="AU295" t="str">
            <v>154</v>
          </cell>
          <cell r="AV295" t="str">
            <v>32</v>
          </cell>
        </row>
        <row r="296">
          <cell r="A296">
            <v>339.2</v>
          </cell>
          <cell r="B296" t="str">
            <v>1c_change_long_term_debt</v>
          </cell>
          <cell r="C296" t="str">
            <v>Increase/(decrease) in long-term debt</v>
          </cell>
          <cell r="D296" t="str">
            <v>(%)</v>
          </cell>
          <cell r="E296">
            <v>0</v>
          </cell>
          <cell r="F296">
            <v>0</v>
          </cell>
          <cell r="G296">
            <v>0</v>
          </cell>
          <cell r="H296">
            <v>0</v>
          </cell>
          <cell r="I296">
            <v>0</v>
          </cell>
          <cell r="J296">
            <v>0</v>
          </cell>
          <cell r="K296">
            <v>0</v>
          </cell>
          <cell r="L296">
            <v>0</v>
          </cell>
          <cell r="M296">
            <v>0</v>
          </cell>
          <cell r="N296" t="str">
            <v>c_change_long_term_debt</v>
          </cell>
          <cell r="O296">
            <v>0</v>
          </cell>
          <cell r="P296">
            <v>0</v>
          </cell>
          <cell r="Q296">
            <v>1000000</v>
          </cell>
          <cell r="R296" t="str">
            <v>E</v>
          </cell>
          <cell r="S296">
            <v>2</v>
          </cell>
          <cell r="T296" t="str">
            <v>null</v>
          </cell>
          <cell r="U296">
            <v>1</v>
          </cell>
          <cell r="V296">
            <v>0</v>
          </cell>
          <cell r="W296">
            <v>0</v>
          </cell>
          <cell r="X296">
            <v>0</v>
          </cell>
          <cell r="Y296">
            <v>0</v>
          </cell>
          <cell r="Z296">
            <v>0</v>
          </cell>
          <cell r="AA296">
            <v>293</v>
          </cell>
          <cell r="AB296" t="str">
            <v>cashflowdata</v>
          </cell>
          <cell r="AC296">
            <v>296</v>
          </cell>
          <cell r="AD296">
            <v>0</v>
          </cell>
          <cell r="AE296">
            <v>0</v>
          </cell>
          <cell r="AF296">
            <v>0</v>
          </cell>
          <cell r="AG296">
            <v>0</v>
          </cell>
          <cell r="AH296">
            <v>0</v>
          </cell>
          <cell r="AI296">
            <v>0</v>
          </cell>
          <cell r="AJ296">
            <v>0</v>
          </cell>
          <cell r="AK296">
            <v>0</v>
          </cell>
          <cell r="AL296">
            <v>0</v>
          </cell>
          <cell r="AM296">
            <v>0</v>
          </cell>
          <cell r="AN296" t="e">
            <v>#N/A</v>
          </cell>
          <cell r="AO296" t="e">
            <v>#N/A</v>
          </cell>
          <cell r="AP296" t="e">
            <v>#N/A</v>
          </cell>
          <cell r="AQ296" t="e">
            <v>#N/A</v>
          </cell>
          <cell r="AR296" t="e">
            <v>#N/A</v>
          </cell>
          <cell r="AS296" t="e">
            <v>#N/A</v>
          </cell>
          <cell r="AT296" t="e">
            <v>#N/A</v>
          </cell>
          <cell r="AU296" t="e">
            <v>#N/A</v>
          </cell>
          <cell r="AV296" t="e">
            <v>#N/A</v>
          </cell>
        </row>
        <row r="297">
          <cell r="A297">
            <v>339</v>
          </cell>
          <cell r="B297" t="str">
            <v>1c_change_short_term_debt</v>
          </cell>
          <cell r="C297" t="str">
            <v>Increase/(decrease) in short-term debt</v>
          </cell>
          <cell r="D297" t="str">
            <v>(%)</v>
          </cell>
          <cell r="E297">
            <v>0</v>
          </cell>
          <cell r="F297">
            <v>0</v>
          </cell>
          <cell r="G297">
            <v>0</v>
          </cell>
          <cell r="H297">
            <v>0</v>
          </cell>
          <cell r="I297">
            <v>0</v>
          </cell>
          <cell r="J297">
            <v>0</v>
          </cell>
          <cell r="K297">
            <v>0</v>
          </cell>
          <cell r="L297">
            <v>0</v>
          </cell>
          <cell r="M297">
            <v>0</v>
          </cell>
          <cell r="N297" t="str">
            <v>c_change_short_term_debt</v>
          </cell>
          <cell r="O297">
            <v>0</v>
          </cell>
          <cell r="P297">
            <v>0</v>
          </cell>
          <cell r="Q297">
            <v>1000000</v>
          </cell>
          <cell r="R297" t="str">
            <v>E</v>
          </cell>
          <cell r="S297">
            <v>2</v>
          </cell>
          <cell r="T297" t="str">
            <v>null</v>
          </cell>
          <cell r="U297">
            <v>1</v>
          </cell>
          <cell r="V297">
            <v>0</v>
          </cell>
          <cell r="W297">
            <v>0</v>
          </cell>
          <cell r="X297">
            <v>0</v>
          </cell>
          <cell r="Y297">
            <v>0</v>
          </cell>
          <cell r="Z297">
            <v>0</v>
          </cell>
          <cell r="AA297">
            <v>294</v>
          </cell>
          <cell r="AB297" t="str">
            <v>cashflowdata</v>
          </cell>
          <cell r="AC297">
            <v>296</v>
          </cell>
          <cell r="AD297">
            <v>0</v>
          </cell>
          <cell r="AE297">
            <v>0</v>
          </cell>
          <cell r="AF297">
            <v>0</v>
          </cell>
          <cell r="AG297">
            <v>0</v>
          </cell>
          <cell r="AH297">
            <v>0</v>
          </cell>
          <cell r="AI297">
            <v>0</v>
          </cell>
          <cell r="AJ297">
            <v>0</v>
          </cell>
          <cell r="AK297">
            <v>0</v>
          </cell>
          <cell r="AL297">
            <v>0</v>
          </cell>
          <cell r="AM297">
            <v>0</v>
          </cell>
          <cell r="AN297">
            <v>339</v>
          </cell>
          <cell r="AO297" t="str">
            <v>Change in short term debt</v>
          </cell>
          <cell r="AP297">
            <v>0</v>
          </cell>
          <cell r="AQ297">
            <v>0</v>
          </cell>
          <cell r="AR297">
            <v>0</v>
          </cell>
          <cell r="AS297">
            <v>0</v>
          </cell>
          <cell r="AT297">
            <v>0</v>
          </cell>
          <cell r="AU297" t="e">
            <v>#VALUE!</v>
          </cell>
          <cell r="AV297" t="e">
            <v>#VALUE!</v>
          </cell>
        </row>
        <row r="298">
          <cell r="A298">
            <v>341</v>
          </cell>
          <cell r="B298" t="str">
            <v>1c_other_financing</v>
          </cell>
          <cell r="C298" t="str">
            <v>Other financing</v>
          </cell>
          <cell r="D298" t="str">
            <v>(m)</v>
          </cell>
          <cell r="E298">
            <v>0</v>
          </cell>
          <cell r="F298">
            <v>0</v>
          </cell>
          <cell r="G298">
            <v>0</v>
          </cell>
          <cell r="H298">
            <v>0</v>
          </cell>
          <cell r="I298">
            <v>0</v>
          </cell>
          <cell r="J298">
            <v>0</v>
          </cell>
          <cell r="K298">
            <v>0</v>
          </cell>
          <cell r="L298">
            <v>0</v>
          </cell>
          <cell r="M298">
            <v>0</v>
          </cell>
          <cell r="N298" t="str">
            <v>c_other_financing</v>
          </cell>
          <cell r="O298">
            <v>0</v>
          </cell>
          <cell r="P298">
            <v>0</v>
          </cell>
          <cell r="Q298">
            <v>1000000</v>
          </cell>
          <cell r="R298" t="str">
            <v>E</v>
          </cell>
          <cell r="S298">
            <v>2</v>
          </cell>
          <cell r="T298" t="str">
            <v>null</v>
          </cell>
          <cell r="U298">
            <v>1</v>
          </cell>
          <cell r="V298">
            <v>0</v>
          </cell>
          <cell r="W298">
            <v>0</v>
          </cell>
          <cell r="X298">
            <v>0</v>
          </cell>
          <cell r="Y298">
            <v>0</v>
          </cell>
          <cell r="Z298">
            <v>0</v>
          </cell>
          <cell r="AA298">
            <v>444</v>
          </cell>
          <cell r="AB298" t="str">
            <v>cashflowdata</v>
          </cell>
          <cell r="AC298">
            <v>296</v>
          </cell>
          <cell r="AD298">
            <v>0</v>
          </cell>
          <cell r="AE298">
            <v>0</v>
          </cell>
          <cell r="AF298">
            <v>0</v>
          </cell>
          <cell r="AG298">
            <v>0</v>
          </cell>
          <cell r="AH298">
            <v>0</v>
          </cell>
          <cell r="AI298">
            <v>0</v>
          </cell>
          <cell r="AJ298">
            <v>0</v>
          </cell>
          <cell r="AK298">
            <v>0</v>
          </cell>
          <cell r="AL298">
            <v>0</v>
          </cell>
          <cell r="AM298">
            <v>0</v>
          </cell>
          <cell r="AN298" t="e">
            <v>#N/A</v>
          </cell>
          <cell r="AO298" t="e">
            <v>#N/A</v>
          </cell>
          <cell r="AP298" t="e">
            <v>#N/A</v>
          </cell>
          <cell r="AQ298" t="e">
            <v>#N/A</v>
          </cell>
          <cell r="AR298" t="e">
            <v>#N/A</v>
          </cell>
          <cell r="AS298" t="e">
            <v>#N/A</v>
          </cell>
          <cell r="AT298" t="e">
            <v>#N/A</v>
          </cell>
          <cell r="AU298" t="e">
            <v>#N/A</v>
          </cell>
          <cell r="AV298" t="e">
            <v>#N/A</v>
          </cell>
        </row>
        <row r="299">
          <cell r="A299">
            <v>341.2</v>
          </cell>
          <cell r="B299" t="str">
            <v>1c_cash_by_fin_activities</v>
          </cell>
          <cell r="C299" t="str">
            <v>Cash provided by financing activities</v>
          </cell>
          <cell r="D299" t="str">
            <v>(m)</v>
          </cell>
          <cell r="E299">
            <v>0</v>
          </cell>
          <cell r="F299">
            <v>0</v>
          </cell>
          <cell r="G299">
            <v>0</v>
          </cell>
          <cell r="H299">
            <v>0</v>
          </cell>
          <cell r="I299">
            <v>0</v>
          </cell>
          <cell r="J299">
            <v>0</v>
          </cell>
          <cell r="K299">
            <v>0</v>
          </cell>
          <cell r="L299">
            <v>0</v>
          </cell>
          <cell r="M299">
            <v>0</v>
          </cell>
          <cell r="N299" t="str">
            <v>c_cash_by_fin_activities</v>
          </cell>
          <cell r="O299">
            <v>0</v>
          </cell>
          <cell r="P299">
            <v>0</v>
          </cell>
          <cell r="Q299">
            <v>1000000</v>
          </cell>
          <cell r="R299" t="str">
            <v>E</v>
          </cell>
          <cell r="S299">
            <v>2</v>
          </cell>
          <cell r="T299" t="str">
            <v>null</v>
          </cell>
          <cell r="U299">
            <v>1</v>
          </cell>
          <cell r="V299">
            <v>0</v>
          </cell>
          <cell r="W299">
            <v>0</v>
          </cell>
          <cell r="X299">
            <v>0</v>
          </cell>
          <cell r="Y299">
            <v>0</v>
          </cell>
          <cell r="Z299">
            <v>0</v>
          </cell>
          <cell r="AA299">
            <v>444</v>
          </cell>
          <cell r="AB299" t="str">
            <v>cashflowdata</v>
          </cell>
          <cell r="AC299">
            <v>296</v>
          </cell>
          <cell r="AD299">
            <v>0</v>
          </cell>
          <cell r="AE299">
            <v>0</v>
          </cell>
          <cell r="AF299">
            <v>0</v>
          </cell>
          <cell r="AG299">
            <v>0</v>
          </cell>
          <cell r="AH299">
            <v>0</v>
          </cell>
          <cell r="AI299">
            <v>0</v>
          </cell>
          <cell r="AJ299">
            <v>0</v>
          </cell>
          <cell r="AK299">
            <v>0</v>
          </cell>
          <cell r="AL299">
            <v>0</v>
          </cell>
          <cell r="AM299">
            <v>0</v>
          </cell>
          <cell r="AN299" t="e">
            <v>#N/A</v>
          </cell>
          <cell r="AO299" t="e">
            <v>#N/A</v>
          </cell>
          <cell r="AP299" t="e">
            <v>#N/A</v>
          </cell>
          <cell r="AQ299" t="e">
            <v>#N/A</v>
          </cell>
          <cell r="AR299" t="e">
            <v>#N/A</v>
          </cell>
          <cell r="AS299" t="e">
            <v>#N/A</v>
          </cell>
          <cell r="AT299" t="e">
            <v>#N/A</v>
          </cell>
          <cell r="AU299" t="e">
            <v>#N/A</v>
          </cell>
          <cell r="AV299" t="e">
            <v>#N/A</v>
          </cell>
        </row>
        <row r="300">
          <cell r="A300">
            <v>341.4</v>
          </cell>
          <cell r="B300">
            <v>0</v>
          </cell>
          <cell r="C300" t="str">
            <v>Net cash used in investing activities</v>
          </cell>
          <cell r="D300" t="str">
            <v>(m)</v>
          </cell>
          <cell r="E300">
            <v>0</v>
          </cell>
          <cell r="F300">
            <v>0</v>
          </cell>
          <cell r="G300">
            <v>0</v>
          </cell>
          <cell r="H300">
            <v>0</v>
          </cell>
          <cell r="I300">
            <v>0</v>
          </cell>
          <cell r="J300">
            <v>0</v>
          </cell>
          <cell r="K300">
            <v>0</v>
          </cell>
          <cell r="L300">
            <v>0</v>
          </cell>
          <cell r="M300">
            <v>0</v>
          </cell>
          <cell r="N300" t="str">
            <v>c_cash_by_inv_activities</v>
          </cell>
          <cell r="O300">
            <v>0</v>
          </cell>
          <cell r="P300">
            <v>0</v>
          </cell>
          <cell r="Q300">
            <v>1000000</v>
          </cell>
          <cell r="R300" t="str">
            <v>E</v>
          </cell>
          <cell r="S300">
            <v>2</v>
          </cell>
          <cell r="T300" t="str">
            <v>null</v>
          </cell>
          <cell r="U300">
            <v>1</v>
          </cell>
          <cell r="V300">
            <v>0</v>
          </cell>
          <cell r="W300">
            <v>0</v>
          </cell>
          <cell r="X300">
            <v>0</v>
          </cell>
          <cell r="Y300">
            <v>0</v>
          </cell>
          <cell r="Z300">
            <v>0</v>
          </cell>
          <cell r="AA300">
            <v>444</v>
          </cell>
          <cell r="AB300" t="str">
            <v>cashflowdata</v>
          </cell>
          <cell r="AC300">
            <v>296</v>
          </cell>
          <cell r="AD300">
            <v>0</v>
          </cell>
          <cell r="AE300">
            <v>0</v>
          </cell>
          <cell r="AF300">
            <v>0</v>
          </cell>
          <cell r="AG300">
            <v>0</v>
          </cell>
          <cell r="AH300">
            <v>0</v>
          </cell>
          <cell r="AI300">
            <v>0</v>
          </cell>
          <cell r="AJ300">
            <v>0</v>
          </cell>
          <cell r="AK300">
            <v>0</v>
          </cell>
          <cell r="AL300">
            <v>0</v>
          </cell>
          <cell r="AM300">
            <v>0</v>
          </cell>
          <cell r="AN300" t="e">
            <v>#N/A</v>
          </cell>
          <cell r="AO300" t="e">
            <v>#N/A</v>
          </cell>
          <cell r="AP300" t="e">
            <v>#N/A</v>
          </cell>
          <cell r="AQ300" t="e">
            <v>#N/A</v>
          </cell>
          <cell r="AR300" t="e">
            <v>#N/A</v>
          </cell>
          <cell r="AS300" t="e">
            <v>#N/A</v>
          </cell>
          <cell r="AT300" t="e">
            <v>#N/A</v>
          </cell>
          <cell r="AU300" t="e">
            <v>#N/A</v>
          </cell>
          <cell r="AV300" t="e">
            <v>#N/A</v>
          </cell>
        </row>
        <row r="301">
          <cell r="A301">
            <v>162.9</v>
          </cell>
          <cell r="B301" t="str">
            <v>--</v>
          </cell>
          <cell r="C301" t="str">
            <v>Balance Sheet</v>
          </cell>
          <cell r="D301">
            <v>0</v>
          </cell>
          <cell r="E301">
            <v>0</v>
          </cell>
          <cell r="F301">
            <v>0</v>
          </cell>
          <cell r="G301">
            <v>0</v>
          </cell>
          <cell r="H301">
            <v>0</v>
          </cell>
          <cell r="I301">
            <v>0</v>
          </cell>
          <cell r="J301">
            <v>0</v>
          </cell>
          <cell r="K301">
            <v>0</v>
          </cell>
          <cell r="L301">
            <v>0</v>
          </cell>
          <cell r="M301">
            <v>0</v>
          </cell>
          <cell r="N301" t="str">
            <v>-</v>
          </cell>
          <cell r="O301" t="str">
            <v>-</v>
          </cell>
          <cell r="P301">
            <v>0</v>
          </cell>
          <cell r="Q301" t="str">
            <v>-</v>
          </cell>
          <cell r="R301" t="str">
            <v>Heading</v>
          </cell>
          <cell r="S301" t="str">
            <v>-</v>
          </cell>
          <cell r="T301">
            <v>1003</v>
          </cell>
          <cell r="U301" t="str">
            <v>-</v>
          </cell>
          <cell r="V301">
            <v>0</v>
          </cell>
          <cell r="W301">
            <v>0</v>
          </cell>
          <cell r="X301">
            <v>0</v>
          </cell>
          <cell r="Y301">
            <v>0</v>
          </cell>
          <cell r="Z301">
            <v>0</v>
          </cell>
          <cell r="AA301">
            <v>38</v>
          </cell>
          <cell r="AB301" t="str">
            <v>Balance Sheet</v>
          </cell>
          <cell r="AC301">
            <v>298</v>
          </cell>
          <cell r="AD301">
            <v>0</v>
          </cell>
          <cell r="AE301">
            <v>0</v>
          </cell>
          <cell r="AF301">
            <v>0</v>
          </cell>
          <cell r="AG301">
            <v>0</v>
          </cell>
          <cell r="AH301">
            <v>0</v>
          </cell>
          <cell r="AI301">
            <v>0</v>
          </cell>
          <cell r="AJ301">
            <v>0</v>
          </cell>
          <cell r="AK301">
            <v>0</v>
          </cell>
          <cell r="AL301">
            <v>0</v>
          </cell>
          <cell r="AM301">
            <v>0</v>
          </cell>
          <cell r="AN301" t="e">
            <v>#N/A</v>
          </cell>
          <cell r="AO301" t="e">
            <v>#N/A</v>
          </cell>
          <cell r="AP301" t="e">
            <v>#N/A</v>
          </cell>
          <cell r="AQ301" t="e">
            <v>#N/A</v>
          </cell>
          <cell r="AR301" t="e">
            <v>#N/A</v>
          </cell>
          <cell r="AS301" t="e">
            <v>#N/A</v>
          </cell>
          <cell r="AT301" t="e">
            <v>#N/A</v>
          </cell>
          <cell r="AU301" t="e">
            <v>#N/A</v>
          </cell>
          <cell r="AV301" t="e">
            <v>#N/A</v>
          </cell>
        </row>
        <row r="302">
          <cell r="A302">
            <v>157</v>
          </cell>
          <cell r="B302" t="str">
            <v>1b_intang_fxd_assets</v>
          </cell>
          <cell r="C302" t="str">
            <v>Intangible fixed assets</v>
          </cell>
          <cell r="D302" t="str">
            <v>(m)</v>
          </cell>
          <cell r="E302">
            <v>0</v>
          </cell>
          <cell r="F302">
            <v>0</v>
          </cell>
          <cell r="G302">
            <v>0</v>
          </cell>
          <cell r="H302">
            <v>0</v>
          </cell>
          <cell r="I302">
            <v>0</v>
          </cell>
          <cell r="J302">
            <v>0</v>
          </cell>
          <cell r="K302">
            <v>0</v>
          </cell>
          <cell r="L302">
            <v>0</v>
          </cell>
          <cell r="M302">
            <v>0</v>
          </cell>
          <cell r="N302" t="str">
            <v>b_intang_fxd_assets</v>
          </cell>
          <cell r="O302">
            <v>0</v>
          </cell>
          <cell r="P302">
            <v>0</v>
          </cell>
          <cell r="Q302">
            <v>1000000</v>
          </cell>
          <cell r="R302" t="str">
            <v>E</v>
          </cell>
          <cell r="S302">
            <v>2</v>
          </cell>
          <cell r="T302" t="str">
            <v>null</v>
          </cell>
          <cell r="U302">
            <v>1</v>
          </cell>
          <cell r="V302">
            <v>0</v>
          </cell>
          <cell r="W302">
            <v>0</v>
          </cell>
          <cell r="X302">
            <v>0</v>
          </cell>
          <cell r="Y302">
            <v>0</v>
          </cell>
          <cell r="Z302">
            <v>0</v>
          </cell>
          <cell r="AA302">
            <v>296</v>
          </cell>
          <cell r="AB302" t="str">
            <v>Balance Sheet</v>
          </cell>
          <cell r="AC302">
            <v>299</v>
          </cell>
          <cell r="AD302">
            <v>0</v>
          </cell>
          <cell r="AE302">
            <v>0</v>
          </cell>
          <cell r="AF302">
            <v>0</v>
          </cell>
          <cell r="AG302">
            <v>0</v>
          </cell>
          <cell r="AH302">
            <v>0</v>
          </cell>
          <cell r="AI302">
            <v>0</v>
          </cell>
          <cell r="AJ302">
            <v>0</v>
          </cell>
          <cell r="AK302">
            <v>0</v>
          </cell>
          <cell r="AL302">
            <v>0</v>
          </cell>
          <cell r="AM302">
            <v>0</v>
          </cell>
          <cell r="AN302">
            <v>157</v>
          </cell>
          <cell r="AO302" t="str">
            <v>Intangible Fixed Assets</v>
          </cell>
          <cell r="AP302" t="str">
            <v>m</v>
          </cell>
          <cell r="AQ302">
            <v>0</v>
          </cell>
          <cell r="AR302">
            <v>0</v>
          </cell>
          <cell r="AS302">
            <v>0</v>
          </cell>
          <cell r="AT302">
            <v>0</v>
          </cell>
          <cell r="AU302" t="e">
            <v>#VALUE!</v>
          </cell>
          <cell r="AV302" t="e">
            <v>#VALUE!</v>
          </cell>
        </row>
        <row r="303">
          <cell r="A303">
            <v>158.5</v>
          </cell>
          <cell r="B303" t="str">
            <v>1b_net_tang_assets</v>
          </cell>
          <cell r="C303" t="str">
            <v>Net tangible assets</v>
          </cell>
          <cell r="D303" t="str">
            <v>(m)</v>
          </cell>
          <cell r="E303">
            <v>0</v>
          </cell>
          <cell r="F303">
            <v>0</v>
          </cell>
          <cell r="G303">
            <v>0</v>
          </cell>
          <cell r="H303">
            <v>0</v>
          </cell>
          <cell r="I303">
            <v>0</v>
          </cell>
          <cell r="J303">
            <v>0</v>
          </cell>
          <cell r="K303">
            <v>0</v>
          </cell>
          <cell r="L303">
            <v>0</v>
          </cell>
          <cell r="M303">
            <v>0</v>
          </cell>
          <cell r="N303" t="str">
            <v>b_net_tang_assets</v>
          </cell>
          <cell r="O303">
            <v>0</v>
          </cell>
          <cell r="P303">
            <v>0</v>
          </cell>
          <cell r="Q303">
            <v>1000000</v>
          </cell>
          <cell r="R303" t="str">
            <v>E</v>
          </cell>
          <cell r="S303">
            <v>2</v>
          </cell>
          <cell r="T303" t="str">
            <v>null</v>
          </cell>
          <cell r="U303">
            <v>1</v>
          </cell>
          <cell r="V303">
            <v>0</v>
          </cell>
          <cell r="W303">
            <v>0</v>
          </cell>
          <cell r="X303">
            <v>0</v>
          </cell>
          <cell r="Y303">
            <v>0</v>
          </cell>
          <cell r="Z303">
            <v>0</v>
          </cell>
          <cell r="AA303">
            <v>548</v>
          </cell>
          <cell r="AB303" t="str">
            <v>Balance Sheet</v>
          </cell>
          <cell r="AC303">
            <v>300</v>
          </cell>
          <cell r="AD303">
            <v>0</v>
          </cell>
          <cell r="AE303">
            <v>0</v>
          </cell>
          <cell r="AF303">
            <v>0</v>
          </cell>
          <cell r="AG303">
            <v>0</v>
          </cell>
          <cell r="AH303">
            <v>0</v>
          </cell>
          <cell r="AI303">
            <v>0</v>
          </cell>
          <cell r="AJ303">
            <v>0</v>
          </cell>
          <cell r="AK303">
            <v>0</v>
          </cell>
          <cell r="AL303">
            <v>0</v>
          </cell>
          <cell r="AM303">
            <v>0</v>
          </cell>
          <cell r="AN303">
            <v>158</v>
          </cell>
          <cell r="AO303" t="str">
            <v>Tangible Fixed Assets</v>
          </cell>
          <cell r="AP303" t="str">
            <v>m</v>
          </cell>
          <cell r="AQ303">
            <v>0</v>
          </cell>
          <cell r="AR303">
            <v>0</v>
          </cell>
          <cell r="AS303">
            <v>0</v>
          </cell>
          <cell r="AT303">
            <v>0</v>
          </cell>
          <cell r="AU303" t="e">
            <v>#VALUE!</v>
          </cell>
          <cell r="AV303" t="e">
            <v>#VALUE!</v>
          </cell>
        </row>
        <row r="304">
          <cell r="A304">
            <v>158</v>
          </cell>
          <cell r="B304" t="str">
            <v>1b_tang_fxd_assets</v>
          </cell>
          <cell r="C304" t="str">
            <v>Tangible fixed assets</v>
          </cell>
          <cell r="D304" t="str">
            <v>(m)</v>
          </cell>
          <cell r="E304">
            <v>0</v>
          </cell>
          <cell r="F304">
            <v>0</v>
          </cell>
          <cell r="G304">
            <v>0</v>
          </cell>
          <cell r="H304">
            <v>0</v>
          </cell>
          <cell r="I304">
            <v>0</v>
          </cell>
          <cell r="J304">
            <v>0</v>
          </cell>
          <cell r="K304">
            <v>0</v>
          </cell>
          <cell r="L304">
            <v>0</v>
          </cell>
          <cell r="M304">
            <v>0</v>
          </cell>
          <cell r="N304" t="str">
            <v>b_tang_fxd_assets</v>
          </cell>
          <cell r="O304">
            <v>0</v>
          </cell>
          <cell r="P304">
            <v>0</v>
          </cell>
          <cell r="Q304">
            <v>1000000</v>
          </cell>
          <cell r="R304" t="str">
            <v>E</v>
          </cell>
          <cell r="S304">
            <v>2</v>
          </cell>
          <cell r="T304" t="str">
            <v>null</v>
          </cell>
          <cell r="U304">
            <v>1</v>
          </cell>
          <cell r="V304">
            <v>0</v>
          </cell>
          <cell r="W304">
            <v>0</v>
          </cell>
          <cell r="X304">
            <v>0</v>
          </cell>
          <cell r="Y304">
            <v>0</v>
          </cell>
          <cell r="Z304">
            <v>0</v>
          </cell>
          <cell r="AA304">
            <v>548</v>
          </cell>
          <cell r="AB304" t="str">
            <v>Balance Sheet</v>
          </cell>
          <cell r="AC304">
            <v>300</v>
          </cell>
          <cell r="AD304">
            <v>0</v>
          </cell>
          <cell r="AE304">
            <v>0</v>
          </cell>
          <cell r="AF304">
            <v>0</v>
          </cell>
          <cell r="AG304">
            <v>0</v>
          </cell>
          <cell r="AH304">
            <v>0</v>
          </cell>
          <cell r="AI304">
            <v>0</v>
          </cell>
          <cell r="AJ304">
            <v>0</v>
          </cell>
          <cell r="AK304">
            <v>0</v>
          </cell>
          <cell r="AL304">
            <v>0</v>
          </cell>
          <cell r="AM304">
            <v>0</v>
          </cell>
          <cell r="AN304">
            <v>158</v>
          </cell>
          <cell r="AO304" t="str">
            <v>Tangible Fixed Assets</v>
          </cell>
          <cell r="AP304" t="str">
            <v>m</v>
          </cell>
          <cell r="AQ304">
            <v>0</v>
          </cell>
          <cell r="AR304">
            <v>0</v>
          </cell>
          <cell r="AS304">
            <v>0</v>
          </cell>
          <cell r="AT304">
            <v>0</v>
          </cell>
          <cell r="AU304" t="e">
            <v>#VALUE!</v>
          </cell>
          <cell r="AV304" t="e">
            <v>#VALUE!</v>
          </cell>
        </row>
        <row r="305">
          <cell r="A305">
            <v>159.5</v>
          </cell>
          <cell r="B305" t="str">
            <v>1b_associates_jvs</v>
          </cell>
          <cell r="C305" t="str">
            <v>Investments, Associates and JVs</v>
          </cell>
          <cell r="D305" t="str">
            <v>(m)</v>
          </cell>
          <cell r="E305">
            <v>0</v>
          </cell>
          <cell r="F305">
            <v>0</v>
          </cell>
          <cell r="G305">
            <v>0</v>
          </cell>
          <cell r="H305">
            <v>0</v>
          </cell>
          <cell r="I305">
            <v>0</v>
          </cell>
          <cell r="J305">
            <v>0</v>
          </cell>
          <cell r="K305">
            <v>0</v>
          </cell>
          <cell r="L305">
            <v>0</v>
          </cell>
          <cell r="M305">
            <v>0</v>
          </cell>
          <cell r="N305" t="str">
            <v>b_associates_jvs</v>
          </cell>
          <cell r="O305">
            <v>0</v>
          </cell>
          <cell r="P305">
            <v>0</v>
          </cell>
          <cell r="Q305">
            <v>1000000</v>
          </cell>
          <cell r="R305" t="str">
            <v>E</v>
          </cell>
          <cell r="S305">
            <v>2</v>
          </cell>
          <cell r="T305" t="str">
            <v>null</v>
          </cell>
          <cell r="U305">
            <v>1</v>
          </cell>
          <cell r="V305">
            <v>0</v>
          </cell>
          <cell r="W305">
            <v>0</v>
          </cell>
          <cell r="X305">
            <v>0</v>
          </cell>
          <cell r="Y305">
            <v>0</v>
          </cell>
          <cell r="Z305">
            <v>0</v>
          </cell>
          <cell r="AA305">
            <v>243</v>
          </cell>
          <cell r="AB305" t="str">
            <v>Balance Sheet</v>
          </cell>
          <cell r="AC305">
            <v>301</v>
          </cell>
          <cell r="AD305">
            <v>0</v>
          </cell>
          <cell r="AE305">
            <v>0</v>
          </cell>
          <cell r="AF305">
            <v>0</v>
          </cell>
          <cell r="AG305">
            <v>0</v>
          </cell>
          <cell r="AH305">
            <v>0</v>
          </cell>
          <cell r="AI305">
            <v>0</v>
          </cell>
          <cell r="AJ305">
            <v>0</v>
          </cell>
          <cell r="AK305">
            <v>0</v>
          </cell>
          <cell r="AL305">
            <v>0</v>
          </cell>
          <cell r="AM305">
            <v>0</v>
          </cell>
          <cell r="AN305">
            <v>159</v>
          </cell>
          <cell r="AO305" t="str">
            <v>Fixed Assets</v>
          </cell>
          <cell r="AP305" t="str">
            <v>m</v>
          </cell>
          <cell r="AQ305">
            <v>0</v>
          </cell>
          <cell r="AR305">
            <v>0</v>
          </cell>
          <cell r="AS305">
            <v>0</v>
          </cell>
          <cell r="AT305">
            <v>0</v>
          </cell>
          <cell r="AU305" t="e">
            <v>#VALUE!</v>
          </cell>
          <cell r="AV305" t="e">
            <v>#VALUE!</v>
          </cell>
        </row>
        <row r="306">
          <cell r="A306">
            <v>159</v>
          </cell>
          <cell r="B306" t="str">
            <v>1b_fxd_assets</v>
          </cell>
          <cell r="C306" t="str">
            <v>Total fixed assets</v>
          </cell>
          <cell r="D306" t="str">
            <v>(m)</v>
          </cell>
          <cell r="E306">
            <v>0</v>
          </cell>
          <cell r="F306">
            <v>0</v>
          </cell>
          <cell r="G306">
            <v>0</v>
          </cell>
          <cell r="H306">
            <v>0</v>
          </cell>
          <cell r="I306">
            <v>0</v>
          </cell>
          <cell r="J306">
            <v>0</v>
          </cell>
          <cell r="K306">
            <v>0</v>
          </cell>
          <cell r="L306">
            <v>0</v>
          </cell>
          <cell r="M306">
            <v>0</v>
          </cell>
          <cell r="N306" t="str">
            <v>b_fxd_assets</v>
          </cell>
          <cell r="O306">
            <v>0</v>
          </cell>
          <cell r="P306">
            <v>0</v>
          </cell>
          <cell r="Q306">
            <v>1000000</v>
          </cell>
          <cell r="R306" t="str">
            <v>E</v>
          </cell>
          <cell r="S306">
            <v>2</v>
          </cell>
          <cell r="T306" t="str">
            <v>null</v>
          </cell>
          <cell r="U306">
            <v>1</v>
          </cell>
          <cell r="V306">
            <v>0</v>
          </cell>
          <cell r="W306">
            <v>0</v>
          </cell>
          <cell r="X306">
            <v>0</v>
          </cell>
          <cell r="Y306">
            <v>0</v>
          </cell>
          <cell r="Z306">
            <v>0</v>
          </cell>
          <cell r="AA306">
            <v>243</v>
          </cell>
          <cell r="AB306" t="str">
            <v>Balance Sheet</v>
          </cell>
          <cell r="AC306">
            <v>301</v>
          </cell>
          <cell r="AD306">
            <v>0</v>
          </cell>
          <cell r="AE306">
            <v>0</v>
          </cell>
          <cell r="AF306">
            <v>0</v>
          </cell>
          <cell r="AG306">
            <v>0</v>
          </cell>
          <cell r="AH306">
            <v>0</v>
          </cell>
          <cell r="AI306">
            <v>0</v>
          </cell>
          <cell r="AJ306">
            <v>0</v>
          </cell>
          <cell r="AK306">
            <v>0</v>
          </cell>
          <cell r="AL306">
            <v>0</v>
          </cell>
          <cell r="AM306">
            <v>0</v>
          </cell>
          <cell r="AN306">
            <v>159</v>
          </cell>
          <cell r="AO306" t="str">
            <v>Fixed Assets</v>
          </cell>
          <cell r="AP306" t="str">
            <v>m</v>
          </cell>
          <cell r="AQ306">
            <v>0</v>
          </cell>
          <cell r="AR306">
            <v>0</v>
          </cell>
          <cell r="AS306">
            <v>0</v>
          </cell>
          <cell r="AT306">
            <v>0</v>
          </cell>
          <cell r="AU306" t="e">
            <v>#VALUE!</v>
          </cell>
          <cell r="AV306" t="e">
            <v>#VALUE!</v>
          </cell>
        </row>
        <row r="307">
          <cell r="A307">
            <v>160</v>
          </cell>
          <cell r="B307" t="str">
            <v>1b_working_capital</v>
          </cell>
          <cell r="C307" t="str">
            <v>Working capital</v>
          </cell>
          <cell r="D307" t="str">
            <v>(m)</v>
          </cell>
          <cell r="E307">
            <v>0</v>
          </cell>
          <cell r="F307">
            <v>0</v>
          </cell>
          <cell r="G307">
            <v>0</v>
          </cell>
          <cell r="H307">
            <v>0</v>
          </cell>
          <cell r="I307">
            <v>0</v>
          </cell>
          <cell r="J307">
            <v>0</v>
          </cell>
          <cell r="K307">
            <v>0</v>
          </cell>
          <cell r="L307">
            <v>0</v>
          </cell>
          <cell r="M307">
            <v>0</v>
          </cell>
          <cell r="N307" t="str">
            <v>b_working_capital</v>
          </cell>
          <cell r="O307">
            <v>0</v>
          </cell>
          <cell r="P307">
            <v>0</v>
          </cell>
          <cell r="Q307">
            <v>1000000</v>
          </cell>
          <cell r="R307" t="str">
            <v>E</v>
          </cell>
          <cell r="S307">
            <v>2</v>
          </cell>
          <cell r="T307" t="str">
            <v>null</v>
          </cell>
          <cell r="U307">
            <v>1</v>
          </cell>
          <cell r="V307">
            <v>0</v>
          </cell>
          <cell r="W307">
            <v>0</v>
          </cell>
          <cell r="X307">
            <v>0</v>
          </cell>
          <cell r="Y307">
            <v>0</v>
          </cell>
          <cell r="Z307">
            <v>0</v>
          </cell>
          <cell r="AA307">
            <v>603</v>
          </cell>
          <cell r="AB307" t="str">
            <v>Balance Sheet</v>
          </cell>
          <cell r="AC307">
            <v>302</v>
          </cell>
          <cell r="AD307">
            <v>0</v>
          </cell>
          <cell r="AE307">
            <v>0</v>
          </cell>
          <cell r="AF307">
            <v>0</v>
          </cell>
          <cell r="AG307">
            <v>0</v>
          </cell>
          <cell r="AH307">
            <v>0</v>
          </cell>
          <cell r="AI307">
            <v>0</v>
          </cell>
          <cell r="AJ307">
            <v>0</v>
          </cell>
          <cell r="AK307">
            <v>0</v>
          </cell>
          <cell r="AL307">
            <v>0</v>
          </cell>
          <cell r="AM307">
            <v>0</v>
          </cell>
          <cell r="AN307">
            <v>160</v>
          </cell>
          <cell r="AO307" t="str">
            <v>Working capital</v>
          </cell>
          <cell r="AP307" t="str">
            <v>m</v>
          </cell>
          <cell r="AQ307">
            <v>0</v>
          </cell>
          <cell r="AR307">
            <v>0</v>
          </cell>
          <cell r="AS307">
            <v>0</v>
          </cell>
          <cell r="AT307">
            <v>0</v>
          </cell>
          <cell r="AU307" t="e">
            <v>#VALUE!</v>
          </cell>
          <cell r="AV307" t="e">
            <v>#VALUE!</v>
          </cell>
        </row>
        <row r="308">
          <cell r="A308">
            <v>161</v>
          </cell>
          <cell r="B308" t="str">
            <v>1b_net_cash</v>
          </cell>
          <cell r="C308" t="str">
            <v>Net cash (debt)</v>
          </cell>
          <cell r="D308" t="str">
            <v>(m)</v>
          </cell>
          <cell r="E308">
            <v>0</v>
          </cell>
          <cell r="F308">
            <v>0</v>
          </cell>
          <cell r="G308">
            <v>0</v>
          </cell>
          <cell r="H308">
            <v>0</v>
          </cell>
          <cell r="I308">
            <v>0</v>
          </cell>
          <cell r="J308">
            <v>0</v>
          </cell>
          <cell r="K308">
            <v>0</v>
          </cell>
          <cell r="L308">
            <v>0</v>
          </cell>
          <cell r="M308">
            <v>0</v>
          </cell>
          <cell r="N308" t="str">
            <v>b_net_cash</v>
          </cell>
          <cell r="O308">
            <v>0</v>
          </cell>
          <cell r="P308">
            <v>0</v>
          </cell>
          <cell r="Q308">
            <v>1000000</v>
          </cell>
          <cell r="R308" t="str">
            <v>E</v>
          </cell>
          <cell r="S308">
            <v>2</v>
          </cell>
          <cell r="T308" t="str">
            <v>null</v>
          </cell>
          <cell r="U308">
            <v>1</v>
          </cell>
          <cell r="V308">
            <v>0</v>
          </cell>
          <cell r="W308">
            <v>0</v>
          </cell>
          <cell r="X308">
            <v>0</v>
          </cell>
          <cell r="Y308">
            <v>0</v>
          </cell>
          <cell r="Z308">
            <v>0</v>
          </cell>
          <cell r="AA308">
            <v>353</v>
          </cell>
          <cell r="AB308" t="str">
            <v>Balance Sheet</v>
          </cell>
          <cell r="AC308">
            <v>303</v>
          </cell>
          <cell r="AD308">
            <v>0</v>
          </cell>
          <cell r="AE308">
            <v>0</v>
          </cell>
          <cell r="AF308">
            <v>0</v>
          </cell>
          <cell r="AG308">
            <v>0</v>
          </cell>
          <cell r="AH308">
            <v>0</v>
          </cell>
          <cell r="AI308">
            <v>0</v>
          </cell>
          <cell r="AJ308">
            <v>0</v>
          </cell>
          <cell r="AK308">
            <v>0</v>
          </cell>
          <cell r="AL308">
            <v>0</v>
          </cell>
          <cell r="AM308">
            <v>0</v>
          </cell>
          <cell r="AN308">
            <v>161</v>
          </cell>
          <cell r="AO308" t="str">
            <v>Net cash (debt)</v>
          </cell>
          <cell r="AP308" t="str">
            <v>m</v>
          </cell>
          <cell r="AQ308">
            <v>0</v>
          </cell>
          <cell r="AR308">
            <v>0</v>
          </cell>
          <cell r="AS308">
            <v>0</v>
          </cell>
          <cell r="AT308">
            <v>0</v>
          </cell>
          <cell r="AU308" t="e">
            <v>#VALUE!</v>
          </cell>
          <cell r="AV308" t="e">
            <v>#VALUE!</v>
          </cell>
        </row>
        <row r="309">
          <cell r="A309">
            <v>162</v>
          </cell>
          <cell r="B309" t="str">
            <v>1b_other_current_assets</v>
          </cell>
          <cell r="C309" t="str">
            <v>Other current assets</v>
          </cell>
          <cell r="D309" t="str">
            <v>(m)</v>
          </cell>
          <cell r="E309">
            <v>0</v>
          </cell>
          <cell r="F309">
            <v>0</v>
          </cell>
          <cell r="G309">
            <v>0</v>
          </cell>
          <cell r="H309">
            <v>0</v>
          </cell>
          <cell r="I309">
            <v>0</v>
          </cell>
          <cell r="J309">
            <v>0</v>
          </cell>
          <cell r="K309">
            <v>0</v>
          </cell>
          <cell r="L309">
            <v>0</v>
          </cell>
          <cell r="M309">
            <v>0</v>
          </cell>
          <cell r="N309" t="str">
            <v>b_other_current_assets</v>
          </cell>
          <cell r="O309">
            <v>0</v>
          </cell>
          <cell r="P309">
            <v>0</v>
          </cell>
          <cell r="Q309">
            <v>1000000</v>
          </cell>
          <cell r="R309" t="str">
            <v>E</v>
          </cell>
          <cell r="S309">
            <v>2</v>
          </cell>
          <cell r="T309" t="str">
            <v>null</v>
          </cell>
          <cell r="U309">
            <v>1</v>
          </cell>
          <cell r="V309">
            <v>0</v>
          </cell>
          <cell r="W309">
            <v>0</v>
          </cell>
          <cell r="X309">
            <v>0</v>
          </cell>
          <cell r="Y309">
            <v>0</v>
          </cell>
          <cell r="Z309">
            <v>0</v>
          </cell>
          <cell r="AA309">
            <v>442</v>
          </cell>
          <cell r="AB309" t="str">
            <v>Balance Sheet</v>
          </cell>
          <cell r="AC309">
            <v>304</v>
          </cell>
          <cell r="AD309">
            <v>0</v>
          </cell>
          <cell r="AE309">
            <v>0</v>
          </cell>
          <cell r="AF309">
            <v>0</v>
          </cell>
          <cell r="AG309">
            <v>0</v>
          </cell>
          <cell r="AH309">
            <v>0</v>
          </cell>
          <cell r="AI309">
            <v>0</v>
          </cell>
          <cell r="AJ309">
            <v>0</v>
          </cell>
          <cell r="AK309">
            <v>0</v>
          </cell>
          <cell r="AL309">
            <v>0</v>
          </cell>
          <cell r="AM309">
            <v>0</v>
          </cell>
          <cell r="AN309">
            <v>162</v>
          </cell>
          <cell r="AO309" t="str">
            <v>Other current assets</v>
          </cell>
          <cell r="AP309" t="str">
            <v>m</v>
          </cell>
          <cell r="AQ309">
            <v>0</v>
          </cell>
          <cell r="AR309">
            <v>0</v>
          </cell>
          <cell r="AS309">
            <v>0</v>
          </cell>
          <cell r="AT309">
            <v>0</v>
          </cell>
          <cell r="AU309" t="e">
            <v>#VALUE!</v>
          </cell>
          <cell r="AV309" t="e">
            <v>#VALUE!</v>
          </cell>
        </row>
        <row r="310">
          <cell r="A310">
            <v>162.19999999999999</v>
          </cell>
          <cell r="B310" t="str">
            <v>1b_total_current_assets</v>
          </cell>
          <cell r="C310" t="str">
            <v>Total current assets</v>
          </cell>
          <cell r="D310" t="str">
            <v>(m)</v>
          </cell>
          <cell r="E310">
            <v>0</v>
          </cell>
          <cell r="F310">
            <v>0</v>
          </cell>
          <cell r="G310">
            <v>0</v>
          </cell>
          <cell r="H310">
            <v>0</v>
          </cell>
          <cell r="I310">
            <v>0</v>
          </cell>
          <cell r="J310">
            <v>0</v>
          </cell>
          <cell r="K310">
            <v>0</v>
          </cell>
          <cell r="L310">
            <v>0</v>
          </cell>
          <cell r="M310">
            <v>0</v>
          </cell>
          <cell r="N310" t="str">
            <v>b_total_current_assets</v>
          </cell>
          <cell r="O310">
            <v>0</v>
          </cell>
          <cell r="P310">
            <v>0</v>
          </cell>
          <cell r="Q310">
            <v>1000000</v>
          </cell>
          <cell r="R310" t="str">
            <v>E</v>
          </cell>
          <cell r="S310">
            <v>2</v>
          </cell>
          <cell r="T310" t="str">
            <v>null</v>
          </cell>
          <cell r="U310">
            <v>1</v>
          </cell>
          <cell r="V310">
            <v>0</v>
          </cell>
          <cell r="W310">
            <v>0</v>
          </cell>
          <cell r="X310">
            <v>0</v>
          </cell>
          <cell r="Y310">
            <v>0</v>
          </cell>
          <cell r="Z310">
            <v>0</v>
          </cell>
          <cell r="AA310">
            <v>558</v>
          </cell>
          <cell r="AB310" t="str">
            <v>Balance Sheet</v>
          </cell>
          <cell r="AC310">
            <v>305</v>
          </cell>
          <cell r="AD310">
            <v>0</v>
          </cell>
          <cell r="AE310">
            <v>0</v>
          </cell>
          <cell r="AF310">
            <v>0</v>
          </cell>
          <cell r="AG310">
            <v>0</v>
          </cell>
          <cell r="AH310">
            <v>0</v>
          </cell>
          <cell r="AI310">
            <v>0</v>
          </cell>
          <cell r="AJ310">
            <v>0</v>
          </cell>
          <cell r="AK310">
            <v>0</v>
          </cell>
          <cell r="AL310">
            <v>0</v>
          </cell>
          <cell r="AM310">
            <v>0</v>
          </cell>
          <cell r="AN310" t="e">
            <v>#N/A</v>
          </cell>
          <cell r="AO310" t="e">
            <v>#N/A</v>
          </cell>
          <cell r="AP310" t="e">
            <v>#N/A</v>
          </cell>
          <cell r="AQ310" t="e">
            <v>#N/A</v>
          </cell>
          <cell r="AR310" t="e">
            <v>#N/A</v>
          </cell>
          <cell r="AS310" t="e">
            <v>#N/A</v>
          </cell>
          <cell r="AT310" t="e">
            <v>#N/A</v>
          </cell>
          <cell r="AU310" t="e">
            <v>#N/A</v>
          </cell>
          <cell r="AV310" t="e">
            <v>#N/A</v>
          </cell>
        </row>
        <row r="311">
          <cell r="A311">
            <v>163.5</v>
          </cell>
          <cell r="B311" t="str">
            <v>1b_total_assets</v>
          </cell>
          <cell r="C311" t="str">
            <v>Total assets</v>
          </cell>
          <cell r="D311" t="str">
            <v>(m)</v>
          </cell>
          <cell r="E311">
            <v>0</v>
          </cell>
          <cell r="F311">
            <v>0</v>
          </cell>
          <cell r="G311">
            <v>0</v>
          </cell>
          <cell r="H311">
            <v>0</v>
          </cell>
          <cell r="I311">
            <v>0</v>
          </cell>
          <cell r="J311">
            <v>0</v>
          </cell>
          <cell r="K311">
            <v>0</v>
          </cell>
          <cell r="L311">
            <v>0</v>
          </cell>
          <cell r="M311">
            <v>0</v>
          </cell>
          <cell r="N311" t="str">
            <v>b_total_assets</v>
          </cell>
          <cell r="O311">
            <v>0</v>
          </cell>
          <cell r="P311">
            <v>0</v>
          </cell>
          <cell r="Q311">
            <v>1000000</v>
          </cell>
          <cell r="R311" t="str">
            <v>E</v>
          </cell>
          <cell r="S311">
            <v>2</v>
          </cell>
          <cell r="T311" t="str">
            <v>null</v>
          </cell>
          <cell r="U311">
            <v>1</v>
          </cell>
          <cell r="V311">
            <v>0</v>
          </cell>
          <cell r="W311">
            <v>0</v>
          </cell>
          <cell r="X311">
            <v>0</v>
          </cell>
          <cell r="Y311">
            <v>0</v>
          </cell>
          <cell r="Z311">
            <v>0</v>
          </cell>
          <cell r="AA311">
            <v>555</v>
          </cell>
          <cell r="AB311" t="str">
            <v>Balance Sheet</v>
          </cell>
          <cell r="AC311">
            <v>306</v>
          </cell>
          <cell r="AD311">
            <v>0</v>
          </cell>
          <cell r="AE311">
            <v>0</v>
          </cell>
          <cell r="AF311">
            <v>0</v>
          </cell>
          <cell r="AG311">
            <v>0</v>
          </cell>
          <cell r="AH311">
            <v>0</v>
          </cell>
          <cell r="AI311">
            <v>0</v>
          </cell>
          <cell r="AJ311">
            <v>0</v>
          </cell>
          <cell r="AK311">
            <v>0</v>
          </cell>
          <cell r="AL311">
            <v>0</v>
          </cell>
          <cell r="AM311">
            <v>0</v>
          </cell>
          <cell r="AN311">
            <v>163</v>
          </cell>
          <cell r="AO311" t="str">
            <v xml:space="preserve">Total Assets </v>
          </cell>
          <cell r="AP311" t="str">
            <v>m</v>
          </cell>
          <cell r="AQ311" t="str">
            <v>Capital Employed</v>
          </cell>
          <cell r="AR311">
            <v>0</v>
          </cell>
          <cell r="AS311">
            <v>0</v>
          </cell>
          <cell r="AT311">
            <v>0</v>
          </cell>
          <cell r="AU311" t="e">
            <v>#VALUE!</v>
          </cell>
          <cell r="AV311" t="e">
            <v>#VALUE!</v>
          </cell>
        </row>
        <row r="312">
          <cell r="A312">
            <v>163</v>
          </cell>
          <cell r="B312" t="str">
            <v>1b_total_assets</v>
          </cell>
          <cell r="C312" t="str">
            <v>Total net assets</v>
          </cell>
          <cell r="D312" t="str">
            <v>(m)</v>
          </cell>
          <cell r="E312">
            <v>0</v>
          </cell>
          <cell r="F312">
            <v>0</v>
          </cell>
          <cell r="G312">
            <v>0</v>
          </cell>
          <cell r="H312">
            <v>0</v>
          </cell>
          <cell r="I312">
            <v>0</v>
          </cell>
          <cell r="J312">
            <v>0</v>
          </cell>
          <cell r="K312">
            <v>0</v>
          </cell>
          <cell r="L312">
            <v>0</v>
          </cell>
          <cell r="M312">
            <v>0</v>
          </cell>
          <cell r="N312" t="str">
            <v>b_total_assets</v>
          </cell>
          <cell r="O312">
            <v>0</v>
          </cell>
          <cell r="P312">
            <v>0</v>
          </cell>
          <cell r="Q312">
            <v>1000000</v>
          </cell>
          <cell r="R312" t="str">
            <v>E</v>
          </cell>
          <cell r="S312">
            <v>2</v>
          </cell>
          <cell r="T312" t="str">
            <v>null</v>
          </cell>
          <cell r="U312">
            <v>1</v>
          </cell>
          <cell r="V312">
            <v>0</v>
          </cell>
          <cell r="W312">
            <v>0</v>
          </cell>
          <cell r="X312">
            <v>0</v>
          </cell>
          <cell r="Y312">
            <v>0</v>
          </cell>
          <cell r="Z312">
            <v>0</v>
          </cell>
          <cell r="AA312">
            <v>555</v>
          </cell>
          <cell r="AB312" t="str">
            <v>Balance Sheet</v>
          </cell>
          <cell r="AC312">
            <v>306</v>
          </cell>
          <cell r="AD312">
            <v>0</v>
          </cell>
          <cell r="AE312">
            <v>0</v>
          </cell>
          <cell r="AF312">
            <v>0</v>
          </cell>
          <cell r="AG312">
            <v>0</v>
          </cell>
          <cell r="AH312">
            <v>0</v>
          </cell>
          <cell r="AI312">
            <v>0</v>
          </cell>
          <cell r="AJ312">
            <v>0</v>
          </cell>
          <cell r="AK312">
            <v>0</v>
          </cell>
          <cell r="AL312">
            <v>0</v>
          </cell>
          <cell r="AM312">
            <v>0</v>
          </cell>
          <cell r="AN312">
            <v>163</v>
          </cell>
          <cell r="AO312" t="str">
            <v xml:space="preserve">Total Assets </v>
          </cell>
          <cell r="AP312" t="str">
            <v>m</v>
          </cell>
          <cell r="AQ312" t="str">
            <v>Capital Employed</v>
          </cell>
          <cell r="AR312">
            <v>0</v>
          </cell>
          <cell r="AS312">
            <v>0</v>
          </cell>
          <cell r="AT312">
            <v>0</v>
          </cell>
          <cell r="AU312" t="e">
            <v>#VALUE!</v>
          </cell>
          <cell r="AV312" t="e">
            <v>#VALUE!</v>
          </cell>
        </row>
        <row r="313">
          <cell r="A313">
            <v>164</v>
          </cell>
          <cell r="B313" t="str">
            <v>1b_other_cur_liabs</v>
          </cell>
          <cell r="C313" t="str">
            <v>Other current liabilities</v>
          </cell>
          <cell r="D313" t="str">
            <v>(m)</v>
          </cell>
          <cell r="E313">
            <v>0</v>
          </cell>
          <cell r="F313">
            <v>0</v>
          </cell>
          <cell r="G313">
            <v>0</v>
          </cell>
          <cell r="H313">
            <v>0</v>
          </cell>
          <cell r="I313">
            <v>0</v>
          </cell>
          <cell r="J313">
            <v>0</v>
          </cell>
          <cell r="K313">
            <v>0</v>
          </cell>
          <cell r="L313">
            <v>0</v>
          </cell>
          <cell r="M313">
            <v>0</v>
          </cell>
          <cell r="N313" t="str">
            <v>b_other_cur_liabs</v>
          </cell>
          <cell r="O313">
            <v>0</v>
          </cell>
          <cell r="P313">
            <v>0</v>
          </cell>
          <cell r="Q313">
            <v>1000000</v>
          </cell>
          <cell r="R313" t="str">
            <v>E</v>
          </cell>
          <cell r="S313">
            <v>2</v>
          </cell>
          <cell r="T313" t="str">
            <v>null</v>
          </cell>
          <cell r="U313">
            <v>1</v>
          </cell>
          <cell r="V313">
            <v>0</v>
          </cell>
          <cell r="W313">
            <v>0</v>
          </cell>
          <cell r="X313">
            <v>0</v>
          </cell>
          <cell r="Y313">
            <v>0</v>
          </cell>
          <cell r="Z313">
            <v>0</v>
          </cell>
          <cell r="AA313">
            <v>443</v>
          </cell>
          <cell r="AB313" t="str">
            <v>Balance Sheet</v>
          </cell>
          <cell r="AC313">
            <v>307</v>
          </cell>
          <cell r="AD313">
            <v>0</v>
          </cell>
          <cell r="AE313">
            <v>0</v>
          </cell>
          <cell r="AF313">
            <v>0</v>
          </cell>
          <cell r="AG313">
            <v>0</v>
          </cell>
          <cell r="AH313">
            <v>0</v>
          </cell>
          <cell r="AI313">
            <v>0</v>
          </cell>
          <cell r="AJ313">
            <v>0</v>
          </cell>
          <cell r="AK313">
            <v>0</v>
          </cell>
          <cell r="AL313">
            <v>0</v>
          </cell>
          <cell r="AM313">
            <v>0</v>
          </cell>
          <cell r="AN313">
            <v>164</v>
          </cell>
          <cell r="AO313" t="str">
            <v>Other current liabilities</v>
          </cell>
          <cell r="AP313" t="str">
            <v>m</v>
          </cell>
          <cell r="AQ313">
            <v>0</v>
          </cell>
          <cell r="AR313">
            <v>0</v>
          </cell>
          <cell r="AS313">
            <v>0</v>
          </cell>
          <cell r="AT313">
            <v>0</v>
          </cell>
          <cell r="AU313" t="e">
            <v>#VALUE!</v>
          </cell>
          <cell r="AV313" t="e">
            <v>#VALUE!</v>
          </cell>
        </row>
        <row r="314">
          <cell r="A314">
            <v>165</v>
          </cell>
          <cell r="B314" t="str">
            <v>1b_provs_lt_liabs</v>
          </cell>
          <cell r="C314" t="str">
            <v>Provisions &amp; long term liabilities</v>
          </cell>
          <cell r="D314" t="str">
            <v>(m)</v>
          </cell>
          <cell r="E314">
            <v>0</v>
          </cell>
          <cell r="F314">
            <v>0</v>
          </cell>
          <cell r="G314">
            <v>0</v>
          </cell>
          <cell r="H314">
            <v>0</v>
          </cell>
          <cell r="I314">
            <v>0</v>
          </cell>
          <cell r="J314">
            <v>0</v>
          </cell>
          <cell r="K314">
            <v>0</v>
          </cell>
          <cell r="L314">
            <v>0</v>
          </cell>
          <cell r="M314">
            <v>0</v>
          </cell>
          <cell r="N314" t="str">
            <v>b_provs_lt_liabs</v>
          </cell>
          <cell r="O314">
            <v>0</v>
          </cell>
          <cell r="P314">
            <v>0</v>
          </cell>
          <cell r="Q314">
            <v>1000000</v>
          </cell>
          <cell r="R314" t="str">
            <v>E</v>
          </cell>
          <cell r="S314">
            <v>2</v>
          </cell>
          <cell r="T314" t="str">
            <v>null</v>
          </cell>
          <cell r="U314">
            <v>1</v>
          </cell>
          <cell r="V314">
            <v>0</v>
          </cell>
          <cell r="W314">
            <v>0</v>
          </cell>
          <cell r="X314">
            <v>0</v>
          </cell>
          <cell r="Y314">
            <v>0</v>
          </cell>
          <cell r="Z314">
            <v>0</v>
          </cell>
          <cell r="AA314">
            <v>492</v>
          </cell>
          <cell r="AB314" t="str">
            <v>Balance Sheet</v>
          </cell>
          <cell r="AC314">
            <v>308</v>
          </cell>
          <cell r="AD314">
            <v>0</v>
          </cell>
          <cell r="AE314">
            <v>0</v>
          </cell>
          <cell r="AF314">
            <v>0</v>
          </cell>
          <cell r="AG314">
            <v>0</v>
          </cell>
          <cell r="AH314">
            <v>0</v>
          </cell>
          <cell r="AI314">
            <v>0</v>
          </cell>
          <cell r="AJ314">
            <v>0</v>
          </cell>
          <cell r="AK314">
            <v>0</v>
          </cell>
          <cell r="AL314">
            <v>0</v>
          </cell>
          <cell r="AM314">
            <v>0</v>
          </cell>
          <cell r="AN314">
            <v>165</v>
          </cell>
          <cell r="AO314" t="str">
            <v>Provisions &amp; Long term liabilities</v>
          </cell>
          <cell r="AP314" t="str">
            <v>m</v>
          </cell>
          <cell r="AQ314">
            <v>0</v>
          </cell>
          <cell r="AR314">
            <v>0</v>
          </cell>
          <cell r="AS314">
            <v>0</v>
          </cell>
          <cell r="AT314">
            <v>0</v>
          </cell>
          <cell r="AU314" t="e">
            <v>#VALUE!</v>
          </cell>
          <cell r="AV314" t="e">
            <v>#VALUE!</v>
          </cell>
        </row>
        <row r="315">
          <cell r="A315">
            <v>166</v>
          </cell>
          <cell r="B315" t="str">
            <v>1b_minorities_pref_shares</v>
          </cell>
          <cell r="C315" t="str">
            <v>Minorities &amp; preference shares</v>
          </cell>
          <cell r="D315" t="str">
            <v>(m)</v>
          </cell>
          <cell r="E315">
            <v>0</v>
          </cell>
          <cell r="F315">
            <v>0</v>
          </cell>
          <cell r="G315">
            <v>0</v>
          </cell>
          <cell r="H315">
            <v>0</v>
          </cell>
          <cell r="I315">
            <v>0</v>
          </cell>
          <cell r="J315">
            <v>0</v>
          </cell>
          <cell r="K315">
            <v>0</v>
          </cell>
          <cell r="L315">
            <v>0</v>
          </cell>
          <cell r="M315">
            <v>0</v>
          </cell>
          <cell r="N315" t="str">
            <v>b_minorities_pref_shares</v>
          </cell>
          <cell r="O315">
            <v>0</v>
          </cell>
          <cell r="P315">
            <v>0</v>
          </cell>
          <cell r="Q315">
            <v>1000000</v>
          </cell>
          <cell r="R315" t="str">
            <v>E</v>
          </cell>
          <cell r="S315">
            <v>2</v>
          </cell>
          <cell r="T315" t="str">
            <v>null</v>
          </cell>
          <cell r="U315">
            <v>1</v>
          </cell>
          <cell r="V315">
            <v>0</v>
          </cell>
          <cell r="W315">
            <v>0</v>
          </cell>
          <cell r="X315">
            <v>0</v>
          </cell>
          <cell r="Y315">
            <v>0</v>
          </cell>
          <cell r="Z315">
            <v>0</v>
          </cell>
          <cell r="AA315">
            <v>340</v>
          </cell>
          <cell r="AB315" t="str">
            <v>Balance Sheet</v>
          </cell>
          <cell r="AC315">
            <v>309</v>
          </cell>
          <cell r="AD315">
            <v>0</v>
          </cell>
          <cell r="AE315">
            <v>0</v>
          </cell>
          <cell r="AF315">
            <v>0</v>
          </cell>
          <cell r="AG315">
            <v>0</v>
          </cell>
          <cell r="AH315">
            <v>0</v>
          </cell>
          <cell r="AI315">
            <v>0</v>
          </cell>
          <cell r="AJ315">
            <v>0</v>
          </cell>
          <cell r="AK315">
            <v>0</v>
          </cell>
          <cell r="AL315">
            <v>0</v>
          </cell>
          <cell r="AM315">
            <v>0</v>
          </cell>
          <cell r="AN315">
            <v>166</v>
          </cell>
          <cell r="AO315" t="str">
            <v>Minorities &amp; preference shares</v>
          </cell>
          <cell r="AP315" t="str">
            <v>m</v>
          </cell>
          <cell r="AQ315">
            <v>0</v>
          </cell>
          <cell r="AR315">
            <v>0</v>
          </cell>
          <cell r="AS315">
            <v>0</v>
          </cell>
          <cell r="AT315">
            <v>0</v>
          </cell>
          <cell r="AU315" t="e">
            <v>#VALUE!</v>
          </cell>
          <cell r="AV315" t="e">
            <v>#VALUE!</v>
          </cell>
        </row>
        <row r="316">
          <cell r="A316">
            <v>167</v>
          </cell>
          <cell r="B316" t="str">
            <v>1b_ord_sh_holders_funds</v>
          </cell>
          <cell r="C316" t="str">
            <v>Ordinary shareholders funds</v>
          </cell>
          <cell r="D316" t="str">
            <v>(m)</v>
          </cell>
          <cell r="E316">
            <v>0</v>
          </cell>
          <cell r="F316">
            <v>0</v>
          </cell>
          <cell r="G316">
            <v>0</v>
          </cell>
          <cell r="H316">
            <v>0</v>
          </cell>
          <cell r="I316">
            <v>0</v>
          </cell>
          <cell r="J316">
            <v>0</v>
          </cell>
          <cell r="K316">
            <v>0</v>
          </cell>
          <cell r="L316">
            <v>0</v>
          </cell>
          <cell r="M316">
            <v>0</v>
          </cell>
          <cell r="N316" t="str">
            <v>b_ord_sh_holders_funds</v>
          </cell>
          <cell r="O316">
            <v>0</v>
          </cell>
          <cell r="P316">
            <v>0</v>
          </cell>
          <cell r="Q316">
            <v>1000000</v>
          </cell>
          <cell r="R316" t="str">
            <v>E</v>
          </cell>
          <cell r="S316">
            <v>2</v>
          </cell>
          <cell r="T316" t="str">
            <v>null</v>
          </cell>
          <cell r="U316">
            <v>1</v>
          </cell>
          <cell r="V316">
            <v>0</v>
          </cell>
          <cell r="W316">
            <v>0</v>
          </cell>
          <cell r="X316">
            <v>0</v>
          </cell>
          <cell r="Y316">
            <v>0</v>
          </cell>
          <cell r="Z316">
            <v>0</v>
          </cell>
          <cell r="AA316">
            <v>439</v>
          </cell>
          <cell r="AB316" t="str">
            <v>Balance Sheet</v>
          </cell>
          <cell r="AC316">
            <v>310</v>
          </cell>
          <cell r="AD316">
            <v>0</v>
          </cell>
          <cell r="AE316">
            <v>0</v>
          </cell>
          <cell r="AF316">
            <v>0</v>
          </cell>
          <cell r="AG316">
            <v>0</v>
          </cell>
          <cell r="AH316">
            <v>0</v>
          </cell>
          <cell r="AI316">
            <v>0</v>
          </cell>
          <cell r="AJ316">
            <v>0</v>
          </cell>
          <cell r="AK316">
            <v>0</v>
          </cell>
          <cell r="AL316">
            <v>0</v>
          </cell>
          <cell r="AM316">
            <v>0</v>
          </cell>
          <cell r="AN316">
            <v>167</v>
          </cell>
          <cell r="AO316" t="str">
            <v>Ordinary shareholders funds</v>
          </cell>
          <cell r="AP316" t="str">
            <v>m</v>
          </cell>
          <cell r="AQ316">
            <v>0</v>
          </cell>
          <cell r="AR316">
            <v>0</v>
          </cell>
          <cell r="AS316">
            <v>0</v>
          </cell>
          <cell r="AT316">
            <v>0</v>
          </cell>
          <cell r="AU316" t="e">
            <v>#VALUE!</v>
          </cell>
          <cell r="AV316" t="e">
            <v>#VALUE!</v>
          </cell>
        </row>
        <row r="317">
          <cell r="A317">
            <v>167.2</v>
          </cell>
          <cell r="B317" t="str">
            <v>1b_adj_sh_holders_funds</v>
          </cell>
          <cell r="C317" t="str">
            <v>Adjusted shareholder funds</v>
          </cell>
          <cell r="D317" t="str">
            <v>(m)</v>
          </cell>
          <cell r="E317">
            <v>0</v>
          </cell>
          <cell r="F317">
            <v>0</v>
          </cell>
          <cell r="G317">
            <v>0</v>
          </cell>
          <cell r="H317">
            <v>0</v>
          </cell>
          <cell r="I317">
            <v>0</v>
          </cell>
          <cell r="J317">
            <v>0</v>
          </cell>
          <cell r="K317">
            <v>0</v>
          </cell>
          <cell r="L317">
            <v>0</v>
          </cell>
          <cell r="M317">
            <v>0</v>
          </cell>
          <cell r="N317" t="str">
            <v>b_adj_sh_holders_funds</v>
          </cell>
          <cell r="O317">
            <v>0</v>
          </cell>
          <cell r="P317">
            <v>0</v>
          </cell>
          <cell r="Q317">
            <v>1000000</v>
          </cell>
          <cell r="R317" t="str">
            <v>E</v>
          </cell>
          <cell r="S317">
            <v>2</v>
          </cell>
          <cell r="T317" t="str">
            <v>null</v>
          </cell>
          <cell r="U317">
            <v>1</v>
          </cell>
          <cell r="V317">
            <v>0</v>
          </cell>
          <cell r="W317">
            <v>0</v>
          </cell>
          <cell r="X317">
            <v>0</v>
          </cell>
          <cell r="Y317">
            <v>0</v>
          </cell>
          <cell r="Z317">
            <v>0</v>
          </cell>
          <cell r="AA317">
            <v>14</v>
          </cell>
          <cell r="AB317" t="str">
            <v>Balance Sheet</v>
          </cell>
          <cell r="AC317">
            <v>311</v>
          </cell>
          <cell r="AD317">
            <v>0</v>
          </cell>
          <cell r="AE317">
            <v>0</v>
          </cell>
          <cell r="AF317">
            <v>0</v>
          </cell>
          <cell r="AG317">
            <v>0</v>
          </cell>
          <cell r="AH317">
            <v>0</v>
          </cell>
          <cell r="AI317">
            <v>0</v>
          </cell>
          <cell r="AJ317">
            <v>0</v>
          </cell>
          <cell r="AK317">
            <v>0</v>
          </cell>
          <cell r="AL317">
            <v>0</v>
          </cell>
          <cell r="AM317">
            <v>0</v>
          </cell>
          <cell r="AN317" t="e">
            <v>#N/A</v>
          </cell>
          <cell r="AO317" t="e">
            <v>#N/A</v>
          </cell>
          <cell r="AP317" t="e">
            <v>#N/A</v>
          </cell>
          <cell r="AQ317" t="e">
            <v>#N/A</v>
          </cell>
          <cell r="AR317" t="e">
            <v>#N/A</v>
          </cell>
          <cell r="AS317" t="e">
            <v>#N/A</v>
          </cell>
          <cell r="AT317" t="e">
            <v>#N/A</v>
          </cell>
          <cell r="AU317" t="e">
            <v>#N/A</v>
          </cell>
          <cell r="AV317" t="e">
            <v>#N/A</v>
          </cell>
        </row>
        <row r="318">
          <cell r="A318">
            <v>379</v>
          </cell>
          <cell r="B318" t="str">
            <v>1b_pref_sh_holders_funds</v>
          </cell>
          <cell r="C318" t="str">
            <v>Preference shareholders funds</v>
          </cell>
          <cell r="D318" t="str">
            <v>(m)</v>
          </cell>
          <cell r="E318">
            <v>0</v>
          </cell>
          <cell r="F318">
            <v>0</v>
          </cell>
          <cell r="G318">
            <v>0</v>
          </cell>
          <cell r="H318">
            <v>0</v>
          </cell>
          <cell r="I318">
            <v>0</v>
          </cell>
          <cell r="J318">
            <v>0</v>
          </cell>
          <cell r="K318">
            <v>0</v>
          </cell>
          <cell r="L318">
            <v>0</v>
          </cell>
          <cell r="M318">
            <v>0</v>
          </cell>
          <cell r="N318" t="str">
            <v>b_pref_sh_holders_funds</v>
          </cell>
          <cell r="O318">
            <v>0</v>
          </cell>
          <cell r="P318">
            <v>0</v>
          </cell>
          <cell r="Q318">
            <v>1000000</v>
          </cell>
          <cell r="R318" t="str">
            <v>E</v>
          </cell>
          <cell r="S318">
            <v>2</v>
          </cell>
          <cell r="T318" t="str">
            <v>null</v>
          </cell>
          <cell r="U318">
            <v>1</v>
          </cell>
          <cell r="V318">
            <v>0</v>
          </cell>
          <cell r="W318">
            <v>0</v>
          </cell>
          <cell r="X318">
            <v>0</v>
          </cell>
          <cell r="Y318">
            <v>0</v>
          </cell>
          <cell r="Z318">
            <v>0</v>
          </cell>
          <cell r="AA318">
            <v>474</v>
          </cell>
          <cell r="AB318" t="str">
            <v>Balance Sheet</v>
          </cell>
          <cell r="AC318">
            <v>312</v>
          </cell>
          <cell r="AD318">
            <v>0</v>
          </cell>
          <cell r="AE318">
            <v>0</v>
          </cell>
          <cell r="AF318">
            <v>0</v>
          </cell>
          <cell r="AG318">
            <v>0</v>
          </cell>
          <cell r="AH318">
            <v>0</v>
          </cell>
          <cell r="AI318">
            <v>0</v>
          </cell>
          <cell r="AJ318">
            <v>0</v>
          </cell>
          <cell r="AK318">
            <v>0</v>
          </cell>
          <cell r="AL318">
            <v>0</v>
          </cell>
          <cell r="AM318">
            <v>0</v>
          </cell>
          <cell r="AN318" t="e">
            <v>#N/A</v>
          </cell>
          <cell r="AO318" t="e">
            <v>#N/A</v>
          </cell>
          <cell r="AP318" t="e">
            <v>#N/A</v>
          </cell>
          <cell r="AQ318" t="e">
            <v>#N/A</v>
          </cell>
          <cell r="AR318" t="e">
            <v>#N/A</v>
          </cell>
          <cell r="AS318" t="e">
            <v>#N/A</v>
          </cell>
          <cell r="AT318" t="e">
            <v>#N/A</v>
          </cell>
          <cell r="AU318" t="e">
            <v>#N/A</v>
          </cell>
          <cell r="AV318" t="e">
            <v>#N/A</v>
          </cell>
        </row>
        <row r="319">
          <cell r="A319">
            <v>402</v>
          </cell>
          <cell r="B319" t="str">
            <v>1b_non_eq_share_funds</v>
          </cell>
          <cell r="C319" t="str">
            <v>Non-equity shareholders funds</v>
          </cell>
          <cell r="D319" t="str">
            <v>(m)</v>
          </cell>
          <cell r="E319">
            <v>0</v>
          </cell>
          <cell r="F319">
            <v>0</v>
          </cell>
          <cell r="G319">
            <v>0</v>
          </cell>
          <cell r="H319">
            <v>0</v>
          </cell>
          <cell r="I319">
            <v>0</v>
          </cell>
          <cell r="J319">
            <v>0</v>
          </cell>
          <cell r="K319">
            <v>0</v>
          </cell>
          <cell r="L319">
            <v>0</v>
          </cell>
          <cell r="M319">
            <v>0</v>
          </cell>
          <cell r="N319" t="str">
            <v>b_non_eq_share_funds</v>
          </cell>
          <cell r="O319">
            <v>0</v>
          </cell>
          <cell r="P319">
            <v>0</v>
          </cell>
          <cell r="Q319">
            <v>1000000</v>
          </cell>
          <cell r="R319" t="str">
            <v>E</v>
          </cell>
          <cell r="S319">
            <v>2</v>
          </cell>
          <cell r="T319" t="str">
            <v>null</v>
          </cell>
          <cell r="U319">
            <v>1</v>
          </cell>
          <cell r="V319">
            <v>0</v>
          </cell>
          <cell r="W319">
            <v>0</v>
          </cell>
          <cell r="X319">
            <v>0</v>
          </cell>
          <cell r="Y319">
            <v>0</v>
          </cell>
          <cell r="Z319">
            <v>0</v>
          </cell>
          <cell r="AA319">
            <v>401</v>
          </cell>
          <cell r="AB319" t="str">
            <v>Balance Sheet</v>
          </cell>
          <cell r="AC319">
            <v>313</v>
          </cell>
          <cell r="AD319">
            <v>0</v>
          </cell>
          <cell r="AE319">
            <v>0</v>
          </cell>
          <cell r="AF319">
            <v>0</v>
          </cell>
          <cell r="AG319">
            <v>0</v>
          </cell>
          <cell r="AH319">
            <v>0</v>
          </cell>
          <cell r="AI319">
            <v>0</v>
          </cell>
          <cell r="AJ319">
            <v>0</v>
          </cell>
          <cell r="AK319">
            <v>0</v>
          </cell>
          <cell r="AL319">
            <v>0</v>
          </cell>
          <cell r="AM319">
            <v>0</v>
          </cell>
          <cell r="AN319" t="e">
            <v>#N/A</v>
          </cell>
          <cell r="AO319" t="e">
            <v>#N/A</v>
          </cell>
          <cell r="AP319" t="e">
            <v>#N/A</v>
          </cell>
          <cell r="AQ319" t="e">
            <v>#N/A</v>
          </cell>
          <cell r="AR319" t="e">
            <v>#N/A</v>
          </cell>
          <cell r="AS319" t="e">
            <v>#N/A</v>
          </cell>
          <cell r="AT319" t="e">
            <v>#N/A</v>
          </cell>
          <cell r="AU319" t="e">
            <v>#N/A</v>
          </cell>
          <cell r="AV319" t="e">
            <v>#N/A</v>
          </cell>
        </row>
        <row r="320">
          <cell r="A320">
            <v>380</v>
          </cell>
          <cell r="B320" t="str">
            <v>1b_non_dist_reserves</v>
          </cell>
          <cell r="C320" t="str">
            <v>Non distributable reserves</v>
          </cell>
          <cell r="D320" t="str">
            <v>(m)</v>
          </cell>
          <cell r="E320">
            <v>0</v>
          </cell>
          <cell r="F320">
            <v>0</v>
          </cell>
          <cell r="G320">
            <v>0</v>
          </cell>
          <cell r="H320">
            <v>0</v>
          </cell>
          <cell r="I320">
            <v>0</v>
          </cell>
          <cell r="J320">
            <v>0</v>
          </cell>
          <cell r="K320">
            <v>0</v>
          </cell>
          <cell r="L320">
            <v>0</v>
          </cell>
          <cell r="M320">
            <v>0</v>
          </cell>
          <cell r="N320" t="str">
            <v>b_non_dist_reserves</v>
          </cell>
          <cell r="O320">
            <v>0</v>
          </cell>
          <cell r="P320">
            <v>0</v>
          </cell>
          <cell r="Q320">
            <v>1000000</v>
          </cell>
          <cell r="R320" t="str">
            <v>E</v>
          </cell>
          <cell r="S320">
            <v>2</v>
          </cell>
          <cell r="T320" t="str">
            <v>null</v>
          </cell>
          <cell r="U320">
            <v>1</v>
          </cell>
          <cell r="V320">
            <v>0</v>
          </cell>
          <cell r="W320">
            <v>0</v>
          </cell>
          <cell r="X320">
            <v>0</v>
          </cell>
          <cell r="Y320">
            <v>0</v>
          </cell>
          <cell r="Z320">
            <v>0</v>
          </cell>
          <cell r="AA320">
            <v>397</v>
          </cell>
          <cell r="AB320" t="str">
            <v>Balance Sheet</v>
          </cell>
          <cell r="AC320">
            <v>314</v>
          </cell>
          <cell r="AD320">
            <v>0</v>
          </cell>
          <cell r="AE320">
            <v>0</v>
          </cell>
          <cell r="AF320">
            <v>0</v>
          </cell>
          <cell r="AG320">
            <v>0</v>
          </cell>
          <cell r="AH320">
            <v>0</v>
          </cell>
          <cell r="AI320">
            <v>0</v>
          </cell>
          <cell r="AJ320">
            <v>0</v>
          </cell>
          <cell r="AK320">
            <v>0</v>
          </cell>
          <cell r="AL320">
            <v>0</v>
          </cell>
          <cell r="AM320">
            <v>0</v>
          </cell>
          <cell r="AN320" t="e">
            <v>#N/A</v>
          </cell>
          <cell r="AO320" t="e">
            <v>#N/A</v>
          </cell>
          <cell r="AP320" t="e">
            <v>#N/A</v>
          </cell>
          <cell r="AQ320" t="e">
            <v>#N/A</v>
          </cell>
          <cell r="AR320" t="e">
            <v>#N/A</v>
          </cell>
          <cell r="AS320" t="e">
            <v>#N/A</v>
          </cell>
          <cell r="AT320" t="e">
            <v>#N/A</v>
          </cell>
          <cell r="AU320" t="e">
            <v>#N/A</v>
          </cell>
          <cell r="AV320" t="e">
            <v>#N/A</v>
          </cell>
        </row>
        <row r="321">
          <cell r="A321">
            <v>381</v>
          </cell>
          <cell r="B321" t="str">
            <v>1b_dist_reserves</v>
          </cell>
          <cell r="C321" t="str">
            <v>Distributable reserves</v>
          </cell>
          <cell r="D321" t="str">
            <v>(m)</v>
          </cell>
          <cell r="E321">
            <v>0</v>
          </cell>
          <cell r="F321">
            <v>0</v>
          </cell>
          <cell r="G321">
            <v>0</v>
          </cell>
          <cell r="H321">
            <v>0</v>
          </cell>
          <cell r="I321">
            <v>0</v>
          </cell>
          <cell r="J321">
            <v>0</v>
          </cell>
          <cell r="K321">
            <v>0</v>
          </cell>
          <cell r="L321">
            <v>0</v>
          </cell>
          <cell r="M321">
            <v>0</v>
          </cell>
          <cell r="N321" t="str">
            <v>b_dist_reserves</v>
          </cell>
          <cell r="O321">
            <v>0</v>
          </cell>
          <cell r="P321">
            <v>0</v>
          </cell>
          <cell r="Q321">
            <v>1000000</v>
          </cell>
          <cell r="R321" t="str">
            <v>E</v>
          </cell>
          <cell r="S321">
            <v>2</v>
          </cell>
          <cell r="T321" t="str">
            <v>null</v>
          </cell>
          <cell r="U321">
            <v>1</v>
          </cell>
          <cell r="V321">
            <v>0</v>
          </cell>
          <cell r="W321">
            <v>0</v>
          </cell>
          <cell r="X321">
            <v>0</v>
          </cell>
          <cell r="Y321">
            <v>0</v>
          </cell>
          <cell r="Z321">
            <v>0</v>
          </cell>
          <cell r="AA321">
            <v>145</v>
          </cell>
          <cell r="AB321" t="str">
            <v>Balance Sheet</v>
          </cell>
          <cell r="AC321">
            <v>315</v>
          </cell>
          <cell r="AD321">
            <v>0</v>
          </cell>
          <cell r="AE321">
            <v>0</v>
          </cell>
          <cell r="AF321">
            <v>0</v>
          </cell>
          <cell r="AG321">
            <v>0</v>
          </cell>
          <cell r="AH321">
            <v>0</v>
          </cell>
          <cell r="AI321">
            <v>0</v>
          </cell>
          <cell r="AJ321">
            <v>0</v>
          </cell>
          <cell r="AK321">
            <v>0</v>
          </cell>
          <cell r="AL321">
            <v>0</v>
          </cell>
          <cell r="AM321">
            <v>0</v>
          </cell>
          <cell r="AN321" t="e">
            <v>#N/A</v>
          </cell>
          <cell r="AO321" t="e">
            <v>#N/A</v>
          </cell>
          <cell r="AP321" t="e">
            <v>#N/A</v>
          </cell>
          <cell r="AQ321" t="e">
            <v>#N/A</v>
          </cell>
          <cell r="AR321" t="e">
            <v>#N/A</v>
          </cell>
          <cell r="AS321" t="e">
            <v>#N/A</v>
          </cell>
          <cell r="AT321" t="e">
            <v>#N/A</v>
          </cell>
          <cell r="AU321" t="e">
            <v>#N/A</v>
          </cell>
          <cell r="AV321" t="e">
            <v>#N/A</v>
          </cell>
        </row>
        <row r="322">
          <cell r="A322">
            <v>436</v>
          </cell>
          <cell r="B322" t="str">
            <v>1b_capital_employed</v>
          </cell>
          <cell r="C322" t="str">
            <v>Capital employed</v>
          </cell>
          <cell r="D322" t="str">
            <v>(m)</v>
          </cell>
          <cell r="E322">
            <v>0</v>
          </cell>
          <cell r="F322">
            <v>0</v>
          </cell>
          <cell r="G322">
            <v>0</v>
          </cell>
          <cell r="H322">
            <v>0</v>
          </cell>
          <cell r="I322">
            <v>0</v>
          </cell>
          <cell r="J322">
            <v>0</v>
          </cell>
          <cell r="K322">
            <v>0</v>
          </cell>
          <cell r="L322">
            <v>0</v>
          </cell>
          <cell r="M322">
            <v>0</v>
          </cell>
          <cell r="N322" t="str">
            <v>b_capital_employed</v>
          </cell>
          <cell r="O322">
            <v>0</v>
          </cell>
          <cell r="P322">
            <v>0</v>
          </cell>
          <cell r="Q322">
            <v>1000000</v>
          </cell>
          <cell r="R322" t="str">
            <v>E</v>
          </cell>
          <cell r="S322">
            <v>2</v>
          </cell>
          <cell r="T322" t="str">
            <v>null</v>
          </cell>
          <cell r="U322">
            <v>1</v>
          </cell>
          <cell r="V322" t="str">
            <v>UK/US</v>
          </cell>
          <cell r="W322">
            <v>0</v>
          </cell>
          <cell r="X322">
            <v>0</v>
          </cell>
          <cell r="Y322">
            <v>0</v>
          </cell>
          <cell r="Z322">
            <v>0</v>
          </cell>
          <cell r="AA322">
            <v>303</v>
          </cell>
          <cell r="AB322" t="str">
            <v>Balance Sheet</v>
          </cell>
          <cell r="AC322">
            <v>316</v>
          </cell>
          <cell r="AD322">
            <v>0</v>
          </cell>
          <cell r="AE322">
            <v>0</v>
          </cell>
          <cell r="AF322">
            <v>0</v>
          </cell>
          <cell r="AG322">
            <v>0</v>
          </cell>
          <cell r="AH322">
            <v>0</v>
          </cell>
          <cell r="AI322">
            <v>0</v>
          </cell>
          <cell r="AJ322">
            <v>0</v>
          </cell>
          <cell r="AK322">
            <v>0</v>
          </cell>
          <cell r="AL322">
            <v>0</v>
          </cell>
          <cell r="AM322">
            <v>0</v>
          </cell>
          <cell r="AN322">
            <v>168</v>
          </cell>
          <cell r="AO322" t="str">
            <v>Invested Capital</v>
          </cell>
          <cell r="AP322" t="str">
            <v>m</v>
          </cell>
          <cell r="AQ322">
            <v>0</v>
          </cell>
          <cell r="AR322">
            <v>0</v>
          </cell>
          <cell r="AS322">
            <v>0</v>
          </cell>
          <cell r="AT322">
            <v>0</v>
          </cell>
          <cell r="AU322" t="e">
            <v>#VALUE!</v>
          </cell>
          <cell r="AV322" t="e">
            <v>#VALUE!</v>
          </cell>
        </row>
        <row r="323">
          <cell r="A323">
            <v>168</v>
          </cell>
          <cell r="B323" t="str">
            <v>1b_inv_capital</v>
          </cell>
          <cell r="C323" t="str">
            <v>Invested capital</v>
          </cell>
          <cell r="D323" t="str">
            <v>(m)</v>
          </cell>
          <cell r="E323">
            <v>0</v>
          </cell>
          <cell r="F323">
            <v>0</v>
          </cell>
          <cell r="G323">
            <v>0</v>
          </cell>
          <cell r="H323">
            <v>0</v>
          </cell>
          <cell r="I323">
            <v>0</v>
          </cell>
          <cell r="J323">
            <v>0</v>
          </cell>
          <cell r="K323">
            <v>0</v>
          </cell>
          <cell r="L323">
            <v>0</v>
          </cell>
          <cell r="M323">
            <v>0</v>
          </cell>
          <cell r="N323" t="str">
            <v>b_inv_capital</v>
          </cell>
          <cell r="O323">
            <v>0</v>
          </cell>
          <cell r="P323">
            <v>0</v>
          </cell>
          <cell r="Q323">
            <v>1000000</v>
          </cell>
          <cell r="R323" t="str">
            <v>E</v>
          </cell>
          <cell r="S323">
            <v>2</v>
          </cell>
          <cell r="T323" t="str">
            <v>null</v>
          </cell>
          <cell r="U323">
            <v>1</v>
          </cell>
          <cell r="V323">
            <v>0</v>
          </cell>
          <cell r="W323">
            <v>0</v>
          </cell>
          <cell r="X323">
            <v>0</v>
          </cell>
          <cell r="Y323">
            <v>0</v>
          </cell>
          <cell r="Z323">
            <v>0</v>
          </cell>
          <cell r="AA323">
            <v>303</v>
          </cell>
          <cell r="AB323" t="str">
            <v>Balance Sheet</v>
          </cell>
          <cell r="AC323">
            <v>316</v>
          </cell>
          <cell r="AD323">
            <v>0</v>
          </cell>
          <cell r="AE323">
            <v>0</v>
          </cell>
          <cell r="AF323">
            <v>0</v>
          </cell>
          <cell r="AG323">
            <v>0</v>
          </cell>
          <cell r="AH323">
            <v>0</v>
          </cell>
          <cell r="AI323">
            <v>0</v>
          </cell>
          <cell r="AJ323">
            <v>0</v>
          </cell>
          <cell r="AK323">
            <v>0</v>
          </cell>
          <cell r="AL323">
            <v>0</v>
          </cell>
          <cell r="AM323">
            <v>0</v>
          </cell>
          <cell r="AN323">
            <v>168</v>
          </cell>
          <cell r="AO323" t="str">
            <v>Invested Capital</v>
          </cell>
          <cell r="AP323" t="str">
            <v>m</v>
          </cell>
          <cell r="AQ323">
            <v>0</v>
          </cell>
          <cell r="AR323">
            <v>0</v>
          </cell>
          <cell r="AS323">
            <v>0</v>
          </cell>
          <cell r="AT323">
            <v>0</v>
          </cell>
          <cell r="AU323" t="e">
            <v>#VALUE!</v>
          </cell>
          <cell r="AV323" t="e">
            <v>#VALUE!</v>
          </cell>
        </row>
        <row r="324">
          <cell r="A324">
            <v>382</v>
          </cell>
          <cell r="B324" t="str">
            <v>1b_cum_goodwill_wo_reserves</v>
          </cell>
          <cell r="C324" t="str">
            <v>Cumulative goodwill w/o to reserves</v>
          </cell>
          <cell r="D324" t="str">
            <v>(m)</v>
          </cell>
          <cell r="E324">
            <v>0</v>
          </cell>
          <cell r="F324">
            <v>0</v>
          </cell>
          <cell r="G324">
            <v>0</v>
          </cell>
          <cell r="H324">
            <v>0</v>
          </cell>
          <cell r="I324">
            <v>0</v>
          </cell>
          <cell r="J324">
            <v>0</v>
          </cell>
          <cell r="K324">
            <v>0</v>
          </cell>
          <cell r="L324">
            <v>0</v>
          </cell>
          <cell r="M324">
            <v>0</v>
          </cell>
          <cell r="N324" t="str">
            <v>b_cum_goodwill_wo_reserves</v>
          </cell>
          <cell r="O324">
            <v>0</v>
          </cell>
          <cell r="P324">
            <v>0</v>
          </cell>
          <cell r="Q324">
            <v>1000000</v>
          </cell>
          <cell r="R324" t="str">
            <v>E</v>
          </cell>
          <cell r="S324">
            <v>2</v>
          </cell>
          <cell r="T324" t="str">
            <v>null</v>
          </cell>
          <cell r="U324">
            <v>1</v>
          </cell>
          <cell r="V324">
            <v>0</v>
          </cell>
          <cell r="W324">
            <v>0</v>
          </cell>
          <cell r="X324">
            <v>0</v>
          </cell>
          <cell r="Y324">
            <v>0</v>
          </cell>
          <cell r="Z324">
            <v>0</v>
          </cell>
          <cell r="AA324">
            <v>95</v>
          </cell>
          <cell r="AB324" t="str">
            <v>Balance Sheet</v>
          </cell>
          <cell r="AC324">
            <v>317</v>
          </cell>
          <cell r="AD324">
            <v>0</v>
          </cell>
          <cell r="AE324">
            <v>0</v>
          </cell>
          <cell r="AF324">
            <v>0</v>
          </cell>
          <cell r="AG324">
            <v>0</v>
          </cell>
          <cell r="AH324">
            <v>0</v>
          </cell>
          <cell r="AI324">
            <v>0</v>
          </cell>
          <cell r="AJ324">
            <v>0</v>
          </cell>
          <cell r="AK324">
            <v>0</v>
          </cell>
          <cell r="AL324">
            <v>0</v>
          </cell>
          <cell r="AM324">
            <v>0</v>
          </cell>
          <cell r="AN324" t="e">
            <v>#N/A</v>
          </cell>
          <cell r="AO324" t="e">
            <v>#N/A</v>
          </cell>
          <cell r="AP324" t="e">
            <v>#N/A</v>
          </cell>
          <cell r="AQ324" t="e">
            <v>#N/A</v>
          </cell>
          <cell r="AR324" t="e">
            <v>#N/A</v>
          </cell>
          <cell r="AS324" t="e">
            <v>#N/A</v>
          </cell>
          <cell r="AT324" t="e">
            <v>#N/A</v>
          </cell>
          <cell r="AU324" t="e">
            <v>#N/A</v>
          </cell>
          <cell r="AV324" t="e">
            <v>#N/A</v>
          </cell>
        </row>
        <row r="325">
          <cell r="A325">
            <v>170</v>
          </cell>
          <cell r="B325" t="str">
            <v>1book_value_per_share</v>
          </cell>
          <cell r="C325" t="str">
            <v>Book value per share</v>
          </cell>
          <cell r="D325" t="str">
            <v>(unit)</v>
          </cell>
          <cell r="E325">
            <v>0</v>
          </cell>
          <cell r="F325">
            <v>0</v>
          </cell>
          <cell r="G325">
            <v>0</v>
          </cell>
          <cell r="H325">
            <v>0</v>
          </cell>
          <cell r="I325">
            <v>0</v>
          </cell>
          <cell r="J325">
            <v>0</v>
          </cell>
          <cell r="K325">
            <v>0</v>
          </cell>
          <cell r="L325">
            <v>0</v>
          </cell>
          <cell r="M325">
            <v>0</v>
          </cell>
          <cell r="N325" t="str">
            <v>book_value_per_share</v>
          </cell>
          <cell r="O325">
            <v>0</v>
          </cell>
          <cell r="P325">
            <v>0</v>
          </cell>
          <cell r="Q325">
            <v>1</v>
          </cell>
          <cell r="R325" t="str">
            <v>S</v>
          </cell>
          <cell r="S325">
            <v>2</v>
          </cell>
          <cell r="T325" t="str">
            <v>null</v>
          </cell>
          <cell r="U325">
            <v>1</v>
          </cell>
          <cell r="V325" t="str">
            <v>UK/US</v>
          </cell>
          <cell r="W325">
            <v>0</v>
          </cell>
          <cell r="X325">
            <v>0</v>
          </cell>
          <cell r="Y325">
            <v>0</v>
          </cell>
          <cell r="Z325">
            <v>0</v>
          </cell>
          <cell r="AA325">
            <v>43</v>
          </cell>
          <cell r="AB325" t="str">
            <v>Balance Sheet</v>
          </cell>
          <cell r="AC325">
            <v>321</v>
          </cell>
          <cell r="AD325">
            <v>0</v>
          </cell>
          <cell r="AE325">
            <v>0</v>
          </cell>
          <cell r="AF325">
            <v>0</v>
          </cell>
          <cell r="AG325">
            <v>0</v>
          </cell>
          <cell r="AH325">
            <v>0</v>
          </cell>
          <cell r="AI325">
            <v>0</v>
          </cell>
          <cell r="AJ325">
            <v>169</v>
          </cell>
          <cell r="AK325">
            <v>32</v>
          </cell>
          <cell r="AL325">
            <v>0</v>
          </cell>
          <cell r="AM325">
            <v>0</v>
          </cell>
          <cell r="AN325">
            <v>170</v>
          </cell>
          <cell r="AO325" t="str">
            <v>Book value per share*</v>
          </cell>
          <cell r="AP325" t="str">
            <v>p</v>
          </cell>
          <cell r="AQ325" t="str">
            <v>Net Asset Value, Embedded Value, Group Embedded Value</v>
          </cell>
          <cell r="AR325">
            <v>0</v>
          </cell>
          <cell r="AS325" t="str">
            <v>169/32</v>
          </cell>
          <cell r="AT325" t="str">
            <v>see note to 13. Ordinary shares only</v>
          </cell>
          <cell r="AU325" t="str">
            <v>169</v>
          </cell>
          <cell r="AV325" t="str">
            <v>32</v>
          </cell>
        </row>
        <row r="326">
          <cell r="A326">
            <v>170.1</v>
          </cell>
          <cell r="B326" t="str">
            <v>1book_value_per_share</v>
          </cell>
          <cell r="C326" t="str">
            <v>Net asset value per share</v>
          </cell>
          <cell r="D326" t="str">
            <v>(unit)</v>
          </cell>
          <cell r="E326">
            <v>0</v>
          </cell>
          <cell r="F326">
            <v>0</v>
          </cell>
          <cell r="G326">
            <v>0</v>
          </cell>
          <cell r="H326">
            <v>0</v>
          </cell>
          <cell r="I326">
            <v>0</v>
          </cell>
          <cell r="J326">
            <v>0</v>
          </cell>
          <cell r="K326">
            <v>0</v>
          </cell>
          <cell r="L326">
            <v>0</v>
          </cell>
          <cell r="M326">
            <v>0</v>
          </cell>
          <cell r="N326" t="str">
            <v>book_value_per_share</v>
          </cell>
          <cell r="O326">
            <v>0</v>
          </cell>
          <cell r="P326">
            <v>0</v>
          </cell>
          <cell r="Q326">
            <v>1</v>
          </cell>
          <cell r="R326" t="str">
            <v>S</v>
          </cell>
          <cell r="S326">
            <v>2</v>
          </cell>
          <cell r="T326" t="str">
            <v>null</v>
          </cell>
          <cell r="U326">
            <v>1</v>
          </cell>
          <cell r="V326" t="str">
            <v>UK/US</v>
          </cell>
          <cell r="W326">
            <v>0</v>
          </cell>
          <cell r="X326">
            <v>0</v>
          </cell>
          <cell r="Y326">
            <v>0</v>
          </cell>
          <cell r="Z326">
            <v>0</v>
          </cell>
          <cell r="AA326">
            <v>351</v>
          </cell>
          <cell r="AB326" t="str">
            <v>Balance Sheet</v>
          </cell>
          <cell r="AC326">
            <v>322</v>
          </cell>
          <cell r="AD326">
            <v>0</v>
          </cell>
          <cell r="AE326">
            <v>0</v>
          </cell>
          <cell r="AF326">
            <v>0</v>
          </cell>
          <cell r="AG326">
            <v>0</v>
          </cell>
          <cell r="AH326">
            <v>0</v>
          </cell>
          <cell r="AI326">
            <v>0</v>
          </cell>
          <cell r="AJ326">
            <v>0</v>
          </cell>
          <cell r="AK326">
            <v>0</v>
          </cell>
          <cell r="AL326">
            <v>0</v>
          </cell>
          <cell r="AM326">
            <v>0</v>
          </cell>
          <cell r="AN326" t="e">
            <v>#N/A</v>
          </cell>
          <cell r="AO326" t="e">
            <v>#N/A</v>
          </cell>
          <cell r="AP326" t="e">
            <v>#N/A</v>
          </cell>
          <cell r="AQ326" t="e">
            <v>#N/A</v>
          </cell>
          <cell r="AR326" t="e">
            <v>#N/A</v>
          </cell>
          <cell r="AS326" t="e">
            <v>#N/A</v>
          </cell>
          <cell r="AT326" t="e">
            <v>#N/A</v>
          </cell>
          <cell r="AU326" t="e">
            <v>#N/A</v>
          </cell>
          <cell r="AV326" t="e">
            <v>#N/A</v>
          </cell>
        </row>
        <row r="327">
          <cell r="A327">
            <v>170.4</v>
          </cell>
          <cell r="B327" t="str">
            <v>1book_value_per_share_exclmin</v>
          </cell>
          <cell r="C327" t="str">
            <v>Book value per share (excluding minorities)</v>
          </cell>
          <cell r="D327" t="str">
            <v>(unit)</v>
          </cell>
          <cell r="E327">
            <v>0</v>
          </cell>
          <cell r="F327">
            <v>0</v>
          </cell>
          <cell r="G327">
            <v>0</v>
          </cell>
          <cell r="H327">
            <v>0</v>
          </cell>
          <cell r="I327">
            <v>0</v>
          </cell>
          <cell r="J327">
            <v>0</v>
          </cell>
          <cell r="K327">
            <v>0</v>
          </cell>
          <cell r="L327">
            <v>0</v>
          </cell>
          <cell r="M327">
            <v>0</v>
          </cell>
          <cell r="N327" t="str">
            <v>book_value_per_share_exclmin</v>
          </cell>
          <cell r="O327">
            <v>0</v>
          </cell>
          <cell r="P327">
            <v>0</v>
          </cell>
          <cell r="Q327">
            <v>1</v>
          </cell>
          <cell r="R327" t="str">
            <v>S</v>
          </cell>
          <cell r="S327">
            <v>2</v>
          </cell>
          <cell r="T327" t="str">
            <v>null</v>
          </cell>
          <cell r="U327">
            <v>1</v>
          </cell>
          <cell r="V327">
            <v>0</v>
          </cell>
          <cell r="W327">
            <v>0</v>
          </cell>
          <cell r="X327">
            <v>0</v>
          </cell>
          <cell r="Y327">
            <v>0</v>
          </cell>
          <cell r="Z327">
            <v>0</v>
          </cell>
          <cell r="AA327">
            <v>46</v>
          </cell>
          <cell r="AB327" t="str">
            <v>Balance Sheet</v>
          </cell>
          <cell r="AC327">
            <v>324</v>
          </cell>
          <cell r="AD327">
            <v>0</v>
          </cell>
          <cell r="AE327">
            <v>0</v>
          </cell>
          <cell r="AF327">
            <v>0</v>
          </cell>
          <cell r="AG327">
            <v>0</v>
          </cell>
          <cell r="AH327">
            <v>0</v>
          </cell>
          <cell r="AI327">
            <v>0</v>
          </cell>
          <cell r="AJ327">
            <v>0</v>
          </cell>
          <cell r="AK327">
            <v>0</v>
          </cell>
          <cell r="AL327">
            <v>0</v>
          </cell>
          <cell r="AM327">
            <v>0</v>
          </cell>
          <cell r="AN327" t="e">
            <v>#N/A</v>
          </cell>
          <cell r="AO327" t="e">
            <v>#N/A</v>
          </cell>
          <cell r="AP327" t="e">
            <v>#N/A</v>
          </cell>
          <cell r="AQ327" t="e">
            <v>#N/A</v>
          </cell>
          <cell r="AR327" t="e">
            <v>#N/A</v>
          </cell>
          <cell r="AS327" t="e">
            <v>#N/A</v>
          </cell>
          <cell r="AT327" t="e">
            <v>#N/A</v>
          </cell>
          <cell r="AU327" t="e">
            <v>#N/A</v>
          </cell>
          <cell r="AV327" t="e">
            <v>#N/A</v>
          </cell>
        </row>
        <row r="328">
          <cell r="A328">
            <v>170.6</v>
          </cell>
          <cell r="B328" t="str">
            <v>1book_value_per_share_goodwill</v>
          </cell>
          <cell r="C328" t="str">
            <v>Book value per share (adjusted for goodwill)</v>
          </cell>
          <cell r="D328" t="str">
            <v>(unit)</v>
          </cell>
          <cell r="E328">
            <v>0</v>
          </cell>
          <cell r="F328">
            <v>0</v>
          </cell>
          <cell r="G328">
            <v>0</v>
          </cell>
          <cell r="H328">
            <v>0</v>
          </cell>
          <cell r="I328">
            <v>0</v>
          </cell>
          <cell r="J328">
            <v>0</v>
          </cell>
          <cell r="K328">
            <v>0</v>
          </cell>
          <cell r="L328">
            <v>0</v>
          </cell>
          <cell r="M328">
            <v>0</v>
          </cell>
          <cell r="N328" t="str">
            <v>book_value_per_share_goodwill</v>
          </cell>
          <cell r="O328">
            <v>0</v>
          </cell>
          <cell r="P328">
            <v>0</v>
          </cell>
          <cell r="Q328">
            <v>1</v>
          </cell>
          <cell r="R328" t="str">
            <v>S</v>
          </cell>
          <cell r="S328">
            <v>2</v>
          </cell>
          <cell r="T328" t="str">
            <v>null</v>
          </cell>
          <cell r="U328">
            <v>1</v>
          </cell>
          <cell r="V328">
            <v>0</v>
          </cell>
          <cell r="W328">
            <v>0</v>
          </cell>
          <cell r="X328">
            <v>0</v>
          </cell>
          <cell r="Y328">
            <v>0</v>
          </cell>
          <cell r="Z328">
            <v>0</v>
          </cell>
          <cell r="AA328">
            <v>45</v>
          </cell>
          <cell r="AB328" t="str">
            <v>Balance Sheet</v>
          </cell>
          <cell r="AC328">
            <v>325</v>
          </cell>
          <cell r="AD328">
            <v>0</v>
          </cell>
          <cell r="AE328">
            <v>0</v>
          </cell>
          <cell r="AF328">
            <v>0</v>
          </cell>
          <cell r="AG328">
            <v>0</v>
          </cell>
          <cell r="AH328">
            <v>0</v>
          </cell>
          <cell r="AI328">
            <v>0</v>
          </cell>
          <cell r="AJ328">
            <v>0</v>
          </cell>
          <cell r="AK328">
            <v>0</v>
          </cell>
          <cell r="AL328">
            <v>0</v>
          </cell>
          <cell r="AM328">
            <v>0</v>
          </cell>
          <cell r="AN328" t="e">
            <v>#N/A</v>
          </cell>
          <cell r="AO328" t="e">
            <v>#N/A</v>
          </cell>
          <cell r="AP328" t="e">
            <v>#N/A</v>
          </cell>
          <cell r="AQ328" t="e">
            <v>#N/A</v>
          </cell>
          <cell r="AR328" t="e">
            <v>#N/A</v>
          </cell>
          <cell r="AS328" t="e">
            <v>#N/A</v>
          </cell>
          <cell r="AT328" t="e">
            <v>#N/A</v>
          </cell>
          <cell r="AU328" t="e">
            <v>#N/A</v>
          </cell>
          <cell r="AV328" t="e">
            <v>#N/A</v>
          </cell>
        </row>
        <row r="329">
          <cell r="A329">
            <v>170.8</v>
          </cell>
          <cell r="B329" t="str">
            <v>1net_tangible_ass_per_share</v>
          </cell>
          <cell r="C329" t="str">
            <v>Net tangible assets per share</v>
          </cell>
          <cell r="D329" t="str">
            <v>(unit)</v>
          </cell>
          <cell r="E329">
            <v>0</v>
          </cell>
          <cell r="F329">
            <v>0</v>
          </cell>
          <cell r="G329">
            <v>0</v>
          </cell>
          <cell r="H329">
            <v>0</v>
          </cell>
          <cell r="I329">
            <v>0</v>
          </cell>
          <cell r="J329">
            <v>0</v>
          </cell>
          <cell r="K329">
            <v>0</v>
          </cell>
          <cell r="L329">
            <v>0</v>
          </cell>
          <cell r="M329">
            <v>0</v>
          </cell>
          <cell r="N329" t="str">
            <v>net_tangible_ass_per_share</v>
          </cell>
          <cell r="O329">
            <v>0</v>
          </cell>
          <cell r="P329">
            <v>0</v>
          </cell>
          <cell r="Q329">
            <v>1</v>
          </cell>
          <cell r="R329" t="str">
            <v>S</v>
          </cell>
          <cell r="S329">
            <v>2</v>
          </cell>
          <cell r="T329" t="str">
            <v>null</v>
          </cell>
          <cell r="U329">
            <v>1</v>
          </cell>
          <cell r="V329">
            <v>0</v>
          </cell>
          <cell r="W329">
            <v>0</v>
          </cell>
          <cell r="X329">
            <v>0</v>
          </cell>
          <cell r="Y329">
            <v>0</v>
          </cell>
          <cell r="Z329">
            <v>0</v>
          </cell>
          <cell r="AA329">
            <v>45</v>
          </cell>
          <cell r="AB329" t="str">
            <v>Balance Sheet</v>
          </cell>
          <cell r="AC329">
            <v>325</v>
          </cell>
          <cell r="AD329">
            <v>0</v>
          </cell>
          <cell r="AE329">
            <v>0</v>
          </cell>
          <cell r="AF329">
            <v>0</v>
          </cell>
          <cell r="AG329">
            <v>0</v>
          </cell>
          <cell r="AH329">
            <v>0</v>
          </cell>
          <cell r="AI329">
            <v>0</v>
          </cell>
          <cell r="AJ329">
            <v>0</v>
          </cell>
          <cell r="AK329">
            <v>0</v>
          </cell>
          <cell r="AL329">
            <v>0</v>
          </cell>
          <cell r="AM329">
            <v>0</v>
          </cell>
          <cell r="AN329" t="e">
            <v>#N/A</v>
          </cell>
          <cell r="AO329" t="e">
            <v>#N/A</v>
          </cell>
          <cell r="AP329" t="e">
            <v>#N/A</v>
          </cell>
          <cell r="AQ329" t="e">
            <v>#N/A</v>
          </cell>
          <cell r="AR329" t="e">
            <v>#N/A</v>
          </cell>
          <cell r="AS329" t="e">
            <v>#N/A</v>
          </cell>
          <cell r="AT329" t="e">
            <v>#N/A</v>
          </cell>
          <cell r="AU329" t="e">
            <v>#N/A</v>
          </cell>
          <cell r="AV329" t="e">
            <v>#N/A</v>
          </cell>
        </row>
        <row r="330">
          <cell r="A330">
            <v>430</v>
          </cell>
          <cell r="B330" t="str">
            <v>1frs3_per_share</v>
          </cell>
          <cell r="C330" t="str">
            <v>FRS3 liability per share</v>
          </cell>
          <cell r="D330" t="str">
            <v>(unit)</v>
          </cell>
          <cell r="E330">
            <v>0</v>
          </cell>
          <cell r="F330">
            <v>0</v>
          </cell>
          <cell r="G330">
            <v>0</v>
          </cell>
          <cell r="H330">
            <v>0</v>
          </cell>
          <cell r="I330">
            <v>0</v>
          </cell>
          <cell r="J330">
            <v>0</v>
          </cell>
          <cell r="K330">
            <v>0</v>
          </cell>
          <cell r="L330">
            <v>0</v>
          </cell>
          <cell r="M330">
            <v>0</v>
          </cell>
          <cell r="N330" t="str">
            <v>frs3_per_share</v>
          </cell>
          <cell r="O330">
            <v>0</v>
          </cell>
          <cell r="P330">
            <v>0</v>
          </cell>
          <cell r="Q330">
            <v>1</v>
          </cell>
          <cell r="R330" t="str">
            <v>S</v>
          </cell>
          <cell r="S330">
            <v>2</v>
          </cell>
          <cell r="T330" t="str">
            <v>null</v>
          </cell>
          <cell r="U330">
            <v>1</v>
          </cell>
          <cell r="V330">
            <v>0</v>
          </cell>
          <cell r="W330">
            <v>0</v>
          </cell>
          <cell r="X330">
            <v>0</v>
          </cell>
          <cell r="Y330">
            <v>0</v>
          </cell>
          <cell r="Z330">
            <v>0</v>
          </cell>
          <cell r="AA330">
            <v>255</v>
          </cell>
          <cell r="AB330" t="str">
            <v>Balance Sheet</v>
          </cell>
          <cell r="AC330">
            <v>327</v>
          </cell>
          <cell r="AD330">
            <v>0</v>
          </cell>
          <cell r="AE330">
            <v>0</v>
          </cell>
          <cell r="AF330">
            <v>0</v>
          </cell>
          <cell r="AG330">
            <v>0</v>
          </cell>
          <cell r="AH330">
            <v>0</v>
          </cell>
          <cell r="AI330">
            <v>0</v>
          </cell>
          <cell r="AJ330">
            <v>0</v>
          </cell>
          <cell r="AK330">
            <v>0</v>
          </cell>
          <cell r="AL330">
            <v>0</v>
          </cell>
          <cell r="AM330">
            <v>0</v>
          </cell>
          <cell r="AN330" t="e">
            <v>#N/A</v>
          </cell>
          <cell r="AO330" t="e">
            <v>#N/A</v>
          </cell>
          <cell r="AP330" t="e">
            <v>#N/A</v>
          </cell>
          <cell r="AQ330" t="e">
            <v>#N/A</v>
          </cell>
          <cell r="AR330" t="e">
            <v>#N/A</v>
          </cell>
          <cell r="AS330" t="e">
            <v>#N/A</v>
          </cell>
          <cell r="AT330" t="e">
            <v>#N/A</v>
          </cell>
          <cell r="AU330" t="e">
            <v>#N/A</v>
          </cell>
          <cell r="AV330" t="e">
            <v>#N/A</v>
          </cell>
        </row>
        <row r="331">
          <cell r="A331">
            <v>430.2</v>
          </cell>
          <cell r="B331" t="str">
            <v>1cgt_liability_value_per_share</v>
          </cell>
          <cell r="C331" t="str">
            <v>CGT liability per share</v>
          </cell>
          <cell r="D331" t="str">
            <v>(unit)</v>
          </cell>
          <cell r="E331">
            <v>0</v>
          </cell>
          <cell r="F331">
            <v>0</v>
          </cell>
          <cell r="G331">
            <v>0</v>
          </cell>
          <cell r="H331">
            <v>0</v>
          </cell>
          <cell r="I331">
            <v>0</v>
          </cell>
          <cell r="J331">
            <v>0</v>
          </cell>
          <cell r="K331">
            <v>0</v>
          </cell>
          <cell r="L331">
            <v>0</v>
          </cell>
          <cell r="M331">
            <v>0</v>
          </cell>
          <cell r="N331" t="str">
            <v>cgt_liability_value_per_share</v>
          </cell>
          <cell r="O331">
            <v>0</v>
          </cell>
          <cell r="P331">
            <v>0</v>
          </cell>
          <cell r="Q331">
            <v>1</v>
          </cell>
          <cell r="R331" t="str">
            <v>S</v>
          </cell>
          <cell r="S331">
            <v>2</v>
          </cell>
          <cell r="T331" t="str">
            <v>null</v>
          </cell>
          <cell r="U331">
            <v>1</v>
          </cell>
          <cell r="V331">
            <v>0</v>
          </cell>
          <cell r="W331">
            <v>0</v>
          </cell>
          <cell r="X331">
            <v>0</v>
          </cell>
          <cell r="Y331">
            <v>0</v>
          </cell>
          <cell r="Z331">
            <v>0</v>
          </cell>
          <cell r="AA331">
            <v>72</v>
          </cell>
          <cell r="AB331" t="str">
            <v>Balance Sheet</v>
          </cell>
          <cell r="AC331">
            <v>328</v>
          </cell>
          <cell r="AD331">
            <v>0</v>
          </cell>
          <cell r="AE331">
            <v>0</v>
          </cell>
          <cell r="AF331">
            <v>0</v>
          </cell>
          <cell r="AG331">
            <v>0</v>
          </cell>
          <cell r="AH331">
            <v>0</v>
          </cell>
          <cell r="AI331">
            <v>0</v>
          </cell>
          <cell r="AJ331">
            <v>0</v>
          </cell>
          <cell r="AK331">
            <v>0</v>
          </cell>
          <cell r="AL331">
            <v>0</v>
          </cell>
          <cell r="AM331">
            <v>0</v>
          </cell>
          <cell r="AN331" t="e">
            <v>#N/A</v>
          </cell>
          <cell r="AO331" t="e">
            <v>#N/A</v>
          </cell>
          <cell r="AP331" t="e">
            <v>#N/A</v>
          </cell>
          <cell r="AQ331" t="e">
            <v>#N/A</v>
          </cell>
          <cell r="AR331" t="e">
            <v>#N/A</v>
          </cell>
          <cell r="AS331" t="e">
            <v>#N/A</v>
          </cell>
          <cell r="AT331" t="e">
            <v>#N/A</v>
          </cell>
          <cell r="AU331" t="e">
            <v>#N/A</v>
          </cell>
          <cell r="AV331" t="e">
            <v>#N/A</v>
          </cell>
        </row>
        <row r="332">
          <cell r="A332">
            <v>430.4</v>
          </cell>
          <cell r="B332" t="str">
            <v>1book_value_after_frsandcgt_per_share</v>
          </cell>
          <cell r="C332" t="str">
            <v>NAV post FRS3 &amp; CGT per share</v>
          </cell>
          <cell r="D332" t="str">
            <v>(unit)</v>
          </cell>
          <cell r="E332">
            <v>0</v>
          </cell>
          <cell r="F332">
            <v>0</v>
          </cell>
          <cell r="G332">
            <v>0</v>
          </cell>
          <cell r="H332">
            <v>0</v>
          </cell>
          <cell r="I332">
            <v>0</v>
          </cell>
          <cell r="J332">
            <v>0</v>
          </cell>
          <cell r="K332">
            <v>0</v>
          </cell>
          <cell r="L332">
            <v>0</v>
          </cell>
          <cell r="M332">
            <v>0</v>
          </cell>
          <cell r="N332" t="str">
            <v>book_value_after_frsandcgt_per_share</v>
          </cell>
          <cell r="O332">
            <v>0</v>
          </cell>
          <cell r="P332">
            <v>0</v>
          </cell>
          <cell r="Q332">
            <v>1</v>
          </cell>
          <cell r="R332" t="str">
            <v>S</v>
          </cell>
          <cell r="S332">
            <v>2</v>
          </cell>
          <cell r="T332" t="str">
            <v>null</v>
          </cell>
          <cell r="U332">
            <v>1</v>
          </cell>
          <cell r="V332">
            <v>0</v>
          </cell>
          <cell r="W332">
            <v>0</v>
          </cell>
          <cell r="X332">
            <v>0</v>
          </cell>
          <cell r="Y332">
            <v>0</v>
          </cell>
          <cell r="Z332">
            <v>0</v>
          </cell>
          <cell r="AA332">
            <v>349</v>
          </cell>
          <cell r="AB332" t="str">
            <v>Balance Sheet</v>
          </cell>
          <cell r="AC332">
            <v>329</v>
          </cell>
          <cell r="AD332">
            <v>0</v>
          </cell>
          <cell r="AE332">
            <v>0</v>
          </cell>
          <cell r="AF332">
            <v>0</v>
          </cell>
          <cell r="AG332">
            <v>0</v>
          </cell>
          <cell r="AH332">
            <v>0</v>
          </cell>
          <cell r="AI332">
            <v>0</v>
          </cell>
          <cell r="AJ332">
            <v>0</v>
          </cell>
          <cell r="AK332">
            <v>0</v>
          </cell>
          <cell r="AL332">
            <v>0</v>
          </cell>
          <cell r="AM332">
            <v>0</v>
          </cell>
          <cell r="AN332" t="e">
            <v>#N/A</v>
          </cell>
          <cell r="AO332" t="e">
            <v>#N/A</v>
          </cell>
          <cell r="AP332" t="e">
            <v>#N/A</v>
          </cell>
          <cell r="AQ332" t="e">
            <v>#N/A</v>
          </cell>
          <cell r="AR332" t="e">
            <v>#N/A</v>
          </cell>
          <cell r="AS332" t="e">
            <v>#N/A</v>
          </cell>
          <cell r="AT332" t="e">
            <v>#N/A</v>
          </cell>
          <cell r="AU332" t="e">
            <v>#N/A</v>
          </cell>
          <cell r="AV332" t="e">
            <v>#N/A</v>
          </cell>
        </row>
        <row r="333">
          <cell r="A333">
            <v>171</v>
          </cell>
          <cell r="B333" t="str">
            <v>1weighted_av_num_shares</v>
          </cell>
          <cell r="C333" t="str">
            <v>Weighted average number of shares</v>
          </cell>
          <cell r="D333" t="str">
            <v>(m)</v>
          </cell>
          <cell r="E333">
            <v>0</v>
          </cell>
          <cell r="F333">
            <v>0</v>
          </cell>
          <cell r="G333">
            <v>0</v>
          </cell>
          <cell r="H333">
            <v>0</v>
          </cell>
          <cell r="I333">
            <v>0</v>
          </cell>
          <cell r="J333">
            <v>0</v>
          </cell>
          <cell r="K333">
            <v>0</v>
          </cell>
          <cell r="L333">
            <v>0</v>
          </cell>
          <cell r="M333">
            <v>0</v>
          </cell>
          <cell r="N333" t="str">
            <v>weighted_av_num_shares</v>
          </cell>
          <cell r="O333">
            <v>0</v>
          </cell>
          <cell r="P333">
            <v>0</v>
          </cell>
          <cell r="Q333">
            <v>1000000</v>
          </cell>
          <cell r="R333" t="str">
            <v>S</v>
          </cell>
          <cell r="S333">
            <v>2</v>
          </cell>
          <cell r="T333" t="str">
            <v>null</v>
          </cell>
          <cell r="U333">
            <v>1</v>
          </cell>
          <cell r="V333">
            <v>0</v>
          </cell>
          <cell r="W333">
            <v>0</v>
          </cell>
          <cell r="X333">
            <v>0</v>
          </cell>
          <cell r="Y333">
            <v>0</v>
          </cell>
          <cell r="Z333">
            <v>0</v>
          </cell>
          <cell r="AA333">
            <v>601</v>
          </cell>
          <cell r="AB333" t="str">
            <v>Balance Sheet</v>
          </cell>
          <cell r="AC333">
            <v>330</v>
          </cell>
          <cell r="AD333">
            <v>0</v>
          </cell>
          <cell r="AE333">
            <v>0</v>
          </cell>
          <cell r="AF333">
            <v>0</v>
          </cell>
          <cell r="AG333">
            <v>0</v>
          </cell>
          <cell r="AH333">
            <v>0</v>
          </cell>
          <cell r="AI333">
            <v>0</v>
          </cell>
          <cell r="AJ333">
            <v>0</v>
          </cell>
          <cell r="AK333">
            <v>0</v>
          </cell>
          <cell r="AL333">
            <v>0</v>
          </cell>
          <cell r="AM333">
            <v>0</v>
          </cell>
          <cell r="AN333">
            <v>171</v>
          </cell>
          <cell r="AO333" t="str">
            <v>Weighted Average Number of Shares</v>
          </cell>
          <cell r="AP333" t="str">
            <v>m</v>
          </cell>
          <cell r="AQ333">
            <v>0</v>
          </cell>
          <cell r="AR333">
            <v>0</v>
          </cell>
          <cell r="AS333">
            <v>0</v>
          </cell>
          <cell r="AT333">
            <v>0</v>
          </cell>
          <cell r="AU333" t="e">
            <v>#VALUE!</v>
          </cell>
          <cell r="AV333" t="e">
            <v>#VALUE!</v>
          </cell>
        </row>
        <row r="334">
          <cell r="A334">
            <v>383</v>
          </cell>
          <cell r="B334" t="str">
            <v>1w_av_num_shares_growth</v>
          </cell>
          <cell r="C334" t="str">
            <v>Weighted average number of shares growth y-o-y</v>
          </cell>
          <cell r="D334" t="str">
            <v>(%)</v>
          </cell>
          <cell r="E334">
            <v>0</v>
          </cell>
          <cell r="F334">
            <v>0</v>
          </cell>
          <cell r="G334">
            <v>0</v>
          </cell>
          <cell r="H334">
            <v>0</v>
          </cell>
          <cell r="I334">
            <v>0</v>
          </cell>
          <cell r="J334">
            <v>0</v>
          </cell>
          <cell r="K334">
            <v>0</v>
          </cell>
          <cell r="L334">
            <v>0</v>
          </cell>
          <cell r="M334">
            <v>0</v>
          </cell>
          <cell r="N334" t="str">
            <v>w_av_num_shares_growth</v>
          </cell>
          <cell r="O334">
            <v>0</v>
          </cell>
          <cell r="P334">
            <v>0</v>
          </cell>
          <cell r="Q334">
            <v>0.01</v>
          </cell>
          <cell r="R334" t="str">
            <v>S</v>
          </cell>
          <cell r="S334">
            <v>2</v>
          </cell>
          <cell r="T334" t="str">
            <v>null</v>
          </cell>
          <cell r="U334">
            <v>1</v>
          </cell>
          <cell r="V334">
            <v>0</v>
          </cell>
          <cell r="W334">
            <v>0</v>
          </cell>
          <cell r="X334">
            <v>0</v>
          </cell>
          <cell r="Y334">
            <v>0</v>
          </cell>
          <cell r="Z334">
            <v>0</v>
          </cell>
          <cell r="AA334">
            <v>602</v>
          </cell>
          <cell r="AB334" t="str">
            <v>Balance Sheet</v>
          </cell>
          <cell r="AC334">
            <v>331</v>
          </cell>
          <cell r="AD334">
            <v>0</v>
          </cell>
          <cell r="AE334">
            <v>0</v>
          </cell>
          <cell r="AF334">
            <v>0</v>
          </cell>
          <cell r="AG334">
            <v>0</v>
          </cell>
          <cell r="AH334">
            <v>0</v>
          </cell>
          <cell r="AI334">
            <v>0</v>
          </cell>
          <cell r="AJ334">
            <v>0</v>
          </cell>
          <cell r="AK334">
            <v>0</v>
          </cell>
          <cell r="AL334">
            <v>0</v>
          </cell>
          <cell r="AM334">
            <v>0</v>
          </cell>
          <cell r="AN334" t="e">
            <v>#N/A</v>
          </cell>
          <cell r="AO334" t="e">
            <v>#N/A</v>
          </cell>
          <cell r="AP334" t="e">
            <v>#N/A</v>
          </cell>
          <cell r="AQ334" t="e">
            <v>#N/A</v>
          </cell>
          <cell r="AR334" t="e">
            <v>#N/A</v>
          </cell>
          <cell r="AS334" t="e">
            <v>#N/A</v>
          </cell>
          <cell r="AT334" t="e">
            <v>#N/A</v>
          </cell>
          <cell r="AU334" t="e">
            <v>#N/A</v>
          </cell>
          <cell r="AV334" t="e">
            <v>#N/A</v>
          </cell>
        </row>
        <row r="335">
          <cell r="A335">
            <v>172</v>
          </cell>
          <cell r="B335" t="str">
            <v>1diluted_num_shares</v>
          </cell>
          <cell r="C335" t="str">
            <v>Diluted number of shares</v>
          </cell>
          <cell r="D335" t="str">
            <v>(m)</v>
          </cell>
          <cell r="E335">
            <v>0</v>
          </cell>
          <cell r="F335">
            <v>0</v>
          </cell>
          <cell r="G335">
            <v>0</v>
          </cell>
          <cell r="H335">
            <v>0</v>
          </cell>
          <cell r="I335">
            <v>0</v>
          </cell>
          <cell r="J335">
            <v>0</v>
          </cell>
          <cell r="K335">
            <v>0</v>
          </cell>
          <cell r="L335">
            <v>0</v>
          </cell>
          <cell r="M335">
            <v>0</v>
          </cell>
          <cell r="N335" t="str">
            <v>diluted_num_shares</v>
          </cell>
          <cell r="O335">
            <v>0</v>
          </cell>
          <cell r="P335">
            <v>0</v>
          </cell>
          <cell r="Q335">
            <v>1000000</v>
          </cell>
          <cell r="R335" t="str">
            <v>S</v>
          </cell>
          <cell r="S335">
            <v>2</v>
          </cell>
          <cell r="T335" t="str">
            <v>null</v>
          </cell>
          <cell r="U335">
            <v>1</v>
          </cell>
          <cell r="V335">
            <v>0</v>
          </cell>
          <cell r="W335">
            <v>0</v>
          </cell>
          <cell r="X335">
            <v>0</v>
          </cell>
          <cell r="Y335">
            <v>0</v>
          </cell>
          <cell r="Z335">
            <v>0</v>
          </cell>
          <cell r="AA335">
            <v>142</v>
          </cell>
          <cell r="AB335" t="str">
            <v>Balance Sheet</v>
          </cell>
          <cell r="AC335">
            <v>332</v>
          </cell>
          <cell r="AD335">
            <v>0</v>
          </cell>
          <cell r="AE335">
            <v>0</v>
          </cell>
          <cell r="AF335">
            <v>0</v>
          </cell>
          <cell r="AG335">
            <v>0</v>
          </cell>
          <cell r="AH335">
            <v>0</v>
          </cell>
          <cell r="AI335">
            <v>0</v>
          </cell>
          <cell r="AJ335">
            <v>0</v>
          </cell>
          <cell r="AK335">
            <v>0</v>
          </cell>
          <cell r="AL335">
            <v>0</v>
          </cell>
          <cell r="AM335">
            <v>0</v>
          </cell>
          <cell r="AN335">
            <v>172</v>
          </cell>
          <cell r="AO335" t="str">
            <v>Diluted no. of shares</v>
          </cell>
          <cell r="AP335" t="str">
            <v>m</v>
          </cell>
          <cell r="AQ335" t="str">
            <v>Total Shares</v>
          </cell>
          <cell r="AR335">
            <v>0</v>
          </cell>
          <cell r="AS335">
            <v>0</v>
          </cell>
          <cell r="AT335">
            <v>0</v>
          </cell>
          <cell r="AU335" t="e">
            <v>#VALUE!</v>
          </cell>
          <cell r="AV335" t="e">
            <v>#VALUE!</v>
          </cell>
        </row>
        <row r="336">
          <cell r="A336">
            <v>384</v>
          </cell>
          <cell r="B336" t="str">
            <v>1diluted_num_shares_grwth</v>
          </cell>
          <cell r="C336" t="str">
            <v>Diluted number of shares growth y-o-y</v>
          </cell>
          <cell r="D336" t="str">
            <v>(%)</v>
          </cell>
          <cell r="E336">
            <v>0</v>
          </cell>
          <cell r="F336">
            <v>0</v>
          </cell>
          <cell r="G336">
            <v>0</v>
          </cell>
          <cell r="H336">
            <v>0</v>
          </cell>
          <cell r="I336">
            <v>0</v>
          </cell>
          <cell r="J336">
            <v>0</v>
          </cell>
          <cell r="K336">
            <v>0</v>
          </cell>
          <cell r="L336">
            <v>0</v>
          </cell>
          <cell r="M336">
            <v>0</v>
          </cell>
          <cell r="N336" t="str">
            <v>diluted_num_shares_grwth</v>
          </cell>
          <cell r="O336">
            <v>0</v>
          </cell>
          <cell r="P336">
            <v>0</v>
          </cell>
          <cell r="Q336">
            <v>0.01</v>
          </cell>
          <cell r="R336" t="str">
            <v>S</v>
          </cell>
          <cell r="S336">
            <v>2</v>
          </cell>
          <cell r="T336" t="str">
            <v>null</v>
          </cell>
          <cell r="U336">
            <v>1</v>
          </cell>
          <cell r="V336">
            <v>0</v>
          </cell>
          <cell r="W336">
            <v>0</v>
          </cell>
          <cell r="X336">
            <v>0</v>
          </cell>
          <cell r="Y336">
            <v>0</v>
          </cell>
          <cell r="Z336">
            <v>0</v>
          </cell>
          <cell r="AA336">
            <v>143</v>
          </cell>
          <cell r="AB336" t="str">
            <v>Balance Sheet</v>
          </cell>
          <cell r="AC336">
            <v>333</v>
          </cell>
          <cell r="AD336">
            <v>0</v>
          </cell>
          <cell r="AE336">
            <v>0</v>
          </cell>
          <cell r="AF336">
            <v>0</v>
          </cell>
          <cell r="AG336">
            <v>0</v>
          </cell>
          <cell r="AH336">
            <v>0</v>
          </cell>
          <cell r="AI336">
            <v>0</v>
          </cell>
          <cell r="AJ336">
            <v>0</v>
          </cell>
          <cell r="AK336">
            <v>0</v>
          </cell>
          <cell r="AL336">
            <v>0</v>
          </cell>
          <cell r="AM336">
            <v>0</v>
          </cell>
          <cell r="AN336" t="e">
            <v>#N/A</v>
          </cell>
          <cell r="AO336" t="e">
            <v>#N/A</v>
          </cell>
          <cell r="AP336" t="e">
            <v>#N/A</v>
          </cell>
          <cell r="AQ336" t="e">
            <v>#N/A</v>
          </cell>
          <cell r="AR336" t="e">
            <v>#N/A</v>
          </cell>
          <cell r="AS336" t="e">
            <v>#N/A</v>
          </cell>
          <cell r="AT336" t="e">
            <v>#N/A</v>
          </cell>
          <cell r="AU336" t="e">
            <v>#N/A</v>
          </cell>
          <cell r="AV336" t="e">
            <v>#N/A</v>
          </cell>
        </row>
        <row r="337">
          <cell r="A337">
            <v>172.2</v>
          </cell>
          <cell r="B337" t="str">
            <v>1basic_num_shares_outstand</v>
          </cell>
          <cell r="C337" t="str">
            <v>Basic shares outstanding</v>
          </cell>
          <cell r="D337" t="str">
            <v>(m)</v>
          </cell>
          <cell r="E337">
            <v>0</v>
          </cell>
          <cell r="F337">
            <v>0</v>
          </cell>
          <cell r="G337">
            <v>0</v>
          </cell>
          <cell r="H337">
            <v>0</v>
          </cell>
          <cell r="I337">
            <v>0</v>
          </cell>
          <cell r="J337">
            <v>0</v>
          </cell>
          <cell r="K337">
            <v>0</v>
          </cell>
          <cell r="L337">
            <v>0</v>
          </cell>
          <cell r="M337">
            <v>0</v>
          </cell>
          <cell r="N337" t="str">
            <v>basic_num_shares_outstand</v>
          </cell>
          <cell r="O337">
            <v>0</v>
          </cell>
          <cell r="P337">
            <v>0</v>
          </cell>
          <cell r="Q337">
            <v>1000000</v>
          </cell>
          <cell r="R337" t="str">
            <v>S</v>
          </cell>
          <cell r="S337">
            <v>2</v>
          </cell>
          <cell r="T337" t="str">
            <v>null</v>
          </cell>
          <cell r="U337">
            <v>1</v>
          </cell>
          <cell r="V337">
            <v>0</v>
          </cell>
          <cell r="W337">
            <v>0</v>
          </cell>
          <cell r="X337">
            <v>0</v>
          </cell>
          <cell r="Y337">
            <v>0</v>
          </cell>
          <cell r="Z337">
            <v>0</v>
          </cell>
          <cell r="AA337">
            <v>40</v>
          </cell>
          <cell r="AB337" t="str">
            <v>Balance Sheet</v>
          </cell>
          <cell r="AC337">
            <v>334</v>
          </cell>
          <cell r="AD337">
            <v>0</v>
          </cell>
          <cell r="AE337">
            <v>0</v>
          </cell>
          <cell r="AF337">
            <v>0</v>
          </cell>
          <cell r="AG337">
            <v>0</v>
          </cell>
          <cell r="AH337">
            <v>0</v>
          </cell>
          <cell r="AI337">
            <v>0</v>
          </cell>
          <cell r="AJ337">
            <v>0</v>
          </cell>
          <cell r="AK337">
            <v>0</v>
          </cell>
          <cell r="AL337">
            <v>0</v>
          </cell>
          <cell r="AM337">
            <v>0</v>
          </cell>
          <cell r="AN337" t="e">
            <v>#N/A</v>
          </cell>
          <cell r="AO337" t="e">
            <v>#N/A</v>
          </cell>
          <cell r="AP337" t="e">
            <v>#N/A</v>
          </cell>
          <cell r="AQ337" t="e">
            <v>#N/A</v>
          </cell>
          <cell r="AR337" t="e">
            <v>#N/A</v>
          </cell>
          <cell r="AS337" t="e">
            <v>#N/A</v>
          </cell>
          <cell r="AT337" t="e">
            <v>#N/A</v>
          </cell>
          <cell r="AU337" t="e">
            <v>#N/A</v>
          </cell>
          <cell r="AV337" t="e">
            <v>#N/A</v>
          </cell>
        </row>
        <row r="338">
          <cell r="A338">
            <v>173</v>
          </cell>
          <cell r="B338" t="str">
            <v>1b_current_liabilities</v>
          </cell>
          <cell r="C338" t="str">
            <v>Current liabilities</v>
          </cell>
          <cell r="D338" t="str">
            <v>(m)</v>
          </cell>
          <cell r="E338">
            <v>0</v>
          </cell>
          <cell r="F338">
            <v>0</v>
          </cell>
          <cell r="G338">
            <v>0</v>
          </cell>
          <cell r="H338">
            <v>0</v>
          </cell>
          <cell r="I338">
            <v>0</v>
          </cell>
          <cell r="J338">
            <v>0</v>
          </cell>
          <cell r="K338">
            <v>0</v>
          </cell>
          <cell r="L338">
            <v>0</v>
          </cell>
          <cell r="M338">
            <v>0</v>
          </cell>
          <cell r="N338" t="str">
            <v>b_current_liabilities</v>
          </cell>
          <cell r="O338">
            <v>0</v>
          </cell>
          <cell r="P338">
            <v>0</v>
          </cell>
          <cell r="Q338">
            <v>1000000</v>
          </cell>
          <cell r="R338" t="str">
            <v>E</v>
          </cell>
          <cell r="S338">
            <v>2</v>
          </cell>
          <cell r="T338" t="str">
            <v>null</v>
          </cell>
          <cell r="U338">
            <v>1</v>
          </cell>
          <cell r="V338">
            <v>0</v>
          </cell>
          <cell r="W338">
            <v>0</v>
          </cell>
          <cell r="X338">
            <v>0</v>
          </cell>
          <cell r="Y338">
            <v>0</v>
          </cell>
          <cell r="Z338">
            <v>0</v>
          </cell>
          <cell r="AA338">
            <v>96</v>
          </cell>
          <cell r="AB338" t="str">
            <v>Balance Sheet</v>
          </cell>
          <cell r="AC338">
            <v>335</v>
          </cell>
          <cell r="AD338">
            <v>0</v>
          </cell>
          <cell r="AE338">
            <v>0</v>
          </cell>
          <cell r="AF338">
            <v>0</v>
          </cell>
          <cell r="AG338">
            <v>0</v>
          </cell>
          <cell r="AH338">
            <v>0</v>
          </cell>
          <cell r="AI338">
            <v>0</v>
          </cell>
          <cell r="AJ338">
            <v>0</v>
          </cell>
          <cell r="AK338">
            <v>0</v>
          </cell>
          <cell r="AL338">
            <v>0</v>
          </cell>
          <cell r="AM338">
            <v>0</v>
          </cell>
          <cell r="AN338">
            <v>173</v>
          </cell>
          <cell r="AO338" t="str">
            <v>Current Liabilities</v>
          </cell>
          <cell r="AP338" t="str">
            <v>m</v>
          </cell>
          <cell r="AQ338">
            <v>0</v>
          </cell>
          <cell r="AR338">
            <v>0</v>
          </cell>
          <cell r="AS338">
            <v>0</v>
          </cell>
          <cell r="AT338">
            <v>0</v>
          </cell>
          <cell r="AU338" t="e">
            <v>#VALUE!</v>
          </cell>
          <cell r="AV338" t="e">
            <v>#VALUE!</v>
          </cell>
        </row>
        <row r="339">
          <cell r="A339">
            <v>174</v>
          </cell>
          <cell r="B339" t="str">
            <v>1b_long_term_debt</v>
          </cell>
          <cell r="C339" t="str">
            <v>Long term debt</v>
          </cell>
          <cell r="D339" t="str">
            <v>(m)</v>
          </cell>
          <cell r="E339">
            <v>0</v>
          </cell>
          <cell r="F339">
            <v>0</v>
          </cell>
          <cell r="G339">
            <v>0</v>
          </cell>
          <cell r="H339">
            <v>0</v>
          </cell>
          <cell r="I339">
            <v>0</v>
          </cell>
          <cell r="J339">
            <v>0</v>
          </cell>
          <cell r="K339">
            <v>0</v>
          </cell>
          <cell r="L339">
            <v>0</v>
          </cell>
          <cell r="M339">
            <v>0</v>
          </cell>
          <cell r="N339" t="str">
            <v>b_long_term_debt</v>
          </cell>
          <cell r="O339">
            <v>0</v>
          </cell>
          <cell r="P339">
            <v>0</v>
          </cell>
          <cell r="Q339">
            <v>1000000</v>
          </cell>
          <cell r="R339" t="str">
            <v>E</v>
          </cell>
          <cell r="S339">
            <v>2</v>
          </cell>
          <cell r="T339" t="str">
            <v>null</v>
          </cell>
          <cell r="U339">
            <v>1</v>
          </cell>
          <cell r="V339">
            <v>0</v>
          </cell>
          <cell r="W339">
            <v>0</v>
          </cell>
          <cell r="X339">
            <v>0</v>
          </cell>
          <cell r="Y339">
            <v>0</v>
          </cell>
          <cell r="Z339">
            <v>0</v>
          </cell>
          <cell r="AA339">
            <v>323</v>
          </cell>
          <cell r="AB339" t="str">
            <v>Balance Sheet</v>
          </cell>
          <cell r="AC339">
            <v>336</v>
          </cell>
          <cell r="AD339">
            <v>0</v>
          </cell>
          <cell r="AE339">
            <v>0</v>
          </cell>
          <cell r="AF339">
            <v>0</v>
          </cell>
          <cell r="AG339">
            <v>0</v>
          </cell>
          <cell r="AH339">
            <v>0</v>
          </cell>
          <cell r="AI339">
            <v>0</v>
          </cell>
          <cell r="AJ339">
            <v>0</v>
          </cell>
          <cell r="AK339">
            <v>0</v>
          </cell>
          <cell r="AL339">
            <v>0</v>
          </cell>
          <cell r="AM339">
            <v>0</v>
          </cell>
          <cell r="AN339">
            <v>174</v>
          </cell>
          <cell r="AO339" t="str">
            <v>Long term debt</v>
          </cell>
          <cell r="AP339" t="str">
            <v>m</v>
          </cell>
          <cell r="AQ339">
            <v>0</v>
          </cell>
          <cell r="AR339">
            <v>0</v>
          </cell>
          <cell r="AS339">
            <v>0</v>
          </cell>
          <cell r="AT339">
            <v>0</v>
          </cell>
          <cell r="AU339" t="e">
            <v>#VALUE!</v>
          </cell>
          <cell r="AV339" t="e">
            <v>#VALUE!</v>
          </cell>
        </row>
        <row r="340">
          <cell r="A340">
            <v>174.2</v>
          </cell>
          <cell r="B340" t="str">
            <v>1b_gross_debts</v>
          </cell>
          <cell r="C340" t="str">
            <v>Gross debt</v>
          </cell>
          <cell r="D340" t="str">
            <v>(m)</v>
          </cell>
          <cell r="E340">
            <v>0</v>
          </cell>
          <cell r="F340">
            <v>0</v>
          </cell>
          <cell r="G340">
            <v>0</v>
          </cell>
          <cell r="H340">
            <v>0</v>
          </cell>
          <cell r="I340">
            <v>0</v>
          </cell>
          <cell r="J340">
            <v>0</v>
          </cell>
          <cell r="K340">
            <v>0</v>
          </cell>
          <cell r="L340">
            <v>0</v>
          </cell>
          <cell r="M340">
            <v>0</v>
          </cell>
          <cell r="N340" t="str">
            <v>b_gross_debts</v>
          </cell>
          <cell r="O340">
            <v>0</v>
          </cell>
          <cell r="P340">
            <v>0</v>
          </cell>
          <cell r="Q340">
            <v>1000000</v>
          </cell>
          <cell r="R340" t="str">
            <v>E</v>
          </cell>
          <cell r="S340">
            <v>2</v>
          </cell>
          <cell r="T340" t="str">
            <v>null</v>
          </cell>
          <cell r="U340">
            <v>1</v>
          </cell>
          <cell r="V340">
            <v>0</v>
          </cell>
          <cell r="W340">
            <v>0</v>
          </cell>
          <cell r="X340">
            <v>0</v>
          </cell>
          <cell r="Y340">
            <v>0</v>
          </cell>
          <cell r="Z340">
            <v>0</v>
          </cell>
          <cell r="AA340">
            <v>275</v>
          </cell>
          <cell r="AB340" t="str">
            <v>Balance Sheet</v>
          </cell>
          <cell r="AC340">
            <v>337</v>
          </cell>
          <cell r="AD340">
            <v>0</v>
          </cell>
          <cell r="AE340">
            <v>0</v>
          </cell>
          <cell r="AF340">
            <v>0</v>
          </cell>
          <cell r="AG340">
            <v>0</v>
          </cell>
          <cell r="AH340">
            <v>0</v>
          </cell>
          <cell r="AI340">
            <v>0</v>
          </cell>
          <cell r="AJ340">
            <v>0</v>
          </cell>
          <cell r="AK340">
            <v>0</v>
          </cell>
          <cell r="AL340">
            <v>0</v>
          </cell>
          <cell r="AM340">
            <v>0</v>
          </cell>
          <cell r="AN340" t="e">
            <v>#N/A</v>
          </cell>
          <cell r="AO340" t="e">
            <v>#N/A</v>
          </cell>
          <cell r="AP340" t="e">
            <v>#N/A</v>
          </cell>
          <cell r="AQ340" t="e">
            <v>#N/A</v>
          </cell>
          <cell r="AR340" t="e">
            <v>#N/A</v>
          </cell>
          <cell r="AS340" t="e">
            <v>#N/A</v>
          </cell>
          <cell r="AT340" t="e">
            <v>#N/A</v>
          </cell>
          <cell r="AU340" t="e">
            <v>#N/A</v>
          </cell>
          <cell r="AV340" t="e">
            <v>#N/A</v>
          </cell>
        </row>
        <row r="341">
          <cell r="A341">
            <v>175</v>
          </cell>
          <cell r="B341" t="str">
            <v>1b_deferred_credits</v>
          </cell>
          <cell r="C341" t="str">
            <v>Deferred credits</v>
          </cell>
          <cell r="D341" t="str">
            <v>(m)</v>
          </cell>
          <cell r="E341">
            <v>0</v>
          </cell>
          <cell r="F341">
            <v>0</v>
          </cell>
          <cell r="G341">
            <v>0</v>
          </cell>
          <cell r="H341">
            <v>0</v>
          </cell>
          <cell r="I341">
            <v>0</v>
          </cell>
          <cell r="J341">
            <v>0</v>
          </cell>
          <cell r="K341">
            <v>0</v>
          </cell>
          <cell r="L341">
            <v>0</v>
          </cell>
          <cell r="M341">
            <v>0</v>
          </cell>
          <cell r="N341" t="str">
            <v>b_deferred_credits</v>
          </cell>
          <cell r="O341">
            <v>0</v>
          </cell>
          <cell r="P341">
            <v>0</v>
          </cell>
          <cell r="Q341">
            <v>1000000</v>
          </cell>
          <cell r="R341" t="str">
            <v>E</v>
          </cell>
          <cell r="S341">
            <v>2</v>
          </cell>
          <cell r="T341" t="str">
            <v>null</v>
          </cell>
          <cell r="U341">
            <v>1</v>
          </cell>
          <cell r="V341">
            <v>0</v>
          </cell>
          <cell r="W341">
            <v>0</v>
          </cell>
          <cell r="X341">
            <v>0</v>
          </cell>
          <cell r="Y341">
            <v>0</v>
          </cell>
          <cell r="Z341">
            <v>0</v>
          </cell>
          <cell r="AA341">
            <v>97</v>
          </cell>
          <cell r="AB341" t="str">
            <v>Balance Sheet</v>
          </cell>
          <cell r="AC341">
            <v>338</v>
          </cell>
          <cell r="AD341">
            <v>0</v>
          </cell>
          <cell r="AE341">
            <v>0</v>
          </cell>
          <cell r="AF341">
            <v>0</v>
          </cell>
          <cell r="AG341">
            <v>0</v>
          </cell>
          <cell r="AH341">
            <v>0</v>
          </cell>
          <cell r="AI341">
            <v>0</v>
          </cell>
          <cell r="AJ341">
            <v>0</v>
          </cell>
          <cell r="AK341">
            <v>0</v>
          </cell>
          <cell r="AL341">
            <v>0</v>
          </cell>
          <cell r="AM341">
            <v>0</v>
          </cell>
          <cell r="AN341">
            <v>175</v>
          </cell>
          <cell r="AO341" t="str">
            <v>Deferred credits</v>
          </cell>
          <cell r="AP341" t="str">
            <v>m</v>
          </cell>
          <cell r="AQ341">
            <v>0</v>
          </cell>
          <cell r="AR341">
            <v>0</v>
          </cell>
          <cell r="AS341">
            <v>0</v>
          </cell>
          <cell r="AT341">
            <v>0</v>
          </cell>
          <cell r="AU341" t="e">
            <v>#VALUE!</v>
          </cell>
          <cell r="AV341" t="e">
            <v>#VALUE!</v>
          </cell>
        </row>
        <row r="342">
          <cell r="A342">
            <v>175.2</v>
          </cell>
          <cell r="B342" t="str">
            <v>1fd_deferred_tax</v>
          </cell>
          <cell r="C342" t="str">
            <v>Deferred tax</v>
          </cell>
          <cell r="D342" t="str">
            <v>(m)</v>
          </cell>
          <cell r="E342">
            <v>0</v>
          </cell>
          <cell r="F342">
            <v>0</v>
          </cell>
          <cell r="G342">
            <v>0</v>
          </cell>
          <cell r="H342">
            <v>0</v>
          </cell>
          <cell r="I342">
            <v>0</v>
          </cell>
          <cell r="J342">
            <v>0</v>
          </cell>
          <cell r="K342">
            <v>0</v>
          </cell>
          <cell r="L342">
            <v>0</v>
          </cell>
          <cell r="M342">
            <v>0</v>
          </cell>
          <cell r="N342" t="str">
            <v>fd_deferred_tax</v>
          </cell>
          <cell r="O342">
            <v>0</v>
          </cell>
          <cell r="P342">
            <v>0</v>
          </cell>
          <cell r="Q342">
            <v>1000000</v>
          </cell>
          <cell r="R342" t="str">
            <v>E</v>
          </cell>
          <cell r="S342">
            <v>2</v>
          </cell>
          <cell r="T342" t="str">
            <v>null</v>
          </cell>
          <cell r="U342">
            <v>1</v>
          </cell>
          <cell r="V342">
            <v>0</v>
          </cell>
          <cell r="W342">
            <v>0</v>
          </cell>
          <cell r="X342">
            <v>0</v>
          </cell>
          <cell r="Y342">
            <v>0</v>
          </cell>
          <cell r="Z342">
            <v>0</v>
          </cell>
          <cell r="AA342">
            <v>100</v>
          </cell>
          <cell r="AB342" t="str">
            <v>Balance Sheet</v>
          </cell>
          <cell r="AC342">
            <v>339</v>
          </cell>
          <cell r="AD342">
            <v>0</v>
          </cell>
          <cell r="AE342">
            <v>0</v>
          </cell>
          <cell r="AF342">
            <v>0</v>
          </cell>
          <cell r="AG342">
            <v>0</v>
          </cell>
          <cell r="AH342">
            <v>0</v>
          </cell>
          <cell r="AI342">
            <v>0</v>
          </cell>
          <cell r="AJ342">
            <v>0</v>
          </cell>
          <cell r="AK342">
            <v>0</v>
          </cell>
          <cell r="AL342">
            <v>0</v>
          </cell>
          <cell r="AM342">
            <v>0</v>
          </cell>
          <cell r="AN342" t="e">
            <v>#N/A</v>
          </cell>
          <cell r="AO342" t="e">
            <v>#N/A</v>
          </cell>
          <cell r="AP342" t="e">
            <v>#N/A</v>
          </cell>
          <cell r="AQ342" t="e">
            <v>#N/A</v>
          </cell>
          <cell r="AR342" t="e">
            <v>#N/A</v>
          </cell>
          <cell r="AS342" t="e">
            <v>#N/A</v>
          </cell>
          <cell r="AT342" t="e">
            <v>#N/A</v>
          </cell>
          <cell r="AU342" t="e">
            <v>#N/A</v>
          </cell>
          <cell r="AV342" t="e">
            <v>#N/A</v>
          </cell>
        </row>
        <row r="343">
          <cell r="A343">
            <v>176</v>
          </cell>
          <cell r="B343" t="str">
            <v>1b_total_liabilities</v>
          </cell>
          <cell r="C343" t="str">
            <v>Total liabilities</v>
          </cell>
          <cell r="D343" t="str">
            <v>(m)</v>
          </cell>
          <cell r="E343">
            <v>0</v>
          </cell>
          <cell r="F343">
            <v>0</v>
          </cell>
          <cell r="G343">
            <v>0</v>
          </cell>
          <cell r="H343">
            <v>0</v>
          </cell>
          <cell r="I343">
            <v>0</v>
          </cell>
          <cell r="J343">
            <v>0</v>
          </cell>
          <cell r="K343">
            <v>0</v>
          </cell>
          <cell r="L343">
            <v>0</v>
          </cell>
          <cell r="M343">
            <v>0</v>
          </cell>
          <cell r="N343" t="str">
            <v>b_total_liabilities</v>
          </cell>
          <cell r="O343">
            <v>0</v>
          </cell>
          <cell r="P343">
            <v>0</v>
          </cell>
          <cell r="Q343">
            <v>1000000</v>
          </cell>
          <cell r="R343" t="str">
            <v>E</v>
          </cell>
          <cell r="S343">
            <v>2</v>
          </cell>
          <cell r="T343" t="str">
            <v>null</v>
          </cell>
          <cell r="U343">
            <v>1</v>
          </cell>
          <cell r="V343">
            <v>0</v>
          </cell>
          <cell r="W343">
            <v>0</v>
          </cell>
          <cell r="X343">
            <v>0</v>
          </cell>
          <cell r="Y343">
            <v>0</v>
          </cell>
          <cell r="Z343">
            <v>0</v>
          </cell>
          <cell r="AA343">
            <v>562</v>
          </cell>
          <cell r="AB343" t="str">
            <v>Balance Sheet</v>
          </cell>
          <cell r="AC343">
            <v>340</v>
          </cell>
          <cell r="AD343">
            <v>0</v>
          </cell>
          <cell r="AE343">
            <v>0</v>
          </cell>
          <cell r="AF343">
            <v>0</v>
          </cell>
          <cell r="AG343">
            <v>0</v>
          </cell>
          <cell r="AH343">
            <v>0</v>
          </cell>
          <cell r="AI343">
            <v>0</v>
          </cell>
          <cell r="AJ343">
            <v>0</v>
          </cell>
          <cell r="AK343">
            <v>0</v>
          </cell>
          <cell r="AL343">
            <v>0</v>
          </cell>
          <cell r="AM343">
            <v>0</v>
          </cell>
          <cell r="AN343">
            <v>176</v>
          </cell>
          <cell r="AO343" t="str">
            <v>Total Liabilities</v>
          </cell>
          <cell r="AP343" t="str">
            <v>m</v>
          </cell>
          <cell r="AQ343">
            <v>0</v>
          </cell>
          <cell r="AR343">
            <v>0</v>
          </cell>
          <cell r="AS343">
            <v>0</v>
          </cell>
          <cell r="AT343">
            <v>0</v>
          </cell>
          <cell r="AU343" t="e">
            <v>#VALUE!</v>
          </cell>
          <cell r="AV343" t="e">
            <v>#VALUE!</v>
          </cell>
        </row>
        <row r="344">
          <cell r="A344">
            <v>176.2</v>
          </cell>
          <cell r="B344" t="str">
            <v>1b_total_liabilities_and_share_holdr_funds</v>
          </cell>
          <cell r="C344" t="str">
            <v>Total liabilities &amp; ordinary shareholders funds</v>
          </cell>
          <cell r="D344" t="str">
            <v>(m)</v>
          </cell>
          <cell r="E344">
            <v>0</v>
          </cell>
          <cell r="F344">
            <v>0</v>
          </cell>
          <cell r="G344">
            <v>0</v>
          </cell>
          <cell r="H344">
            <v>0</v>
          </cell>
          <cell r="I344">
            <v>0</v>
          </cell>
          <cell r="J344">
            <v>0</v>
          </cell>
          <cell r="K344">
            <v>0</v>
          </cell>
          <cell r="L344">
            <v>0</v>
          </cell>
          <cell r="M344">
            <v>0</v>
          </cell>
          <cell r="N344" t="str">
            <v>b_total_liabilities_and_share_holdr_funds</v>
          </cell>
          <cell r="O344">
            <v>0</v>
          </cell>
          <cell r="P344">
            <v>0</v>
          </cell>
          <cell r="Q344">
            <v>1000000</v>
          </cell>
          <cell r="R344" t="str">
            <v>E</v>
          </cell>
          <cell r="S344">
            <v>2</v>
          </cell>
          <cell r="T344" t="str">
            <v>null</v>
          </cell>
          <cell r="U344">
            <v>1</v>
          </cell>
          <cell r="V344">
            <v>0</v>
          </cell>
          <cell r="W344">
            <v>0</v>
          </cell>
          <cell r="X344">
            <v>0</v>
          </cell>
          <cell r="Y344">
            <v>0</v>
          </cell>
          <cell r="Z344">
            <v>0</v>
          </cell>
          <cell r="AA344">
            <v>563</v>
          </cell>
          <cell r="AB344" t="str">
            <v>Balance Sheet</v>
          </cell>
          <cell r="AC344">
            <v>341</v>
          </cell>
          <cell r="AD344">
            <v>0</v>
          </cell>
          <cell r="AE344">
            <v>0</v>
          </cell>
          <cell r="AF344">
            <v>0</v>
          </cell>
          <cell r="AG344">
            <v>0</v>
          </cell>
          <cell r="AH344">
            <v>0</v>
          </cell>
          <cell r="AI344">
            <v>0</v>
          </cell>
          <cell r="AJ344">
            <v>0</v>
          </cell>
          <cell r="AK344">
            <v>0</v>
          </cell>
          <cell r="AL344">
            <v>0</v>
          </cell>
          <cell r="AM344">
            <v>0</v>
          </cell>
          <cell r="AN344" t="e">
            <v>#N/A</v>
          </cell>
          <cell r="AO344" t="e">
            <v>#N/A</v>
          </cell>
          <cell r="AP344" t="e">
            <v>#N/A</v>
          </cell>
          <cell r="AQ344" t="e">
            <v>#N/A</v>
          </cell>
          <cell r="AR344" t="e">
            <v>#N/A</v>
          </cell>
          <cell r="AS344" t="e">
            <v>#N/A</v>
          </cell>
          <cell r="AT344" t="e">
            <v>#N/A</v>
          </cell>
          <cell r="AU344" t="e">
            <v>#N/A</v>
          </cell>
          <cell r="AV344" t="e">
            <v>#N/A</v>
          </cell>
        </row>
        <row r="345">
          <cell r="A345">
            <v>176.4</v>
          </cell>
          <cell r="B345" t="str">
            <v>1b_other_noncurrent_liabs</v>
          </cell>
          <cell r="C345" t="str">
            <v>Other non-current liabilities</v>
          </cell>
          <cell r="D345" t="str">
            <v>(m)</v>
          </cell>
          <cell r="E345">
            <v>0</v>
          </cell>
          <cell r="F345">
            <v>0</v>
          </cell>
          <cell r="G345">
            <v>0</v>
          </cell>
          <cell r="H345">
            <v>0</v>
          </cell>
          <cell r="I345">
            <v>0</v>
          </cell>
          <cell r="J345">
            <v>0</v>
          </cell>
          <cell r="K345">
            <v>0</v>
          </cell>
          <cell r="L345">
            <v>0</v>
          </cell>
          <cell r="M345">
            <v>0</v>
          </cell>
          <cell r="N345" t="str">
            <v>b_other_noncurrent_liabs</v>
          </cell>
          <cell r="O345">
            <v>0</v>
          </cell>
          <cell r="P345">
            <v>0</v>
          </cell>
          <cell r="Q345">
            <v>1000000</v>
          </cell>
          <cell r="R345" t="str">
            <v>E</v>
          </cell>
          <cell r="S345">
            <v>2</v>
          </cell>
          <cell r="T345" t="str">
            <v>null</v>
          </cell>
          <cell r="U345">
            <v>1</v>
          </cell>
          <cell r="V345">
            <v>0</v>
          </cell>
          <cell r="W345">
            <v>0</v>
          </cell>
          <cell r="X345">
            <v>0</v>
          </cell>
          <cell r="Y345">
            <v>0</v>
          </cell>
          <cell r="Z345">
            <v>0</v>
          </cell>
          <cell r="AA345">
            <v>352</v>
          </cell>
          <cell r="AB345" t="str">
            <v>Balance Sheet</v>
          </cell>
          <cell r="AC345">
            <v>342</v>
          </cell>
          <cell r="AD345">
            <v>0</v>
          </cell>
          <cell r="AE345">
            <v>0</v>
          </cell>
          <cell r="AF345">
            <v>0</v>
          </cell>
          <cell r="AG345">
            <v>0</v>
          </cell>
          <cell r="AH345">
            <v>0</v>
          </cell>
          <cell r="AI345">
            <v>0</v>
          </cell>
          <cell r="AJ345">
            <v>0</v>
          </cell>
          <cell r="AK345">
            <v>0</v>
          </cell>
          <cell r="AL345">
            <v>0</v>
          </cell>
          <cell r="AM345">
            <v>0</v>
          </cell>
          <cell r="AN345" t="e">
            <v>#N/A</v>
          </cell>
          <cell r="AO345" t="e">
            <v>#N/A</v>
          </cell>
          <cell r="AP345" t="e">
            <v>#N/A</v>
          </cell>
          <cell r="AQ345" t="e">
            <v>#N/A</v>
          </cell>
          <cell r="AR345" t="e">
            <v>#N/A</v>
          </cell>
          <cell r="AS345" t="e">
            <v>#N/A</v>
          </cell>
          <cell r="AT345" t="e">
            <v>#N/A</v>
          </cell>
          <cell r="AU345" t="e">
            <v>#N/A</v>
          </cell>
          <cell r="AV345" t="e">
            <v>#N/A</v>
          </cell>
        </row>
        <row r="346">
          <cell r="A346">
            <v>342.2</v>
          </cell>
          <cell r="B346" t="str">
            <v>1b_payables</v>
          </cell>
          <cell r="C346" t="str">
            <v>Payables</v>
          </cell>
          <cell r="D346" t="str">
            <v>(m)</v>
          </cell>
          <cell r="E346">
            <v>0</v>
          </cell>
          <cell r="F346">
            <v>0</v>
          </cell>
          <cell r="G346">
            <v>0</v>
          </cell>
          <cell r="H346">
            <v>0</v>
          </cell>
          <cell r="I346">
            <v>0</v>
          </cell>
          <cell r="J346">
            <v>0</v>
          </cell>
          <cell r="K346">
            <v>0</v>
          </cell>
          <cell r="L346">
            <v>0</v>
          </cell>
          <cell r="M346">
            <v>0</v>
          </cell>
          <cell r="N346" t="str">
            <v>b_payables</v>
          </cell>
          <cell r="O346">
            <v>0</v>
          </cell>
          <cell r="P346">
            <v>0</v>
          </cell>
          <cell r="Q346">
            <v>1000000</v>
          </cell>
          <cell r="R346" t="str">
            <v>E</v>
          </cell>
          <cell r="S346">
            <v>2</v>
          </cell>
          <cell r="T346" t="str">
            <v>null</v>
          </cell>
          <cell r="U346">
            <v>1</v>
          </cell>
          <cell r="V346">
            <v>0</v>
          </cell>
          <cell r="W346">
            <v>0</v>
          </cell>
          <cell r="X346">
            <v>0</v>
          </cell>
          <cell r="Y346">
            <v>0</v>
          </cell>
          <cell r="Z346">
            <v>0</v>
          </cell>
          <cell r="AA346">
            <v>465</v>
          </cell>
          <cell r="AB346" t="str">
            <v>Balance Sheet</v>
          </cell>
          <cell r="AC346">
            <v>342</v>
          </cell>
          <cell r="AD346">
            <v>0</v>
          </cell>
          <cell r="AE346">
            <v>0</v>
          </cell>
          <cell r="AF346">
            <v>0</v>
          </cell>
          <cell r="AG346">
            <v>0</v>
          </cell>
          <cell r="AH346">
            <v>0</v>
          </cell>
          <cell r="AI346">
            <v>0</v>
          </cell>
          <cell r="AJ346">
            <v>0</v>
          </cell>
          <cell r="AK346">
            <v>0</v>
          </cell>
          <cell r="AL346">
            <v>0</v>
          </cell>
          <cell r="AM346">
            <v>0</v>
          </cell>
          <cell r="AN346" t="e">
            <v>#N/A</v>
          </cell>
          <cell r="AO346" t="e">
            <v>#N/A</v>
          </cell>
          <cell r="AP346" t="e">
            <v>#N/A</v>
          </cell>
          <cell r="AQ346" t="e">
            <v>#N/A</v>
          </cell>
          <cell r="AR346" t="e">
            <v>#N/A</v>
          </cell>
          <cell r="AS346" t="e">
            <v>#N/A</v>
          </cell>
          <cell r="AT346" t="e">
            <v>#N/A</v>
          </cell>
          <cell r="AU346" t="e">
            <v>#N/A</v>
          </cell>
          <cell r="AV346" t="e">
            <v>#N/A</v>
          </cell>
        </row>
        <row r="347">
          <cell r="A347">
            <v>346.2</v>
          </cell>
          <cell r="B347" t="str">
            <v>1b_receivables</v>
          </cell>
          <cell r="C347" t="str">
            <v>Receivables</v>
          </cell>
          <cell r="D347" t="str">
            <v>(m)</v>
          </cell>
          <cell r="E347">
            <v>0</v>
          </cell>
          <cell r="F347">
            <v>0</v>
          </cell>
          <cell r="G347">
            <v>0</v>
          </cell>
          <cell r="H347">
            <v>0</v>
          </cell>
          <cell r="I347">
            <v>0</v>
          </cell>
          <cell r="J347">
            <v>0</v>
          </cell>
          <cell r="K347">
            <v>0</v>
          </cell>
          <cell r="L347">
            <v>0</v>
          </cell>
          <cell r="M347">
            <v>0</v>
          </cell>
          <cell r="N347" t="str">
            <v>b_receivables</v>
          </cell>
          <cell r="O347">
            <v>0</v>
          </cell>
          <cell r="P347">
            <v>0</v>
          </cell>
          <cell r="Q347">
            <v>1000000</v>
          </cell>
          <cell r="R347" t="str">
            <v>E</v>
          </cell>
          <cell r="S347">
            <v>2</v>
          </cell>
          <cell r="T347" t="str">
            <v>null</v>
          </cell>
          <cell r="U347">
            <v>1</v>
          </cell>
          <cell r="V347">
            <v>0</v>
          </cell>
          <cell r="W347">
            <v>0</v>
          </cell>
          <cell r="X347">
            <v>0</v>
          </cell>
          <cell r="Y347">
            <v>0</v>
          </cell>
          <cell r="Z347">
            <v>0</v>
          </cell>
          <cell r="AA347">
            <v>499</v>
          </cell>
          <cell r="AB347" t="str">
            <v>Balance Sheet</v>
          </cell>
          <cell r="AC347">
            <v>342</v>
          </cell>
          <cell r="AD347">
            <v>0</v>
          </cell>
          <cell r="AE347">
            <v>0</v>
          </cell>
          <cell r="AF347">
            <v>0</v>
          </cell>
          <cell r="AG347">
            <v>0</v>
          </cell>
          <cell r="AH347">
            <v>0</v>
          </cell>
          <cell r="AI347">
            <v>0</v>
          </cell>
          <cell r="AJ347">
            <v>0</v>
          </cell>
          <cell r="AK347">
            <v>0</v>
          </cell>
          <cell r="AL347">
            <v>0</v>
          </cell>
          <cell r="AM347">
            <v>0</v>
          </cell>
          <cell r="AN347" t="e">
            <v>#N/A</v>
          </cell>
          <cell r="AO347" t="e">
            <v>#N/A</v>
          </cell>
          <cell r="AP347" t="e">
            <v>#N/A</v>
          </cell>
          <cell r="AQ347" t="e">
            <v>#N/A</v>
          </cell>
          <cell r="AR347" t="e">
            <v>#N/A</v>
          </cell>
          <cell r="AS347" t="e">
            <v>#N/A</v>
          </cell>
          <cell r="AT347" t="e">
            <v>#N/A</v>
          </cell>
          <cell r="AU347" t="e">
            <v>#N/A</v>
          </cell>
          <cell r="AV347" t="e">
            <v>#N/A</v>
          </cell>
        </row>
        <row r="348">
          <cell r="A348">
            <v>177</v>
          </cell>
          <cell r="B348" t="str">
            <v>1b_non_perform_loans</v>
          </cell>
          <cell r="C348" t="str">
            <v>Non-performing loans</v>
          </cell>
          <cell r="D348" t="str">
            <v>(m)</v>
          </cell>
          <cell r="E348">
            <v>0</v>
          </cell>
          <cell r="F348">
            <v>0</v>
          </cell>
          <cell r="G348">
            <v>0</v>
          </cell>
          <cell r="H348">
            <v>0</v>
          </cell>
          <cell r="I348">
            <v>0</v>
          </cell>
          <cell r="J348">
            <v>0</v>
          </cell>
          <cell r="K348">
            <v>0</v>
          </cell>
          <cell r="L348">
            <v>0</v>
          </cell>
          <cell r="M348">
            <v>0</v>
          </cell>
          <cell r="N348" t="str">
            <v>b_non_perform_loans</v>
          </cell>
          <cell r="O348">
            <v>0</v>
          </cell>
          <cell r="P348">
            <v>0</v>
          </cell>
          <cell r="Q348">
            <v>1000000</v>
          </cell>
          <cell r="R348" t="str">
            <v>E</v>
          </cell>
          <cell r="S348">
            <v>2</v>
          </cell>
          <cell r="T348" t="str">
            <v>null</v>
          </cell>
          <cell r="U348">
            <v>1</v>
          </cell>
          <cell r="V348">
            <v>0</v>
          </cell>
          <cell r="W348">
            <v>0</v>
          </cell>
          <cell r="X348">
            <v>0</v>
          </cell>
          <cell r="Y348">
            <v>0</v>
          </cell>
          <cell r="Z348">
            <v>0</v>
          </cell>
          <cell r="AA348">
            <v>406</v>
          </cell>
          <cell r="AB348" t="str">
            <v>Balance Sheet</v>
          </cell>
          <cell r="AC348">
            <v>345</v>
          </cell>
          <cell r="AD348">
            <v>0</v>
          </cell>
          <cell r="AE348">
            <v>0</v>
          </cell>
          <cell r="AF348">
            <v>0</v>
          </cell>
          <cell r="AG348">
            <v>0</v>
          </cell>
          <cell r="AH348">
            <v>0</v>
          </cell>
          <cell r="AI348">
            <v>0</v>
          </cell>
          <cell r="AJ348">
            <v>0</v>
          </cell>
          <cell r="AK348">
            <v>0</v>
          </cell>
          <cell r="AL348">
            <v>0</v>
          </cell>
          <cell r="AM348">
            <v>0</v>
          </cell>
          <cell r="AN348">
            <v>177</v>
          </cell>
          <cell r="AO348" t="str">
            <v>Non-performing loans</v>
          </cell>
          <cell r="AP348" t="str">
            <v>m</v>
          </cell>
          <cell r="AQ348">
            <v>0</v>
          </cell>
          <cell r="AR348" t="str">
            <v>Banks</v>
          </cell>
          <cell r="AS348">
            <v>0</v>
          </cell>
          <cell r="AT348">
            <v>0</v>
          </cell>
          <cell r="AU348" t="e">
            <v>#VALUE!</v>
          </cell>
          <cell r="AV348" t="e">
            <v>#VALUE!</v>
          </cell>
        </row>
        <row r="349">
          <cell r="A349">
            <v>178</v>
          </cell>
          <cell r="B349" t="str">
            <v>1b_risk_weighted_assets</v>
          </cell>
          <cell r="C349" t="str">
            <v>Risk-weighted assets</v>
          </cell>
          <cell r="D349" t="str">
            <v>(m)</v>
          </cell>
          <cell r="E349">
            <v>0</v>
          </cell>
          <cell r="F349">
            <v>0</v>
          </cell>
          <cell r="G349">
            <v>0</v>
          </cell>
          <cell r="H349">
            <v>0</v>
          </cell>
          <cell r="I349">
            <v>0</v>
          </cell>
          <cell r="J349">
            <v>0</v>
          </cell>
          <cell r="K349">
            <v>0</v>
          </cell>
          <cell r="L349">
            <v>0</v>
          </cell>
          <cell r="M349">
            <v>0</v>
          </cell>
          <cell r="N349" t="str">
            <v>b_risk_weighted_assets</v>
          </cell>
          <cell r="O349">
            <v>0</v>
          </cell>
          <cell r="P349">
            <v>0</v>
          </cell>
          <cell r="Q349">
            <v>1000000</v>
          </cell>
          <cell r="R349" t="str">
            <v>E</v>
          </cell>
          <cell r="S349">
            <v>2</v>
          </cell>
          <cell r="T349" t="str">
            <v>null</v>
          </cell>
          <cell r="U349">
            <v>1</v>
          </cell>
          <cell r="V349">
            <v>0</v>
          </cell>
          <cell r="W349">
            <v>0</v>
          </cell>
          <cell r="X349">
            <v>0</v>
          </cell>
          <cell r="Y349">
            <v>0</v>
          </cell>
          <cell r="Z349">
            <v>0</v>
          </cell>
          <cell r="AA349">
            <v>508</v>
          </cell>
          <cell r="AB349" t="str">
            <v>Balance Sheet</v>
          </cell>
          <cell r="AC349">
            <v>346</v>
          </cell>
          <cell r="AD349">
            <v>0</v>
          </cell>
          <cell r="AE349">
            <v>0</v>
          </cell>
          <cell r="AF349">
            <v>0</v>
          </cell>
          <cell r="AG349">
            <v>0</v>
          </cell>
          <cell r="AH349">
            <v>0</v>
          </cell>
          <cell r="AI349">
            <v>0</v>
          </cell>
          <cell r="AJ349">
            <v>0</v>
          </cell>
          <cell r="AK349">
            <v>0</v>
          </cell>
          <cell r="AL349">
            <v>0</v>
          </cell>
          <cell r="AM349">
            <v>0</v>
          </cell>
          <cell r="AN349">
            <v>178</v>
          </cell>
          <cell r="AO349" t="str">
            <v>Risk-weighted assets</v>
          </cell>
          <cell r="AP349" t="str">
            <v>m</v>
          </cell>
          <cell r="AQ349">
            <v>0</v>
          </cell>
          <cell r="AR349" t="str">
            <v>Banks</v>
          </cell>
          <cell r="AS349">
            <v>0</v>
          </cell>
          <cell r="AT349">
            <v>0</v>
          </cell>
          <cell r="AU349" t="e">
            <v>#VALUE!</v>
          </cell>
          <cell r="AV349" t="e">
            <v>#VALUE!</v>
          </cell>
        </row>
        <row r="350">
          <cell r="A350">
            <v>179</v>
          </cell>
          <cell r="B350" t="str">
            <v>1b_gross_loans</v>
          </cell>
          <cell r="C350" t="str">
            <v>Gross loans</v>
          </cell>
          <cell r="D350" t="str">
            <v>(m)</v>
          </cell>
          <cell r="E350">
            <v>0</v>
          </cell>
          <cell r="F350">
            <v>0</v>
          </cell>
          <cell r="G350">
            <v>0</v>
          </cell>
          <cell r="H350">
            <v>0</v>
          </cell>
          <cell r="I350">
            <v>0</v>
          </cell>
          <cell r="J350">
            <v>0</v>
          </cell>
          <cell r="K350">
            <v>0</v>
          </cell>
          <cell r="L350">
            <v>0</v>
          </cell>
          <cell r="M350">
            <v>0</v>
          </cell>
          <cell r="N350" t="str">
            <v>b_gross_loans</v>
          </cell>
          <cell r="O350">
            <v>0</v>
          </cell>
          <cell r="P350">
            <v>0</v>
          </cell>
          <cell r="Q350">
            <v>1000000</v>
          </cell>
          <cell r="R350" t="str">
            <v>E</v>
          </cell>
          <cell r="S350">
            <v>2</v>
          </cell>
          <cell r="T350" t="str">
            <v>null</v>
          </cell>
          <cell r="U350">
            <v>1</v>
          </cell>
          <cell r="V350">
            <v>0</v>
          </cell>
          <cell r="W350">
            <v>0</v>
          </cell>
          <cell r="X350">
            <v>0</v>
          </cell>
          <cell r="Y350">
            <v>0</v>
          </cell>
          <cell r="Z350">
            <v>0</v>
          </cell>
          <cell r="AA350">
            <v>279</v>
          </cell>
          <cell r="AB350" t="str">
            <v>Balance Sheet</v>
          </cell>
          <cell r="AC350">
            <v>349</v>
          </cell>
          <cell r="AD350">
            <v>0</v>
          </cell>
          <cell r="AE350">
            <v>0</v>
          </cell>
          <cell r="AF350">
            <v>0</v>
          </cell>
          <cell r="AG350">
            <v>0</v>
          </cell>
          <cell r="AH350">
            <v>0</v>
          </cell>
          <cell r="AI350">
            <v>0</v>
          </cell>
          <cell r="AJ350">
            <v>0</v>
          </cell>
          <cell r="AK350">
            <v>0</v>
          </cell>
          <cell r="AL350">
            <v>0</v>
          </cell>
          <cell r="AM350">
            <v>0</v>
          </cell>
          <cell r="AN350">
            <v>179</v>
          </cell>
          <cell r="AO350" t="str">
            <v>Gross Loans</v>
          </cell>
          <cell r="AP350" t="str">
            <v>m</v>
          </cell>
          <cell r="AQ350">
            <v>0</v>
          </cell>
          <cell r="AR350" t="str">
            <v>Banks</v>
          </cell>
          <cell r="AS350">
            <v>0</v>
          </cell>
          <cell r="AT350">
            <v>0</v>
          </cell>
          <cell r="AU350" t="e">
            <v>#VALUE!</v>
          </cell>
          <cell r="AV350" t="e">
            <v>#VALUE!</v>
          </cell>
        </row>
        <row r="351">
          <cell r="A351">
            <v>179.2</v>
          </cell>
          <cell r="B351" t="str">
            <v>1b_loans_advances</v>
          </cell>
          <cell r="C351" t="str">
            <v>Loans and advances</v>
          </cell>
          <cell r="D351" t="str">
            <v>(m)</v>
          </cell>
          <cell r="E351">
            <v>0</v>
          </cell>
          <cell r="F351">
            <v>0</v>
          </cell>
          <cell r="G351">
            <v>0</v>
          </cell>
          <cell r="H351">
            <v>0</v>
          </cell>
          <cell r="I351">
            <v>0</v>
          </cell>
          <cell r="J351">
            <v>0</v>
          </cell>
          <cell r="K351">
            <v>0</v>
          </cell>
          <cell r="L351">
            <v>0</v>
          </cell>
          <cell r="M351">
            <v>0</v>
          </cell>
          <cell r="N351" t="str">
            <v>b_loans_advances</v>
          </cell>
          <cell r="O351">
            <v>0</v>
          </cell>
          <cell r="P351">
            <v>0</v>
          </cell>
          <cell r="Q351">
            <v>1000000</v>
          </cell>
          <cell r="R351" t="str">
            <v>E</v>
          </cell>
          <cell r="S351">
            <v>2</v>
          </cell>
          <cell r="T351" t="str">
            <v>null</v>
          </cell>
          <cell r="U351">
            <v>1</v>
          </cell>
          <cell r="V351">
            <v>0</v>
          </cell>
          <cell r="W351">
            <v>0</v>
          </cell>
          <cell r="X351">
            <v>0</v>
          </cell>
          <cell r="Y351">
            <v>0</v>
          </cell>
          <cell r="Z351">
            <v>0</v>
          </cell>
          <cell r="AA351">
            <v>322</v>
          </cell>
          <cell r="AB351" t="str">
            <v>Balance Sheet</v>
          </cell>
          <cell r="AC351">
            <v>350</v>
          </cell>
          <cell r="AD351">
            <v>0</v>
          </cell>
          <cell r="AE351">
            <v>0</v>
          </cell>
          <cell r="AF351">
            <v>0</v>
          </cell>
          <cell r="AG351">
            <v>0</v>
          </cell>
          <cell r="AH351">
            <v>0</v>
          </cell>
          <cell r="AI351">
            <v>0</v>
          </cell>
          <cell r="AJ351">
            <v>0</v>
          </cell>
          <cell r="AK351">
            <v>0</v>
          </cell>
          <cell r="AL351">
            <v>0</v>
          </cell>
          <cell r="AM351">
            <v>0</v>
          </cell>
          <cell r="AN351" t="e">
            <v>#N/A</v>
          </cell>
          <cell r="AO351" t="e">
            <v>#N/A</v>
          </cell>
          <cell r="AP351" t="e">
            <v>#N/A</v>
          </cell>
          <cell r="AQ351" t="e">
            <v>#N/A</v>
          </cell>
          <cell r="AR351" t="e">
            <v>#N/A</v>
          </cell>
          <cell r="AS351" t="e">
            <v>#N/A</v>
          </cell>
          <cell r="AT351" t="e">
            <v>#N/A</v>
          </cell>
          <cell r="AU351" t="e">
            <v>#N/A</v>
          </cell>
          <cell r="AV351" t="e">
            <v>#N/A</v>
          </cell>
        </row>
        <row r="352">
          <cell r="A352">
            <v>180</v>
          </cell>
          <cell r="B352" t="str">
            <v>1b_securities</v>
          </cell>
          <cell r="C352" t="str">
            <v>Securities</v>
          </cell>
          <cell r="D352" t="str">
            <v>(m)</v>
          </cell>
          <cell r="E352">
            <v>0</v>
          </cell>
          <cell r="F352">
            <v>0</v>
          </cell>
          <cell r="G352">
            <v>0</v>
          </cell>
          <cell r="H352">
            <v>0</v>
          </cell>
          <cell r="I352">
            <v>0</v>
          </cell>
          <cell r="J352">
            <v>0</v>
          </cell>
          <cell r="K352">
            <v>0</v>
          </cell>
          <cell r="L352">
            <v>0</v>
          </cell>
          <cell r="M352">
            <v>0</v>
          </cell>
          <cell r="N352" t="str">
            <v>b_securities</v>
          </cell>
          <cell r="O352">
            <v>0</v>
          </cell>
          <cell r="P352">
            <v>0</v>
          </cell>
          <cell r="Q352">
            <v>1000000</v>
          </cell>
          <cell r="R352" t="str">
            <v>E</v>
          </cell>
          <cell r="S352">
            <v>2</v>
          </cell>
          <cell r="T352" t="str">
            <v>null</v>
          </cell>
          <cell r="U352">
            <v>1</v>
          </cell>
          <cell r="V352">
            <v>0</v>
          </cell>
          <cell r="W352">
            <v>0</v>
          </cell>
          <cell r="X352">
            <v>0</v>
          </cell>
          <cell r="Y352">
            <v>0</v>
          </cell>
          <cell r="Z352">
            <v>0</v>
          </cell>
          <cell r="AA352">
            <v>532</v>
          </cell>
          <cell r="AB352" t="str">
            <v>Balance Sheet</v>
          </cell>
          <cell r="AC352">
            <v>351</v>
          </cell>
          <cell r="AD352">
            <v>0</v>
          </cell>
          <cell r="AE352">
            <v>0</v>
          </cell>
          <cell r="AF352">
            <v>0</v>
          </cell>
          <cell r="AG352">
            <v>0</v>
          </cell>
          <cell r="AH352">
            <v>0</v>
          </cell>
          <cell r="AI352">
            <v>0</v>
          </cell>
          <cell r="AJ352">
            <v>0</v>
          </cell>
          <cell r="AK352">
            <v>0</v>
          </cell>
          <cell r="AL352">
            <v>0</v>
          </cell>
          <cell r="AM352">
            <v>0</v>
          </cell>
          <cell r="AN352">
            <v>180</v>
          </cell>
          <cell r="AO352" t="str">
            <v>Securities</v>
          </cell>
          <cell r="AP352" t="str">
            <v>m</v>
          </cell>
          <cell r="AQ352">
            <v>0</v>
          </cell>
          <cell r="AR352" t="str">
            <v>Banks</v>
          </cell>
          <cell r="AS352">
            <v>0</v>
          </cell>
          <cell r="AT352">
            <v>0</v>
          </cell>
          <cell r="AU352" t="e">
            <v>#VALUE!</v>
          </cell>
          <cell r="AV352" t="e">
            <v>#VALUE!</v>
          </cell>
        </row>
        <row r="353">
          <cell r="A353">
            <v>420</v>
          </cell>
          <cell r="B353" t="str">
            <v>1b_prop_plant_equip</v>
          </cell>
          <cell r="C353" t="str">
            <v>Property, plant &amp; equipment, net</v>
          </cell>
          <cell r="D353" t="str">
            <v>(m)</v>
          </cell>
          <cell r="E353">
            <v>0</v>
          </cell>
          <cell r="F353">
            <v>0</v>
          </cell>
          <cell r="G353">
            <v>0</v>
          </cell>
          <cell r="H353">
            <v>0</v>
          </cell>
          <cell r="I353">
            <v>0</v>
          </cell>
          <cell r="J353">
            <v>0</v>
          </cell>
          <cell r="K353">
            <v>0</v>
          </cell>
          <cell r="L353">
            <v>0</v>
          </cell>
          <cell r="M353">
            <v>0</v>
          </cell>
          <cell r="N353" t="str">
            <v>b_prop_plant_equip</v>
          </cell>
          <cell r="O353">
            <v>0</v>
          </cell>
          <cell r="P353">
            <v>0</v>
          </cell>
          <cell r="Q353">
            <v>1000000</v>
          </cell>
          <cell r="R353" t="str">
            <v>E</v>
          </cell>
          <cell r="S353">
            <v>2</v>
          </cell>
          <cell r="T353" t="str">
            <v>null</v>
          </cell>
          <cell r="U353">
            <v>1</v>
          </cell>
          <cell r="V353">
            <v>0</v>
          </cell>
          <cell r="W353">
            <v>0</v>
          </cell>
          <cell r="X353">
            <v>0</v>
          </cell>
          <cell r="Y353">
            <v>0</v>
          </cell>
          <cell r="Z353">
            <v>0</v>
          </cell>
          <cell r="AA353">
            <v>490</v>
          </cell>
          <cell r="AB353" t="str">
            <v>Balance Sheet</v>
          </cell>
          <cell r="AC353">
            <v>354</v>
          </cell>
          <cell r="AD353">
            <v>0</v>
          </cell>
          <cell r="AE353">
            <v>0</v>
          </cell>
          <cell r="AF353">
            <v>0</v>
          </cell>
          <cell r="AG353">
            <v>0</v>
          </cell>
          <cell r="AH353">
            <v>0</v>
          </cell>
          <cell r="AI353">
            <v>0</v>
          </cell>
          <cell r="AJ353">
            <v>0</v>
          </cell>
          <cell r="AK353">
            <v>0</v>
          </cell>
          <cell r="AL353">
            <v>0</v>
          </cell>
          <cell r="AM353">
            <v>0</v>
          </cell>
          <cell r="AN353" t="e">
            <v>#N/A</v>
          </cell>
          <cell r="AO353" t="e">
            <v>#N/A</v>
          </cell>
          <cell r="AP353" t="e">
            <v>#N/A</v>
          </cell>
          <cell r="AQ353" t="e">
            <v>#N/A</v>
          </cell>
          <cell r="AR353" t="e">
            <v>#N/A</v>
          </cell>
          <cell r="AS353" t="e">
            <v>#N/A</v>
          </cell>
          <cell r="AT353" t="e">
            <v>#N/A</v>
          </cell>
          <cell r="AU353" t="e">
            <v>#N/A</v>
          </cell>
          <cell r="AV353" t="e">
            <v>#N/A</v>
          </cell>
        </row>
        <row r="354">
          <cell r="A354">
            <v>421</v>
          </cell>
          <cell r="B354" t="str">
            <v>1b_goodwill_intangibles</v>
          </cell>
          <cell r="C354" t="str">
            <v>Goodwill &amp; intangible assets</v>
          </cell>
          <cell r="D354" t="str">
            <v>(m)</v>
          </cell>
          <cell r="E354">
            <v>0</v>
          </cell>
          <cell r="F354">
            <v>0</v>
          </cell>
          <cell r="G354">
            <v>0</v>
          </cell>
          <cell r="H354">
            <v>0</v>
          </cell>
          <cell r="I354">
            <v>0</v>
          </cell>
          <cell r="J354">
            <v>0</v>
          </cell>
          <cell r="K354">
            <v>0</v>
          </cell>
          <cell r="L354">
            <v>0</v>
          </cell>
          <cell r="M354">
            <v>0</v>
          </cell>
          <cell r="N354" t="str">
            <v>b_goodwill_intangibles</v>
          </cell>
          <cell r="O354">
            <v>0</v>
          </cell>
          <cell r="P354">
            <v>0</v>
          </cell>
          <cell r="Q354">
            <v>1000000</v>
          </cell>
          <cell r="R354" t="str">
            <v>E</v>
          </cell>
          <cell r="S354">
            <v>2</v>
          </cell>
          <cell r="T354" t="str">
            <v>null</v>
          </cell>
          <cell r="U354">
            <v>1</v>
          </cell>
          <cell r="V354">
            <v>0</v>
          </cell>
          <cell r="W354">
            <v>0</v>
          </cell>
          <cell r="X354">
            <v>0</v>
          </cell>
          <cell r="Y354">
            <v>0</v>
          </cell>
          <cell r="Z354">
            <v>0</v>
          </cell>
          <cell r="AA354">
            <v>272</v>
          </cell>
          <cell r="AB354" t="str">
            <v>Balance Sheet</v>
          </cell>
          <cell r="AC354">
            <v>355</v>
          </cell>
          <cell r="AD354">
            <v>0</v>
          </cell>
          <cell r="AE354">
            <v>0</v>
          </cell>
          <cell r="AF354">
            <v>0</v>
          </cell>
          <cell r="AG354">
            <v>0</v>
          </cell>
          <cell r="AH354">
            <v>0</v>
          </cell>
          <cell r="AI354">
            <v>0</v>
          </cell>
          <cell r="AJ354">
            <v>0</v>
          </cell>
          <cell r="AK354">
            <v>0</v>
          </cell>
          <cell r="AL354">
            <v>0</v>
          </cell>
          <cell r="AM354">
            <v>0</v>
          </cell>
          <cell r="AN354" t="e">
            <v>#N/A</v>
          </cell>
          <cell r="AO354" t="e">
            <v>#N/A</v>
          </cell>
          <cell r="AP354" t="e">
            <v>#N/A</v>
          </cell>
          <cell r="AQ354" t="e">
            <v>#N/A</v>
          </cell>
          <cell r="AR354" t="e">
            <v>#N/A</v>
          </cell>
          <cell r="AS354" t="e">
            <v>#N/A</v>
          </cell>
          <cell r="AT354" t="e">
            <v>#N/A</v>
          </cell>
          <cell r="AU354" t="e">
            <v>#N/A</v>
          </cell>
          <cell r="AV354" t="e">
            <v>#N/A</v>
          </cell>
        </row>
        <row r="355">
          <cell r="A355">
            <v>422</v>
          </cell>
          <cell r="B355" t="str">
            <v>1b_short_term_debt</v>
          </cell>
          <cell r="C355" t="str">
            <v>Short term debt (including current portion of LT debt)</v>
          </cell>
          <cell r="D355" t="str">
            <v>(m)</v>
          </cell>
          <cell r="E355">
            <v>0</v>
          </cell>
          <cell r="F355">
            <v>0</v>
          </cell>
          <cell r="G355">
            <v>0</v>
          </cell>
          <cell r="H355">
            <v>0</v>
          </cell>
          <cell r="I355">
            <v>0</v>
          </cell>
          <cell r="J355">
            <v>0</v>
          </cell>
          <cell r="K355">
            <v>0</v>
          </cell>
          <cell r="L355">
            <v>0</v>
          </cell>
          <cell r="M355">
            <v>0</v>
          </cell>
          <cell r="N355" t="str">
            <v>b_short_term_debt</v>
          </cell>
          <cell r="O355">
            <v>0</v>
          </cell>
          <cell r="P355">
            <v>0</v>
          </cell>
          <cell r="Q355">
            <v>1000000</v>
          </cell>
          <cell r="R355" t="str">
            <v>E</v>
          </cell>
          <cell r="S355">
            <v>2</v>
          </cell>
          <cell r="T355" t="str">
            <v>null</v>
          </cell>
          <cell r="U355">
            <v>1</v>
          </cell>
          <cell r="V355">
            <v>0</v>
          </cell>
          <cell r="W355">
            <v>0</v>
          </cell>
          <cell r="X355">
            <v>0</v>
          </cell>
          <cell r="Y355">
            <v>0</v>
          </cell>
          <cell r="Z355">
            <v>0</v>
          </cell>
          <cell r="AA355">
            <v>541</v>
          </cell>
          <cell r="AB355" t="str">
            <v>Balance Sheet</v>
          </cell>
          <cell r="AC355">
            <v>356</v>
          </cell>
          <cell r="AD355">
            <v>0</v>
          </cell>
          <cell r="AE355">
            <v>0</v>
          </cell>
          <cell r="AF355">
            <v>0</v>
          </cell>
          <cell r="AG355">
            <v>0</v>
          </cell>
          <cell r="AH355">
            <v>0</v>
          </cell>
          <cell r="AI355">
            <v>0</v>
          </cell>
          <cell r="AJ355">
            <v>0</v>
          </cell>
          <cell r="AK355">
            <v>0</v>
          </cell>
          <cell r="AL355">
            <v>0</v>
          </cell>
          <cell r="AM355">
            <v>0</v>
          </cell>
          <cell r="AN355" t="e">
            <v>#N/A</v>
          </cell>
          <cell r="AO355" t="e">
            <v>#N/A</v>
          </cell>
          <cell r="AP355" t="e">
            <v>#N/A</v>
          </cell>
          <cell r="AQ355" t="e">
            <v>#N/A</v>
          </cell>
          <cell r="AR355" t="e">
            <v>#N/A</v>
          </cell>
          <cell r="AS355" t="e">
            <v>#N/A</v>
          </cell>
          <cell r="AT355" t="e">
            <v>#N/A</v>
          </cell>
          <cell r="AU355" t="e">
            <v>#N/A</v>
          </cell>
          <cell r="AV355" t="e">
            <v>#N/A</v>
          </cell>
        </row>
        <row r="356">
          <cell r="A356">
            <v>419</v>
          </cell>
          <cell r="B356" t="str">
            <v>1b_cash_and_equiv</v>
          </cell>
          <cell r="C356" t="str">
            <v>Cash &amp; cash equivalents</v>
          </cell>
          <cell r="D356" t="str">
            <v>(m)</v>
          </cell>
          <cell r="E356">
            <v>0</v>
          </cell>
          <cell r="F356">
            <v>0</v>
          </cell>
          <cell r="G356">
            <v>0</v>
          </cell>
          <cell r="H356">
            <v>0</v>
          </cell>
          <cell r="I356">
            <v>0</v>
          </cell>
          <cell r="J356">
            <v>0</v>
          </cell>
          <cell r="K356">
            <v>0</v>
          </cell>
          <cell r="L356">
            <v>0</v>
          </cell>
          <cell r="M356">
            <v>0</v>
          </cell>
          <cell r="N356" t="str">
            <v>b_cash_and_equiv</v>
          </cell>
          <cell r="O356">
            <v>0</v>
          </cell>
          <cell r="P356">
            <v>0</v>
          </cell>
          <cell r="Q356">
            <v>1000000</v>
          </cell>
          <cell r="R356" t="str">
            <v>E</v>
          </cell>
          <cell r="S356">
            <v>2</v>
          </cell>
          <cell r="T356" t="str">
            <v>null</v>
          </cell>
          <cell r="U356">
            <v>1</v>
          </cell>
          <cell r="V356">
            <v>0</v>
          </cell>
          <cell r="W356">
            <v>0</v>
          </cell>
          <cell r="X356">
            <v>0</v>
          </cell>
          <cell r="Y356">
            <v>0</v>
          </cell>
          <cell r="Z356">
            <v>0</v>
          </cell>
          <cell r="AA356">
            <v>58</v>
          </cell>
          <cell r="AB356" t="str">
            <v>Balance Sheet</v>
          </cell>
          <cell r="AC356">
            <v>358</v>
          </cell>
          <cell r="AD356">
            <v>0</v>
          </cell>
          <cell r="AE356">
            <v>0</v>
          </cell>
          <cell r="AF356">
            <v>0</v>
          </cell>
          <cell r="AG356">
            <v>0</v>
          </cell>
          <cell r="AH356">
            <v>0</v>
          </cell>
          <cell r="AI356">
            <v>0</v>
          </cell>
          <cell r="AJ356">
            <v>0</v>
          </cell>
          <cell r="AK356">
            <v>0</v>
          </cell>
          <cell r="AL356">
            <v>0</v>
          </cell>
          <cell r="AM356">
            <v>0</v>
          </cell>
          <cell r="AN356" t="e">
            <v>#N/A</v>
          </cell>
          <cell r="AO356" t="e">
            <v>#N/A</v>
          </cell>
          <cell r="AP356" t="e">
            <v>#N/A</v>
          </cell>
          <cell r="AQ356" t="e">
            <v>#N/A</v>
          </cell>
          <cell r="AR356" t="e">
            <v>#N/A</v>
          </cell>
          <cell r="AS356" t="e">
            <v>#N/A</v>
          </cell>
          <cell r="AT356" t="e">
            <v>#N/A</v>
          </cell>
          <cell r="AU356" t="e">
            <v>#N/A</v>
          </cell>
          <cell r="AV356" t="e">
            <v>#N/A</v>
          </cell>
        </row>
        <row r="357">
          <cell r="A357">
            <v>184</v>
          </cell>
          <cell r="B357" t="str">
            <v>1b_investments</v>
          </cell>
          <cell r="C357" t="str">
            <v>Investments</v>
          </cell>
          <cell r="D357" t="str">
            <v>(m)</v>
          </cell>
          <cell r="E357">
            <v>0</v>
          </cell>
          <cell r="F357">
            <v>0</v>
          </cell>
          <cell r="G357">
            <v>0</v>
          </cell>
          <cell r="H357">
            <v>0</v>
          </cell>
          <cell r="I357">
            <v>0</v>
          </cell>
          <cell r="J357">
            <v>0</v>
          </cell>
          <cell r="K357">
            <v>0</v>
          </cell>
          <cell r="L357">
            <v>0</v>
          </cell>
          <cell r="M357">
            <v>0</v>
          </cell>
          <cell r="N357" t="str">
            <v>b_investments</v>
          </cell>
          <cell r="O357">
            <v>0</v>
          </cell>
          <cell r="P357">
            <v>0</v>
          </cell>
          <cell r="Q357">
            <v>1000000</v>
          </cell>
          <cell r="R357" t="str">
            <v>E</v>
          </cell>
          <cell r="S357">
            <v>2</v>
          </cell>
          <cell r="T357" t="str">
            <v>null</v>
          </cell>
          <cell r="U357">
            <v>1</v>
          </cell>
          <cell r="V357">
            <v>0</v>
          </cell>
          <cell r="W357">
            <v>0</v>
          </cell>
          <cell r="X357">
            <v>0</v>
          </cell>
          <cell r="Y357">
            <v>0</v>
          </cell>
          <cell r="Z357">
            <v>0</v>
          </cell>
          <cell r="AA357">
            <v>305</v>
          </cell>
          <cell r="AB357" t="str">
            <v>Balance Sheet</v>
          </cell>
          <cell r="AC357">
            <v>360</v>
          </cell>
          <cell r="AD357">
            <v>0</v>
          </cell>
          <cell r="AE357">
            <v>0</v>
          </cell>
          <cell r="AF357">
            <v>0</v>
          </cell>
          <cell r="AG357">
            <v>0</v>
          </cell>
          <cell r="AH357">
            <v>0</v>
          </cell>
          <cell r="AI357">
            <v>0</v>
          </cell>
          <cell r="AJ357">
            <v>0</v>
          </cell>
          <cell r="AK357">
            <v>0</v>
          </cell>
          <cell r="AL357">
            <v>0</v>
          </cell>
          <cell r="AM357">
            <v>0</v>
          </cell>
          <cell r="AN357">
            <v>184</v>
          </cell>
          <cell r="AO357" t="str">
            <v>Investments</v>
          </cell>
          <cell r="AP357" t="str">
            <v>m</v>
          </cell>
          <cell r="AQ357">
            <v>0</v>
          </cell>
          <cell r="AR357" t="str">
            <v>Banks</v>
          </cell>
          <cell r="AS357">
            <v>0</v>
          </cell>
          <cell r="AT357">
            <v>0</v>
          </cell>
          <cell r="AU357" t="e">
            <v>#VALUE!</v>
          </cell>
          <cell r="AV357" t="e">
            <v>#VALUE!</v>
          </cell>
        </row>
        <row r="358">
          <cell r="A358">
            <v>378</v>
          </cell>
          <cell r="B358" t="str">
            <v>1b_stock</v>
          </cell>
          <cell r="C358" t="str">
            <v>Stock</v>
          </cell>
          <cell r="D358" t="str">
            <v>(m)</v>
          </cell>
          <cell r="E358">
            <v>0</v>
          </cell>
          <cell r="F358">
            <v>0</v>
          </cell>
          <cell r="G358">
            <v>0</v>
          </cell>
          <cell r="H358">
            <v>0</v>
          </cell>
          <cell r="I358">
            <v>0</v>
          </cell>
          <cell r="J358">
            <v>0</v>
          </cell>
          <cell r="K358">
            <v>0</v>
          </cell>
          <cell r="L358">
            <v>0</v>
          </cell>
          <cell r="M358">
            <v>0</v>
          </cell>
          <cell r="N358" t="str">
            <v>b_stock</v>
          </cell>
          <cell r="O358">
            <v>0</v>
          </cell>
          <cell r="P358">
            <v>0</v>
          </cell>
          <cell r="Q358">
            <v>1000000</v>
          </cell>
          <cell r="R358" t="str">
            <v>E</v>
          </cell>
          <cell r="S358">
            <v>2</v>
          </cell>
          <cell r="T358" t="str">
            <v>null</v>
          </cell>
          <cell r="U358">
            <v>1</v>
          </cell>
          <cell r="V358">
            <v>0</v>
          </cell>
          <cell r="W358">
            <v>0</v>
          </cell>
          <cell r="X358">
            <v>0</v>
          </cell>
          <cell r="Y358">
            <v>0</v>
          </cell>
          <cell r="Z358">
            <v>0</v>
          </cell>
          <cell r="AA358">
            <v>544</v>
          </cell>
          <cell r="AB358" t="str">
            <v>Balance Sheet</v>
          </cell>
          <cell r="AC358">
            <v>361</v>
          </cell>
          <cell r="AD358">
            <v>0</v>
          </cell>
          <cell r="AE358">
            <v>0</v>
          </cell>
          <cell r="AF358">
            <v>0</v>
          </cell>
          <cell r="AG358">
            <v>0</v>
          </cell>
          <cell r="AH358">
            <v>0</v>
          </cell>
          <cell r="AI358">
            <v>0</v>
          </cell>
          <cell r="AJ358">
            <v>0</v>
          </cell>
          <cell r="AK358">
            <v>0</v>
          </cell>
          <cell r="AL358">
            <v>0</v>
          </cell>
          <cell r="AM358">
            <v>0</v>
          </cell>
          <cell r="AN358" t="e">
            <v>#N/A</v>
          </cell>
          <cell r="AO358" t="e">
            <v>#N/A</v>
          </cell>
          <cell r="AP358" t="e">
            <v>#N/A</v>
          </cell>
          <cell r="AQ358" t="e">
            <v>#N/A</v>
          </cell>
          <cell r="AR358" t="e">
            <v>#N/A</v>
          </cell>
          <cell r="AS358" t="e">
            <v>#N/A</v>
          </cell>
          <cell r="AT358" t="e">
            <v>#N/A</v>
          </cell>
          <cell r="AU358" t="e">
            <v>#N/A</v>
          </cell>
          <cell r="AV358" t="e">
            <v>#N/A</v>
          </cell>
        </row>
        <row r="359">
          <cell r="A359">
            <v>378.2</v>
          </cell>
          <cell r="B359" t="str">
            <v>1b_inventories</v>
          </cell>
          <cell r="C359" t="str">
            <v>Inventories</v>
          </cell>
          <cell r="D359" t="str">
            <v>(m)</v>
          </cell>
          <cell r="E359">
            <v>0</v>
          </cell>
          <cell r="F359">
            <v>0</v>
          </cell>
          <cell r="G359">
            <v>0</v>
          </cell>
          <cell r="H359">
            <v>0</v>
          </cell>
          <cell r="I359">
            <v>0</v>
          </cell>
          <cell r="J359">
            <v>0</v>
          </cell>
          <cell r="K359">
            <v>0</v>
          </cell>
          <cell r="L359">
            <v>0</v>
          </cell>
          <cell r="M359">
            <v>0</v>
          </cell>
          <cell r="N359" t="str">
            <v>b_inventories</v>
          </cell>
          <cell r="O359">
            <v>0</v>
          </cell>
          <cell r="P359">
            <v>0</v>
          </cell>
          <cell r="Q359">
            <v>1000000</v>
          </cell>
          <cell r="R359" t="str">
            <v>E</v>
          </cell>
          <cell r="S359">
            <v>2</v>
          </cell>
          <cell r="T359" t="str">
            <v>null</v>
          </cell>
          <cell r="U359">
            <v>1</v>
          </cell>
          <cell r="V359">
            <v>0</v>
          </cell>
          <cell r="W359">
            <v>0</v>
          </cell>
          <cell r="X359">
            <v>0</v>
          </cell>
          <cell r="Y359">
            <v>0</v>
          </cell>
          <cell r="Z359">
            <v>0</v>
          </cell>
          <cell r="AA359">
            <v>302</v>
          </cell>
          <cell r="AB359" t="str">
            <v>Balance Sheet</v>
          </cell>
          <cell r="AC359">
            <v>362</v>
          </cell>
          <cell r="AD359">
            <v>0</v>
          </cell>
          <cell r="AE359">
            <v>0</v>
          </cell>
          <cell r="AF359">
            <v>0</v>
          </cell>
          <cell r="AG359">
            <v>0</v>
          </cell>
          <cell r="AH359">
            <v>0</v>
          </cell>
          <cell r="AI359">
            <v>0</v>
          </cell>
          <cell r="AJ359">
            <v>0</v>
          </cell>
          <cell r="AK359">
            <v>0</v>
          </cell>
          <cell r="AL359">
            <v>0</v>
          </cell>
          <cell r="AM359">
            <v>0</v>
          </cell>
          <cell r="AN359" t="e">
            <v>#N/A</v>
          </cell>
          <cell r="AO359" t="e">
            <v>#N/A</v>
          </cell>
          <cell r="AP359" t="e">
            <v>#N/A</v>
          </cell>
          <cell r="AQ359" t="e">
            <v>#N/A</v>
          </cell>
          <cell r="AR359" t="e">
            <v>#N/A</v>
          </cell>
          <cell r="AS359" t="e">
            <v>#N/A</v>
          </cell>
          <cell r="AT359" t="e">
            <v>#N/A</v>
          </cell>
          <cell r="AU359" t="e">
            <v>#N/A</v>
          </cell>
          <cell r="AV359" t="e">
            <v>#N/A</v>
          </cell>
        </row>
        <row r="360">
          <cell r="A360">
            <v>185</v>
          </cell>
          <cell r="B360" t="str">
            <v>1b_deposits</v>
          </cell>
          <cell r="C360" t="str">
            <v>Deposits</v>
          </cell>
          <cell r="D360" t="str">
            <v>(m)</v>
          </cell>
          <cell r="E360">
            <v>0</v>
          </cell>
          <cell r="F360">
            <v>0</v>
          </cell>
          <cell r="G360">
            <v>0</v>
          </cell>
          <cell r="H360">
            <v>0</v>
          </cell>
          <cell r="I360">
            <v>0</v>
          </cell>
          <cell r="J360">
            <v>0</v>
          </cell>
          <cell r="K360">
            <v>0</v>
          </cell>
          <cell r="L360">
            <v>0</v>
          </cell>
          <cell r="M360">
            <v>0</v>
          </cell>
          <cell r="N360" t="str">
            <v>b_deposits</v>
          </cell>
          <cell r="O360">
            <v>0</v>
          </cell>
          <cell r="P360">
            <v>0</v>
          </cell>
          <cell r="Q360">
            <v>1000000</v>
          </cell>
          <cell r="R360" t="str">
            <v>E</v>
          </cell>
          <cell r="S360">
            <v>2</v>
          </cell>
          <cell r="T360" t="str">
            <v>null</v>
          </cell>
          <cell r="U360">
            <v>1</v>
          </cell>
          <cell r="V360">
            <v>0</v>
          </cell>
          <cell r="W360">
            <v>0</v>
          </cell>
          <cell r="X360">
            <v>0</v>
          </cell>
          <cell r="Y360">
            <v>0</v>
          </cell>
          <cell r="Z360">
            <v>0</v>
          </cell>
          <cell r="AA360">
            <v>127</v>
          </cell>
          <cell r="AB360" t="str">
            <v>Balance Sheet</v>
          </cell>
          <cell r="AC360">
            <v>363</v>
          </cell>
          <cell r="AD360">
            <v>0</v>
          </cell>
          <cell r="AE360">
            <v>0</v>
          </cell>
          <cell r="AF360">
            <v>0</v>
          </cell>
          <cell r="AG360">
            <v>0</v>
          </cell>
          <cell r="AH360">
            <v>0</v>
          </cell>
          <cell r="AI360">
            <v>0</v>
          </cell>
          <cell r="AJ360">
            <v>0</v>
          </cell>
          <cell r="AK360">
            <v>0</v>
          </cell>
          <cell r="AL360">
            <v>0</v>
          </cell>
          <cell r="AM360">
            <v>0</v>
          </cell>
          <cell r="AN360">
            <v>185</v>
          </cell>
          <cell r="AO360" t="str">
            <v>Deposits</v>
          </cell>
          <cell r="AP360" t="str">
            <v>m</v>
          </cell>
          <cell r="AQ360">
            <v>0</v>
          </cell>
          <cell r="AR360" t="str">
            <v>Banks</v>
          </cell>
          <cell r="AS360">
            <v>0</v>
          </cell>
          <cell r="AT360">
            <v>0</v>
          </cell>
          <cell r="AU360" t="e">
            <v>#VALUE!</v>
          </cell>
          <cell r="AV360" t="e">
            <v>#VALUE!</v>
          </cell>
        </row>
        <row r="361">
          <cell r="A361">
            <v>186</v>
          </cell>
          <cell r="B361" t="str">
            <v>1b_gross_prop_assets</v>
          </cell>
          <cell r="C361" t="str">
            <v>Gross property assets value</v>
          </cell>
          <cell r="D361" t="str">
            <v>(m)</v>
          </cell>
          <cell r="E361">
            <v>0</v>
          </cell>
          <cell r="F361">
            <v>0</v>
          </cell>
          <cell r="G361">
            <v>0</v>
          </cell>
          <cell r="H361">
            <v>0</v>
          </cell>
          <cell r="I361">
            <v>0</v>
          </cell>
          <cell r="J361">
            <v>0</v>
          </cell>
          <cell r="K361">
            <v>0</v>
          </cell>
          <cell r="L361">
            <v>0</v>
          </cell>
          <cell r="M361">
            <v>0</v>
          </cell>
          <cell r="N361" t="str">
            <v>b_gross_prop_assets</v>
          </cell>
          <cell r="O361">
            <v>0</v>
          </cell>
          <cell r="P361">
            <v>0</v>
          </cell>
          <cell r="Q361">
            <v>1000000</v>
          </cell>
          <cell r="R361" t="str">
            <v>E</v>
          </cell>
          <cell r="S361">
            <v>2</v>
          </cell>
          <cell r="T361" t="str">
            <v>null</v>
          </cell>
          <cell r="U361">
            <v>1</v>
          </cell>
          <cell r="V361">
            <v>0</v>
          </cell>
          <cell r="W361">
            <v>0</v>
          </cell>
          <cell r="X361">
            <v>0</v>
          </cell>
          <cell r="Y361">
            <v>0</v>
          </cell>
          <cell r="Z361">
            <v>0</v>
          </cell>
          <cell r="AA361">
            <v>282</v>
          </cell>
          <cell r="AB361" t="str">
            <v>Balance Sheet</v>
          </cell>
          <cell r="AC361">
            <v>364</v>
          </cell>
          <cell r="AD361">
            <v>0</v>
          </cell>
          <cell r="AE361">
            <v>0</v>
          </cell>
          <cell r="AF361">
            <v>0</v>
          </cell>
          <cell r="AG361">
            <v>0</v>
          </cell>
          <cell r="AH361">
            <v>0</v>
          </cell>
          <cell r="AI361">
            <v>0</v>
          </cell>
          <cell r="AJ361">
            <v>0</v>
          </cell>
          <cell r="AK361">
            <v>0</v>
          </cell>
          <cell r="AL361">
            <v>0</v>
          </cell>
          <cell r="AM361">
            <v>0</v>
          </cell>
          <cell r="AN361">
            <v>186</v>
          </cell>
          <cell r="AO361" t="str">
            <v>Gross property assets value</v>
          </cell>
          <cell r="AP361" t="str">
            <v>m</v>
          </cell>
          <cell r="AQ361">
            <v>0</v>
          </cell>
          <cell r="AR361" t="str">
            <v>Properties</v>
          </cell>
          <cell r="AS361">
            <v>0</v>
          </cell>
          <cell r="AT361">
            <v>0</v>
          </cell>
          <cell r="AU361" t="e">
            <v>#VALUE!</v>
          </cell>
          <cell r="AV361" t="e">
            <v>#VALUE!</v>
          </cell>
        </row>
        <row r="362">
          <cell r="A362">
            <v>187</v>
          </cell>
          <cell r="B362" t="str">
            <v>1b_group_appraisal_value</v>
          </cell>
          <cell r="C362" t="str">
            <v>Group appraisal value</v>
          </cell>
          <cell r="D362" t="str">
            <v>(m)</v>
          </cell>
          <cell r="E362">
            <v>0</v>
          </cell>
          <cell r="F362">
            <v>0</v>
          </cell>
          <cell r="G362">
            <v>0</v>
          </cell>
          <cell r="H362">
            <v>0</v>
          </cell>
          <cell r="I362">
            <v>0</v>
          </cell>
          <cell r="J362">
            <v>0</v>
          </cell>
          <cell r="K362">
            <v>0</v>
          </cell>
          <cell r="L362">
            <v>0</v>
          </cell>
          <cell r="M362">
            <v>0</v>
          </cell>
          <cell r="N362" t="str">
            <v>b_group_appraisal_value</v>
          </cell>
          <cell r="O362">
            <v>0</v>
          </cell>
          <cell r="P362">
            <v>0</v>
          </cell>
          <cell r="Q362">
            <v>1000000</v>
          </cell>
          <cell r="R362" t="str">
            <v>E</v>
          </cell>
          <cell r="S362">
            <v>2</v>
          </cell>
          <cell r="T362" t="str">
            <v>null</v>
          </cell>
          <cell r="U362">
            <v>1</v>
          </cell>
          <cell r="V362">
            <v>0</v>
          </cell>
          <cell r="W362">
            <v>0</v>
          </cell>
          <cell r="X362">
            <v>0</v>
          </cell>
          <cell r="Y362">
            <v>0</v>
          </cell>
          <cell r="Z362">
            <v>0</v>
          </cell>
          <cell r="AA362">
            <v>284</v>
          </cell>
          <cell r="AB362" t="str">
            <v>Balance Sheet</v>
          </cell>
          <cell r="AC362">
            <v>365</v>
          </cell>
          <cell r="AD362">
            <v>0</v>
          </cell>
          <cell r="AE362">
            <v>0</v>
          </cell>
          <cell r="AF362">
            <v>0</v>
          </cell>
          <cell r="AG362">
            <v>0</v>
          </cell>
          <cell r="AH362">
            <v>0</v>
          </cell>
          <cell r="AI362">
            <v>0</v>
          </cell>
          <cell r="AJ362">
            <v>0</v>
          </cell>
          <cell r="AK362">
            <v>0</v>
          </cell>
          <cell r="AL362">
            <v>0</v>
          </cell>
          <cell r="AM362">
            <v>0</v>
          </cell>
          <cell r="AN362">
            <v>187</v>
          </cell>
          <cell r="AO362" t="str">
            <v>Group Appraisal Value</v>
          </cell>
          <cell r="AP362" t="str">
            <v>m</v>
          </cell>
          <cell r="AQ362">
            <v>0</v>
          </cell>
          <cell r="AR362" t="str">
            <v>Insurance</v>
          </cell>
          <cell r="AS362">
            <v>0</v>
          </cell>
          <cell r="AT362">
            <v>0</v>
          </cell>
          <cell r="AU362" t="e">
            <v>#VALUE!</v>
          </cell>
          <cell r="AV362" t="e">
            <v>#VALUE!</v>
          </cell>
        </row>
        <row r="363">
          <cell r="A363">
            <v>187.5</v>
          </cell>
          <cell r="B363" t="str">
            <v>2b_group_appraisal_value_grwth</v>
          </cell>
          <cell r="C363" t="str">
            <v>Group Appraisal value growth y-o-y</v>
          </cell>
          <cell r="D363" t="str">
            <v>(%)</v>
          </cell>
          <cell r="E363">
            <v>0</v>
          </cell>
          <cell r="F363">
            <v>0</v>
          </cell>
          <cell r="G363">
            <v>0</v>
          </cell>
          <cell r="H363">
            <v>0</v>
          </cell>
          <cell r="I363">
            <v>0</v>
          </cell>
          <cell r="J363">
            <v>0</v>
          </cell>
          <cell r="K363">
            <v>0</v>
          </cell>
          <cell r="L363">
            <v>0</v>
          </cell>
          <cell r="M363">
            <v>0</v>
          </cell>
          <cell r="N363" t="str">
            <v>b_group_appraisal_value_grwth</v>
          </cell>
          <cell r="O363">
            <v>0</v>
          </cell>
          <cell r="P363">
            <v>0</v>
          </cell>
          <cell r="Q363">
            <v>0.01</v>
          </cell>
          <cell r="R363" t="str">
            <v>E</v>
          </cell>
          <cell r="S363">
            <v>2</v>
          </cell>
          <cell r="T363" t="str">
            <v>null</v>
          </cell>
          <cell r="U363">
            <v>2</v>
          </cell>
          <cell r="V363">
            <v>0</v>
          </cell>
          <cell r="W363">
            <v>0</v>
          </cell>
          <cell r="X363">
            <v>0</v>
          </cell>
          <cell r="Y363">
            <v>0</v>
          </cell>
          <cell r="Z363">
            <v>0</v>
          </cell>
          <cell r="AA363">
            <v>284</v>
          </cell>
          <cell r="AB363" t="str">
            <v>Balance Sheet</v>
          </cell>
          <cell r="AC363">
            <v>365</v>
          </cell>
          <cell r="AD363">
            <v>0</v>
          </cell>
          <cell r="AE363" t="str">
            <v>b_group_appraisal_value</v>
          </cell>
        </row>
        <row r="364">
          <cell r="A364">
            <v>409</v>
          </cell>
          <cell r="B364" t="str">
            <v>1b_value_non_ins_bus</v>
          </cell>
          <cell r="C364" t="str">
            <v>Value non-insurance business</v>
          </cell>
          <cell r="D364" t="str">
            <v>(m)</v>
          </cell>
          <cell r="E364">
            <v>0</v>
          </cell>
          <cell r="F364">
            <v>0</v>
          </cell>
          <cell r="G364">
            <v>0</v>
          </cell>
          <cell r="H364">
            <v>0</v>
          </cell>
          <cell r="I364">
            <v>0</v>
          </cell>
          <cell r="J364">
            <v>0</v>
          </cell>
          <cell r="K364">
            <v>0</v>
          </cell>
          <cell r="L364">
            <v>0</v>
          </cell>
          <cell r="M364">
            <v>0</v>
          </cell>
          <cell r="N364" t="str">
            <v>b_value_non_ins_bus</v>
          </cell>
          <cell r="O364">
            <v>0</v>
          </cell>
          <cell r="P364">
            <v>0</v>
          </cell>
          <cell r="Q364">
            <v>1000000</v>
          </cell>
          <cell r="R364" t="str">
            <v>E</v>
          </cell>
          <cell r="S364">
            <v>2</v>
          </cell>
          <cell r="T364" t="str">
            <v>null</v>
          </cell>
          <cell r="U364">
            <v>1</v>
          </cell>
          <cell r="V364">
            <v>0</v>
          </cell>
          <cell r="W364">
            <v>0</v>
          </cell>
          <cell r="X364">
            <v>0</v>
          </cell>
          <cell r="Y364">
            <v>0</v>
          </cell>
          <cell r="Z364">
            <v>0</v>
          </cell>
          <cell r="AA364">
            <v>599</v>
          </cell>
          <cell r="AB364" t="str">
            <v>Balance Sheet</v>
          </cell>
          <cell r="AC364">
            <v>367</v>
          </cell>
          <cell r="AD364">
            <v>0</v>
          </cell>
          <cell r="AE364">
            <v>0</v>
          </cell>
          <cell r="AF364">
            <v>0</v>
          </cell>
          <cell r="AG364">
            <v>0</v>
          </cell>
          <cell r="AH364">
            <v>0</v>
          </cell>
          <cell r="AI364">
            <v>0</v>
          </cell>
          <cell r="AJ364">
            <v>0</v>
          </cell>
          <cell r="AK364">
            <v>0</v>
          </cell>
          <cell r="AL364">
            <v>0</v>
          </cell>
          <cell r="AM364">
            <v>0</v>
          </cell>
          <cell r="AN364" t="e">
            <v>#N/A</v>
          </cell>
          <cell r="AO364" t="e">
            <v>#N/A</v>
          </cell>
          <cell r="AP364" t="e">
            <v>#N/A</v>
          </cell>
          <cell r="AQ364" t="e">
            <v>#N/A</v>
          </cell>
          <cell r="AR364" t="e">
            <v>#N/A</v>
          </cell>
          <cell r="AS364" t="e">
            <v>#N/A</v>
          </cell>
          <cell r="AT364" t="e">
            <v>#N/A</v>
          </cell>
          <cell r="AU364" t="e">
            <v>#N/A</v>
          </cell>
          <cell r="AV364" t="e">
            <v>#N/A</v>
          </cell>
        </row>
        <row r="365">
          <cell r="A365">
            <v>410</v>
          </cell>
          <cell r="B365" t="str">
            <v>1b_basic_fair_value</v>
          </cell>
          <cell r="C365" t="str">
            <v>Basic fair value</v>
          </cell>
          <cell r="D365" t="str">
            <v>(m)</v>
          </cell>
          <cell r="E365">
            <v>0</v>
          </cell>
          <cell r="F365">
            <v>0</v>
          </cell>
          <cell r="G365">
            <v>0</v>
          </cell>
          <cell r="H365">
            <v>0</v>
          </cell>
          <cell r="I365">
            <v>0</v>
          </cell>
          <cell r="J365">
            <v>0</v>
          </cell>
          <cell r="K365">
            <v>0</v>
          </cell>
          <cell r="L365">
            <v>0</v>
          </cell>
          <cell r="M365">
            <v>0</v>
          </cell>
          <cell r="N365" t="str">
            <v>b_basic_fair_value</v>
          </cell>
          <cell r="O365">
            <v>0</v>
          </cell>
          <cell r="P365">
            <v>0</v>
          </cell>
          <cell r="Q365">
            <v>1000000</v>
          </cell>
          <cell r="R365" t="str">
            <v>E</v>
          </cell>
          <cell r="S365">
            <v>2</v>
          </cell>
          <cell r="T365" t="str">
            <v>null</v>
          </cell>
          <cell r="U365">
            <v>1</v>
          </cell>
          <cell r="V365">
            <v>0</v>
          </cell>
          <cell r="W365">
            <v>0</v>
          </cell>
          <cell r="X365">
            <v>0</v>
          </cell>
          <cell r="Y365">
            <v>0</v>
          </cell>
          <cell r="Z365">
            <v>0</v>
          </cell>
          <cell r="AA365">
            <v>39</v>
          </cell>
          <cell r="AB365" t="str">
            <v>Balance Sheet</v>
          </cell>
          <cell r="AC365">
            <v>368</v>
          </cell>
          <cell r="AD365">
            <v>0</v>
          </cell>
          <cell r="AE365">
            <v>0</v>
          </cell>
          <cell r="AF365">
            <v>0</v>
          </cell>
          <cell r="AG365">
            <v>0</v>
          </cell>
          <cell r="AH365">
            <v>0</v>
          </cell>
          <cell r="AI365">
            <v>0</v>
          </cell>
          <cell r="AJ365">
            <v>0</v>
          </cell>
          <cell r="AK365">
            <v>0</v>
          </cell>
          <cell r="AL365">
            <v>0</v>
          </cell>
          <cell r="AM365">
            <v>0</v>
          </cell>
          <cell r="AN365" t="e">
            <v>#N/A</v>
          </cell>
          <cell r="AO365" t="e">
            <v>#N/A</v>
          </cell>
          <cell r="AP365" t="e">
            <v>#N/A</v>
          </cell>
          <cell r="AQ365" t="e">
            <v>#N/A</v>
          </cell>
          <cell r="AR365" t="e">
            <v>#N/A</v>
          </cell>
          <cell r="AS365" t="e">
            <v>#N/A</v>
          </cell>
          <cell r="AT365" t="e">
            <v>#N/A</v>
          </cell>
          <cell r="AU365" t="e">
            <v>#N/A</v>
          </cell>
          <cell r="AV365" t="e">
            <v>#N/A</v>
          </cell>
        </row>
        <row r="366">
          <cell r="A366">
            <v>411</v>
          </cell>
          <cell r="B366" t="str">
            <v>1b_non_life_value</v>
          </cell>
          <cell r="C366" t="str">
            <v>Non-life value</v>
          </cell>
          <cell r="D366" t="str">
            <v>(m)</v>
          </cell>
          <cell r="E366">
            <v>0</v>
          </cell>
          <cell r="F366">
            <v>0</v>
          </cell>
          <cell r="G366">
            <v>0</v>
          </cell>
          <cell r="H366">
            <v>0</v>
          </cell>
          <cell r="I366">
            <v>0</v>
          </cell>
          <cell r="J366">
            <v>0</v>
          </cell>
          <cell r="K366">
            <v>0</v>
          </cell>
          <cell r="L366">
            <v>0</v>
          </cell>
          <cell r="M366">
            <v>0</v>
          </cell>
          <cell r="N366" t="str">
            <v>b_non_life_value</v>
          </cell>
          <cell r="O366">
            <v>0</v>
          </cell>
          <cell r="P366">
            <v>0</v>
          </cell>
          <cell r="Q366">
            <v>1000000</v>
          </cell>
          <cell r="R366" t="str">
            <v>E</v>
          </cell>
          <cell r="S366">
            <v>2</v>
          </cell>
          <cell r="T366" t="str">
            <v>null</v>
          </cell>
          <cell r="U366">
            <v>1</v>
          </cell>
          <cell r="V366">
            <v>0</v>
          </cell>
          <cell r="W366">
            <v>0</v>
          </cell>
          <cell r="X366">
            <v>0</v>
          </cell>
          <cell r="Y366">
            <v>0</v>
          </cell>
          <cell r="Z366">
            <v>0</v>
          </cell>
          <cell r="AA366">
            <v>405</v>
          </cell>
          <cell r="AB366" t="str">
            <v>Balance Sheet</v>
          </cell>
          <cell r="AC366">
            <v>369</v>
          </cell>
          <cell r="AD366">
            <v>0</v>
          </cell>
          <cell r="AE366">
            <v>0</v>
          </cell>
          <cell r="AF366">
            <v>0</v>
          </cell>
          <cell r="AG366">
            <v>0</v>
          </cell>
          <cell r="AH366">
            <v>0</v>
          </cell>
          <cell r="AI366">
            <v>0</v>
          </cell>
          <cell r="AJ366">
            <v>0</v>
          </cell>
          <cell r="AK366">
            <v>0</v>
          </cell>
          <cell r="AL366">
            <v>0</v>
          </cell>
          <cell r="AM366">
            <v>0</v>
          </cell>
          <cell r="AN366" t="e">
            <v>#N/A</v>
          </cell>
          <cell r="AO366" t="e">
            <v>#N/A</v>
          </cell>
          <cell r="AP366" t="e">
            <v>#N/A</v>
          </cell>
          <cell r="AQ366" t="e">
            <v>#N/A</v>
          </cell>
          <cell r="AR366" t="e">
            <v>#N/A</v>
          </cell>
          <cell r="AS366" t="e">
            <v>#N/A</v>
          </cell>
          <cell r="AT366" t="e">
            <v>#N/A</v>
          </cell>
          <cell r="AU366" t="e">
            <v>#N/A</v>
          </cell>
          <cell r="AV366" t="e">
            <v>#N/A</v>
          </cell>
        </row>
        <row r="367">
          <cell r="A367">
            <v>189</v>
          </cell>
          <cell r="B367" t="str">
            <v>1b_funds_under_man</v>
          </cell>
          <cell r="C367" t="str">
            <v>Funds under management</v>
          </cell>
          <cell r="D367" t="str">
            <v>(m)</v>
          </cell>
          <cell r="E367">
            <v>0</v>
          </cell>
          <cell r="F367">
            <v>0</v>
          </cell>
          <cell r="G367">
            <v>0</v>
          </cell>
          <cell r="H367">
            <v>0</v>
          </cell>
          <cell r="I367">
            <v>0</v>
          </cell>
          <cell r="J367">
            <v>0</v>
          </cell>
          <cell r="K367">
            <v>0</v>
          </cell>
          <cell r="L367">
            <v>0</v>
          </cell>
          <cell r="M367">
            <v>0</v>
          </cell>
          <cell r="N367" t="str">
            <v>b_funds_under_man</v>
          </cell>
          <cell r="O367">
            <v>0</v>
          </cell>
          <cell r="P367">
            <v>0</v>
          </cell>
          <cell r="Q367">
            <v>1000000</v>
          </cell>
          <cell r="R367" t="str">
            <v>E</v>
          </cell>
          <cell r="S367">
            <v>2</v>
          </cell>
          <cell r="T367" t="str">
            <v>null</v>
          </cell>
          <cell r="U367">
            <v>1</v>
          </cell>
          <cell r="V367">
            <v>0</v>
          </cell>
          <cell r="W367">
            <v>0</v>
          </cell>
          <cell r="X367">
            <v>0</v>
          </cell>
          <cell r="Y367">
            <v>0</v>
          </cell>
          <cell r="Z367">
            <v>0</v>
          </cell>
          <cell r="AA367">
            <v>259</v>
          </cell>
          <cell r="AB367" t="str">
            <v>Balance Sheet</v>
          </cell>
          <cell r="AC367">
            <v>370</v>
          </cell>
          <cell r="AD367">
            <v>0</v>
          </cell>
          <cell r="AE367">
            <v>0</v>
          </cell>
          <cell r="AF367">
            <v>0</v>
          </cell>
          <cell r="AG367">
            <v>0</v>
          </cell>
          <cell r="AH367">
            <v>0</v>
          </cell>
          <cell r="AI367">
            <v>0</v>
          </cell>
          <cell r="AJ367">
            <v>0</v>
          </cell>
          <cell r="AK367">
            <v>0</v>
          </cell>
          <cell r="AL367">
            <v>0</v>
          </cell>
          <cell r="AM367">
            <v>0</v>
          </cell>
          <cell r="AN367">
            <v>189</v>
          </cell>
          <cell r="AO367" t="str">
            <v>Funds under Management</v>
          </cell>
          <cell r="AP367" t="str">
            <v>m</v>
          </cell>
          <cell r="AQ367">
            <v>0</v>
          </cell>
          <cell r="AR367" t="str">
            <v>Insurance</v>
          </cell>
          <cell r="AS367">
            <v>0</v>
          </cell>
          <cell r="AT367">
            <v>0</v>
          </cell>
          <cell r="AU367" t="e">
            <v>#VALUE!</v>
          </cell>
          <cell r="AV367" t="e">
            <v>#VALUE!</v>
          </cell>
        </row>
        <row r="368">
          <cell r="A368">
            <v>190</v>
          </cell>
          <cell r="B368" t="str">
            <v>1b_sum_of_parts_group</v>
          </cell>
          <cell r="C368" t="str">
            <v>Group sum of the parts fair value</v>
          </cell>
          <cell r="D368" t="str">
            <v>(m)</v>
          </cell>
          <cell r="E368">
            <v>0</v>
          </cell>
          <cell r="F368">
            <v>0</v>
          </cell>
          <cell r="G368">
            <v>0</v>
          </cell>
          <cell r="H368">
            <v>0</v>
          </cell>
          <cell r="I368">
            <v>0</v>
          </cell>
          <cell r="J368">
            <v>0</v>
          </cell>
          <cell r="K368">
            <v>0</v>
          </cell>
          <cell r="L368">
            <v>0</v>
          </cell>
          <cell r="M368">
            <v>0</v>
          </cell>
          <cell r="N368" t="str">
            <v>b_sum_of_parts_group</v>
          </cell>
          <cell r="O368">
            <v>0</v>
          </cell>
          <cell r="P368">
            <v>0</v>
          </cell>
          <cell r="Q368">
            <v>1000000</v>
          </cell>
          <cell r="R368" t="str">
            <v>E</v>
          </cell>
          <cell r="S368">
            <v>2</v>
          </cell>
          <cell r="T368" t="str">
            <v>null</v>
          </cell>
          <cell r="U368">
            <v>1</v>
          </cell>
          <cell r="V368">
            <v>0</v>
          </cell>
          <cell r="W368">
            <v>0</v>
          </cell>
          <cell r="X368">
            <v>0</v>
          </cell>
          <cell r="Y368">
            <v>0</v>
          </cell>
          <cell r="Z368">
            <v>0</v>
          </cell>
          <cell r="AA368">
            <v>291</v>
          </cell>
          <cell r="AB368" t="str">
            <v>Balance Sheet</v>
          </cell>
          <cell r="AC368">
            <v>371</v>
          </cell>
          <cell r="AD368">
            <v>0</v>
          </cell>
          <cell r="AE368">
            <v>0</v>
          </cell>
          <cell r="AF368">
            <v>0</v>
          </cell>
          <cell r="AG368">
            <v>0</v>
          </cell>
          <cell r="AH368">
            <v>0</v>
          </cell>
          <cell r="AI368">
            <v>0</v>
          </cell>
          <cell r="AJ368">
            <v>0</v>
          </cell>
          <cell r="AK368">
            <v>0</v>
          </cell>
          <cell r="AL368">
            <v>0</v>
          </cell>
          <cell r="AM368">
            <v>0</v>
          </cell>
          <cell r="AN368">
            <v>190</v>
          </cell>
          <cell r="AO368" t="str">
            <v>Group sum of the parts Fair Value</v>
          </cell>
          <cell r="AP368" t="str">
            <v>m</v>
          </cell>
          <cell r="AQ368">
            <v>0</v>
          </cell>
          <cell r="AR368" t="str">
            <v>Insurance</v>
          </cell>
          <cell r="AS368">
            <v>0</v>
          </cell>
          <cell r="AT368">
            <v>0</v>
          </cell>
          <cell r="AU368" t="e">
            <v>#VALUE!</v>
          </cell>
          <cell r="AV368" t="e">
            <v>#VALUE!</v>
          </cell>
        </row>
        <row r="369">
          <cell r="A369">
            <v>191</v>
          </cell>
          <cell r="B369" t="str">
            <v>1b_goodwill_capitalised</v>
          </cell>
          <cell r="C369" t="str">
            <v>Goodwill capitalised</v>
          </cell>
          <cell r="D369" t="str">
            <v>(m)</v>
          </cell>
          <cell r="E369">
            <v>0</v>
          </cell>
          <cell r="F369">
            <v>0</v>
          </cell>
          <cell r="G369">
            <v>0</v>
          </cell>
          <cell r="H369">
            <v>0</v>
          </cell>
          <cell r="I369">
            <v>0</v>
          </cell>
          <cell r="J369">
            <v>0</v>
          </cell>
          <cell r="K369">
            <v>0</v>
          </cell>
          <cell r="L369">
            <v>0</v>
          </cell>
          <cell r="M369">
            <v>0</v>
          </cell>
          <cell r="N369" t="str">
            <v>b_goodwill_capitalised</v>
          </cell>
          <cell r="O369">
            <v>0</v>
          </cell>
          <cell r="P369">
            <v>0</v>
          </cell>
          <cell r="Q369">
            <v>1000000</v>
          </cell>
          <cell r="R369" t="str">
            <v>E</v>
          </cell>
          <cell r="S369">
            <v>2</v>
          </cell>
          <cell r="T369" t="str">
            <v>null</v>
          </cell>
          <cell r="U369">
            <v>1</v>
          </cell>
          <cell r="V369">
            <v>0</v>
          </cell>
          <cell r="W369">
            <v>0</v>
          </cell>
          <cell r="X369">
            <v>0</v>
          </cell>
          <cell r="Y369">
            <v>0</v>
          </cell>
          <cell r="Z369">
            <v>0</v>
          </cell>
          <cell r="AA369">
            <v>274</v>
          </cell>
          <cell r="AB369" t="str">
            <v>Balance Sheet</v>
          </cell>
          <cell r="AC369">
            <v>372</v>
          </cell>
          <cell r="AD369">
            <v>0</v>
          </cell>
          <cell r="AE369">
            <v>0</v>
          </cell>
          <cell r="AF369">
            <v>0</v>
          </cell>
          <cell r="AG369">
            <v>0</v>
          </cell>
          <cell r="AH369">
            <v>0</v>
          </cell>
          <cell r="AI369">
            <v>0</v>
          </cell>
          <cell r="AJ369">
            <v>0</v>
          </cell>
          <cell r="AK369">
            <v>0</v>
          </cell>
          <cell r="AL369">
            <v>0</v>
          </cell>
          <cell r="AM369">
            <v>0</v>
          </cell>
          <cell r="AN369">
            <v>191</v>
          </cell>
          <cell r="AO369" t="str">
            <v>Goodwill capitalised</v>
          </cell>
          <cell r="AP369" t="str">
            <v>m</v>
          </cell>
          <cell r="AQ369">
            <v>0</v>
          </cell>
          <cell r="AR369" t="str">
            <v>Insurance</v>
          </cell>
          <cell r="AS369">
            <v>0</v>
          </cell>
          <cell r="AT369">
            <v>0</v>
          </cell>
          <cell r="AU369" t="e">
            <v>#VALUE!</v>
          </cell>
          <cell r="AV369" t="e">
            <v>#VALUE!</v>
          </cell>
        </row>
        <row r="370">
          <cell r="A370">
            <v>192</v>
          </cell>
          <cell r="B370" t="str">
            <v>1b_estimated_unrecog_cgt_liability</v>
          </cell>
          <cell r="C370" t="str">
            <v>Estimated unrecognised CGT liability</v>
          </cell>
          <cell r="D370" t="str">
            <v>(m)</v>
          </cell>
          <cell r="E370">
            <v>0</v>
          </cell>
          <cell r="F370">
            <v>0</v>
          </cell>
          <cell r="G370">
            <v>0</v>
          </cell>
          <cell r="H370">
            <v>0</v>
          </cell>
          <cell r="I370">
            <v>0</v>
          </cell>
          <cell r="J370">
            <v>0</v>
          </cell>
          <cell r="K370">
            <v>0</v>
          </cell>
          <cell r="L370">
            <v>0</v>
          </cell>
          <cell r="M370">
            <v>0</v>
          </cell>
          <cell r="N370" t="str">
            <v>b_estimated_unrecog_cgt_liability</v>
          </cell>
          <cell r="O370">
            <v>0</v>
          </cell>
          <cell r="P370">
            <v>0</v>
          </cell>
          <cell r="Q370">
            <v>1000000</v>
          </cell>
          <cell r="R370" t="str">
            <v>E</v>
          </cell>
          <cell r="S370">
            <v>2</v>
          </cell>
          <cell r="T370" t="str">
            <v>null</v>
          </cell>
          <cell r="U370">
            <v>1</v>
          </cell>
          <cell r="V370">
            <v>0</v>
          </cell>
          <cell r="W370">
            <v>0</v>
          </cell>
          <cell r="X370">
            <v>0</v>
          </cell>
          <cell r="Y370">
            <v>0</v>
          </cell>
          <cell r="Z370">
            <v>0</v>
          </cell>
          <cell r="AA370">
            <v>205</v>
          </cell>
          <cell r="AB370" t="str">
            <v>Balance Sheet</v>
          </cell>
          <cell r="AC370">
            <v>373</v>
          </cell>
          <cell r="AD370">
            <v>0</v>
          </cell>
          <cell r="AE370">
            <v>0</v>
          </cell>
          <cell r="AF370">
            <v>0</v>
          </cell>
          <cell r="AG370">
            <v>0</v>
          </cell>
          <cell r="AH370">
            <v>0</v>
          </cell>
          <cell r="AI370">
            <v>0</v>
          </cell>
          <cell r="AJ370">
            <v>0</v>
          </cell>
          <cell r="AK370">
            <v>0</v>
          </cell>
          <cell r="AL370">
            <v>0</v>
          </cell>
          <cell r="AM370">
            <v>0</v>
          </cell>
          <cell r="AN370">
            <v>192</v>
          </cell>
          <cell r="AO370" t="str">
            <v>Estimated unrealised CGT Liability</v>
          </cell>
          <cell r="AP370" t="str">
            <v>m</v>
          </cell>
          <cell r="AQ370">
            <v>0</v>
          </cell>
          <cell r="AR370" t="str">
            <v>Insurance</v>
          </cell>
          <cell r="AS370">
            <v>0</v>
          </cell>
          <cell r="AT370">
            <v>0</v>
          </cell>
          <cell r="AU370" t="e">
            <v>#VALUE!</v>
          </cell>
          <cell r="AV370" t="e">
            <v>#VALUE!</v>
          </cell>
        </row>
        <row r="371">
          <cell r="A371">
            <v>193</v>
          </cell>
          <cell r="B371" t="str">
            <v>1b_new_business_valuation</v>
          </cell>
          <cell r="C371" t="str">
            <v>New business valuation</v>
          </cell>
          <cell r="D371" t="str">
            <v>(m)</v>
          </cell>
          <cell r="E371">
            <v>0</v>
          </cell>
          <cell r="F371">
            <v>0</v>
          </cell>
          <cell r="G371">
            <v>0</v>
          </cell>
          <cell r="H371">
            <v>0</v>
          </cell>
          <cell r="I371">
            <v>0</v>
          </cell>
          <cell r="J371">
            <v>0</v>
          </cell>
          <cell r="K371">
            <v>0</v>
          </cell>
          <cell r="L371">
            <v>0</v>
          </cell>
          <cell r="M371">
            <v>0</v>
          </cell>
          <cell r="N371" t="str">
            <v>b_new_business_valuation</v>
          </cell>
          <cell r="O371">
            <v>0</v>
          </cell>
          <cell r="P371">
            <v>0</v>
          </cell>
          <cell r="Q371">
            <v>1000000</v>
          </cell>
          <cell r="R371" t="str">
            <v>E</v>
          </cell>
          <cell r="S371">
            <v>2</v>
          </cell>
          <cell r="T371" t="str">
            <v>null</v>
          </cell>
          <cell r="U371">
            <v>1</v>
          </cell>
          <cell r="V371">
            <v>0</v>
          </cell>
          <cell r="W371">
            <v>0</v>
          </cell>
          <cell r="X371">
            <v>0</v>
          </cell>
          <cell r="Y371">
            <v>0</v>
          </cell>
          <cell r="Z371">
            <v>0</v>
          </cell>
          <cell r="AA371">
            <v>390</v>
          </cell>
          <cell r="AB371" t="str">
            <v>Balance Sheet</v>
          </cell>
          <cell r="AC371">
            <v>374</v>
          </cell>
          <cell r="AD371">
            <v>0</v>
          </cell>
          <cell r="AE371">
            <v>0</v>
          </cell>
          <cell r="AF371">
            <v>0</v>
          </cell>
          <cell r="AG371">
            <v>0</v>
          </cell>
          <cell r="AH371">
            <v>0</v>
          </cell>
          <cell r="AI371">
            <v>0</v>
          </cell>
          <cell r="AJ371">
            <v>0</v>
          </cell>
          <cell r="AK371">
            <v>0</v>
          </cell>
          <cell r="AL371">
            <v>0</v>
          </cell>
          <cell r="AM371">
            <v>0</v>
          </cell>
          <cell r="AN371">
            <v>193</v>
          </cell>
          <cell r="AO371" t="str">
            <v>New Business valuation</v>
          </cell>
          <cell r="AP371">
            <v>0</v>
          </cell>
          <cell r="AQ371">
            <v>0</v>
          </cell>
          <cell r="AR371">
            <v>0</v>
          </cell>
          <cell r="AS371">
            <v>0</v>
          </cell>
          <cell r="AT371">
            <v>0</v>
          </cell>
          <cell r="AU371" t="e">
            <v>#VALUE!</v>
          </cell>
          <cell r="AV371" t="e">
            <v>#VALUE!</v>
          </cell>
        </row>
        <row r="372">
          <cell r="A372">
            <v>424</v>
          </cell>
          <cell r="B372" t="str">
            <v>1fd_stores</v>
          </cell>
          <cell r="C372" t="str">
            <v>Number of stores</v>
          </cell>
          <cell r="D372" t="str">
            <v>(unit)</v>
          </cell>
          <cell r="E372">
            <v>0</v>
          </cell>
          <cell r="F372">
            <v>0</v>
          </cell>
          <cell r="G372">
            <v>0</v>
          </cell>
          <cell r="H372">
            <v>0</v>
          </cell>
          <cell r="I372">
            <v>0</v>
          </cell>
          <cell r="J372">
            <v>0</v>
          </cell>
          <cell r="K372">
            <v>0</v>
          </cell>
          <cell r="L372">
            <v>0</v>
          </cell>
          <cell r="M372">
            <v>0</v>
          </cell>
          <cell r="N372" t="str">
            <v>fd_stores</v>
          </cell>
          <cell r="O372">
            <v>0</v>
          </cell>
          <cell r="P372">
            <v>0</v>
          </cell>
          <cell r="Q372">
            <v>1</v>
          </cell>
          <cell r="R372" t="str">
            <v>E</v>
          </cell>
          <cell r="S372">
            <v>2</v>
          </cell>
          <cell r="T372" t="str">
            <v>null</v>
          </cell>
          <cell r="U372">
            <v>1</v>
          </cell>
          <cell r="V372">
            <v>0</v>
          </cell>
          <cell r="W372">
            <v>0</v>
          </cell>
          <cell r="X372">
            <v>0</v>
          </cell>
          <cell r="Y372">
            <v>0</v>
          </cell>
          <cell r="Z372">
            <v>0</v>
          </cell>
          <cell r="AA372">
            <v>411</v>
          </cell>
          <cell r="AB372" t="str">
            <v>Balance Sheet</v>
          </cell>
          <cell r="AC372">
            <v>375</v>
          </cell>
          <cell r="AD372">
            <v>0</v>
          </cell>
          <cell r="AE372">
            <v>0</v>
          </cell>
          <cell r="AF372">
            <v>0</v>
          </cell>
          <cell r="AG372">
            <v>0</v>
          </cell>
          <cell r="AH372">
            <v>0</v>
          </cell>
          <cell r="AI372">
            <v>0</v>
          </cell>
          <cell r="AJ372">
            <v>0</v>
          </cell>
          <cell r="AK372">
            <v>0</v>
          </cell>
          <cell r="AL372">
            <v>0</v>
          </cell>
          <cell r="AM372">
            <v>0</v>
          </cell>
          <cell r="AN372" t="e">
            <v>#N/A</v>
          </cell>
          <cell r="AO372" t="e">
            <v>#N/A</v>
          </cell>
          <cell r="AP372" t="e">
            <v>#N/A</v>
          </cell>
          <cell r="AQ372" t="e">
            <v>#N/A</v>
          </cell>
          <cell r="AR372" t="e">
            <v>#N/A</v>
          </cell>
          <cell r="AS372" t="e">
            <v>#N/A</v>
          </cell>
          <cell r="AT372" t="e">
            <v>#N/A</v>
          </cell>
          <cell r="AU372" t="e">
            <v>#N/A</v>
          </cell>
          <cell r="AV372" t="e">
            <v>#N/A</v>
          </cell>
        </row>
        <row r="373">
          <cell r="A373">
            <v>52</v>
          </cell>
          <cell r="B373" t="str">
            <v>1b_deferred_tax</v>
          </cell>
          <cell r="C373" t="str">
            <v>Deferred tax</v>
          </cell>
          <cell r="D373" t="str">
            <v>(m)</v>
          </cell>
          <cell r="E373">
            <v>0</v>
          </cell>
          <cell r="F373">
            <v>0</v>
          </cell>
          <cell r="G373">
            <v>0</v>
          </cell>
          <cell r="H373">
            <v>0</v>
          </cell>
          <cell r="I373">
            <v>0</v>
          </cell>
          <cell r="J373">
            <v>0</v>
          </cell>
          <cell r="K373">
            <v>0</v>
          </cell>
          <cell r="L373">
            <v>0</v>
          </cell>
          <cell r="M373">
            <v>0</v>
          </cell>
          <cell r="N373" t="str">
            <v>b_deferred_tax</v>
          </cell>
          <cell r="O373">
            <v>0</v>
          </cell>
          <cell r="P373">
            <v>0</v>
          </cell>
          <cell r="Q373">
            <v>1000000</v>
          </cell>
          <cell r="R373" t="str">
            <v>E</v>
          </cell>
          <cell r="S373">
            <v>2</v>
          </cell>
          <cell r="T373" t="str">
            <v>null</v>
          </cell>
          <cell r="U373">
            <v>1</v>
          </cell>
          <cell r="V373">
            <v>0</v>
          </cell>
          <cell r="W373">
            <v>0</v>
          </cell>
          <cell r="X373">
            <v>0</v>
          </cell>
          <cell r="Y373">
            <v>0</v>
          </cell>
          <cell r="Z373">
            <v>0</v>
          </cell>
          <cell r="AA373">
            <v>98</v>
          </cell>
          <cell r="AB373" t="str">
            <v>Balance Sheet</v>
          </cell>
          <cell r="AC373">
            <v>376</v>
          </cell>
          <cell r="AD373">
            <v>0</v>
          </cell>
          <cell r="AE373">
            <v>0</v>
          </cell>
          <cell r="AF373">
            <v>0</v>
          </cell>
          <cell r="AG373">
            <v>0</v>
          </cell>
          <cell r="AH373">
            <v>0</v>
          </cell>
          <cell r="AI373">
            <v>0</v>
          </cell>
          <cell r="AJ373">
            <v>0</v>
          </cell>
          <cell r="AK373">
            <v>0</v>
          </cell>
          <cell r="AL373">
            <v>0</v>
          </cell>
          <cell r="AM373">
            <v>0</v>
          </cell>
          <cell r="AN373">
            <v>52</v>
          </cell>
          <cell r="AO373" t="str">
            <v>Deferred Tax</v>
          </cell>
          <cell r="AP373" t="str">
            <v>m</v>
          </cell>
          <cell r="AQ373">
            <v>0</v>
          </cell>
          <cell r="AR373">
            <v>0</v>
          </cell>
          <cell r="AS373">
            <v>0</v>
          </cell>
          <cell r="AT373">
            <v>0</v>
          </cell>
          <cell r="AU373" t="e">
            <v>#VALUE!</v>
          </cell>
          <cell r="AV373" t="e">
            <v>#VALUE!</v>
          </cell>
        </row>
        <row r="374">
          <cell r="A374">
            <v>133</v>
          </cell>
          <cell r="B374" t="str">
            <v>2b_deferred_tax</v>
          </cell>
          <cell r="C374" t="str">
            <v>Deferred tax</v>
          </cell>
          <cell r="D374" t="str">
            <v>(m)</v>
          </cell>
          <cell r="E374">
            <v>0</v>
          </cell>
          <cell r="F374">
            <v>0</v>
          </cell>
          <cell r="G374">
            <v>0</v>
          </cell>
          <cell r="H374">
            <v>0</v>
          </cell>
          <cell r="I374">
            <v>0</v>
          </cell>
          <cell r="J374">
            <v>0</v>
          </cell>
          <cell r="K374">
            <v>0</v>
          </cell>
          <cell r="L374">
            <v>0</v>
          </cell>
          <cell r="M374">
            <v>0</v>
          </cell>
          <cell r="N374" t="str">
            <v>b_deferred_tax</v>
          </cell>
          <cell r="O374">
            <v>0</v>
          </cell>
          <cell r="P374">
            <v>0</v>
          </cell>
          <cell r="Q374">
            <v>1000000</v>
          </cell>
          <cell r="R374" t="str">
            <v>E</v>
          </cell>
          <cell r="S374">
            <v>2</v>
          </cell>
          <cell r="T374" t="str">
            <v>null</v>
          </cell>
          <cell r="U374">
            <v>2</v>
          </cell>
          <cell r="V374">
            <v>0</v>
          </cell>
          <cell r="W374">
            <v>0</v>
          </cell>
          <cell r="X374">
            <v>0</v>
          </cell>
          <cell r="Y374">
            <v>0</v>
          </cell>
          <cell r="Z374">
            <v>0</v>
          </cell>
          <cell r="AA374">
            <v>99</v>
          </cell>
          <cell r="AB374" t="str">
            <v>Balance Sheet</v>
          </cell>
          <cell r="AC374">
            <v>376</v>
          </cell>
          <cell r="AD374" t="str">
            <v>requires 52</v>
          </cell>
          <cell r="AE374" t="str">
            <v>b_deferred_tax</v>
          </cell>
          <cell r="AF374">
            <v>0</v>
          </cell>
          <cell r="AG374">
            <v>0</v>
          </cell>
          <cell r="AH374">
            <v>0</v>
          </cell>
          <cell r="AI374">
            <v>0</v>
          </cell>
          <cell r="AJ374">
            <v>52</v>
          </cell>
          <cell r="AK374">
            <v>0</v>
          </cell>
          <cell r="AL374">
            <v>0</v>
          </cell>
          <cell r="AM374">
            <v>0</v>
          </cell>
          <cell r="AN374">
            <v>133</v>
          </cell>
          <cell r="AO374" t="str">
            <v>Deferred Tax</v>
          </cell>
          <cell r="AP374" t="str">
            <v>m</v>
          </cell>
          <cell r="AQ374">
            <v>0</v>
          </cell>
          <cell r="AR374">
            <v>0</v>
          </cell>
          <cell r="AS374">
            <v>0</v>
          </cell>
          <cell r="AT374">
            <v>0</v>
          </cell>
          <cell r="AU374" t="e">
            <v>#VALUE!</v>
          </cell>
          <cell r="AV374" t="e">
            <v>#VALUE!</v>
          </cell>
        </row>
        <row r="375">
          <cell r="A375">
            <v>85</v>
          </cell>
          <cell r="B375" t="str">
            <v>1b_new_bus_value</v>
          </cell>
          <cell r="C375" t="str">
            <v>New business value</v>
          </cell>
          <cell r="D375" t="str">
            <v>(m)</v>
          </cell>
          <cell r="E375">
            <v>0</v>
          </cell>
          <cell r="F375">
            <v>0</v>
          </cell>
          <cell r="G375">
            <v>0</v>
          </cell>
          <cell r="H375">
            <v>0</v>
          </cell>
          <cell r="I375">
            <v>0</v>
          </cell>
          <cell r="J375">
            <v>0</v>
          </cell>
          <cell r="K375">
            <v>0</v>
          </cell>
          <cell r="L375">
            <v>0</v>
          </cell>
          <cell r="M375">
            <v>0</v>
          </cell>
          <cell r="N375" t="str">
            <v>b_new_bus_value</v>
          </cell>
          <cell r="O375">
            <v>0</v>
          </cell>
          <cell r="P375">
            <v>0</v>
          </cell>
          <cell r="Q375">
            <v>1000000</v>
          </cell>
          <cell r="R375" t="str">
            <v>E</v>
          </cell>
          <cell r="S375">
            <v>2</v>
          </cell>
          <cell r="T375" t="str">
            <v>null</v>
          </cell>
          <cell r="U375">
            <v>1</v>
          </cell>
          <cell r="V375">
            <v>0</v>
          </cell>
          <cell r="W375">
            <v>0</v>
          </cell>
          <cell r="X375">
            <v>0</v>
          </cell>
          <cell r="Y375">
            <v>0</v>
          </cell>
          <cell r="Z375">
            <v>0</v>
          </cell>
          <cell r="AA375">
            <v>391</v>
          </cell>
          <cell r="AB375" t="str">
            <v>Balance Sheet</v>
          </cell>
          <cell r="AC375">
            <v>376</v>
          </cell>
          <cell r="AD375">
            <v>0</v>
          </cell>
          <cell r="AE375">
            <v>0</v>
          </cell>
          <cell r="AF375">
            <v>0</v>
          </cell>
          <cell r="AG375">
            <v>0</v>
          </cell>
          <cell r="AH375">
            <v>0</v>
          </cell>
          <cell r="AI375">
            <v>0</v>
          </cell>
          <cell r="AJ375">
            <v>0</v>
          </cell>
          <cell r="AK375">
            <v>0</v>
          </cell>
          <cell r="AL375">
            <v>0</v>
          </cell>
          <cell r="AM375">
            <v>0</v>
          </cell>
          <cell r="AN375">
            <v>85</v>
          </cell>
          <cell r="AO375" t="str">
            <v>New Business value</v>
          </cell>
          <cell r="AP375" t="str">
            <v>m</v>
          </cell>
          <cell r="AQ375">
            <v>0</v>
          </cell>
          <cell r="AR375" t="str">
            <v>Insurance</v>
          </cell>
          <cell r="AS375">
            <v>0</v>
          </cell>
          <cell r="AT375">
            <v>0</v>
          </cell>
          <cell r="AU375" t="e">
            <v>#VALUE!</v>
          </cell>
          <cell r="AV375" t="e">
            <v>#VALUE!</v>
          </cell>
        </row>
        <row r="376">
          <cell r="A376">
            <v>85.2</v>
          </cell>
          <cell r="B376" t="str">
            <v>2r_new_bus_value_grwth_yoy</v>
          </cell>
          <cell r="C376" t="str">
            <v>New business value growth y-o-y</v>
          </cell>
          <cell r="D376" t="str">
            <v>(%)</v>
          </cell>
          <cell r="E376">
            <v>0</v>
          </cell>
          <cell r="F376">
            <v>0</v>
          </cell>
          <cell r="G376">
            <v>0</v>
          </cell>
          <cell r="H376">
            <v>0</v>
          </cell>
          <cell r="I376">
            <v>0</v>
          </cell>
          <cell r="J376">
            <v>0</v>
          </cell>
          <cell r="K376">
            <v>0</v>
          </cell>
          <cell r="L376">
            <v>0</v>
          </cell>
          <cell r="M376">
            <v>0</v>
          </cell>
          <cell r="N376" t="str">
            <v>r_new_bus_value_grwth_yoy</v>
          </cell>
          <cell r="O376">
            <v>0</v>
          </cell>
          <cell r="P376">
            <v>0</v>
          </cell>
          <cell r="Q376">
            <v>0.01</v>
          </cell>
          <cell r="R376" t="str">
            <v>E</v>
          </cell>
          <cell r="S376">
            <v>2</v>
          </cell>
          <cell r="T376" t="str">
            <v>null</v>
          </cell>
          <cell r="U376">
            <v>2</v>
          </cell>
          <cell r="V376">
            <v>0</v>
          </cell>
          <cell r="W376">
            <v>0</v>
          </cell>
          <cell r="X376">
            <v>0</v>
          </cell>
          <cell r="Y376">
            <v>0</v>
          </cell>
          <cell r="Z376">
            <v>0</v>
          </cell>
          <cell r="AA376">
            <v>392</v>
          </cell>
          <cell r="AB376" t="str">
            <v>Balance Sheet</v>
          </cell>
          <cell r="AC376">
            <v>376</v>
          </cell>
          <cell r="AD376">
            <v>0</v>
          </cell>
          <cell r="AE376">
            <v>0</v>
          </cell>
          <cell r="AF376">
            <v>0</v>
          </cell>
          <cell r="AG376">
            <v>0</v>
          </cell>
          <cell r="AH376">
            <v>0</v>
          </cell>
          <cell r="AI376">
            <v>0</v>
          </cell>
          <cell r="AJ376">
            <v>0</v>
          </cell>
          <cell r="AK376">
            <v>0</v>
          </cell>
          <cell r="AL376">
            <v>0</v>
          </cell>
          <cell r="AM376">
            <v>0</v>
          </cell>
          <cell r="AN376" t="e">
            <v>#N/A</v>
          </cell>
          <cell r="AO376" t="e">
            <v>#N/A</v>
          </cell>
          <cell r="AP376" t="e">
            <v>#N/A</v>
          </cell>
          <cell r="AQ376" t="e">
            <v>#N/A</v>
          </cell>
          <cell r="AR376" t="e">
            <v>#N/A</v>
          </cell>
          <cell r="AS376" t="e">
            <v>#N/A</v>
          </cell>
          <cell r="AT376" t="e">
            <v>#N/A</v>
          </cell>
          <cell r="AU376" t="e">
            <v>#N/A</v>
          </cell>
          <cell r="AV376" t="e">
            <v>#N/A</v>
          </cell>
        </row>
        <row r="377">
          <cell r="A377">
            <v>86</v>
          </cell>
          <cell r="B377" t="str">
            <v>1b_new_bus_volume</v>
          </cell>
          <cell r="C377" t="str">
            <v>New business volume</v>
          </cell>
          <cell r="D377" t="str">
            <v>(m)</v>
          </cell>
          <cell r="E377">
            <v>0</v>
          </cell>
          <cell r="F377">
            <v>0</v>
          </cell>
          <cell r="G377">
            <v>0</v>
          </cell>
          <cell r="H377">
            <v>0</v>
          </cell>
          <cell r="I377">
            <v>0</v>
          </cell>
          <cell r="J377">
            <v>0</v>
          </cell>
          <cell r="K377">
            <v>0</v>
          </cell>
          <cell r="L377">
            <v>0</v>
          </cell>
          <cell r="M377">
            <v>0</v>
          </cell>
          <cell r="N377" t="str">
            <v>b_new_bus_volume</v>
          </cell>
          <cell r="O377">
            <v>0</v>
          </cell>
          <cell r="P377">
            <v>0</v>
          </cell>
          <cell r="Q377">
            <v>1000000</v>
          </cell>
          <cell r="R377" t="str">
            <v>E</v>
          </cell>
          <cell r="S377">
            <v>2</v>
          </cell>
          <cell r="T377" t="str">
            <v>null</v>
          </cell>
          <cell r="U377">
            <v>1</v>
          </cell>
          <cell r="V377">
            <v>0</v>
          </cell>
          <cell r="W377">
            <v>0</v>
          </cell>
          <cell r="X377">
            <v>0</v>
          </cell>
          <cell r="Y377">
            <v>0</v>
          </cell>
          <cell r="Z377">
            <v>0</v>
          </cell>
          <cell r="AA377">
            <v>395</v>
          </cell>
          <cell r="AB377" t="str">
            <v>Balance Sheet</v>
          </cell>
          <cell r="AC377">
            <v>376</v>
          </cell>
          <cell r="AD377">
            <v>0</v>
          </cell>
          <cell r="AE377">
            <v>0</v>
          </cell>
          <cell r="AF377">
            <v>0</v>
          </cell>
          <cell r="AG377">
            <v>0</v>
          </cell>
          <cell r="AH377">
            <v>0</v>
          </cell>
          <cell r="AI377">
            <v>0</v>
          </cell>
          <cell r="AJ377">
            <v>0</v>
          </cell>
          <cell r="AK377">
            <v>0</v>
          </cell>
          <cell r="AL377">
            <v>0</v>
          </cell>
          <cell r="AM377">
            <v>0</v>
          </cell>
          <cell r="AN377">
            <v>86</v>
          </cell>
          <cell r="AO377" t="str">
            <v>New Business volume</v>
          </cell>
          <cell r="AP377" t="str">
            <v>m</v>
          </cell>
          <cell r="AQ377">
            <v>0</v>
          </cell>
          <cell r="AR377" t="str">
            <v>Insurance</v>
          </cell>
          <cell r="AS377">
            <v>0</v>
          </cell>
          <cell r="AT377">
            <v>0</v>
          </cell>
          <cell r="AU377" t="e">
            <v>#VALUE!</v>
          </cell>
          <cell r="AV377" t="e">
            <v>#VALUE!</v>
          </cell>
        </row>
        <row r="378">
          <cell r="A378">
            <v>87</v>
          </cell>
          <cell r="B378" t="str">
            <v>1fd_new_bus_volume_growth</v>
          </cell>
          <cell r="C378" t="str">
            <v>New business volume growth</v>
          </cell>
          <cell r="D378" t="str">
            <v>(%)</v>
          </cell>
          <cell r="E378">
            <v>0</v>
          </cell>
          <cell r="F378">
            <v>0</v>
          </cell>
          <cell r="G378">
            <v>0</v>
          </cell>
          <cell r="H378">
            <v>0</v>
          </cell>
          <cell r="I378">
            <v>0</v>
          </cell>
          <cell r="J378">
            <v>0</v>
          </cell>
          <cell r="K378">
            <v>0</v>
          </cell>
          <cell r="L378">
            <v>0</v>
          </cell>
          <cell r="M378">
            <v>0</v>
          </cell>
          <cell r="N378" t="str">
            <v>fd_new_bus_volume_growth</v>
          </cell>
          <cell r="O378">
            <v>0</v>
          </cell>
          <cell r="P378">
            <v>0</v>
          </cell>
          <cell r="Q378">
            <v>0.01</v>
          </cell>
          <cell r="R378" t="str">
            <v>E</v>
          </cell>
          <cell r="S378">
            <v>2</v>
          </cell>
          <cell r="T378" t="str">
            <v>null</v>
          </cell>
          <cell r="U378">
            <v>1</v>
          </cell>
          <cell r="V378">
            <v>0</v>
          </cell>
          <cell r="W378">
            <v>0</v>
          </cell>
          <cell r="X378">
            <v>0</v>
          </cell>
          <cell r="Y378">
            <v>0</v>
          </cell>
          <cell r="Z378">
            <v>0</v>
          </cell>
          <cell r="AA378">
            <v>396</v>
          </cell>
          <cell r="AB378" t="str">
            <v>Fundamental data p&amp;L</v>
          </cell>
          <cell r="AC378">
            <v>376</v>
          </cell>
          <cell r="AD378">
            <v>0</v>
          </cell>
          <cell r="AE378">
            <v>0</v>
          </cell>
          <cell r="AF378">
            <v>0</v>
          </cell>
          <cell r="AG378">
            <v>0</v>
          </cell>
          <cell r="AH378">
            <v>0</v>
          </cell>
          <cell r="AI378">
            <v>0</v>
          </cell>
          <cell r="AJ378">
            <v>0</v>
          </cell>
          <cell r="AK378">
            <v>0</v>
          </cell>
          <cell r="AL378">
            <v>0</v>
          </cell>
          <cell r="AM378">
            <v>0</v>
          </cell>
          <cell r="AN378">
            <v>87</v>
          </cell>
          <cell r="AO378" t="str">
            <v>New Business volume growth</v>
          </cell>
          <cell r="AP378" t="str">
            <v>%</v>
          </cell>
          <cell r="AQ378">
            <v>0</v>
          </cell>
          <cell r="AR378" t="str">
            <v>Insurance</v>
          </cell>
          <cell r="AS378" t="str">
            <v>standard y-o-y growth calc on 86</v>
          </cell>
          <cell r="AT378">
            <v>0</v>
          </cell>
          <cell r="AU378" t="e">
            <v>#VALUE!</v>
          </cell>
          <cell r="AV378" t="e">
            <v>#VALUE!</v>
          </cell>
        </row>
        <row r="379">
          <cell r="A379">
            <v>424.2</v>
          </cell>
          <cell r="B379" t="str">
            <v>2r_stores_grwth_y_o_y</v>
          </cell>
          <cell r="C379" t="str">
            <v>Number of stores growth y-o-y</v>
          </cell>
          <cell r="D379" t="str">
            <v>(%)</v>
          </cell>
          <cell r="E379">
            <v>0</v>
          </cell>
          <cell r="F379">
            <v>0</v>
          </cell>
          <cell r="G379">
            <v>0</v>
          </cell>
          <cell r="H379">
            <v>0</v>
          </cell>
          <cell r="I379">
            <v>0</v>
          </cell>
          <cell r="J379">
            <v>0</v>
          </cell>
          <cell r="K379">
            <v>0</v>
          </cell>
          <cell r="L379">
            <v>0</v>
          </cell>
          <cell r="M379">
            <v>0</v>
          </cell>
          <cell r="N379" t="str">
            <v>r_stores_grwth_y_o_y</v>
          </cell>
          <cell r="O379">
            <v>0</v>
          </cell>
          <cell r="P379">
            <v>0</v>
          </cell>
          <cell r="Q379">
            <v>0.01</v>
          </cell>
          <cell r="R379" t="str">
            <v>E</v>
          </cell>
          <cell r="S379">
            <v>2</v>
          </cell>
          <cell r="T379" t="str">
            <v>null</v>
          </cell>
          <cell r="U379">
            <v>2</v>
          </cell>
          <cell r="V379">
            <v>0</v>
          </cell>
          <cell r="W379">
            <v>0</v>
          </cell>
          <cell r="X379">
            <v>0</v>
          </cell>
          <cell r="Y379">
            <v>0</v>
          </cell>
          <cell r="Z379">
            <v>0</v>
          </cell>
          <cell r="AA379">
            <v>412</v>
          </cell>
          <cell r="AB379" t="str">
            <v>Balance Sheet</v>
          </cell>
          <cell r="AC379">
            <v>376</v>
          </cell>
          <cell r="AD379">
            <v>0</v>
          </cell>
          <cell r="AE379">
            <v>0</v>
          </cell>
          <cell r="AF379">
            <v>0</v>
          </cell>
          <cell r="AG379">
            <v>0</v>
          </cell>
          <cell r="AH379">
            <v>0</v>
          </cell>
          <cell r="AI379">
            <v>0</v>
          </cell>
          <cell r="AJ379">
            <v>0</v>
          </cell>
          <cell r="AK379">
            <v>0</v>
          </cell>
          <cell r="AL379">
            <v>0</v>
          </cell>
          <cell r="AM379">
            <v>0</v>
          </cell>
          <cell r="AN379" t="e">
            <v>#N/A</v>
          </cell>
          <cell r="AO379" t="e">
            <v>#N/A</v>
          </cell>
          <cell r="AP379" t="e">
            <v>#N/A</v>
          </cell>
          <cell r="AQ379" t="e">
            <v>#N/A</v>
          </cell>
          <cell r="AR379" t="e">
            <v>#N/A</v>
          </cell>
          <cell r="AS379" t="e">
            <v>#N/A</v>
          </cell>
          <cell r="AT379" t="e">
            <v>#N/A</v>
          </cell>
          <cell r="AU379" t="e">
            <v>#N/A</v>
          </cell>
          <cell r="AV379" t="e">
            <v>#N/A</v>
          </cell>
        </row>
        <row r="380">
          <cell r="A380">
            <v>328</v>
          </cell>
          <cell r="B380" t="str">
            <v>1b_advances</v>
          </cell>
          <cell r="C380" t="str">
            <v>Credit loss reserve</v>
          </cell>
          <cell r="D380" t="str">
            <v>(m)</v>
          </cell>
          <cell r="E380">
            <v>0</v>
          </cell>
          <cell r="F380">
            <v>0</v>
          </cell>
          <cell r="G380">
            <v>0</v>
          </cell>
          <cell r="H380">
            <v>0</v>
          </cell>
          <cell r="I380">
            <v>0</v>
          </cell>
          <cell r="J380">
            <v>0</v>
          </cell>
          <cell r="K380">
            <v>0</v>
          </cell>
          <cell r="L380">
            <v>0</v>
          </cell>
          <cell r="M380">
            <v>0</v>
          </cell>
          <cell r="N380" t="str">
            <v>b_advances</v>
          </cell>
          <cell r="O380">
            <v>0</v>
          </cell>
          <cell r="P380">
            <v>0</v>
          </cell>
          <cell r="Q380">
            <v>1000000</v>
          </cell>
          <cell r="R380" t="str">
            <v>E</v>
          </cell>
          <cell r="S380">
            <v>2</v>
          </cell>
          <cell r="T380" t="str">
            <v>null</v>
          </cell>
          <cell r="U380">
            <v>1</v>
          </cell>
          <cell r="V380">
            <v>0</v>
          </cell>
          <cell r="W380">
            <v>0</v>
          </cell>
          <cell r="X380">
            <v>0</v>
          </cell>
          <cell r="Y380">
            <v>0</v>
          </cell>
          <cell r="Z380">
            <v>0</v>
          </cell>
          <cell r="AA380">
            <v>93</v>
          </cell>
          <cell r="AB380" t="str">
            <v>Balance Sheet</v>
          </cell>
          <cell r="AC380">
            <v>376</v>
          </cell>
          <cell r="AD380">
            <v>0</v>
          </cell>
          <cell r="AE380">
            <v>0</v>
          </cell>
          <cell r="AF380">
            <v>0</v>
          </cell>
          <cell r="AG380">
            <v>0</v>
          </cell>
          <cell r="AH380">
            <v>0</v>
          </cell>
          <cell r="AI380">
            <v>0</v>
          </cell>
          <cell r="AJ380">
            <v>0</v>
          </cell>
          <cell r="AK380">
            <v>0</v>
          </cell>
          <cell r="AL380">
            <v>0</v>
          </cell>
          <cell r="AM380">
            <v>0</v>
          </cell>
          <cell r="AN380">
            <v>328</v>
          </cell>
          <cell r="AO380" t="str">
            <v>Credit Loss reserve</v>
          </cell>
          <cell r="AP380">
            <v>0</v>
          </cell>
          <cell r="AQ380">
            <v>0</v>
          </cell>
          <cell r="AR380">
            <v>0</v>
          </cell>
          <cell r="AS380">
            <v>0</v>
          </cell>
          <cell r="AT380">
            <v>0</v>
          </cell>
          <cell r="AU380" t="e">
            <v>#VALUE!</v>
          </cell>
          <cell r="AV380" t="e">
            <v>#VALUE!</v>
          </cell>
        </row>
        <row r="381">
          <cell r="A381">
            <v>325</v>
          </cell>
          <cell r="B381" t="str">
            <v>1b_average_total_assets</v>
          </cell>
          <cell r="C381" t="str">
            <v>Average total assets</v>
          </cell>
          <cell r="D381" t="str">
            <v>(m)</v>
          </cell>
          <cell r="E381">
            <v>0</v>
          </cell>
          <cell r="F381">
            <v>0</v>
          </cell>
          <cell r="G381">
            <v>0</v>
          </cell>
          <cell r="H381">
            <v>0</v>
          </cell>
          <cell r="I381">
            <v>0</v>
          </cell>
          <cell r="J381">
            <v>0</v>
          </cell>
          <cell r="K381">
            <v>0</v>
          </cell>
          <cell r="L381">
            <v>0</v>
          </cell>
          <cell r="M381">
            <v>0</v>
          </cell>
          <cell r="N381" t="str">
            <v>b_average_total_assets</v>
          </cell>
          <cell r="O381">
            <v>0</v>
          </cell>
          <cell r="P381">
            <v>0</v>
          </cell>
          <cell r="Q381">
            <v>1000000</v>
          </cell>
          <cell r="R381" t="str">
            <v>E</v>
          </cell>
          <cell r="S381">
            <v>2</v>
          </cell>
          <cell r="T381" t="str">
            <v>null</v>
          </cell>
          <cell r="U381">
            <v>1</v>
          </cell>
          <cell r="V381">
            <v>0</v>
          </cell>
          <cell r="W381">
            <v>0</v>
          </cell>
          <cell r="X381">
            <v>0</v>
          </cell>
          <cell r="Y381">
            <v>0</v>
          </cell>
          <cell r="Z381">
            <v>0</v>
          </cell>
          <cell r="AA381">
            <v>34</v>
          </cell>
          <cell r="AB381" t="str">
            <v>Balance Sheet</v>
          </cell>
          <cell r="AC381">
            <v>376</v>
          </cell>
          <cell r="AD381">
            <v>0</v>
          </cell>
          <cell r="AE381">
            <v>0</v>
          </cell>
          <cell r="AF381">
            <v>0</v>
          </cell>
          <cell r="AG381">
            <v>0</v>
          </cell>
          <cell r="AH381">
            <v>0</v>
          </cell>
          <cell r="AI381">
            <v>0</v>
          </cell>
          <cell r="AJ381">
            <v>0</v>
          </cell>
          <cell r="AK381">
            <v>0</v>
          </cell>
          <cell r="AL381">
            <v>0</v>
          </cell>
          <cell r="AM381">
            <v>0</v>
          </cell>
          <cell r="AN381">
            <v>325</v>
          </cell>
          <cell r="AO381" t="str">
            <v>Average Total Assets</v>
          </cell>
          <cell r="AP381">
            <v>0</v>
          </cell>
          <cell r="AQ381">
            <v>0</v>
          </cell>
          <cell r="AR381">
            <v>0</v>
          </cell>
          <cell r="AS381">
            <v>0</v>
          </cell>
          <cell r="AT381">
            <v>0</v>
          </cell>
          <cell r="AU381" t="e">
            <v>#VALUE!</v>
          </cell>
          <cell r="AV381" t="e">
            <v>#VALUE!</v>
          </cell>
        </row>
        <row r="382">
          <cell r="A382">
            <v>324.2</v>
          </cell>
          <cell r="B382" t="str">
            <v>1b_average_total_loans</v>
          </cell>
          <cell r="C382" t="str">
            <v>Average total loans</v>
          </cell>
          <cell r="D382" t="str">
            <v>(m)</v>
          </cell>
          <cell r="E382">
            <v>0</v>
          </cell>
          <cell r="F382">
            <v>0</v>
          </cell>
          <cell r="G382">
            <v>0</v>
          </cell>
          <cell r="H382">
            <v>0</v>
          </cell>
          <cell r="I382">
            <v>0</v>
          </cell>
          <cell r="J382">
            <v>0</v>
          </cell>
          <cell r="K382">
            <v>0</v>
          </cell>
          <cell r="L382">
            <v>0</v>
          </cell>
          <cell r="M382">
            <v>0</v>
          </cell>
          <cell r="N382" t="str">
            <v>b_average_total_loans</v>
          </cell>
          <cell r="O382">
            <v>0</v>
          </cell>
          <cell r="P382">
            <v>0</v>
          </cell>
          <cell r="Q382">
            <v>1000000</v>
          </cell>
          <cell r="R382" t="str">
            <v>E</v>
          </cell>
          <cell r="S382">
            <v>2</v>
          </cell>
          <cell r="T382" t="str">
            <v>null</v>
          </cell>
          <cell r="U382">
            <v>1</v>
          </cell>
          <cell r="V382">
            <v>0</v>
          </cell>
          <cell r="W382">
            <v>0</v>
          </cell>
          <cell r="X382">
            <v>0</v>
          </cell>
          <cell r="Y382">
            <v>0</v>
          </cell>
          <cell r="Z382">
            <v>0</v>
          </cell>
          <cell r="AA382">
            <v>35</v>
          </cell>
          <cell r="AB382" t="str">
            <v>Balance Sheet</v>
          </cell>
          <cell r="AC382">
            <v>376</v>
          </cell>
          <cell r="AD382">
            <v>0</v>
          </cell>
          <cell r="AE382">
            <v>0</v>
          </cell>
          <cell r="AF382">
            <v>0</v>
          </cell>
          <cell r="AG382">
            <v>0</v>
          </cell>
          <cell r="AH382">
            <v>0</v>
          </cell>
          <cell r="AI382">
            <v>0</v>
          </cell>
          <cell r="AJ382">
            <v>0</v>
          </cell>
          <cell r="AK382">
            <v>0</v>
          </cell>
          <cell r="AL382">
            <v>0</v>
          </cell>
          <cell r="AM382">
            <v>0</v>
          </cell>
          <cell r="AN382" t="e">
            <v>#N/A</v>
          </cell>
          <cell r="AO382" t="e">
            <v>#N/A</v>
          </cell>
          <cell r="AP382" t="e">
            <v>#N/A</v>
          </cell>
          <cell r="AQ382" t="e">
            <v>#N/A</v>
          </cell>
          <cell r="AR382" t="e">
            <v>#N/A</v>
          </cell>
          <cell r="AS382" t="e">
            <v>#N/A</v>
          </cell>
          <cell r="AT382" t="e">
            <v>#N/A</v>
          </cell>
          <cell r="AU382" t="e">
            <v>#N/A</v>
          </cell>
          <cell r="AV382" t="e">
            <v>#N/A</v>
          </cell>
        </row>
        <row r="383">
          <cell r="A383">
            <v>364</v>
          </cell>
          <cell r="B383" t="str">
            <v>1b_core_nav</v>
          </cell>
          <cell r="C383" t="str">
            <v>Core NAV</v>
          </cell>
          <cell r="D383" t="str">
            <v>(m)</v>
          </cell>
          <cell r="E383">
            <v>0</v>
          </cell>
          <cell r="F383">
            <v>0</v>
          </cell>
          <cell r="G383">
            <v>0</v>
          </cell>
          <cell r="H383">
            <v>0</v>
          </cell>
          <cell r="I383">
            <v>0</v>
          </cell>
          <cell r="J383">
            <v>0</v>
          </cell>
          <cell r="K383">
            <v>0</v>
          </cell>
          <cell r="L383">
            <v>0</v>
          </cell>
          <cell r="M383">
            <v>0</v>
          </cell>
          <cell r="N383" t="str">
            <v>b_core_nav</v>
          </cell>
          <cell r="O383">
            <v>0</v>
          </cell>
          <cell r="P383">
            <v>0</v>
          </cell>
          <cell r="Q383">
            <v>1000000</v>
          </cell>
          <cell r="R383" t="str">
            <v>E</v>
          </cell>
          <cell r="S383">
            <v>2</v>
          </cell>
          <cell r="T383" t="str">
            <v>null</v>
          </cell>
          <cell r="U383">
            <v>1</v>
          </cell>
          <cell r="V383">
            <v>0</v>
          </cell>
          <cell r="W383">
            <v>0</v>
          </cell>
          <cell r="X383">
            <v>0</v>
          </cell>
          <cell r="Y383">
            <v>0</v>
          </cell>
          <cell r="Z383">
            <v>0</v>
          </cell>
          <cell r="AA383">
            <v>90</v>
          </cell>
          <cell r="AB383" t="str">
            <v>Balance Sheet</v>
          </cell>
          <cell r="AC383">
            <v>376</v>
          </cell>
          <cell r="AD383">
            <v>0</v>
          </cell>
          <cell r="AE383">
            <v>0</v>
          </cell>
          <cell r="AF383">
            <v>0</v>
          </cell>
          <cell r="AG383">
            <v>0</v>
          </cell>
          <cell r="AH383">
            <v>0</v>
          </cell>
          <cell r="AI383">
            <v>0</v>
          </cell>
          <cell r="AJ383">
            <v>0</v>
          </cell>
          <cell r="AK383">
            <v>0</v>
          </cell>
          <cell r="AL383">
            <v>0</v>
          </cell>
          <cell r="AM383">
            <v>0</v>
          </cell>
          <cell r="AN383" t="e">
            <v>#N/A</v>
          </cell>
          <cell r="AO383" t="e">
            <v>#N/A</v>
          </cell>
          <cell r="AP383" t="e">
            <v>#N/A</v>
          </cell>
          <cell r="AQ383" t="e">
            <v>#N/A</v>
          </cell>
          <cell r="AR383" t="e">
            <v>#N/A</v>
          </cell>
          <cell r="AS383" t="e">
            <v>#N/A</v>
          </cell>
          <cell r="AT383" t="e">
            <v>#N/A</v>
          </cell>
          <cell r="AU383" t="e">
            <v>#N/A</v>
          </cell>
          <cell r="AV383" t="e">
            <v>#N/A</v>
          </cell>
        </row>
        <row r="384">
          <cell r="A384">
            <v>404</v>
          </cell>
          <cell r="B384" t="str">
            <v>1b_group_embedded_value</v>
          </cell>
          <cell r="C384" t="str">
            <v>Group embedded value</v>
          </cell>
          <cell r="D384" t="str">
            <v>(m)</v>
          </cell>
          <cell r="E384">
            <v>0</v>
          </cell>
          <cell r="F384">
            <v>0</v>
          </cell>
          <cell r="G384">
            <v>0</v>
          </cell>
          <cell r="H384">
            <v>0</v>
          </cell>
          <cell r="I384">
            <v>0</v>
          </cell>
          <cell r="J384">
            <v>0</v>
          </cell>
          <cell r="K384">
            <v>0</v>
          </cell>
          <cell r="L384">
            <v>0</v>
          </cell>
          <cell r="M384">
            <v>0</v>
          </cell>
          <cell r="N384" t="str">
            <v>b_group_embedded_value</v>
          </cell>
          <cell r="O384">
            <v>0</v>
          </cell>
          <cell r="P384">
            <v>0</v>
          </cell>
          <cell r="Q384">
            <v>1000000</v>
          </cell>
          <cell r="R384" t="str">
            <v>E</v>
          </cell>
          <cell r="S384">
            <v>2</v>
          </cell>
          <cell r="T384" t="str">
            <v>null</v>
          </cell>
          <cell r="U384">
            <v>1</v>
          </cell>
          <cell r="V384">
            <v>0</v>
          </cell>
          <cell r="W384">
            <v>0</v>
          </cell>
          <cell r="X384">
            <v>0</v>
          </cell>
          <cell r="Y384">
            <v>0</v>
          </cell>
          <cell r="Z384">
            <v>0</v>
          </cell>
          <cell r="AA384">
            <v>286</v>
          </cell>
          <cell r="AB384" t="str">
            <v>Balance Sheet</v>
          </cell>
          <cell r="AC384">
            <v>376</v>
          </cell>
          <cell r="AD384">
            <v>0</v>
          </cell>
          <cell r="AE384">
            <v>0</v>
          </cell>
          <cell r="AF384">
            <v>0</v>
          </cell>
          <cell r="AG384">
            <v>0</v>
          </cell>
          <cell r="AH384">
            <v>0</v>
          </cell>
          <cell r="AI384">
            <v>0</v>
          </cell>
          <cell r="AJ384">
            <v>0</v>
          </cell>
          <cell r="AK384">
            <v>0</v>
          </cell>
          <cell r="AL384">
            <v>0</v>
          </cell>
          <cell r="AM384">
            <v>0</v>
          </cell>
          <cell r="AN384" t="e">
            <v>#N/A</v>
          </cell>
          <cell r="AO384" t="e">
            <v>#N/A</v>
          </cell>
          <cell r="AP384" t="e">
            <v>#N/A</v>
          </cell>
          <cell r="AQ384" t="e">
            <v>#N/A</v>
          </cell>
          <cell r="AR384" t="e">
            <v>#N/A</v>
          </cell>
          <cell r="AS384" t="e">
            <v>#N/A</v>
          </cell>
          <cell r="AT384" t="e">
            <v>#N/A</v>
          </cell>
          <cell r="AU384" t="e">
            <v>#N/A</v>
          </cell>
          <cell r="AV384" t="e">
            <v>#N/A</v>
          </cell>
        </row>
        <row r="385">
          <cell r="A385">
            <v>322</v>
          </cell>
          <cell r="B385" t="str">
            <v>2b_inc_in_funds_under_man</v>
          </cell>
          <cell r="C385" t="str">
            <v>Increase in funds under management</v>
          </cell>
          <cell r="D385" t="str">
            <v>(%)</v>
          </cell>
          <cell r="E385">
            <v>0</v>
          </cell>
          <cell r="F385">
            <v>0</v>
          </cell>
          <cell r="G385">
            <v>0</v>
          </cell>
          <cell r="H385">
            <v>0</v>
          </cell>
          <cell r="I385">
            <v>0</v>
          </cell>
          <cell r="J385">
            <v>0</v>
          </cell>
          <cell r="K385">
            <v>0</v>
          </cell>
          <cell r="L385">
            <v>0</v>
          </cell>
          <cell r="M385">
            <v>0</v>
          </cell>
          <cell r="N385" t="str">
            <v>b_inc_in_funds_under_man</v>
          </cell>
          <cell r="O385">
            <v>0</v>
          </cell>
          <cell r="P385">
            <v>0</v>
          </cell>
          <cell r="Q385">
            <v>0.01</v>
          </cell>
          <cell r="R385" t="str">
            <v>E</v>
          </cell>
          <cell r="S385">
            <v>2</v>
          </cell>
          <cell r="T385" t="str">
            <v>null</v>
          </cell>
          <cell r="U385">
            <v>2</v>
          </cell>
          <cell r="V385">
            <v>0</v>
          </cell>
          <cell r="W385">
            <v>0</v>
          </cell>
          <cell r="X385">
            <v>0</v>
          </cell>
          <cell r="Y385">
            <v>0</v>
          </cell>
          <cell r="Z385">
            <v>0</v>
          </cell>
          <cell r="AA385">
            <v>292</v>
          </cell>
          <cell r="AB385" t="str">
            <v>Balance Sheet</v>
          </cell>
          <cell r="AC385">
            <v>376</v>
          </cell>
          <cell r="AD385">
            <v>0</v>
          </cell>
          <cell r="AE385" t="str">
            <v>b_funds_under_man</v>
          </cell>
          <cell r="AF385">
            <v>0</v>
          </cell>
          <cell r="AG385">
            <v>0</v>
          </cell>
          <cell r="AH385">
            <v>0</v>
          </cell>
          <cell r="AI385">
            <v>0</v>
          </cell>
          <cell r="AJ385">
            <v>0</v>
          </cell>
          <cell r="AK385">
            <v>0</v>
          </cell>
          <cell r="AL385">
            <v>0</v>
          </cell>
          <cell r="AM385">
            <v>0</v>
          </cell>
          <cell r="AN385">
            <v>322</v>
          </cell>
          <cell r="AO385" t="str">
            <v>Increase in funds under management</v>
          </cell>
          <cell r="AP385">
            <v>0</v>
          </cell>
          <cell r="AQ385">
            <v>0</v>
          </cell>
          <cell r="AR385">
            <v>0</v>
          </cell>
          <cell r="AS385" t="str">
            <v>standard y-o-y growth calc on 198</v>
          </cell>
          <cell r="AT385">
            <v>0</v>
          </cell>
          <cell r="AU385" t="e">
            <v>#VALUE!</v>
          </cell>
          <cell r="AV385" t="e">
            <v>#VALUE!</v>
          </cell>
        </row>
        <row r="386">
          <cell r="A386">
            <v>336</v>
          </cell>
          <cell r="B386" t="str">
            <v>1b_net_current_assets</v>
          </cell>
          <cell r="C386" t="str">
            <v>Net current assets</v>
          </cell>
          <cell r="D386" t="str">
            <v>(m)</v>
          </cell>
          <cell r="E386">
            <v>0</v>
          </cell>
          <cell r="F386">
            <v>0</v>
          </cell>
          <cell r="G386">
            <v>0</v>
          </cell>
          <cell r="H386">
            <v>0</v>
          </cell>
          <cell r="I386">
            <v>0</v>
          </cell>
          <cell r="J386">
            <v>0</v>
          </cell>
          <cell r="K386">
            <v>0</v>
          </cell>
          <cell r="L386">
            <v>0</v>
          </cell>
          <cell r="M386">
            <v>0</v>
          </cell>
          <cell r="N386" t="str">
            <v>b_net_current_assets</v>
          </cell>
          <cell r="O386">
            <v>0</v>
          </cell>
          <cell r="P386">
            <v>0</v>
          </cell>
          <cell r="Q386">
            <v>1000000</v>
          </cell>
          <cell r="R386" t="str">
            <v>E</v>
          </cell>
          <cell r="S386">
            <v>2</v>
          </cell>
          <cell r="T386" t="str">
            <v>null</v>
          </cell>
          <cell r="U386">
            <v>1</v>
          </cell>
          <cell r="V386">
            <v>0</v>
          </cell>
          <cell r="W386">
            <v>0</v>
          </cell>
          <cell r="X386">
            <v>0</v>
          </cell>
          <cell r="Y386">
            <v>0</v>
          </cell>
          <cell r="Z386">
            <v>0</v>
          </cell>
          <cell r="AA386">
            <v>364</v>
          </cell>
          <cell r="AB386" t="str">
            <v>Balance Sheet</v>
          </cell>
          <cell r="AC386">
            <v>376</v>
          </cell>
          <cell r="AD386">
            <v>0</v>
          </cell>
          <cell r="AE386">
            <v>0</v>
          </cell>
          <cell r="AF386">
            <v>0</v>
          </cell>
          <cell r="AG386">
            <v>0</v>
          </cell>
          <cell r="AH386">
            <v>0</v>
          </cell>
          <cell r="AI386">
            <v>0</v>
          </cell>
          <cell r="AJ386">
            <v>0</v>
          </cell>
          <cell r="AK386">
            <v>0</v>
          </cell>
          <cell r="AL386">
            <v>0</v>
          </cell>
          <cell r="AM386">
            <v>0</v>
          </cell>
          <cell r="AN386">
            <v>336</v>
          </cell>
          <cell r="AO386" t="str">
            <v>Net current assets</v>
          </cell>
          <cell r="AP386">
            <v>0</v>
          </cell>
          <cell r="AQ386">
            <v>0</v>
          </cell>
          <cell r="AR386">
            <v>0</v>
          </cell>
          <cell r="AS386">
            <v>0</v>
          </cell>
          <cell r="AT386">
            <v>0</v>
          </cell>
          <cell r="AU386" t="e">
            <v>#VALUE!</v>
          </cell>
          <cell r="AV386" t="e">
            <v>#VALUE!</v>
          </cell>
        </row>
        <row r="387">
          <cell r="A387">
            <v>326</v>
          </cell>
          <cell r="B387" t="str">
            <v>1b_she_common</v>
          </cell>
          <cell r="C387" t="str">
            <v>SHE (common)</v>
          </cell>
          <cell r="D387" t="str">
            <v>($bn)</v>
          </cell>
          <cell r="E387">
            <v>0</v>
          </cell>
          <cell r="F387">
            <v>0</v>
          </cell>
          <cell r="G387">
            <v>0</v>
          </cell>
          <cell r="H387">
            <v>0</v>
          </cell>
          <cell r="I387">
            <v>0</v>
          </cell>
          <cell r="J387">
            <v>0</v>
          </cell>
          <cell r="K387">
            <v>0</v>
          </cell>
          <cell r="L387">
            <v>0</v>
          </cell>
          <cell r="M387">
            <v>0</v>
          </cell>
          <cell r="N387" t="str">
            <v>b_she_common</v>
          </cell>
          <cell r="O387">
            <v>0</v>
          </cell>
          <cell r="P387">
            <v>0</v>
          </cell>
          <cell r="Q387">
            <v>1000000000</v>
          </cell>
          <cell r="R387" t="str">
            <v>E</v>
          </cell>
          <cell r="S387">
            <v>2</v>
          </cell>
          <cell r="T387" t="str">
            <v>null</v>
          </cell>
          <cell r="U387">
            <v>1</v>
          </cell>
          <cell r="V387">
            <v>0</v>
          </cell>
          <cell r="W387">
            <v>0</v>
          </cell>
          <cell r="X387">
            <v>0</v>
          </cell>
          <cell r="Y387">
            <v>0</v>
          </cell>
          <cell r="Z387">
            <v>0</v>
          </cell>
          <cell r="AA387">
            <v>539</v>
          </cell>
          <cell r="AB387" t="str">
            <v>Balance Sheet</v>
          </cell>
          <cell r="AC387">
            <v>376</v>
          </cell>
          <cell r="AD387">
            <v>0</v>
          </cell>
          <cell r="AE387">
            <v>0</v>
          </cell>
          <cell r="AF387">
            <v>0</v>
          </cell>
          <cell r="AG387">
            <v>0</v>
          </cell>
          <cell r="AH387">
            <v>0</v>
          </cell>
          <cell r="AI387">
            <v>0</v>
          </cell>
          <cell r="AJ387">
            <v>0</v>
          </cell>
          <cell r="AK387">
            <v>0</v>
          </cell>
          <cell r="AL387">
            <v>0</v>
          </cell>
          <cell r="AM387">
            <v>0</v>
          </cell>
          <cell r="AN387">
            <v>326</v>
          </cell>
          <cell r="AO387" t="str">
            <v>SHE (common)</v>
          </cell>
          <cell r="AP387">
            <v>0</v>
          </cell>
          <cell r="AQ387">
            <v>0</v>
          </cell>
          <cell r="AR387">
            <v>0</v>
          </cell>
          <cell r="AS387">
            <v>0</v>
          </cell>
          <cell r="AT387">
            <v>0</v>
          </cell>
          <cell r="AU387" t="e">
            <v>#VALUE!</v>
          </cell>
          <cell r="AV387" t="e">
            <v>#VALUE!</v>
          </cell>
        </row>
        <row r="388">
          <cell r="A388">
            <v>327</v>
          </cell>
          <cell r="B388" t="str">
            <v>1b_she_total</v>
          </cell>
          <cell r="C388" t="str">
            <v>SHE (total)</v>
          </cell>
          <cell r="D388" t="str">
            <v>($bn)</v>
          </cell>
          <cell r="E388">
            <v>0</v>
          </cell>
          <cell r="F388">
            <v>0</v>
          </cell>
          <cell r="G388">
            <v>0</v>
          </cell>
          <cell r="H388">
            <v>0</v>
          </cell>
          <cell r="I388">
            <v>0</v>
          </cell>
          <cell r="J388">
            <v>0</v>
          </cell>
          <cell r="K388">
            <v>0</v>
          </cell>
          <cell r="L388">
            <v>0</v>
          </cell>
          <cell r="M388">
            <v>0</v>
          </cell>
          <cell r="N388" t="str">
            <v>b_she_total</v>
          </cell>
          <cell r="O388">
            <v>0</v>
          </cell>
          <cell r="P388">
            <v>0</v>
          </cell>
          <cell r="Q388">
            <v>1000000000</v>
          </cell>
          <cell r="R388" t="str">
            <v>E</v>
          </cell>
          <cell r="S388">
            <v>2</v>
          </cell>
          <cell r="T388" t="str">
            <v>null</v>
          </cell>
          <cell r="U388">
            <v>1</v>
          </cell>
          <cell r="V388">
            <v>0</v>
          </cell>
          <cell r="W388">
            <v>0</v>
          </cell>
          <cell r="X388">
            <v>0</v>
          </cell>
          <cell r="Y388">
            <v>0</v>
          </cell>
          <cell r="Z388">
            <v>0</v>
          </cell>
          <cell r="AA388">
            <v>540</v>
          </cell>
          <cell r="AB388" t="str">
            <v>Balance Sheet</v>
          </cell>
          <cell r="AC388">
            <v>376</v>
          </cell>
          <cell r="AD388">
            <v>0</v>
          </cell>
          <cell r="AE388">
            <v>0</v>
          </cell>
          <cell r="AF388">
            <v>0</v>
          </cell>
          <cell r="AG388">
            <v>0</v>
          </cell>
          <cell r="AH388">
            <v>0</v>
          </cell>
          <cell r="AI388">
            <v>0</v>
          </cell>
          <cell r="AJ388">
            <v>0</v>
          </cell>
          <cell r="AK388">
            <v>0</v>
          </cell>
          <cell r="AL388">
            <v>0</v>
          </cell>
          <cell r="AM388">
            <v>0</v>
          </cell>
          <cell r="AN388">
            <v>327</v>
          </cell>
          <cell r="AO388" t="str">
            <v>SHE (total)</v>
          </cell>
          <cell r="AP388">
            <v>0</v>
          </cell>
          <cell r="AQ388">
            <v>0</v>
          </cell>
          <cell r="AR388">
            <v>0</v>
          </cell>
          <cell r="AS388">
            <v>0</v>
          </cell>
          <cell r="AT388">
            <v>0</v>
          </cell>
          <cell r="AU388" t="e">
            <v>#VALUE!</v>
          </cell>
          <cell r="AV388" t="e">
            <v>#VALUE!</v>
          </cell>
        </row>
        <row r="389">
          <cell r="A389">
            <v>329</v>
          </cell>
          <cell r="B389" t="str">
            <v>1b_sum_of_parts_group</v>
          </cell>
          <cell r="C389" t="str">
            <v>Sum of the parts (group)</v>
          </cell>
          <cell r="D389" t="str">
            <v>(m)</v>
          </cell>
          <cell r="E389">
            <v>0</v>
          </cell>
          <cell r="F389">
            <v>0</v>
          </cell>
          <cell r="G389">
            <v>0</v>
          </cell>
          <cell r="H389">
            <v>0</v>
          </cell>
          <cell r="I389">
            <v>0</v>
          </cell>
          <cell r="J389">
            <v>0</v>
          </cell>
          <cell r="K389">
            <v>0</v>
          </cell>
          <cell r="L389">
            <v>0</v>
          </cell>
          <cell r="M389">
            <v>0</v>
          </cell>
          <cell r="N389" t="str">
            <v>b_sum_of_parts_group</v>
          </cell>
          <cell r="O389">
            <v>0</v>
          </cell>
          <cell r="P389">
            <v>0</v>
          </cell>
          <cell r="Q389">
            <v>1000000</v>
          </cell>
          <cell r="R389" t="str">
            <v>E</v>
          </cell>
          <cell r="S389">
            <v>2</v>
          </cell>
          <cell r="T389" t="str">
            <v>null</v>
          </cell>
          <cell r="U389">
            <v>1</v>
          </cell>
          <cell r="V389">
            <v>0</v>
          </cell>
          <cell r="W389">
            <v>0</v>
          </cell>
          <cell r="X389">
            <v>0</v>
          </cell>
          <cell r="Y389">
            <v>0</v>
          </cell>
          <cell r="Z389">
            <v>0</v>
          </cell>
          <cell r="AA389">
            <v>546</v>
          </cell>
          <cell r="AB389" t="str">
            <v>Balance Sheet</v>
          </cell>
          <cell r="AC389">
            <v>376</v>
          </cell>
          <cell r="AD389">
            <v>0</v>
          </cell>
          <cell r="AE389">
            <v>0</v>
          </cell>
          <cell r="AF389">
            <v>0</v>
          </cell>
          <cell r="AG389">
            <v>0</v>
          </cell>
          <cell r="AH389">
            <v>0</v>
          </cell>
          <cell r="AI389">
            <v>0</v>
          </cell>
          <cell r="AJ389">
            <v>0</v>
          </cell>
          <cell r="AK389">
            <v>0</v>
          </cell>
          <cell r="AL389">
            <v>0</v>
          </cell>
          <cell r="AM389">
            <v>0</v>
          </cell>
          <cell r="AN389">
            <v>329</v>
          </cell>
          <cell r="AO389" t="str">
            <v>Sum of the parts - group</v>
          </cell>
          <cell r="AP389">
            <v>0</v>
          </cell>
          <cell r="AQ389">
            <v>0</v>
          </cell>
          <cell r="AR389">
            <v>0</v>
          </cell>
          <cell r="AS389">
            <v>0</v>
          </cell>
          <cell r="AT389">
            <v>0</v>
          </cell>
          <cell r="AU389" t="e">
            <v>#VALUE!</v>
          </cell>
          <cell r="AV389" t="e">
            <v>#VALUE!</v>
          </cell>
        </row>
        <row r="390">
          <cell r="A390">
            <v>330</v>
          </cell>
          <cell r="B390" t="str">
            <v>1b_sum_of_parts_group_exclmin</v>
          </cell>
          <cell r="C390" t="str">
            <v>Sum of the parts (excluding minorities)</v>
          </cell>
          <cell r="D390" t="str">
            <v>(m)</v>
          </cell>
          <cell r="E390">
            <v>0</v>
          </cell>
          <cell r="F390">
            <v>0</v>
          </cell>
          <cell r="G390">
            <v>0</v>
          </cell>
          <cell r="H390">
            <v>0</v>
          </cell>
          <cell r="I390">
            <v>0</v>
          </cell>
          <cell r="J390">
            <v>0</v>
          </cell>
          <cell r="K390">
            <v>0</v>
          </cell>
          <cell r="L390">
            <v>0</v>
          </cell>
          <cell r="M390">
            <v>0</v>
          </cell>
          <cell r="N390" t="str">
            <v>b_sum_of_parts_group_exclmin</v>
          </cell>
          <cell r="O390">
            <v>0</v>
          </cell>
          <cell r="P390">
            <v>0</v>
          </cell>
          <cell r="Q390">
            <v>1000000</v>
          </cell>
          <cell r="R390" t="str">
            <v>E</v>
          </cell>
          <cell r="S390">
            <v>2</v>
          </cell>
          <cell r="T390" t="str">
            <v>null</v>
          </cell>
          <cell r="U390">
            <v>1</v>
          </cell>
          <cell r="V390">
            <v>0</v>
          </cell>
          <cell r="W390">
            <v>0</v>
          </cell>
          <cell r="X390">
            <v>0</v>
          </cell>
          <cell r="Y390">
            <v>0</v>
          </cell>
          <cell r="Z390">
            <v>0</v>
          </cell>
          <cell r="AA390">
            <v>545</v>
          </cell>
          <cell r="AB390" t="str">
            <v>Balance Sheet</v>
          </cell>
          <cell r="AC390">
            <v>376</v>
          </cell>
          <cell r="AD390">
            <v>0</v>
          </cell>
          <cell r="AE390">
            <v>0</v>
          </cell>
          <cell r="AF390">
            <v>0</v>
          </cell>
          <cell r="AG390">
            <v>0</v>
          </cell>
          <cell r="AH390">
            <v>0</v>
          </cell>
          <cell r="AI390">
            <v>0</v>
          </cell>
          <cell r="AJ390">
            <v>0</v>
          </cell>
          <cell r="AK390">
            <v>0</v>
          </cell>
          <cell r="AL390">
            <v>0</v>
          </cell>
          <cell r="AM390">
            <v>0</v>
          </cell>
          <cell r="AN390">
            <v>330</v>
          </cell>
          <cell r="AO390" t="str">
            <v>Sum of the parts - excluding minorities</v>
          </cell>
          <cell r="AP390">
            <v>0</v>
          </cell>
          <cell r="AQ390">
            <v>0</v>
          </cell>
          <cell r="AR390">
            <v>0</v>
          </cell>
          <cell r="AS390">
            <v>0</v>
          </cell>
          <cell r="AT390">
            <v>0</v>
          </cell>
          <cell r="AU390" t="e">
            <v>#VALUE!</v>
          </cell>
          <cell r="AV390" t="e">
            <v>#VALUE!</v>
          </cell>
        </row>
        <row r="391">
          <cell r="A391">
            <v>342</v>
          </cell>
          <cell r="B391" t="str">
            <v>1b_trade_payables</v>
          </cell>
          <cell r="C391" t="str">
            <v>Trade creditors</v>
          </cell>
          <cell r="D391" t="str">
            <v>(m)</v>
          </cell>
          <cell r="E391">
            <v>0</v>
          </cell>
          <cell r="F391">
            <v>0</v>
          </cell>
          <cell r="G391">
            <v>0</v>
          </cell>
          <cell r="H391">
            <v>0</v>
          </cell>
          <cell r="I391">
            <v>0</v>
          </cell>
          <cell r="J391">
            <v>0</v>
          </cell>
          <cell r="K391">
            <v>0</v>
          </cell>
          <cell r="L391">
            <v>0</v>
          </cell>
          <cell r="M391">
            <v>0</v>
          </cell>
          <cell r="N391" t="str">
            <v>b_trade_payables</v>
          </cell>
          <cell r="O391">
            <v>0</v>
          </cell>
          <cell r="P391">
            <v>0</v>
          </cell>
          <cell r="Q391">
            <v>1000000</v>
          </cell>
          <cell r="R391" t="str">
            <v>E</v>
          </cell>
          <cell r="S391">
            <v>2</v>
          </cell>
          <cell r="T391" t="str">
            <v>null</v>
          </cell>
          <cell r="U391">
            <v>1</v>
          </cell>
          <cell r="V391">
            <v>0</v>
          </cell>
          <cell r="W391">
            <v>0</v>
          </cell>
          <cell r="X391">
            <v>0</v>
          </cell>
          <cell r="Y391">
            <v>0</v>
          </cell>
          <cell r="Z391">
            <v>0</v>
          </cell>
          <cell r="AA391">
            <v>571</v>
          </cell>
          <cell r="AB391" t="str">
            <v>Balance Sheet</v>
          </cell>
          <cell r="AC391">
            <v>376</v>
          </cell>
          <cell r="AD391">
            <v>0</v>
          </cell>
          <cell r="AE391">
            <v>0</v>
          </cell>
          <cell r="AF391">
            <v>0</v>
          </cell>
          <cell r="AG391">
            <v>0</v>
          </cell>
          <cell r="AH391">
            <v>0</v>
          </cell>
          <cell r="AI391">
            <v>0</v>
          </cell>
          <cell r="AJ391">
            <v>0</v>
          </cell>
          <cell r="AK391">
            <v>0</v>
          </cell>
          <cell r="AL391">
            <v>0</v>
          </cell>
          <cell r="AM391">
            <v>0</v>
          </cell>
          <cell r="AN391" t="e">
            <v>#N/A</v>
          </cell>
          <cell r="AO391" t="e">
            <v>#N/A</v>
          </cell>
          <cell r="AP391" t="e">
            <v>#N/A</v>
          </cell>
          <cell r="AQ391" t="e">
            <v>#N/A</v>
          </cell>
          <cell r="AR391" t="e">
            <v>#N/A</v>
          </cell>
          <cell r="AS391" t="e">
            <v>#N/A</v>
          </cell>
          <cell r="AT391" t="e">
            <v>#N/A</v>
          </cell>
          <cell r="AU391" t="e">
            <v>#N/A</v>
          </cell>
          <cell r="AV391" t="e">
            <v>#N/A</v>
          </cell>
        </row>
        <row r="392">
          <cell r="A392">
            <v>346</v>
          </cell>
          <cell r="B392" t="str">
            <v>1b_trade_receivables</v>
          </cell>
          <cell r="C392" t="str">
            <v>Trade debtors</v>
          </cell>
          <cell r="D392" t="str">
            <v>(m)</v>
          </cell>
          <cell r="E392">
            <v>0</v>
          </cell>
          <cell r="F392">
            <v>0</v>
          </cell>
          <cell r="G392">
            <v>0</v>
          </cell>
          <cell r="H392">
            <v>0</v>
          </cell>
          <cell r="I392">
            <v>0</v>
          </cell>
          <cell r="J392">
            <v>0</v>
          </cell>
          <cell r="K392">
            <v>0</v>
          </cell>
          <cell r="L392">
            <v>0</v>
          </cell>
          <cell r="M392">
            <v>0</v>
          </cell>
          <cell r="N392" t="str">
            <v>b_trade_receivables</v>
          </cell>
          <cell r="O392">
            <v>0</v>
          </cell>
          <cell r="P392">
            <v>0</v>
          </cell>
          <cell r="Q392">
            <v>1000000</v>
          </cell>
          <cell r="R392" t="str">
            <v>E</v>
          </cell>
          <cell r="S392">
            <v>2</v>
          </cell>
          <cell r="T392" t="str">
            <v>null</v>
          </cell>
          <cell r="U392">
            <v>1</v>
          </cell>
          <cell r="V392">
            <v>0</v>
          </cell>
          <cell r="W392">
            <v>0</v>
          </cell>
          <cell r="X392">
            <v>0</v>
          </cell>
          <cell r="Y392">
            <v>0</v>
          </cell>
          <cell r="Z392">
            <v>0</v>
          </cell>
          <cell r="AA392">
            <v>572</v>
          </cell>
          <cell r="AB392" t="str">
            <v>Balance Sheet</v>
          </cell>
          <cell r="AC392">
            <v>376</v>
          </cell>
          <cell r="AD392">
            <v>0</v>
          </cell>
          <cell r="AE392">
            <v>0</v>
          </cell>
          <cell r="AF392">
            <v>0</v>
          </cell>
          <cell r="AG392">
            <v>0</v>
          </cell>
          <cell r="AH392">
            <v>0</v>
          </cell>
          <cell r="AI392">
            <v>0</v>
          </cell>
          <cell r="AJ392">
            <v>0</v>
          </cell>
          <cell r="AK392">
            <v>0</v>
          </cell>
          <cell r="AL392">
            <v>0</v>
          </cell>
          <cell r="AM392">
            <v>0</v>
          </cell>
          <cell r="AN392" t="e">
            <v>#N/A</v>
          </cell>
          <cell r="AO392" t="e">
            <v>#N/A</v>
          </cell>
          <cell r="AP392" t="e">
            <v>#N/A</v>
          </cell>
          <cell r="AQ392" t="e">
            <v>#N/A</v>
          </cell>
          <cell r="AR392" t="e">
            <v>#N/A</v>
          </cell>
          <cell r="AS392" t="e">
            <v>#N/A</v>
          </cell>
          <cell r="AT392" t="e">
            <v>#N/A</v>
          </cell>
          <cell r="AU392" t="e">
            <v>#N/A</v>
          </cell>
          <cell r="AV392" t="e">
            <v>#N/A</v>
          </cell>
        </row>
        <row r="393">
          <cell r="A393">
            <v>403</v>
          </cell>
          <cell r="B393" t="str">
            <v>1b_value_in_force</v>
          </cell>
          <cell r="C393" t="str">
            <v>Value in force</v>
          </cell>
          <cell r="D393" t="str">
            <v>(m)</v>
          </cell>
          <cell r="E393">
            <v>0</v>
          </cell>
          <cell r="F393">
            <v>0</v>
          </cell>
          <cell r="G393">
            <v>0</v>
          </cell>
          <cell r="H393">
            <v>0</v>
          </cell>
          <cell r="I393">
            <v>0</v>
          </cell>
          <cell r="J393">
            <v>0</v>
          </cell>
          <cell r="K393">
            <v>0</v>
          </cell>
          <cell r="L393">
            <v>0</v>
          </cell>
          <cell r="M393">
            <v>0</v>
          </cell>
          <cell r="N393" t="str">
            <v>b_value_in_force</v>
          </cell>
          <cell r="O393">
            <v>0</v>
          </cell>
          <cell r="P393">
            <v>0</v>
          </cell>
          <cell r="Q393">
            <v>1000000</v>
          </cell>
          <cell r="R393" t="str">
            <v>E</v>
          </cell>
          <cell r="S393">
            <v>2</v>
          </cell>
          <cell r="T393" t="str">
            <v>null</v>
          </cell>
          <cell r="U393">
            <v>1</v>
          </cell>
          <cell r="V393">
            <v>0</v>
          </cell>
          <cell r="W393">
            <v>0</v>
          </cell>
          <cell r="X393">
            <v>0</v>
          </cell>
          <cell r="Y393">
            <v>0</v>
          </cell>
          <cell r="Z393">
            <v>0</v>
          </cell>
          <cell r="AA393">
            <v>598</v>
          </cell>
          <cell r="AB393" t="str">
            <v>Balance Sheet</v>
          </cell>
          <cell r="AC393">
            <v>376</v>
          </cell>
          <cell r="AD393">
            <v>0</v>
          </cell>
          <cell r="AE393">
            <v>0</v>
          </cell>
          <cell r="AF393">
            <v>0</v>
          </cell>
          <cell r="AG393">
            <v>0</v>
          </cell>
          <cell r="AH393">
            <v>0</v>
          </cell>
          <cell r="AI393">
            <v>0</v>
          </cell>
          <cell r="AJ393">
            <v>0</v>
          </cell>
          <cell r="AK393">
            <v>0</v>
          </cell>
          <cell r="AL393">
            <v>0</v>
          </cell>
          <cell r="AM393">
            <v>0</v>
          </cell>
          <cell r="AN393" t="e">
            <v>#N/A</v>
          </cell>
          <cell r="AO393" t="e">
            <v>#N/A</v>
          </cell>
          <cell r="AP393" t="e">
            <v>#N/A</v>
          </cell>
          <cell r="AQ393" t="e">
            <v>#N/A</v>
          </cell>
          <cell r="AR393" t="e">
            <v>#N/A</v>
          </cell>
          <cell r="AS393" t="e">
            <v>#N/A</v>
          </cell>
          <cell r="AT393" t="e">
            <v>#N/A</v>
          </cell>
          <cell r="AU393" t="e">
            <v>#N/A</v>
          </cell>
          <cell r="AV393" t="e">
            <v>#N/A</v>
          </cell>
        </row>
        <row r="394">
          <cell r="A394">
            <v>329.2</v>
          </cell>
          <cell r="B394" t="str">
            <v>1sum_of_parts</v>
          </cell>
          <cell r="C394" t="str">
            <v>Sum of the parts NAV</v>
          </cell>
          <cell r="D394" t="str">
            <v>(m)</v>
          </cell>
          <cell r="E394">
            <v>0</v>
          </cell>
          <cell r="F394">
            <v>0</v>
          </cell>
          <cell r="G394">
            <v>0</v>
          </cell>
          <cell r="H394">
            <v>0</v>
          </cell>
          <cell r="I394">
            <v>0</v>
          </cell>
          <cell r="J394">
            <v>0</v>
          </cell>
          <cell r="K394">
            <v>0</v>
          </cell>
          <cell r="L394">
            <v>0</v>
          </cell>
          <cell r="M394">
            <v>0</v>
          </cell>
          <cell r="N394" t="str">
            <v>sum_of_parts</v>
          </cell>
          <cell r="O394">
            <v>0</v>
          </cell>
          <cell r="P394">
            <v>0</v>
          </cell>
          <cell r="Q394">
            <v>1000000</v>
          </cell>
          <cell r="R394" t="str">
            <v>E</v>
          </cell>
          <cell r="S394">
            <v>2</v>
          </cell>
          <cell r="T394" t="str">
            <v>null</v>
          </cell>
          <cell r="U394">
            <v>1</v>
          </cell>
          <cell r="V394">
            <v>0</v>
          </cell>
          <cell r="W394">
            <v>0</v>
          </cell>
          <cell r="X394">
            <v>0</v>
          </cell>
          <cell r="Y394">
            <v>0</v>
          </cell>
          <cell r="Z394">
            <v>0</v>
          </cell>
          <cell r="AA394">
            <v>547</v>
          </cell>
          <cell r="AB394" t="str">
            <v>Balance Sheet</v>
          </cell>
          <cell r="AC394">
            <v>376</v>
          </cell>
          <cell r="AD394">
            <v>0</v>
          </cell>
          <cell r="AE394">
            <v>0</v>
          </cell>
          <cell r="AF394">
            <v>0</v>
          </cell>
          <cell r="AG394">
            <v>0</v>
          </cell>
          <cell r="AH394">
            <v>0</v>
          </cell>
          <cell r="AI394">
            <v>0</v>
          </cell>
          <cell r="AJ394">
            <v>0</v>
          </cell>
          <cell r="AK394">
            <v>0</v>
          </cell>
          <cell r="AL394">
            <v>0</v>
          </cell>
          <cell r="AM394">
            <v>0</v>
          </cell>
          <cell r="AN394" t="e">
            <v>#N/A</v>
          </cell>
          <cell r="AO394" t="e">
            <v>#N/A</v>
          </cell>
          <cell r="AP394" t="e">
            <v>#N/A</v>
          </cell>
          <cell r="AQ394" t="e">
            <v>#N/A</v>
          </cell>
          <cell r="AR394" t="e">
            <v>#N/A</v>
          </cell>
          <cell r="AS394" t="e">
            <v>#N/A</v>
          </cell>
          <cell r="AT394" t="e">
            <v>#N/A</v>
          </cell>
          <cell r="AU394" t="e">
            <v>#N/A</v>
          </cell>
          <cell r="AV394" t="e">
            <v>#N/A</v>
          </cell>
        </row>
        <row r="395">
          <cell r="A395">
            <v>193.9</v>
          </cell>
          <cell r="B395" t="str">
            <v>--</v>
          </cell>
          <cell r="C395" t="str">
            <v>Ratios/miscellaneous</v>
          </cell>
          <cell r="D395">
            <v>0</v>
          </cell>
          <cell r="E395">
            <v>0</v>
          </cell>
          <cell r="F395">
            <v>0</v>
          </cell>
          <cell r="G395">
            <v>0</v>
          </cell>
          <cell r="H395">
            <v>0</v>
          </cell>
          <cell r="I395">
            <v>0</v>
          </cell>
          <cell r="J395">
            <v>0</v>
          </cell>
          <cell r="K395">
            <v>0</v>
          </cell>
          <cell r="L395">
            <v>0</v>
          </cell>
          <cell r="M395">
            <v>0</v>
          </cell>
          <cell r="N395" t="str">
            <v>-</v>
          </cell>
          <cell r="O395" t="str">
            <v>-</v>
          </cell>
          <cell r="P395">
            <v>0</v>
          </cell>
          <cell r="Q395" t="str">
            <v>-</v>
          </cell>
          <cell r="R395" t="str">
            <v>Heading</v>
          </cell>
          <cell r="S395" t="str">
            <v>-</v>
          </cell>
          <cell r="T395">
            <v>1004</v>
          </cell>
          <cell r="U395" t="str">
            <v>-</v>
          </cell>
          <cell r="V395">
            <v>0</v>
          </cell>
          <cell r="W395">
            <v>0</v>
          </cell>
          <cell r="X395">
            <v>0</v>
          </cell>
          <cell r="Y395">
            <v>0</v>
          </cell>
          <cell r="Z395">
            <v>0</v>
          </cell>
          <cell r="AA395">
            <v>498</v>
          </cell>
          <cell r="AB395" t="str">
            <v>Ratios/Misc</v>
          </cell>
          <cell r="AC395">
            <v>377</v>
          </cell>
          <cell r="AD395">
            <v>0</v>
          </cell>
          <cell r="AE395">
            <v>0</v>
          </cell>
          <cell r="AF395">
            <v>0</v>
          </cell>
          <cell r="AG395">
            <v>0</v>
          </cell>
          <cell r="AH395">
            <v>0</v>
          </cell>
          <cell r="AI395">
            <v>0</v>
          </cell>
          <cell r="AJ395">
            <v>0</v>
          </cell>
          <cell r="AK395">
            <v>0</v>
          </cell>
          <cell r="AL395">
            <v>0</v>
          </cell>
          <cell r="AM395">
            <v>0</v>
          </cell>
          <cell r="AN395" t="e">
            <v>#N/A</v>
          </cell>
          <cell r="AO395" t="e">
            <v>#N/A</v>
          </cell>
          <cell r="AP395" t="e">
            <v>#N/A</v>
          </cell>
          <cell r="AQ395" t="e">
            <v>#N/A</v>
          </cell>
          <cell r="AR395" t="e">
            <v>#N/A</v>
          </cell>
          <cell r="AS395" t="e">
            <v>#N/A</v>
          </cell>
          <cell r="AT395" t="e">
            <v>#N/A</v>
          </cell>
          <cell r="AU395" t="e">
            <v>#N/A</v>
          </cell>
          <cell r="AV395" t="e">
            <v>#N/A</v>
          </cell>
        </row>
        <row r="396">
          <cell r="A396">
            <v>194</v>
          </cell>
          <cell r="B396" t="str">
            <v>2r_pe</v>
          </cell>
          <cell r="C396" t="str">
            <v>PE ratio</v>
          </cell>
          <cell r="D396" t="str">
            <v>Multiple</v>
          </cell>
          <cell r="E396">
            <v>0</v>
          </cell>
          <cell r="F396">
            <v>0</v>
          </cell>
          <cell r="G396">
            <v>0</v>
          </cell>
          <cell r="H396">
            <v>0</v>
          </cell>
          <cell r="I396">
            <v>0</v>
          </cell>
          <cell r="J396">
            <v>0</v>
          </cell>
          <cell r="K396">
            <v>0</v>
          </cell>
          <cell r="L396">
            <v>0</v>
          </cell>
          <cell r="M396">
            <v>0</v>
          </cell>
          <cell r="N396" t="str">
            <v>r_pe</v>
          </cell>
          <cell r="O396">
            <v>0</v>
          </cell>
          <cell r="P396">
            <v>0</v>
          </cell>
          <cell r="Q396">
            <v>1</v>
          </cell>
          <cell r="R396" t="str">
            <v>S</v>
          </cell>
          <cell r="S396">
            <v>2</v>
          </cell>
          <cell r="T396" t="str">
            <v>null</v>
          </cell>
          <cell r="U396">
            <v>2</v>
          </cell>
          <cell r="V396" t="str">
            <v>UK/US</v>
          </cell>
          <cell r="W396">
            <v>0</v>
          </cell>
          <cell r="X396">
            <v>0</v>
          </cell>
          <cell r="Y396">
            <v>0</v>
          </cell>
          <cell r="Z396">
            <v>0</v>
          </cell>
          <cell r="AA396">
            <v>467</v>
          </cell>
          <cell r="AB396" t="str">
            <v>Ratios/Misc</v>
          </cell>
          <cell r="AC396">
            <v>378</v>
          </cell>
          <cell r="AD396">
            <v>0</v>
          </cell>
          <cell r="AE396" t="str">
            <v>&lt;price&gt;</v>
          </cell>
          <cell r="AF396" t="str">
            <v>eps_adjusted</v>
          </cell>
          <cell r="AG396">
            <v>0</v>
          </cell>
          <cell r="AH396" t="str">
            <v>/</v>
          </cell>
          <cell r="AI396">
            <v>0</v>
          </cell>
          <cell r="AJ396">
            <v>61</v>
          </cell>
          <cell r="AK396">
            <v>0</v>
          </cell>
          <cell r="AL396">
            <v>0</v>
          </cell>
          <cell r="AM396">
            <v>0</v>
          </cell>
          <cell r="AN396">
            <v>194</v>
          </cell>
          <cell r="AO396" t="str">
            <v>PE Ratio*</v>
          </cell>
          <cell r="AP396" t="str">
            <v>x</v>
          </cell>
          <cell r="AQ396">
            <v>0</v>
          </cell>
          <cell r="AR396">
            <v>0</v>
          </cell>
          <cell r="AS396" t="str">
            <v>13/61</v>
          </cell>
          <cell r="AT396" t="str">
            <v>see note on 13</v>
          </cell>
          <cell r="AU396" t="str">
            <v>13</v>
          </cell>
          <cell r="AV396" t="str">
            <v>61</v>
          </cell>
          <cell r="AW396" t="str">
            <v>OK</v>
          </cell>
        </row>
        <row r="397">
          <cell r="A397">
            <v>195</v>
          </cell>
          <cell r="B397" t="str">
            <v>2r_pe_rel_sector</v>
          </cell>
          <cell r="C397" t="str">
            <v>PE relative to sector</v>
          </cell>
          <cell r="D397" t="str">
            <v>Number</v>
          </cell>
          <cell r="E397">
            <v>0</v>
          </cell>
          <cell r="F397">
            <v>0</v>
          </cell>
          <cell r="G397">
            <v>0</v>
          </cell>
          <cell r="H397">
            <v>0</v>
          </cell>
          <cell r="I397">
            <v>0</v>
          </cell>
          <cell r="J397">
            <v>0</v>
          </cell>
          <cell r="K397">
            <v>0</v>
          </cell>
          <cell r="L397">
            <v>0</v>
          </cell>
          <cell r="M397">
            <v>0</v>
          </cell>
          <cell r="N397" t="str">
            <v>r_pe_rel_sector</v>
          </cell>
          <cell r="O397">
            <v>0</v>
          </cell>
          <cell r="P397">
            <v>0</v>
          </cell>
          <cell r="Q397">
            <v>1</v>
          </cell>
          <cell r="R397" t="str">
            <v>S</v>
          </cell>
          <cell r="S397">
            <v>2</v>
          </cell>
          <cell r="T397" t="str">
            <v>null</v>
          </cell>
          <cell r="U397">
            <v>2</v>
          </cell>
          <cell r="V397" t="str">
            <v>UK/US</v>
          </cell>
          <cell r="W397">
            <v>0</v>
          </cell>
          <cell r="X397">
            <v>0</v>
          </cell>
          <cell r="Y397">
            <v>0</v>
          </cell>
          <cell r="Z397">
            <v>0</v>
          </cell>
          <cell r="AA397">
            <v>469</v>
          </cell>
          <cell r="AB397" t="str">
            <v>Ratios/Misc</v>
          </cell>
          <cell r="AC397">
            <v>379</v>
          </cell>
          <cell r="AD397">
            <v>0</v>
          </cell>
          <cell r="AE397" t="str">
            <v>r_pe</v>
          </cell>
          <cell r="AF397">
            <v>0</v>
          </cell>
          <cell r="AG397">
            <v>0</v>
          </cell>
          <cell r="AH397">
            <v>0</v>
          </cell>
          <cell r="AI397">
            <v>0</v>
          </cell>
          <cell r="AJ397">
            <v>194</v>
          </cell>
          <cell r="AK397">
            <v>0</v>
          </cell>
          <cell r="AL397">
            <v>0</v>
          </cell>
          <cell r="AM397">
            <v>0</v>
          </cell>
          <cell r="AN397">
            <v>195</v>
          </cell>
          <cell r="AO397" t="str">
            <v>PE relative to sector*</v>
          </cell>
          <cell r="AP397" t="str">
            <v>%</v>
          </cell>
          <cell r="AQ397">
            <v>0</v>
          </cell>
          <cell r="AR397">
            <v>0</v>
          </cell>
          <cell r="AS397" t="str">
            <v>(194/PER of local sector as calculated by market model and apportioned to match the year end of the company)*100</v>
          </cell>
          <cell r="AT397">
            <v>0</v>
          </cell>
          <cell r="AU397" t="str">
            <v>(194</v>
          </cell>
          <cell r="AV397" t="str">
            <v>PER of local sector as calculated by market model and apportioned to match the year end of the company)*100</v>
          </cell>
          <cell r="AW397" t="str">
            <v>relative</v>
          </cell>
        </row>
        <row r="398">
          <cell r="A398">
            <v>196</v>
          </cell>
          <cell r="B398" t="str">
            <v>2r_pe_rel_market</v>
          </cell>
          <cell r="C398" t="str">
            <v>PE relative to market</v>
          </cell>
          <cell r="D398" t="str">
            <v>Number</v>
          </cell>
          <cell r="E398">
            <v>0</v>
          </cell>
          <cell r="F398">
            <v>0</v>
          </cell>
          <cell r="G398">
            <v>0</v>
          </cell>
          <cell r="H398">
            <v>0</v>
          </cell>
          <cell r="I398">
            <v>0</v>
          </cell>
          <cell r="J398">
            <v>0</v>
          </cell>
          <cell r="K398">
            <v>0</v>
          </cell>
          <cell r="L398">
            <v>0</v>
          </cell>
          <cell r="M398">
            <v>0</v>
          </cell>
          <cell r="N398" t="str">
            <v>r_pe_rel_market</v>
          </cell>
          <cell r="O398">
            <v>0</v>
          </cell>
          <cell r="P398">
            <v>0</v>
          </cell>
          <cell r="Q398">
            <v>1</v>
          </cell>
          <cell r="R398" t="str">
            <v>S</v>
          </cell>
          <cell r="S398">
            <v>2</v>
          </cell>
          <cell r="T398" t="str">
            <v>null</v>
          </cell>
          <cell r="U398">
            <v>2</v>
          </cell>
          <cell r="V398" t="str">
            <v>UK/US</v>
          </cell>
          <cell r="W398">
            <v>0</v>
          </cell>
          <cell r="X398">
            <v>0</v>
          </cell>
          <cell r="Y398">
            <v>0</v>
          </cell>
          <cell r="Z398">
            <v>0</v>
          </cell>
          <cell r="AA398">
            <v>468</v>
          </cell>
          <cell r="AB398" t="str">
            <v>Ratios/Misc</v>
          </cell>
          <cell r="AC398">
            <v>380</v>
          </cell>
          <cell r="AD398">
            <v>0</v>
          </cell>
          <cell r="AE398" t="str">
            <v>r_pe</v>
          </cell>
          <cell r="AF398">
            <v>0</v>
          </cell>
          <cell r="AG398">
            <v>0</v>
          </cell>
          <cell r="AH398">
            <v>0</v>
          </cell>
          <cell r="AI398">
            <v>0</v>
          </cell>
          <cell r="AJ398">
            <v>194</v>
          </cell>
          <cell r="AK398">
            <v>0</v>
          </cell>
          <cell r="AL398">
            <v>0</v>
          </cell>
          <cell r="AM398">
            <v>0</v>
          </cell>
          <cell r="AN398">
            <v>196</v>
          </cell>
          <cell r="AO398" t="str">
            <v>PE relative to market*</v>
          </cell>
          <cell r="AP398" t="str">
            <v>%</v>
          </cell>
          <cell r="AQ398">
            <v>0</v>
          </cell>
          <cell r="AR398">
            <v>0</v>
          </cell>
          <cell r="AS398" t="str">
            <v>(194/PER of local market as calculated by market model and apportioned to match the year end of the company)*100</v>
          </cell>
          <cell r="AT398">
            <v>0</v>
          </cell>
          <cell r="AU398" t="str">
            <v>(194</v>
          </cell>
          <cell r="AV398" t="str">
            <v>PER of local market as calculated by market model and apportioned to match the year end of the company)*100</v>
          </cell>
          <cell r="AW398" t="str">
            <v>relative</v>
          </cell>
        </row>
        <row r="399">
          <cell r="A399">
            <v>197.2</v>
          </cell>
          <cell r="B399" t="str">
            <v>2r_peg</v>
          </cell>
          <cell r="C399" t="str">
            <v>PEG ratio</v>
          </cell>
          <cell r="D399" t="str">
            <v>Multiple</v>
          </cell>
          <cell r="E399">
            <v>0</v>
          </cell>
          <cell r="F399">
            <v>0</v>
          </cell>
          <cell r="G399">
            <v>0</v>
          </cell>
          <cell r="H399">
            <v>0</v>
          </cell>
          <cell r="I399">
            <v>0</v>
          </cell>
          <cell r="J399">
            <v>0</v>
          </cell>
          <cell r="K399">
            <v>0</v>
          </cell>
          <cell r="L399">
            <v>0</v>
          </cell>
          <cell r="M399">
            <v>0</v>
          </cell>
          <cell r="N399" t="str">
            <v>r_peg</v>
          </cell>
          <cell r="O399">
            <v>0</v>
          </cell>
          <cell r="P399">
            <v>0</v>
          </cell>
          <cell r="Q399">
            <v>1</v>
          </cell>
          <cell r="R399" t="str">
            <v>S</v>
          </cell>
          <cell r="S399">
            <v>2</v>
          </cell>
          <cell r="T399" t="str">
            <v>null</v>
          </cell>
          <cell r="U399">
            <v>2</v>
          </cell>
          <cell r="V399">
            <v>0</v>
          </cell>
          <cell r="W399">
            <v>0</v>
          </cell>
          <cell r="X399">
            <v>0</v>
          </cell>
          <cell r="Y399">
            <v>0</v>
          </cell>
          <cell r="Z399">
            <v>0</v>
          </cell>
          <cell r="AA399">
            <v>470</v>
          </cell>
          <cell r="AB399" t="str">
            <v>Ratios/Misc</v>
          </cell>
          <cell r="AC399">
            <v>382</v>
          </cell>
          <cell r="AD399">
            <v>0</v>
          </cell>
          <cell r="AE399" t="str">
            <v>r_pe</v>
          </cell>
          <cell r="AF399" t="str">
            <v>est_5yr_av_eps_growth</v>
          </cell>
          <cell r="AG399">
            <v>0</v>
          </cell>
          <cell r="AH399" t="str">
            <v>/</v>
          </cell>
          <cell r="AI399">
            <v>0</v>
          </cell>
          <cell r="AJ399">
            <v>0</v>
          </cell>
          <cell r="AK399">
            <v>0</v>
          </cell>
          <cell r="AL399">
            <v>0</v>
          </cell>
          <cell r="AM399">
            <v>0</v>
          </cell>
          <cell r="AN399" t="e">
            <v>#N/A</v>
          </cell>
          <cell r="AO399" t="e">
            <v>#N/A</v>
          </cell>
          <cell r="AP399" t="e">
            <v>#N/A</v>
          </cell>
          <cell r="AQ399" t="e">
            <v>#N/A</v>
          </cell>
          <cell r="AR399" t="e">
            <v>#N/A</v>
          </cell>
          <cell r="AS399" t="e">
            <v>#N/A</v>
          </cell>
          <cell r="AT399" t="e">
            <v>#N/A</v>
          </cell>
          <cell r="AU399" t="e">
            <v>#N/A</v>
          </cell>
          <cell r="AV399" t="e">
            <v>#N/A</v>
          </cell>
          <cell r="AW399" t="str">
            <v>OK</v>
          </cell>
          <cell r="AX399" t="str">
            <v>Decimal?</v>
          </cell>
        </row>
        <row r="400">
          <cell r="A400">
            <v>198</v>
          </cell>
          <cell r="B400" t="str">
            <v>1r_gross_margin</v>
          </cell>
          <cell r="C400" t="str">
            <v>Gross margin</v>
          </cell>
          <cell r="D400" t="str">
            <v>(%)</v>
          </cell>
          <cell r="E400">
            <v>0</v>
          </cell>
          <cell r="F400">
            <v>0</v>
          </cell>
          <cell r="G400">
            <v>0</v>
          </cell>
          <cell r="H400">
            <v>0</v>
          </cell>
          <cell r="I400">
            <v>0</v>
          </cell>
          <cell r="J400">
            <v>0</v>
          </cell>
          <cell r="K400">
            <v>0</v>
          </cell>
          <cell r="L400">
            <v>0</v>
          </cell>
          <cell r="M400">
            <v>0</v>
          </cell>
          <cell r="N400" t="str">
            <v>r_gross_margin</v>
          </cell>
          <cell r="O400">
            <v>0</v>
          </cell>
          <cell r="P400">
            <v>0</v>
          </cell>
          <cell r="Q400">
            <v>0.01</v>
          </cell>
          <cell r="R400" t="str">
            <v>E</v>
          </cell>
          <cell r="S400">
            <v>2</v>
          </cell>
          <cell r="T400" t="str">
            <v>null</v>
          </cell>
          <cell r="U400">
            <v>1</v>
          </cell>
          <cell r="V400">
            <v>0</v>
          </cell>
          <cell r="W400">
            <v>0</v>
          </cell>
          <cell r="X400">
            <v>0</v>
          </cell>
          <cell r="Y400">
            <v>0</v>
          </cell>
          <cell r="Z400">
            <v>0</v>
          </cell>
          <cell r="AA400">
            <v>280</v>
          </cell>
          <cell r="AB400" t="str">
            <v>Ratios/Misc</v>
          </cell>
          <cell r="AC400">
            <v>383</v>
          </cell>
          <cell r="AD400">
            <v>0</v>
          </cell>
          <cell r="AE400">
            <v>0</v>
          </cell>
          <cell r="AF400">
            <v>0</v>
          </cell>
          <cell r="AG400">
            <v>0</v>
          </cell>
          <cell r="AH400">
            <v>0</v>
          </cell>
          <cell r="AI400">
            <v>0</v>
          </cell>
          <cell r="AJ400">
            <v>0</v>
          </cell>
          <cell r="AK400">
            <v>0</v>
          </cell>
          <cell r="AL400">
            <v>0</v>
          </cell>
          <cell r="AM400">
            <v>0</v>
          </cell>
          <cell r="AN400">
            <v>198</v>
          </cell>
          <cell r="AO400" t="str">
            <v>Gross margin %</v>
          </cell>
          <cell r="AP400" t="str">
            <v>%</v>
          </cell>
          <cell r="AQ400">
            <v>0</v>
          </cell>
          <cell r="AR400">
            <v>0</v>
          </cell>
          <cell r="AS400">
            <v>0</v>
          </cell>
          <cell r="AT400">
            <v>0</v>
          </cell>
          <cell r="AU400" t="e">
            <v>#VALUE!</v>
          </cell>
          <cell r="AV400" t="e">
            <v>#VALUE!</v>
          </cell>
        </row>
        <row r="401">
          <cell r="A401">
            <v>199</v>
          </cell>
          <cell r="B401" t="str">
            <v>2r_op_margin</v>
          </cell>
          <cell r="C401" t="str">
            <v>Operating margin</v>
          </cell>
          <cell r="D401" t="str">
            <v>(%)</v>
          </cell>
          <cell r="E401">
            <v>0</v>
          </cell>
          <cell r="F401">
            <v>0</v>
          </cell>
          <cell r="G401">
            <v>0</v>
          </cell>
          <cell r="H401">
            <v>0</v>
          </cell>
          <cell r="I401">
            <v>0</v>
          </cell>
          <cell r="J401">
            <v>0</v>
          </cell>
          <cell r="K401">
            <v>0</v>
          </cell>
          <cell r="L401">
            <v>0</v>
          </cell>
          <cell r="M401">
            <v>0</v>
          </cell>
          <cell r="N401" t="str">
            <v>r_op_margin</v>
          </cell>
          <cell r="O401">
            <v>0</v>
          </cell>
          <cell r="P401">
            <v>0</v>
          </cell>
          <cell r="Q401">
            <v>0.01</v>
          </cell>
          <cell r="R401" t="str">
            <v>E</v>
          </cell>
          <cell r="S401">
            <v>2</v>
          </cell>
          <cell r="T401" t="str">
            <v>null</v>
          </cell>
          <cell r="U401">
            <v>2</v>
          </cell>
          <cell r="V401">
            <v>0</v>
          </cell>
          <cell r="W401">
            <v>0</v>
          </cell>
          <cell r="X401">
            <v>0</v>
          </cell>
          <cell r="Y401">
            <v>0</v>
          </cell>
          <cell r="Z401">
            <v>0</v>
          </cell>
          <cell r="AA401">
            <v>430</v>
          </cell>
          <cell r="AB401" t="str">
            <v>Ratios/Misc</v>
          </cell>
          <cell r="AC401">
            <v>384</v>
          </cell>
          <cell r="AD401">
            <v>0</v>
          </cell>
          <cell r="AE401" t="str">
            <v>fd_operating_profit</v>
          </cell>
          <cell r="AF401" t="str">
            <v>fd_sales</v>
          </cell>
          <cell r="AG401">
            <v>0</v>
          </cell>
          <cell r="AH401" t="str">
            <v>/</v>
          </cell>
          <cell r="AI401">
            <v>0</v>
          </cell>
          <cell r="AJ401">
            <v>109</v>
          </cell>
          <cell r="AK401">
            <v>35</v>
          </cell>
          <cell r="AL401">
            <v>0</v>
          </cell>
          <cell r="AM401">
            <v>0</v>
          </cell>
          <cell r="AN401">
            <v>199</v>
          </cell>
          <cell r="AO401" t="str">
            <v>Operating margin %</v>
          </cell>
          <cell r="AP401" t="str">
            <v>%</v>
          </cell>
          <cell r="AQ401">
            <v>0</v>
          </cell>
          <cell r="AR401">
            <v>0</v>
          </cell>
          <cell r="AS401" t="str">
            <v>109/35</v>
          </cell>
          <cell r="AT401">
            <v>0</v>
          </cell>
          <cell r="AU401" t="str">
            <v>109</v>
          </cell>
          <cell r="AV401" t="str">
            <v>35</v>
          </cell>
        </row>
        <row r="402">
          <cell r="A402">
            <v>199.2</v>
          </cell>
          <cell r="B402" t="str">
            <v>1r_pretax_prof_margin</v>
          </cell>
          <cell r="C402" t="str">
            <v>Pre-tax profit margin</v>
          </cell>
          <cell r="D402" t="str">
            <v>(%)</v>
          </cell>
          <cell r="E402">
            <v>0</v>
          </cell>
          <cell r="F402">
            <v>0</v>
          </cell>
          <cell r="G402">
            <v>0</v>
          </cell>
          <cell r="H402">
            <v>0</v>
          </cell>
          <cell r="I402">
            <v>0</v>
          </cell>
          <cell r="J402">
            <v>0</v>
          </cell>
          <cell r="K402">
            <v>0</v>
          </cell>
          <cell r="L402">
            <v>0</v>
          </cell>
          <cell r="M402">
            <v>0</v>
          </cell>
          <cell r="N402" t="str">
            <v>r_pretax_prof_margin</v>
          </cell>
          <cell r="O402">
            <v>0</v>
          </cell>
          <cell r="P402">
            <v>0</v>
          </cell>
          <cell r="Q402">
            <v>0.01</v>
          </cell>
          <cell r="R402" t="str">
            <v>E</v>
          </cell>
          <cell r="S402">
            <v>2</v>
          </cell>
          <cell r="T402" t="str">
            <v>null</v>
          </cell>
          <cell r="U402">
            <v>1</v>
          </cell>
          <cell r="V402">
            <v>0</v>
          </cell>
          <cell r="W402">
            <v>0</v>
          </cell>
          <cell r="X402">
            <v>0</v>
          </cell>
          <cell r="Y402">
            <v>0</v>
          </cell>
          <cell r="Z402">
            <v>0</v>
          </cell>
          <cell r="AA402">
            <v>477</v>
          </cell>
          <cell r="AB402" t="str">
            <v>Ratios/Misc</v>
          </cell>
          <cell r="AC402">
            <v>385</v>
          </cell>
          <cell r="AD402">
            <v>0</v>
          </cell>
          <cell r="AE402">
            <v>0</v>
          </cell>
          <cell r="AF402">
            <v>0</v>
          </cell>
          <cell r="AG402">
            <v>0</v>
          </cell>
          <cell r="AH402">
            <v>0</v>
          </cell>
          <cell r="AI402">
            <v>0</v>
          </cell>
          <cell r="AJ402">
            <v>0</v>
          </cell>
          <cell r="AK402">
            <v>0</v>
          </cell>
          <cell r="AL402">
            <v>0</v>
          </cell>
          <cell r="AM402">
            <v>0</v>
          </cell>
          <cell r="AN402" t="e">
            <v>#N/A</v>
          </cell>
          <cell r="AO402" t="e">
            <v>#N/A</v>
          </cell>
          <cell r="AP402" t="e">
            <v>#N/A</v>
          </cell>
          <cell r="AQ402" t="e">
            <v>#N/A</v>
          </cell>
          <cell r="AR402" t="e">
            <v>#N/A</v>
          </cell>
          <cell r="AS402" t="e">
            <v>#N/A</v>
          </cell>
          <cell r="AT402" t="e">
            <v>#N/A</v>
          </cell>
          <cell r="AU402" t="e">
            <v>#N/A</v>
          </cell>
          <cell r="AV402" t="e">
            <v>#N/A</v>
          </cell>
        </row>
        <row r="403">
          <cell r="A403">
            <v>199.4</v>
          </cell>
          <cell r="B403" t="str">
            <v>1r_cashflow_margin</v>
          </cell>
          <cell r="C403" t="str">
            <v>Cashflow margin</v>
          </cell>
          <cell r="D403" t="str">
            <v>(%)</v>
          </cell>
          <cell r="E403">
            <v>0</v>
          </cell>
          <cell r="F403">
            <v>0</v>
          </cell>
          <cell r="G403">
            <v>0</v>
          </cell>
          <cell r="H403">
            <v>0</v>
          </cell>
          <cell r="I403">
            <v>0</v>
          </cell>
          <cell r="J403">
            <v>0</v>
          </cell>
          <cell r="K403">
            <v>0</v>
          </cell>
          <cell r="L403">
            <v>0</v>
          </cell>
          <cell r="M403">
            <v>0</v>
          </cell>
          <cell r="N403" t="str">
            <v>r_cashflow_margin</v>
          </cell>
          <cell r="O403">
            <v>0</v>
          </cell>
          <cell r="P403">
            <v>0</v>
          </cell>
          <cell r="Q403">
            <v>0.01</v>
          </cell>
          <cell r="R403" t="str">
            <v>E</v>
          </cell>
          <cell r="S403">
            <v>2</v>
          </cell>
          <cell r="T403" t="str">
            <v>null</v>
          </cell>
          <cell r="U403">
            <v>1</v>
          </cell>
          <cell r="V403">
            <v>0</v>
          </cell>
          <cell r="W403">
            <v>0</v>
          </cell>
          <cell r="X403">
            <v>0</v>
          </cell>
          <cell r="Y403">
            <v>0</v>
          </cell>
          <cell r="Z403">
            <v>0</v>
          </cell>
          <cell r="AA403">
            <v>71</v>
          </cell>
          <cell r="AB403" t="str">
            <v>Ratios/Misc</v>
          </cell>
          <cell r="AC403">
            <v>386</v>
          </cell>
          <cell r="AD403">
            <v>0</v>
          </cell>
          <cell r="AE403">
            <v>0</v>
          </cell>
          <cell r="AF403">
            <v>0</v>
          </cell>
          <cell r="AG403">
            <v>0</v>
          </cell>
          <cell r="AH403">
            <v>0</v>
          </cell>
          <cell r="AI403">
            <v>0</v>
          </cell>
          <cell r="AJ403">
            <v>0</v>
          </cell>
          <cell r="AK403">
            <v>0</v>
          </cell>
          <cell r="AL403">
            <v>0</v>
          </cell>
          <cell r="AM403">
            <v>0</v>
          </cell>
          <cell r="AN403" t="e">
            <v>#N/A</v>
          </cell>
          <cell r="AO403" t="e">
            <v>#N/A</v>
          </cell>
          <cell r="AP403" t="e">
            <v>#N/A</v>
          </cell>
          <cell r="AQ403" t="e">
            <v>#N/A</v>
          </cell>
          <cell r="AR403" t="e">
            <v>#N/A</v>
          </cell>
          <cell r="AS403" t="e">
            <v>#N/A</v>
          </cell>
          <cell r="AT403" t="e">
            <v>#N/A</v>
          </cell>
          <cell r="AU403" t="e">
            <v>#N/A</v>
          </cell>
          <cell r="AV403" t="e">
            <v>#N/A</v>
          </cell>
        </row>
        <row r="404">
          <cell r="A404">
            <v>200</v>
          </cell>
          <cell r="B404" t="str">
            <v>2r_ebit_margin</v>
          </cell>
          <cell r="C404" t="str">
            <v>EBIT margin</v>
          </cell>
          <cell r="D404" t="str">
            <v>(%)</v>
          </cell>
          <cell r="E404">
            <v>0</v>
          </cell>
          <cell r="F404">
            <v>0</v>
          </cell>
          <cell r="G404">
            <v>0</v>
          </cell>
          <cell r="H404">
            <v>0</v>
          </cell>
          <cell r="I404">
            <v>0</v>
          </cell>
          <cell r="J404">
            <v>0</v>
          </cell>
          <cell r="K404">
            <v>0</v>
          </cell>
          <cell r="L404">
            <v>0</v>
          </cell>
          <cell r="M404">
            <v>0</v>
          </cell>
          <cell r="N404" t="str">
            <v>r_ebit_margin</v>
          </cell>
          <cell r="O404">
            <v>0</v>
          </cell>
          <cell r="P404">
            <v>0</v>
          </cell>
          <cell r="Q404">
            <v>0.01</v>
          </cell>
          <cell r="R404" t="str">
            <v>E</v>
          </cell>
          <cell r="S404">
            <v>2</v>
          </cell>
          <cell r="T404" t="str">
            <v>null</v>
          </cell>
          <cell r="U404">
            <v>2</v>
          </cell>
          <cell r="V404" t="str">
            <v>UK/US</v>
          </cell>
          <cell r="W404">
            <v>0</v>
          </cell>
          <cell r="X404">
            <v>0</v>
          </cell>
          <cell r="Y404">
            <v>0</v>
          </cell>
          <cell r="Z404">
            <v>0</v>
          </cell>
          <cell r="AA404">
            <v>171</v>
          </cell>
          <cell r="AB404" t="str">
            <v>Ratios/Misc</v>
          </cell>
          <cell r="AC404">
            <v>389</v>
          </cell>
          <cell r="AD404">
            <v>0</v>
          </cell>
          <cell r="AE404" t="str">
            <v>fd_ebit_rec_adj</v>
          </cell>
          <cell r="AF404" t="str">
            <v>fd_sales</v>
          </cell>
          <cell r="AG404">
            <v>0</v>
          </cell>
          <cell r="AH404">
            <v>0</v>
          </cell>
          <cell r="AI404">
            <v>0</v>
          </cell>
          <cell r="AJ404">
            <v>46</v>
          </cell>
          <cell r="AK404">
            <v>35</v>
          </cell>
          <cell r="AL404">
            <v>0</v>
          </cell>
          <cell r="AM404">
            <v>0</v>
          </cell>
          <cell r="AN404">
            <v>200</v>
          </cell>
          <cell r="AO404" t="str">
            <v>EBIT margin %</v>
          </cell>
          <cell r="AP404" t="str">
            <v>%</v>
          </cell>
          <cell r="AQ404">
            <v>0</v>
          </cell>
          <cell r="AR404">
            <v>0</v>
          </cell>
          <cell r="AS404" t="str">
            <v>46/35</v>
          </cell>
          <cell r="AT404">
            <v>0</v>
          </cell>
          <cell r="AU404" t="str">
            <v>46</v>
          </cell>
          <cell r="AV404" t="str">
            <v>35</v>
          </cell>
        </row>
        <row r="405">
          <cell r="A405">
            <v>201</v>
          </cell>
          <cell r="B405" t="str">
            <v>2r_ebitda_margin</v>
          </cell>
          <cell r="C405" t="str">
            <v>EBITDA margin</v>
          </cell>
          <cell r="D405" t="str">
            <v>(%)</v>
          </cell>
          <cell r="E405">
            <v>0</v>
          </cell>
          <cell r="F405">
            <v>0</v>
          </cell>
          <cell r="G405">
            <v>0</v>
          </cell>
          <cell r="H405">
            <v>0</v>
          </cell>
          <cell r="I405">
            <v>0</v>
          </cell>
          <cell r="J405">
            <v>0</v>
          </cell>
          <cell r="K405">
            <v>0</v>
          </cell>
          <cell r="L405">
            <v>0</v>
          </cell>
          <cell r="M405">
            <v>0</v>
          </cell>
          <cell r="N405" t="str">
            <v>r_ebitda_margin</v>
          </cell>
          <cell r="O405">
            <v>0</v>
          </cell>
          <cell r="P405">
            <v>0</v>
          </cell>
          <cell r="Q405">
            <v>0.01</v>
          </cell>
          <cell r="R405" t="str">
            <v>E</v>
          </cell>
          <cell r="S405">
            <v>2</v>
          </cell>
          <cell r="T405" t="str">
            <v>null</v>
          </cell>
          <cell r="U405">
            <v>2</v>
          </cell>
          <cell r="V405">
            <v>0</v>
          </cell>
          <cell r="W405">
            <v>0</v>
          </cell>
          <cell r="X405">
            <v>0</v>
          </cell>
          <cell r="Y405">
            <v>0</v>
          </cell>
          <cell r="Z405">
            <v>0</v>
          </cell>
          <cell r="AA405">
            <v>180</v>
          </cell>
          <cell r="AB405" t="str">
            <v>Ratios/Misc</v>
          </cell>
          <cell r="AC405">
            <v>390</v>
          </cell>
          <cell r="AD405">
            <v>0</v>
          </cell>
          <cell r="AE405" t="str">
            <v>fd_ebitda</v>
          </cell>
          <cell r="AF405" t="str">
            <v>fd_sales</v>
          </cell>
          <cell r="AG405">
            <v>0</v>
          </cell>
          <cell r="AH405">
            <v>0</v>
          </cell>
          <cell r="AI405">
            <v>0</v>
          </cell>
          <cell r="AJ405">
            <v>40</v>
          </cell>
          <cell r="AK405">
            <v>35</v>
          </cell>
          <cell r="AL405">
            <v>0</v>
          </cell>
          <cell r="AM405">
            <v>0</v>
          </cell>
          <cell r="AN405">
            <v>201</v>
          </cell>
          <cell r="AO405" t="str">
            <v>EBITDA margin %</v>
          </cell>
          <cell r="AP405" t="str">
            <v>%</v>
          </cell>
          <cell r="AQ405">
            <v>0</v>
          </cell>
          <cell r="AR405">
            <v>0</v>
          </cell>
          <cell r="AS405" t="str">
            <v>40/35</v>
          </cell>
          <cell r="AT405">
            <v>0</v>
          </cell>
          <cell r="AU405" t="str">
            <v>40</v>
          </cell>
          <cell r="AV405" t="str">
            <v>35</v>
          </cell>
        </row>
        <row r="406">
          <cell r="A406">
            <v>314</v>
          </cell>
          <cell r="B406" t="str">
            <v>2r_ebita_margin</v>
          </cell>
          <cell r="C406" t="str">
            <v>EBITA margin</v>
          </cell>
          <cell r="D406" t="str">
            <v>(%)</v>
          </cell>
          <cell r="E406">
            <v>0</v>
          </cell>
          <cell r="F406">
            <v>0</v>
          </cell>
          <cell r="G406">
            <v>0</v>
          </cell>
          <cell r="H406">
            <v>0</v>
          </cell>
          <cell r="I406">
            <v>0</v>
          </cell>
          <cell r="J406">
            <v>0</v>
          </cell>
          <cell r="K406">
            <v>0</v>
          </cell>
          <cell r="L406">
            <v>0</v>
          </cell>
          <cell r="M406">
            <v>0</v>
          </cell>
          <cell r="N406" t="str">
            <v>r_ebita_margin</v>
          </cell>
          <cell r="O406">
            <v>0</v>
          </cell>
          <cell r="P406">
            <v>0</v>
          </cell>
          <cell r="Q406">
            <v>0.01</v>
          </cell>
          <cell r="R406" t="str">
            <v>E</v>
          </cell>
          <cell r="S406">
            <v>2</v>
          </cell>
          <cell r="T406" t="str">
            <v>null</v>
          </cell>
          <cell r="U406">
            <v>2</v>
          </cell>
          <cell r="V406">
            <v>0</v>
          </cell>
          <cell r="W406">
            <v>0</v>
          </cell>
          <cell r="X406">
            <v>0</v>
          </cell>
          <cell r="Y406">
            <v>0</v>
          </cell>
          <cell r="Z406">
            <v>0</v>
          </cell>
          <cell r="AA406">
            <v>174</v>
          </cell>
          <cell r="AB406" t="str">
            <v>Ratios/Misc</v>
          </cell>
          <cell r="AC406">
            <v>390.5</v>
          </cell>
          <cell r="AD406">
            <v>0</v>
          </cell>
          <cell r="AE406" t="str">
            <v>fd_ebita</v>
          </cell>
          <cell r="AF406" t="str">
            <v>fd_sales</v>
          </cell>
          <cell r="AG406">
            <v>0</v>
          </cell>
          <cell r="AH406">
            <v>0</v>
          </cell>
          <cell r="AI406">
            <v>0</v>
          </cell>
          <cell r="AJ406">
            <v>309</v>
          </cell>
          <cell r="AK406">
            <v>35</v>
          </cell>
          <cell r="AL406">
            <v>0</v>
          </cell>
          <cell r="AM406">
            <v>0</v>
          </cell>
          <cell r="AN406">
            <v>314</v>
          </cell>
          <cell r="AO406" t="str">
            <v>EBITA margin %</v>
          </cell>
          <cell r="AP406">
            <v>0</v>
          </cell>
          <cell r="AQ406">
            <v>0</v>
          </cell>
          <cell r="AR406">
            <v>0</v>
          </cell>
          <cell r="AS406" t="str">
            <v>309/35</v>
          </cell>
          <cell r="AT406">
            <v>0</v>
          </cell>
          <cell r="AU406" t="str">
            <v>309</v>
          </cell>
          <cell r="AV406" t="str">
            <v>35</v>
          </cell>
        </row>
        <row r="407">
          <cell r="A407">
            <v>202</v>
          </cell>
          <cell r="B407" t="str">
            <v>2r_ev_sales_x</v>
          </cell>
          <cell r="C407" t="str">
            <v>EV/sales</v>
          </cell>
          <cell r="D407" t="str">
            <v>Multiple</v>
          </cell>
          <cell r="E407">
            <v>0</v>
          </cell>
          <cell r="F407">
            <v>0</v>
          </cell>
          <cell r="G407">
            <v>0</v>
          </cell>
          <cell r="H407">
            <v>0</v>
          </cell>
          <cell r="I407">
            <v>0</v>
          </cell>
          <cell r="J407">
            <v>0</v>
          </cell>
          <cell r="K407">
            <v>0</v>
          </cell>
          <cell r="L407">
            <v>0</v>
          </cell>
          <cell r="M407">
            <v>0</v>
          </cell>
          <cell r="N407" t="str">
            <v>r_ev_sales_x</v>
          </cell>
          <cell r="O407">
            <v>0</v>
          </cell>
          <cell r="P407">
            <v>0</v>
          </cell>
          <cell r="Q407">
            <v>1</v>
          </cell>
          <cell r="R407" t="str">
            <v>E</v>
          </cell>
          <cell r="S407">
            <v>2</v>
          </cell>
          <cell r="T407" t="str">
            <v>null</v>
          </cell>
          <cell r="U407">
            <v>2</v>
          </cell>
          <cell r="V407" t="str">
            <v>UK/US</v>
          </cell>
          <cell r="W407">
            <v>0</v>
          </cell>
          <cell r="X407">
            <v>0</v>
          </cell>
          <cell r="Y407">
            <v>0</v>
          </cell>
          <cell r="Z407">
            <v>0</v>
          </cell>
          <cell r="AA407">
            <v>225</v>
          </cell>
          <cell r="AB407" t="str">
            <v>Ratios/Misc</v>
          </cell>
          <cell r="AC407">
            <v>391</v>
          </cell>
          <cell r="AD407">
            <v>0</v>
          </cell>
          <cell r="AE407" t="str">
            <v>&lt;ev&gt;</v>
          </cell>
          <cell r="AF407" t="str">
            <v>fd_sales</v>
          </cell>
          <cell r="AG407">
            <v>0</v>
          </cell>
          <cell r="AH407">
            <v>0</v>
          </cell>
          <cell r="AI407">
            <v>0</v>
          </cell>
          <cell r="AJ407">
            <v>0</v>
          </cell>
          <cell r="AK407">
            <v>35</v>
          </cell>
          <cell r="AL407">
            <v>0</v>
          </cell>
          <cell r="AM407">
            <v>0</v>
          </cell>
          <cell r="AN407">
            <v>202</v>
          </cell>
          <cell r="AO407" t="str">
            <v>EV/Sales x*</v>
          </cell>
          <cell r="AP407" t="str">
            <v>x</v>
          </cell>
          <cell r="AQ407">
            <v>0</v>
          </cell>
          <cell r="AR407">
            <v>0</v>
          </cell>
          <cell r="AS407" t="str">
            <v>3/35</v>
          </cell>
          <cell r="AT407">
            <v>0</v>
          </cell>
          <cell r="AU407" t="str">
            <v>3</v>
          </cell>
          <cell r="AV407" t="str">
            <v>35</v>
          </cell>
        </row>
        <row r="408">
          <cell r="A408">
            <v>315</v>
          </cell>
          <cell r="B408" t="str">
            <v>2r_ev_ebita_x</v>
          </cell>
          <cell r="C408" t="str">
            <v>EV/EBITA</v>
          </cell>
          <cell r="D408" t="str">
            <v>Multiple</v>
          </cell>
          <cell r="E408">
            <v>0</v>
          </cell>
          <cell r="F408">
            <v>0</v>
          </cell>
          <cell r="G408">
            <v>0</v>
          </cell>
          <cell r="H408">
            <v>0</v>
          </cell>
          <cell r="I408">
            <v>0</v>
          </cell>
          <cell r="J408">
            <v>0</v>
          </cell>
          <cell r="K408">
            <v>0</v>
          </cell>
          <cell r="L408">
            <v>0</v>
          </cell>
          <cell r="M408">
            <v>0</v>
          </cell>
          <cell r="N408" t="str">
            <v>r_ev_ebita_x</v>
          </cell>
          <cell r="O408">
            <v>0</v>
          </cell>
          <cell r="P408">
            <v>0</v>
          </cell>
          <cell r="Q408">
            <v>1</v>
          </cell>
          <cell r="R408" t="str">
            <v>E</v>
          </cell>
          <cell r="S408">
            <v>2</v>
          </cell>
          <cell r="T408" t="str">
            <v>null</v>
          </cell>
          <cell r="U408">
            <v>2</v>
          </cell>
          <cell r="V408">
            <v>0</v>
          </cell>
          <cell r="W408">
            <v>0</v>
          </cell>
          <cell r="X408">
            <v>0</v>
          </cell>
          <cell r="Y408">
            <v>0</v>
          </cell>
          <cell r="Z408">
            <v>0</v>
          </cell>
          <cell r="AA408">
            <v>210</v>
          </cell>
          <cell r="AB408" t="str">
            <v>Ratios/Misc</v>
          </cell>
          <cell r="AC408">
            <v>392</v>
          </cell>
          <cell r="AD408">
            <v>0</v>
          </cell>
          <cell r="AE408" t="str">
            <v>&lt;ev&gt;</v>
          </cell>
          <cell r="AF408" t="str">
            <v>fd_ebita</v>
          </cell>
          <cell r="AG408">
            <v>0</v>
          </cell>
          <cell r="AH408">
            <v>0</v>
          </cell>
          <cell r="AI408">
            <v>0</v>
          </cell>
          <cell r="AJ408">
            <v>0</v>
          </cell>
          <cell r="AK408">
            <v>309</v>
          </cell>
          <cell r="AL408">
            <v>0</v>
          </cell>
          <cell r="AM408">
            <v>0</v>
          </cell>
          <cell r="AN408">
            <v>315</v>
          </cell>
          <cell r="AO408" t="str">
            <v>EV/EBITA</v>
          </cell>
          <cell r="AP408">
            <v>0</v>
          </cell>
          <cell r="AQ408">
            <v>0</v>
          </cell>
          <cell r="AR408">
            <v>0</v>
          </cell>
          <cell r="AS408" t="str">
            <v>3/309</v>
          </cell>
          <cell r="AT408">
            <v>0</v>
          </cell>
          <cell r="AU408" t="str">
            <v>3</v>
          </cell>
          <cell r="AV408" t="str">
            <v>309</v>
          </cell>
        </row>
        <row r="409">
          <cell r="A409">
            <v>203</v>
          </cell>
          <cell r="B409" t="str">
            <v>2r_ev_ebitda_x</v>
          </cell>
          <cell r="C409" t="str">
            <v>EV/EBITDA</v>
          </cell>
          <cell r="D409" t="str">
            <v>Multiple</v>
          </cell>
          <cell r="E409">
            <v>0</v>
          </cell>
          <cell r="F409">
            <v>0</v>
          </cell>
          <cell r="G409">
            <v>0</v>
          </cell>
          <cell r="H409">
            <v>0</v>
          </cell>
          <cell r="I409">
            <v>0</v>
          </cell>
          <cell r="J409">
            <v>0</v>
          </cell>
          <cell r="K409">
            <v>0</v>
          </cell>
          <cell r="L409">
            <v>0</v>
          </cell>
          <cell r="M409">
            <v>0</v>
          </cell>
          <cell r="N409" t="str">
            <v>r_ev_ebitda_x</v>
          </cell>
          <cell r="O409">
            <v>0</v>
          </cell>
          <cell r="P409">
            <v>0</v>
          </cell>
          <cell r="Q409">
            <v>1</v>
          </cell>
          <cell r="R409" t="str">
            <v>E</v>
          </cell>
          <cell r="S409">
            <v>2</v>
          </cell>
          <cell r="T409" t="str">
            <v>null</v>
          </cell>
          <cell r="U409">
            <v>2</v>
          </cell>
          <cell r="V409" t="str">
            <v>UK/US</v>
          </cell>
          <cell r="W409">
            <v>0</v>
          </cell>
          <cell r="X409">
            <v>0</v>
          </cell>
          <cell r="Y409">
            <v>0</v>
          </cell>
          <cell r="Z409">
            <v>0</v>
          </cell>
          <cell r="AA409">
            <v>211</v>
          </cell>
          <cell r="AB409" t="str">
            <v>Ratios/Misc</v>
          </cell>
          <cell r="AC409">
            <v>392.5</v>
          </cell>
          <cell r="AD409">
            <v>0</v>
          </cell>
          <cell r="AE409" t="str">
            <v>&lt;ev&gt;</v>
          </cell>
          <cell r="AF409" t="str">
            <v>fd_ebitda</v>
          </cell>
          <cell r="AG409">
            <v>0</v>
          </cell>
          <cell r="AH409">
            <v>0</v>
          </cell>
          <cell r="AI409">
            <v>0</v>
          </cell>
          <cell r="AJ409">
            <v>0</v>
          </cell>
          <cell r="AK409">
            <v>40</v>
          </cell>
          <cell r="AL409">
            <v>0</v>
          </cell>
          <cell r="AM409">
            <v>0</v>
          </cell>
          <cell r="AN409">
            <v>203</v>
          </cell>
          <cell r="AO409" t="str">
            <v>EV/EBITDA x*</v>
          </cell>
          <cell r="AP409" t="str">
            <v>x</v>
          </cell>
          <cell r="AQ409">
            <v>0</v>
          </cell>
          <cell r="AR409">
            <v>0</v>
          </cell>
          <cell r="AS409" t="str">
            <v>3/40</v>
          </cell>
          <cell r="AT409">
            <v>0</v>
          </cell>
          <cell r="AU409" t="str">
            <v>3</v>
          </cell>
          <cell r="AV409" t="str">
            <v>40</v>
          </cell>
        </row>
        <row r="410">
          <cell r="A410">
            <v>208</v>
          </cell>
          <cell r="B410" t="str">
            <v>2r_ev_ebitda_growth</v>
          </cell>
          <cell r="C410" t="str">
            <v>EV/EBITDA growth y-o-y</v>
          </cell>
          <cell r="D410" t="str">
            <v>(%)</v>
          </cell>
          <cell r="E410">
            <v>0</v>
          </cell>
          <cell r="F410">
            <v>0</v>
          </cell>
          <cell r="G410">
            <v>0</v>
          </cell>
          <cell r="H410">
            <v>0</v>
          </cell>
          <cell r="I410">
            <v>0</v>
          </cell>
          <cell r="J410">
            <v>0</v>
          </cell>
          <cell r="K410">
            <v>0</v>
          </cell>
          <cell r="L410">
            <v>0</v>
          </cell>
          <cell r="M410">
            <v>0</v>
          </cell>
          <cell r="N410" t="str">
            <v>r_ev_ebitda_growth</v>
          </cell>
          <cell r="O410">
            <v>0</v>
          </cell>
          <cell r="P410">
            <v>0</v>
          </cell>
          <cell r="Q410">
            <v>0.01</v>
          </cell>
          <cell r="R410" t="str">
            <v>E</v>
          </cell>
          <cell r="S410">
            <v>2</v>
          </cell>
          <cell r="T410" t="str">
            <v>null</v>
          </cell>
          <cell r="U410">
            <v>2</v>
          </cell>
          <cell r="V410">
            <v>0</v>
          </cell>
          <cell r="W410">
            <v>0</v>
          </cell>
          <cell r="X410">
            <v>0</v>
          </cell>
          <cell r="Y410">
            <v>0</v>
          </cell>
          <cell r="Z410">
            <v>0</v>
          </cell>
          <cell r="AA410">
            <v>216</v>
          </cell>
          <cell r="AB410" t="str">
            <v>Ratios/Misc</v>
          </cell>
          <cell r="AC410">
            <v>392.6</v>
          </cell>
          <cell r="AD410">
            <v>0</v>
          </cell>
          <cell r="AE410" t="str">
            <v>r_ev_ebitda_x</v>
          </cell>
          <cell r="AF410">
            <v>0</v>
          </cell>
          <cell r="AG410">
            <v>0</v>
          </cell>
          <cell r="AH410">
            <v>0</v>
          </cell>
          <cell r="AI410">
            <v>0</v>
          </cell>
          <cell r="AJ410">
            <v>203</v>
          </cell>
          <cell r="AK410">
            <v>41</v>
          </cell>
          <cell r="AL410">
            <v>0</v>
          </cell>
          <cell r="AM410">
            <v>0</v>
          </cell>
          <cell r="AN410">
            <v>208</v>
          </cell>
          <cell r="AO410" t="str">
            <v>EV/EBITDA growth %</v>
          </cell>
          <cell r="AP410" t="str">
            <v>%</v>
          </cell>
          <cell r="AQ410">
            <v>0</v>
          </cell>
          <cell r="AR410">
            <v>0</v>
          </cell>
          <cell r="AS410" t="str">
            <v>203/41</v>
          </cell>
          <cell r="AT410">
            <v>0</v>
          </cell>
          <cell r="AU410" t="str">
            <v>203</v>
          </cell>
          <cell r="AV410" t="str">
            <v>41</v>
          </cell>
        </row>
        <row r="411">
          <cell r="A411">
            <v>204</v>
          </cell>
          <cell r="B411" t="str">
            <v>2r_ev_ebit_x</v>
          </cell>
          <cell r="C411" t="str">
            <v>EV/EBIT</v>
          </cell>
          <cell r="D411" t="str">
            <v>Multiple</v>
          </cell>
          <cell r="E411">
            <v>0</v>
          </cell>
          <cell r="F411">
            <v>0</v>
          </cell>
          <cell r="G411">
            <v>0</v>
          </cell>
          <cell r="H411">
            <v>0</v>
          </cell>
          <cell r="I411">
            <v>0</v>
          </cell>
          <cell r="J411">
            <v>0</v>
          </cell>
          <cell r="K411">
            <v>0</v>
          </cell>
          <cell r="L411">
            <v>0</v>
          </cell>
          <cell r="M411">
            <v>0</v>
          </cell>
          <cell r="N411" t="str">
            <v>r_ev_ebit_x</v>
          </cell>
          <cell r="O411">
            <v>0</v>
          </cell>
          <cell r="P411">
            <v>0</v>
          </cell>
          <cell r="Q411">
            <v>1</v>
          </cell>
          <cell r="R411" t="str">
            <v>E</v>
          </cell>
          <cell r="S411">
            <v>2</v>
          </cell>
          <cell r="T411" t="str">
            <v>null</v>
          </cell>
          <cell r="U411">
            <v>2</v>
          </cell>
          <cell r="V411" t="str">
            <v>UK</v>
          </cell>
          <cell r="W411">
            <v>0</v>
          </cell>
          <cell r="X411">
            <v>0</v>
          </cell>
          <cell r="Y411">
            <v>0</v>
          </cell>
          <cell r="Z411">
            <v>0</v>
          </cell>
          <cell r="AA411">
            <v>209</v>
          </cell>
          <cell r="AB411" t="str">
            <v>Ratios/Misc</v>
          </cell>
          <cell r="AC411">
            <v>393</v>
          </cell>
          <cell r="AD411">
            <v>0</v>
          </cell>
          <cell r="AE411" t="str">
            <v>&lt;ev&gt;</v>
          </cell>
          <cell r="AF411" t="str">
            <v>fd_ebit_rec_adj</v>
          </cell>
          <cell r="AG411">
            <v>0</v>
          </cell>
          <cell r="AH411">
            <v>0</v>
          </cell>
          <cell r="AI411">
            <v>0</v>
          </cell>
          <cell r="AJ411">
            <v>0</v>
          </cell>
          <cell r="AK411">
            <v>46</v>
          </cell>
          <cell r="AL411">
            <v>0</v>
          </cell>
          <cell r="AM411">
            <v>0</v>
          </cell>
          <cell r="AN411">
            <v>204</v>
          </cell>
          <cell r="AO411" t="str">
            <v>EV/EBIT x</v>
          </cell>
          <cell r="AP411" t="str">
            <v>x</v>
          </cell>
          <cell r="AQ411">
            <v>0</v>
          </cell>
          <cell r="AR411">
            <v>0</v>
          </cell>
          <cell r="AS411" t="str">
            <v>3/46</v>
          </cell>
          <cell r="AT411">
            <v>0</v>
          </cell>
          <cell r="AU411" t="str">
            <v>3</v>
          </cell>
          <cell r="AV411" t="str">
            <v>46</v>
          </cell>
        </row>
        <row r="412">
          <cell r="A412">
            <v>205</v>
          </cell>
          <cell r="B412" t="str">
            <v>2r_ev_opfcf</v>
          </cell>
          <cell r="C412" t="str">
            <v>EV/Free CF</v>
          </cell>
          <cell r="D412" t="str">
            <v>Multiple</v>
          </cell>
          <cell r="E412">
            <v>0</v>
          </cell>
          <cell r="F412">
            <v>0</v>
          </cell>
          <cell r="G412">
            <v>0</v>
          </cell>
          <cell r="H412">
            <v>0</v>
          </cell>
          <cell r="I412">
            <v>0</v>
          </cell>
          <cell r="J412">
            <v>0</v>
          </cell>
          <cell r="K412">
            <v>0</v>
          </cell>
          <cell r="L412">
            <v>0</v>
          </cell>
          <cell r="M412">
            <v>0</v>
          </cell>
          <cell r="N412" t="str">
            <v>r_ev_opfcf</v>
          </cell>
          <cell r="O412">
            <v>0</v>
          </cell>
          <cell r="P412">
            <v>0</v>
          </cell>
          <cell r="Q412">
            <v>1</v>
          </cell>
          <cell r="R412" t="str">
            <v>E</v>
          </cell>
          <cell r="S412">
            <v>2</v>
          </cell>
          <cell r="T412" t="str">
            <v>null</v>
          </cell>
          <cell r="U412">
            <v>2</v>
          </cell>
          <cell r="V412">
            <v>0</v>
          </cell>
          <cell r="W412">
            <v>0</v>
          </cell>
          <cell r="X412">
            <v>0</v>
          </cell>
          <cell r="Y412">
            <v>0</v>
          </cell>
          <cell r="Z412">
            <v>0</v>
          </cell>
          <cell r="AA412">
            <v>221</v>
          </cell>
          <cell r="AB412" t="str">
            <v>Ratios/Misc</v>
          </cell>
          <cell r="AC412">
            <v>394</v>
          </cell>
          <cell r="AD412">
            <v>0</v>
          </cell>
          <cell r="AE412" t="str">
            <v>&lt;ev&gt;</v>
          </cell>
          <cell r="AF412" t="str">
            <v>c_maint_opfc</v>
          </cell>
          <cell r="AG412">
            <v>0</v>
          </cell>
          <cell r="AH412">
            <v>0</v>
          </cell>
          <cell r="AI412">
            <v>0</v>
          </cell>
          <cell r="AJ412">
            <v>0</v>
          </cell>
          <cell r="AK412">
            <v>152</v>
          </cell>
          <cell r="AL412">
            <v>0</v>
          </cell>
          <cell r="AM412">
            <v>0</v>
          </cell>
          <cell r="AN412">
            <v>205</v>
          </cell>
          <cell r="AO412" t="str">
            <v>EV/OpFCF</v>
          </cell>
          <cell r="AP412" t="str">
            <v>x</v>
          </cell>
          <cell r="AQ412">
            <v>0</v>
          </cell>
          <cell r="AR412">
            <v>0</v>
          </cell>
          <cell r="AS412" t="str">
            <v>3/153</v>
          </cell>
          <cell r="AT412">
            <v>0</v>
          </cell>
          <cell r="AU412" t="str">
            <v>3</v>
          </cell>
          <cell r="AV412" t="str">
            <v>153</v>
          </cell>
        </row>
        <row r="413">
          <cell r="A413">
            <v>206</v>
          </cell>
          <cell r="B413" t="str">
            <v>2r_ev_ebida</v>
          </cell>
          <cell r="C413" t="str">
            <v>EV/EBIDA</v>
          </cell>
          <cell r="D413" t="str">
            <v>Multiple</v>
          </cell>
          <cell r="E413">
            <v>0</v>
          </cell>
          <cell r="F413">
            <v>0</v>
          </cell>
          <cell r="G413">
            <v>0</v>
          </cell>
          <cell r="H413">
            <v>0</v>
          </cell>
          <cell r="I413">
            <v>0</v>
          </cell>
          <cell r="J413">
            <v>0</v>
          </cell>
          <cell r="K413">
            <v>0</v>
          </cell>
          <cell r="L413">
            <v>0</v>
          </cell>
          <cell r="M413">
            <v>0</v>
          </cell>
          <cell r="N413" t="str">
            <v>r_ev_ebida</v>
          </cell>
          <cell r="O413">
            <v>0</v>
          </cell>
          <cell r="P413">
            <v>0</v>
          </cell>
          <cell r="Q413">
            <v>1</v>
          </cell>
          <cell r="R413" t="str">
            <v>E</v>
          </cell>
          <cell r="S413">
            <v>2</v>
          </cell>
          <cell r="T413" t="str">
            <v>null</v>
          </cell>
          <cell r="U413">
            <v>2</v>
          </cell>
          <cell r="V413">
            <v>0</v>
          </cell>
          <cell r="W413">
            <v>0</v>
          </cell>
          <cell r="X413">
            <v>0</v>
          </cell>
          <cell r="Y413">
            <v>0</v>
          </cell>
          <cell r="Z413">
            <v>0</v>
          </cell>
          <cell r="AA413">
            <v>208</v>
          </cell>
          <cell r="AB413" t="str">
            <v>Ratios/Misc</v>
          </cell>
          <cell r="AC413">
            <v>395</v>
          </cell>
          <cell r="AD413">
            <v>0</v>
          </cell>
          <cell r="AE413" t="str">
            <v>&lt;ev&gt;</v>
          </cell>
          <cell r="AF413" t="str">
            <v>fd_ebida</v>
          </cell>
          <cell r="AG413">
            <v>0</v>
          </cell>
          <cell r="AH413">
            <v>0</v>
          </cell>
          <cell r="AI413">
            <v>0</v>
          </cell>
          <cell r="AJ413">
            <v>0</v>
          </cell>
          <cell r="AK413">
            <v>55</v>
          </cell>
          <cell r="AL413">
            <v>0</v>
          </cell>
          <cell r="AM413">
            <v>0</v>
          </cell>
          <cell r="AN413">
            <v>206</v>
          </cell>
          <cell r="AO413" t="str">
            <v>EV/EBIDA x</v>
          </cell>
          <cell r="AP413" t="str">
            <v>x</v>
          </cell>
          <cell r="AQ413">
            <v>0</v>
          </cell>
          <cell r="AR413">
            <v>0</v>
          </cell>
          <cell r="AS413" t="str">
            <v>3/55</v>
          </cell>
          <cell r="AT413">
            <v>0</v>
          </cell>
          <cell r="AU413" t="str">
            <v>3</v>
          </cell>
          <cell r="AV413" t="str">
            <v>55</v>
          </cell>
        </row>
        <row r="414">
          <cell r="A414">
            <v>207.4</v>
          </cell>
          <cell r="B414" t="str">
            <v>2r_ev_sales_5yr_avg</v>
          </cell>
          <cell r="C414" t="str">
            <v>EV/sales : 5yr average sales growth</v>
          </cell>
          <cell r="D414" t="str">
            <v>Multiple</v>
          </cell>
          <cell r="E414">
            <v>0</v>
          </cell>
          <cell r="F414">
            <v>0</v>
          </cell>
          <cell r="G414">
            <v>0</v>
          </cell>
          <cell r="H414">
            <v>0</v>
          </cell>
          <cell r="I414">
            <v>0</v>
          </cell>
          <cell r="J414">
            <v>0</v>
          </cell>
          <cell r="K414">
            <v>0</v>
          </cell>
          <cell r="L414">
            <v>0</v>
          </cell>
          <cell r="M414">
            <v>0</v>
          </cell>
          <cell r="N414" t="str">
            <v>r_ev_sales_5yr_avg</v>
          </cell>
          <cell r="O414">
            <v>0</v>
          </cell>
          <cell r="P414">
            <v>0</v>
          </cell>
          <cell r="Q414">
            <v>1</v>
          </cell>
          <cell r="R414" t="str">
            <v>E</v>
          </cell>
          <cell r="S414">
            <v>2</v>
          </cell>
          <cell r="T414" t="str">
            <v>null</v>
          </cell>
          <cell r="U414">
            <v>2</v>
          </cell>
          <cell r="V414">
            <v>0</v>
          </cell>
          <cell r="W414">
            <v>0</v>
          </cell>
          <cell r="X414">
            <v>0</v>
          </cell>
          <cell r="Y414">
            <v>0</v>
          </cell>
          <cell r="Z414">
            <v>0</v>
          </cell>
          <cell r="AA414">
            <v>228</v>
          </cell>
          <cell r="AB414" t="str">
            <v>Ratios/Misc</v>
          </cell>
          <cell r="AC414">
            <v>398</v>
          </cell>
          <cell r="AD414">
            <v>0</v>
          </cell>
          <cell r="AE414" t="str">
            <v>r_ev_sales_x</v>
          </cell>
          <cell r="AF414" t="str">
            <v>fd_5yr_avg_sales_grwth</v>
          </cell>
          <cell r="AG414">
            <v>0</v>
          </cell>
          <cell r="AH414">
            <v>0</v>
          </cell>
          <cell r="AI414">
            <v>0</v>
          </cell>
          <cell r="AJ414">
            <v>0</v>
          </cell>
          <cell r="AK414">
            <v>0</v>
          </cell>
          <cell r="AL414">
            <v>0</v>
          </cell>
          <cell r="AM414">
            <v>0</v>
          </cell>
          <cell r="AN414" t="e">
            <v>#N/A</v>
          </cell>
          <cell r="AO414" t="e">
            <v>#N/A</v>
          </cell>
          <cell r="AP414" t="e">
            <v>#N/A</v>
          </cell>
          <cell r="AQ414" t="e">
            <v>#N/A</v>
          </cell>
          <cell r="AR414" t="e">
            <v>#N/A</v>
          </cell>
          <cell r="AS414" t="e">
            <v>#N/A</v>
          </cell>
          <cell r="AT414" t="e">
            <v>#N/A</v>
          </cell>
          <cell r="AU414" t="e">
            <v>#N/A</v>
          </cell>
          <cell r="AV414" t="e">
            <v>#N/A</v>
          </cell>
        </row>
        <row r="415">
          <cell r="A415">
            <v>207.6</v>
          </cell>
          <cell r="B415" t="str">
            <v>2r_ev_sales_3yr_avg</v>
          </cell>
          <cell r="C415" t="str">
            <v>EV/sales : 3yr average sales growth</v>
          </cell>
          <cell r="D415" t="str">
            <v>Multiple</v>
          </cell>
          <cell r="E415">
            <v>0</v>
          </cell>
          <cell r="F415">
            <v>0</v>
          </cell>
          <cell r="G415">
            <v>0</v>
          </cell>
          <cell r="H415">
            <v>0</v>
          </cell>
          <cell r="I415">
            <v>0</v>
          </cell>
          <cell r="J415">
            <v>0</v>
          </cell>
          <cell r="K415">
            <v>0</v>
          </cell>
          <cell r="L415">
            <v>0</v>
          </cell>
          <cell r="M415">
            <v>0</v>
          </cell>
          <cell r="N415" t="str">
            <v>r_ev_sales_3yr_avg</v>
          </cell>
          <cell r="O415">
            <v>0</v>
          </cell>
          <cell r="P415">
            <v>0</v>
          </cell>
          <cell r="Q415">
            <v>1</v>
          </cell>
          <cell r="R415" t="str">
            <v>E</v>
          </cell>
          <cell r="S415">
            <v>2</v>
          </cell>
          <cell r="T415" t="str">
            <v>null</v>
          </cell>
          <cell r="U415">
            <v>2</v>
          </cell>
          <cell r="V415">
            <v>0</v>
          </cell>
          <cell r="W415">
            <v>0</v>
          </cell>
          <cell r="X415">
            <v>0</v>
          </cell>
          <cell r="Y415">
            <v>0</v>
          </cell>
          <cell r="Z415">
            <v>0</v>
          </cell>
          <cell r="AA415">
            <v>226</v>
          </cell>
          <cell r="AB415" t="str">
            <v>Ratios/Misc</v>
          </cell>
          <cell r="AC415">
            <v>399</v>
          </cell>
          <cell r="AD415">
            <v>0</v>
          </cell>
          <cell r="AE415" t="str">
            <v>r_ev_sales_x</v>
          </cell>
          <cell r="AF415" t="str">
            <v>fd_3yr_avg_sales_grwth</v>
          </cell>
          <cell r="AG415">
            <v>0</v>
          </cell>
          <cell r="AH415">
            <v>0</v>
          </cell>
          <cell r="AI415">
            <v>0</v>
          </cell>
          <cell r="AJ415">
            <v>0</v>
          </cell>
          <cell r="AK415">
            <v>0</v>
          </cell>
          <cell r="AL415">
            <v>0</v>
          </cell>
          <cell r="AM415">
            <v>0</v>
          </cell>
          <cell r="AN415" t="e">
            <v>#N/A</v>
          </cell>
          <cell r="AO415" t="e">
            <v>#N/A</v>
          </cell>
          <cell r="AP415" t="e">
            <v>#N/A</v>
          </cell>
          <cell r="AQ415" t="e">
            <v>#N/A</v>
          </cell>
          <cell r="AR415" t="e">
            <v>#N/A</v>
          </cell>
          <cell r="AS415" t="e">
            <v>#N/A</v>
          </cell>
          <cell r="AT415" t="e">
            <v>#N/A</v>
          </cell>
          <cell r="AU415" t="e">
            <v>#N/A</v>
          </cell>
          <cell r="AV415" t="e">
            <v>#N/A</v>
          </cell>
        </row>
        <row r="416">
          <cell r="A416">
            <v>313.60000000000002</v>
          </cell>
          <cell r="B416" t="str">
            <v>2r_ev_ebitda_3yr_avg</v>
          </cell>
          <cell r="C416" t="str">
            <v>EV/EBITDA : 3yr average EBITDA growth</v>
          </cell>
          <cell r="D416" t="str">
            <v>Multiple</v>
          </cell>
          <cell r="E416">
            <v>0</v>
          </cell>
          <cell r="F416">
            <v>0</v>
          </cell>
          <cell r="G416">
            <v>0</v>
          </cell>
          <cell r="H416">
            <v>0</v>
          </cell>
          <cell r="I416">
            <v>0</v>
          </cell>
          <cell r="J416">
            <v>0</v>
          </cell>
          <cell r="K416">
            <v>0</v>
          </cell>
          <cell r="L416">
            <v>0</v>
          </cell>
          <cell r="M416">
            <v>0</v>
          </cell>
          <cell r="N416" t="str">
            <v>r_ev_ebitda_3yr_avg</v>
          </cell>
          <cell r="O416">
            <v>0</v>
          </cell>
          <cell r="P416">
            <v>0</v>
          </cell>
          <cell r="Q416">
            <v>1</v>
          </cell>
          <cell r="R416" t="str">
            <v>E</v>
          </cell>
          <cell r="S416">
            <v>2</v>
          </cell>
          <cell r="T416" t="str">
            <v>null</v>
          </cell>
          <cell r="U416">
            <v>2</v>
          </cell>
          <cell r="V416">
            <v>0</v>
          </cell>
          <cell r="W416">
            <v>0</v>
          </cell>
          <cell r="X416">
            <v>0</v>
          </cell>
          <cell r="Y416">
            <v>0</v>
          </cell>
          <cell r="Z416">
            <v>0</v>
          </cell>
          <cell r="AA416">
            <v>212</v>
          </cell>
          <cell r="AB416" t="str">
            <v>Ratios/Misc</v>
          </cell>
          <cell r="AC416">
            <v>400</v>
          </cell>
          <cell r="AD416">
            <v>0</v>
          </cell>
          <cell r="AE416" t="str">
            <v>r_ev_ebitda_x</v>
          </cell>
          <cell r="AF416" t="str">
            <v>fd_3yr_ebitda_grwth</v>
          </cell>
          <cell r="AG416">
            <v>0</v>
          </cell>
          <cell r="AH416">
            <v>0</v>
          </cell>
          <cell r="AI416">
            <v>0</v>
          </cell>
          <cell r="AJ416">
            <v>0</v>
          </cell>
          <cell r="AK416">
            <v>0</v>
          </cell>
          <cell r="AL416">
            <v>0</v>
          </cell>
          <cell r="AM416">
            <v>0</v>
          </cell>
          <cell r="AN416" t="e">
            <v>#N/A</v>
          </cell>
          <cell r="AO416" t="e">
            <v>#N/A</v>
          </cell>
          <cell r="AP416" t="e">
            <v>#N/A</v>
          </cell>
          <cell r="AQ416" t="e">
            <v>#N/A</v>
          </cell>
          <cell r="AR416" t="e">
            <v>#N/A</v>
          </cell>
          <cell r="AS416" t="e">
            <v>#N/A</v>
          </cell>
          <cell r="AT416" t="e">
            <v>#N/A</v>
          </cell>
          <cell r="AU416" t="e">
            <v>#N/A</v>
          </cell>
          <cell r="AV416" t="e">
            <v>#N/A</v>
          </cell>
        </row>
        <row r="417">
          <cell r="A417">
            <v>313.39999999999998</v>
          </cell>
          <cell r="B417" t="str">
            <v>2r_ev_ebitda_5yr_avg</v>
          </cell>
          <cell r="C417" t="str">
            <v>EV/EBITDA : 5yr average EBITDA growth</v>
          </cell>
          <cell r="D417" t="str">
            <v>Multiple</v>
          </cell>
          <cell r="E417">
            <v>0</v>
          </cell>
          <cell r="F417">
            <v>0</v>
          </cell>
          <cell r="G417">
            <v>0</v>
          </cell>
          <cell r="H417">
            <v>0</v>
          </cell>
          <cell r="I417">
            <v>0</v>
          </cell>
          <cell r="J417">
            <v>0</v>
          </cell>
          <cell r="K417">
            <v>0</v>
          </cell>
          <cell r="L417">
            <v>0</v>
          </cell>
          <cell r="M417">
            <v>0</v>
          </cell>
          <cell r="N417" t="str">
            <v>r_ev_ebitda_5yr_avg</v>
          </cell>
          <cell r="O417">
            <v>0</v>
          </cell>
          <cell r="P417">
            <v>0</v>
          </cell>
          <cell r="Q417">
            <v>1</v>
          </cell>
          <cell r="R417" t="str">
            <v>E</v>
          </cell>
          <cell r="S417">
            <v>2</v>
          </cell>
          <cell r="T417" t="str">
            <v>null</v>
          </cell>
          <cell r="U417">
            <v>2</v>
          </cell>
          <cell r="V417">
            <v>0</v>
          </cell>
          <cell r="W417">
            <v>0</v>
          </cell>
          <cell r="X417">
            <v>0</v>
          </cell>
          <cell r="Y417">
            <v>0</v>
          </cell>
          <cell r="Z417">
            <v>0</v>
          </cell>
          <cell r="AA417">
            <v>214</v>
          </cell>
          <cell r="AB417" t="str">
            <v>Ratios/Misc</v>
          </cell>
          <cell r="AC417">
            <v>400</v>
          </cell>
          <cell r="AD417">
            <v>0</v>
          </cell>
          <cell r="AE417" t="str">
            <v>r_ev_ebitda_x</v>
          </cell>
          <cell r="AF417" t="str">
            <v>fd_5yr_ebitda_grwth</v>
          </cell>
          <cell r="AG417">
            <v>0</v>
          </cell>
          <cell r="AH417">
            <v>0</v>
          </cell>
          <cell r="AI417">
            <v>0</v>
          </cell>
          <cell r="AJ417">
            <v>0</v>
          </cell>
          <cell r="AK417">
            <v>0</v>
          </cell>
          <cell r="AL417">
            <v>0</v>
          </cell>
          <cell r="AM417">
            <v>0</v>
          </cell>
          <cell r="AN417" t="e">
            <v>#N/A</v>
          </cell>
          <cell r="AO417" t="e">
            <v>#N/A</v>
          </cell>
          <cell r="AP417" t="e">
            <v>#N/A</v>
          </cell>
          <cell r="AQ417" t="e">
            <v>#N/A</v>
          </cell>
          <cell r="AR417" t="e">
            <v>#N/A</v>
          </cell>
          <cell r="AS417" t="e">
            <v>#N/A</v>
          </cell>
          <cell r="AT417" t="e">
            <v>#N/A</v>
          </cell>
          <cell r="AU417" t="e">
            <v>#N/A</v>
          </cell>
          <cell r="AV417" t="e">
            <v>#N/A</v>
          </cell>
        </row>
        <row r="418">
          <cell r="A418">
            <v>209</v>
          </cell>
          <cell r="B418" t="str">
            <v>2r_ev_cap_emp</v>
          </cell>
          <cell r="C418" t="str">
            <v>EV/capital employed</v>
          </cell>
          <cell r="D418" t="str">
            <v>Multiple</v>
          </cell>
          <cell r="E418">
            <v>0</v>
          </cell>
          <cell r="F418">
            <v>0</v>
          </cell>
          <cell r="G418">
            <v>0</v>
          </cell>
          <cell r="H418">
            <v>0</v>
          </cell>
          <cell r="I418">
            <v>0</v>
          </cell>
          <cell r="J418">
            <v>0</v>
          </cell>
          <cell r="K418">
            <v>0</v>
          </cell>
          <cell r="L418">
            <v>0</v>
          </cell>
          <cell r="M418">
            <v>0</v>
          </cell>
          <cell r="N418" t="str">
            <v>r_ev_cap_emp</v>
          </cell>
          <cell r="O418">
            <v>0</v>
          </cell>
          <cell r="P418">
            <v>0</v>
          </cell>
          <cell r="Q418">
            <v>1</v>
          </cell>
          <cell r="R418" t="str">
            <v>E</v>
          </cell>
          <cell r="S418">
            <v>2</v>
          </cell>
          <cell r="T418" t="str">
            <v>null</v>
          </cell>
          <cell r="U418">
            <v>2</v>
          </cell>
          <cell r="V418">
            <v>0</v>
          </cell>
          <cell r="W418">
            <v>0</v>
          </cell>
          <cell r="X418">
            <v>0</v>
          </cell>
          <cell r="Y418">
            <v>0</v>
          </cell>
          <cell r="Z418">
            <v>0</v>
          </cell>
          <cell r="AA418">
            <v>207</v>
          </cell>
          <cell r="AB418" t="str">
            <v>Ratios/Misc</v>
          </cell>
          <cell r="AC418">
            <v>401</v>
          </cell>
          <cell r="AD418">
            <v>0</v>
          </cell>
          <cell r="AE418" t="str">
            <v>&lt;ev&gt;</v>
          </cell>
          <cell r="AF418" t="str">
            <v>b_capital_employed</v>
          </cell>
          <cell r="AG418">
            <v>0</v>
          </cell>
          <cell r="AH418">
            <v>0</v>
          </cell>
          <cell r="AI418">
            <v>0</v>
          </cell>
          <cell r="AJ418">
            <v>0</v>
          </cell>
          <cell r="AK418">
            <v>163</v>
          </cell>
          <cell r="AL418">
            <v>0</v>
          </cell>
          <cell r="AM418">
            <v>0</v>
          </cell>
          <cell r="AN418">
            <v>209</v>
          </cell>
          <cell r="AO418" t="str">
            <v>EV/Capital Employed x</v>
          </cell>
          <cell r="AP418" t="str">
            <v>x</v>
          </cell>
          <cell r="AQ418">
            <v>0</v>
          </cell>
          <cell r="AR418">
            <v>0</v>
          </cell>
          <cell r="AS418" t="str">
            <v>3/163</v>
          </cell>
          <cell r="AT418">
            <v>0</v>
          </cell>
          <cell r="AU418" t="str">
            <v>3</v>
          </cell>
          <cell r="AV418" t="str">
            <v>163</v>
          </cell>
        </row>
        <row r="419">
          <cell r="A419">
            <v>210</v>
          </cell>
          <cell r="B419" t="str">
            <v>2r_ev_inv_cap</v>
          </cell>
          <cell r="C419" t="str">
            <v>EV/invested capital</v>
          </cell>
          <cell r="D419" t="str">
            <v>Multiple</v>
          </cell>
          <cell r="E419">
            <v>0</v>
          </cell>
          <cell r="F419">
            <v>0</v>
          </cell>
          <cell r="G419">
            <v>0</v>
          </cell>
          <cell r="H419">
            <v>0</v>
          </cell>
          <cell r="I419">
            <v>0</v>
          </cell>
          <cell r="J419">
            <v>0</v>
          </cell>
          <cell r="K419">
            <v>0</v>
          </cell>
          <cell r="L419">
            <v>0</v>
          </cell>
          <cell r="M419">
            <v>0</v>
          </cell>
          <cell r="N419" t="str">
            <v>r_ev_inv_cap</v>
          </cell>
          <cell r="O419">
            <v>0</v>
          </cell>
          <cell r="P419">
            <v>0</v>
          </cell>
          <cell r="Q419">
            <v>1</v>
          </cell>
          <cell r="R419" t="str">
            <v>E</v>
          </cell>
          <cell r="S419">
            <v>2</v>
          </cell>
          <cell r="T419" t="str">
            <v>null</v>
          </cell>
          <cell r="U419">
            <v>2</v>
          </cell>
          <cell r="V419">
            <v>0</v>
          </cell>
          <cell r="W419">
            <v>0</v>
          </cell>
          <cell r="X419">
            <v>0</v>
          </cell>
          <cell r="Y419">
            <v>0</v>
          </cell>
          <cell r="Z419">
            <v>0</v>
          </cell>
          <cell r="AA419">
            <v>219</v>
          </cell>
          <cell r="AB419" t="str">
            <v>Ratios/Misc</v>
          </cell>
          <cell r="AC419">
            <v>402</v>
          </cell>
          <cell r="AD419">
            <v>0</v>
          </cell>
          <cell r="AE419" t="str">
            <v>&lt;ev&gt;</v>
          </cell>
          <cell r="AF419" t="str">
            <v>b_inv_capital</v>
          </cell>
          <cell r="AG419">
            <v>0</v>
          </cell>
          <cell r="AH419">
            <v>0</v>
          </cell>
          <cell r="AI419">
            <v>0</v>
          </cell>
          <cell r="AJ419">
            <v>0</v>
          </cell>
          <cell r="AK419">
            <v>168</v>
          </cell>
          <cell r="AL419">
            <v>0</v>
          </cell>
          <cell r="AM419">
            <v>0</v>
          </cell>
          <cell r="AN419">
            <v>210</v>
          </cell>
          <cell r="AO419" t="str">
            <v>EV/Invested Capital</v>
          </cell>
          <cell r="AP419" t="str">
            <v>x</v>
          </cell>
          <cell r="AQ419">
            <v>0</v>
          </cell>
          <cell r="AR419">
            <v>0</v>
          </cell>
          <cell r="AS419" t="str">
            <v>3/168</v>
          </cell>
          <cell r="AT419">
            <v>0</v>
          </cell>
          <cell r="AU419" t="str">
            <v>3</v>
          </cell>
          <cell r="AV419" t="str">
            <v>168</v>
          </cell>
        </row>
        <row r="420">
          <cell r="A420">
            <v>211</v>
          </cell>
          <cell r="B420" t="str">
            <v>2r_market_cap_sales</v>
          </cell>
          <cell r="C420" t="str">
            <v>Market cap/sales</v>
          </cell>
          <cell r="D420" t="str">
            <v>Multiple</v>
          </cell>
          <cell r="E420">
            <v>0</v>
          </cell>
          <cell r="F420">
            <v>0</v>
          </cell>
          <cell r="G420">
            <v>0</v>
          </cell>
          <cell r="H420">
            <v>0</v>
          </cell>
          <cell r="I420">
            <v>0</v>
          </cell>
          <cell r="J420">
            <v>0</v>
          </cell>
          <cell r="K420">
            <v>0</v>
          </cell>
          <cell r="L420">
            <v>0</v>
          </cell>
          <cell r="M420">
            <v>0</v>
          </cell>
          <cell r="N420" t="str">
            <v>r_market_cap_sales</v>
          </cell>
          <cell r="O420">
            <v>0</v>
          </cell>
          <cell r="P420">
            <v>0</v>
          </cell>
          <cell r="Q420">
            <v>1</v>
          </cell>
          <cell r="R420" t="str">
            <v>S</v>
          </cell>
          <cell r="S420">
            <v>2</v>
          </cell>
          <cell r="T420" t="str">
            <v>null</v>
          </cell>
          <cell r="U420">
            <v>2</v>
          </cell>
          <cell r="V420">
            <v>0</v>
          </cell>
          <cell r="W420">
            <v>0</v>
          </cell>
          <cell r="X420">
            <v>0</v>
          </cell>
          <cell r="Y420">
            <v>0</v>
          </cell>
          <cell r="Z420">
            <v>0</v>
          </cell>
          <cell r="AA420">
            <v>333</v>
          </cell>
          <cell r="AB420" t="str">
            <v>Ratios/Misc</v>
          </cell>
          <cell r="AC420">
            <v>403</v>
          </cell>
          <cell r="AD420">
            <v>0</v>
          </cell>
          <cell r="AE420" t="str">
            <v>&lt;mc&gt;</v>
          </cell>
          <cell r="AF420" t="str">
            <v>fd_sales</v>
          </cell>
          <cell r="AG420">
            <v>0</v>
          </cell>
          <cell r="AH420">
            <v>0</v>
          </cell>
          <cell r="AI420">
            <v>0</v>
          </cell>
          <cell r="AJ420">
            <v>2</v>
          </cell>
          <cell r="AK420">
            <v>35</v>
          </cell>
          <cell r="AL420">
            <v>0</v>
          </cell>
          <cell r="AM420">
            <v>0</v>
          </cell>
          <cell r="AN420">
            <v>211</v>
          </cell>
          <cell r="AO420" t="str">
            <v>Market cap/sales x</v>
          </cell>
          <cell r="AP420" t="str">
            <v>x</v>
          </cell>
          <cell r="AQ420">
            <v>0</v>
          </cell>
          <cell r="AR420">
            <v>0</v>
          </cell>
          <cell r="AS420" t="str">
            <v>2/35</v>
          </cell>
          <cell r="AT420">
            <v>0</v>
          </cell>
          <cell r="AU420" t="str">
            <v>2</v>
          </cell>
          <cell r="AV420" t="str">
            <v>35</v>
          </cell>
        </row>
        <row r="421">
          <cell r="A421">
            <v>199.6</v>
          </cell>
          <cell r="B421" t="str">
            <v>1r_cashflow_total_debt</v>
          </cell>
          <cell r="C421" t="str">
            <v>cashflow/total debt</v>
          </cell>
          <cell r="D421" t="str">
            <v>(%)</v>
          </cell>
          <cell r="E421">
            <v>0</v>
          </cell>
          <cell r="F421">
            <v>0</v>
          </cell>
          <cell r="G421">
            <v>0</v>
          </cell>
          <cell r="H421">
            <v>0</v>
          </cell>
          <cell r="I421">
            <v>0</v>
          </cell>
          <cell r="J421">
            <v>0</v>
          </cell>
          <cell r="K421">
            <v>0</v>
          </cell>
          <cell r="L421">
            <v>0</v>
          </cell>
          <cell r="M421">
            <v>0</v>
          </cell>
          <cell r="N421" t="str">
            <v>r_cashflow_total_debt</v>
          </cell>
          <cell r="O421">
            <v>0</v>
          </cell>
          <cell r="P421">
            <v>0</v>
          </cell>
          <cell r="Q421">
            <v>0.01</v>
          </cell>
          <cell r="R421" t="str">
            <v>E</v>
          </cell>
          <cell r="S421">
            <v>2</v>
          </cell>
          <cell r="T421" t="str">
            <v>null</v>
          </cell>
          <cell r="U421">
            <v>1</v>
          </cell>
          <cell r="V421">
            <v>0</v>
          </cell>
          <cell r="W421">
            <v>0</v>
          </cell>
          <cell r="X421">
            <v>0</v>
          </cell>
          <cell r="Y421">
            <v>0</v>
          </cell>
          <cell r="Z421">
            <v>0</v>
          </cell>
          <cell r="AA421">
            <v>62</v>
          </cell>
          <cell r="AB421" t="str">
            <v>Ratios/Misc</v>
          </cell>
          <cell r="AC421">
            <v>387</v>
          </cell>
          <cell r="AD421">
            <v>0</v>
          </cell>
          <cell r="AE421">
            <v>0</v>
          </cell>
          <cell r="AF421">
            <v>0</v>
          </cell>
          <cell r="AG421">
            <v>0</v>
          </cell>
          <cell r="AH421">
            <v>0</v>
          </cell>
          <cell r="AI421">
            <v>0</v>
          </cell>
          <cell r="AJ421">
            <v>0</v>
          </cell>
          <cell r="AK421">
            <v>0</v>
          </cell>
          <cell r="AL421">
            <v>0</v>
          </cell>
          <cell r="AM421">
            <v>0</v>
          </cell>
          <cell r="AN421" t="e">
            <v>#N/A</v>
          </cell>
          <cell r="AO421" t="e">
            <v>#N/A</v>
          </cell>
          <cell r="AP421" t="e">
            <v>#N/A</v>
          </cell>
          <cell r="AQ421" t="e">
            <v>#N/A</v>
          </cell>
          <cell r="AR421" t="e">
            <v>#N/A</v>
          </cell>
          <cell r="AS421" t="e">
            <v>#N/A</v>
          </cell>
          <cell r="AT421" t="e">
            <v>#N/A</v>
          </cell>
          <cell r="AU421" t="e">
            <v>#N/A</v>
          </cell>
          <cell r="AV421" t="e">
            <v>#N/A</v>
          </cell>
        </row>
        <row r="422">
          <cell r="A422">
            <v>199.8</v>
          </cell>
          <cell r="B422" t="str">
            <v>1r_op_cash_op_profit</v>
          </cell>
          <cell r="C422" t="str">
            <v>Operating cashflow/operating profit</v>
          </cell>
          <cell r="D422" t="str">
            <v>(%)</v>
          </cell>
          <cell r="E422">
            <v>0</v>
          </cell>
          <cell r="F422">
            <v>0</v>
          </cell>
          <cell r="G422">
            <v>0</v>
          </cell>
          <cell r="H422">
            <v>0</v>
          </cell>
          <cell r="I422">
            <v>0</v>
          </cell>
          <cell r="J422">
            <v>0</v>
          </cell>
          <cell r="K422">
            <v>0</v>
          </cell>
          <cell r="L422">
            <v>0</v>
          </cell>
          <cell r="M422">
            <v>0</v>
          </cell>
          <cell r="N422" t="str">
            <v>r_op_cash_op_profit</v>
          </cell>
          <cell r="O422">
            <v>0</v>
          </cell>
          <cell r="P422">
            <v>0</v>
          </cell>
          <cell r="Q422">
            <v>0.01</v>
          </cell>
          <cell r="R422" t="str">
            <v>E</v>
          </cell>
          <cell r="S422">
            <v>2</v>
          </cell>
          <cell r="T422" t="str">
            <v>null</v>
          </cell>
          <cell r="U422">
            <v>1</v>
          </cell>
          <cell r="V422">
            <v>0</v>
          </cell>
          <cell r="W422">
            <v>0</v>
          </cell>
          <cell r="X422">
            <v>0</v>
          </cell>
          <cell r="Y422">
            <v>0</v>
          </cell>
          <cell r="Z422">
            <v>0</v>
          </cell>
          <cell r="AA422">
            <v>423</v>
          </cell>
          <cell r="AB422" t="str">
            <v>Ratios/Misc</v>
          </cell>
          <cell r="AC422">
            <v>388</v>
          </cell>
          <cell r="AD422">
            <v>0</v>
          </cell>
          <cell r="AE422">
            <v>0</v>
          </cell>
          <cell r="AF422">
            <v>0</v>
          </cell>
          <cell r="AG422">
            <v>0</v>
          </cell>
          <cell r="AH422">
            <v>0</v>
          </cell>
          <cell r="AI422">
            <v>0</v>
          </cell>
          <cell r="AJ422">
            <v>0</v>
          </cell>
          <cell r="AK422">
            <v>0</v>
          </cell>
          <cell r="AL422">
            <v>0</v>
          </cell>
          <cell r="AM422">
            <v>0</v>
          </cell>
          <cell r="AN422" t="e">
            <v>#N/A</v>
          </cell>
          <cell r="AO422" t="e">
            <v>#N/A</v>
          </cell>
          <cell r="AP422" t="e">
            <v>#N/A</v>
          </cell>
          <cell r="AQ422" t="e">
            <v>#N/A</v>
          </cell>
          <cell r="AR422" t="e">
            <v>#N/A</v>
          </cell>
          <cell r="AS422" t="e">
            <v>#N/A</v>
          </cell>
          <cell r="AT422" t="e">
            <v>#N/A</v>
          </cell>
          <cell r="AU422" t="e">
            <v>#N/A</v>
          </cell>
          <cell r="AV422" t="e">
            <v>#N/A</v>
          </cell>
        </row>
        <row r="423">
          <cell r="A423">
            <v>115.7</v>
          </cell>
          <cell r="B423" t="str">
            <v>1r_opcf_opts_after_capex</v>
          </cell>
          <cell r="C423" t="str">
            <v>Cash from operations after capex/operating profit</v>
          </cell>
          <cell r="D423" t="str">
            <v>(%)</v>
          </cell>
          <cell r="E423">
            <v>0</v>
          </cell>
          <cell r="F423">
            <v>0</v>
          </cell>
          <cell r="G423">
            <v>0</v>
          </cell>
          <cell r="H423">
            <v>0</v>
          </cell>
          <cell r="I423">
            <v>0</v>
          </cell>
          <cell r="J423">
            <v>0</v>
          </cell>
          <cell r="K423">
            <v>0</v>
          </cell>
          <cell r="L423">
            <v>0</v>
          </cell>
          <cell r="M423">
            <v>0</v>
          </cell>
          <cell r="N423" t="str">
            <v>r_opcf_opts_after_capex</v>
          </cell>
          <cell r="O423">
            <v>0</v>
          </cell>
          <cell r="P423">
            <v>0</v>
          </cell>
          <cell r="Q423">
            <v>0.01</v>
          </cell>
          <cell r="R423" t="str">
            <v>E</v>
          </cell>
          <cell r="S423">
            <v>2</v>
          </cell>
          <cell r="T423" t="str">
            <v>null</v>
          </cell>
          <cell r="U423">
            <v>1</v>
          </cell>
          <cell r="V423">
            <v>0</v>
          </cell>
          <cell r="W423">
            <v>0</v>
          </cell>
          <cell r="X423">
            <v>0</v>
          </cell>
          <cell r="Y423">
            <v>0</v>
          </cell>
          <cell r="Z423">
            <v>0</v>
          </cell>
          <cell r="AA423">
            <v>421</v>
          </cell>
          <cell r="AB423" t="str">
            <v>Ratios/Misc</v>
          </cell>
          <cell r="AC423">
            <v>388</v>
          </cell>
          <cell r="AD423">
            <v>0</v>
          </cell>
          <cell r="AE423">
            <v>0</v>
          </cell>
          <cell r="AF423">
            <v>0</v>
          </cell>
          <cell r="AG423">
            <v>0</v>
          </cell>
          <cell r="AH423">
            <v>0</v>
          </cell>
          <cell r="AI423">
            <v>0</v>
          </cell>
          <cell r="AJ423">
            <v>0</v>
          </cell>
          <cell r="AK423">
            <v>0</v>
          </cell>
          <cell r="AL423">
            <v>0</v>
          </cell>
          <cell r="AM423">
            <v>0</v>
          </cell>
          <cell r="AN423" t="e">
            <v>#N/A</v>
          </cell>
          <cell r="AO423" t="e">
            <v>#N/A</v>
          </cell>
          <cell r="AP423" t="e">
            <v>#N/A</v>
          </cell>
          <cell r="AQ423" t="e">
            <v>#N/A</v>
          </cell>
          <cell r="AR423" t="e">
            <v>#N/A</v>
          </cell>
          <cell r="AS423" t="e">
            <v>#N/A</v>
          </cell>
          <cell r="AT423" t="e">
            <v>#N/A</v>
          </cell>
          <cell r="AU423" t="e">
            <v>#N/A</v>
          </cell>
          <cell r="AV423" t="e">
            <v>#N/A</v>
          </cell>
        </row>
        <row r="424">
          <cell r="A424">
            <v>212</v>
          </cell>
          <cell r="B424" t="str">
            <v>2r_estimated_total_return</v>
          </cell>
          <cell r="C424" t="str">
            <v>Estimated total return</v>
          </cell>
          <cell r="D424" t="str">
            <v>(%)</v>
          </cell>
          <cell r="E424">
            <v>0</v>
          </cell>
          <cell r="F424">
            <v>0</v>
          </cell>
          <cell r="G424">
            <v>0</v>
          </cell>
          <cell r="H424">
            <v>0</v>
          </cell>
          <cell r="I424">
            <v>0</v>
          </cell>
          <cell r="J424">
            <v>0</v>
          </cell>
          <cell r="K424">
            <v>0</v>
          </cell>
          <cell r="L424">
            <v>0</v>
          </cell>
          <cell r="M424">
            <v>0</v>
          </cell>
          <cell r="N424" t="str">
            <v>r_estimated_total_return</v>
          </cell>
          <cell r="O424">
            <v>0</v>
          </cell>
          <cell r="P424">
            <v>0</v>
          </cell>
          <cell r="Q424">
            <v>0.01</v>
          </cell>
          <cell r="R424" t="str">
            <v>S</v>
          </cell>
          <cell r="S424">
            <v>2</v>
          </cell>
          <cell r="T424" t="str">
            <v>null</v>
          </cell>
          <cell r="U424">
            <v>2</v>
          </cell>
          <cell r="V424">
            <v>0</v>
          </cell>
          <cell r="W424">
            <v>0</v>
          </cell>
          <cell r="X424">
            <v>0</v>
          </cell>
          <cell r="Y424">
            <v>0</v>
          </cell>
          <cell r="Z424">
            <v>0</v>
          </cell>
          <cell r="AA424">
            <v>202</v>
          </cell>
          <cell r="AB424" t="str">
            <v>Ratios/Misc</v>
          </cell>
          <cell r="AC424">
            <v>404</v>
          </cell>
          <cell r="AD424">
            <v>0</v>
          </cell>
          <cell r="AE424" t="str">
            <v>r_dividend_yield</v>
          </cell>
          <cell r="AF424" t="str">
            <v>est_5yr_av_eps_growth</v>
          </cell>
          <cell r="AG424">
            <v>0</v>
          </cell>
          <cell r="AH424">
            <v>0</v>
          </cell>
          <cell r="AI424">
            <v>0</v>
          </cell>
          <cell r="AJ424">
            <v>0</v>
          </cell>
          <cell r="AK424">
            <v>0</v>
          </cell>
          <cell r="AL424">
            <v>0</v>
          </cell>
          <cell r="AM424">
            <v>0</v>
          </cell>
          <cell r="AN424">
            <v>212</v>
          </cell>
          <cell r="AO424" t="str">
            <v>Estimated total return %</v>
          </cell>
          <cell r="AP424" t="str">
            <v>%</v>
          </cell>
          <cell r="AQ424">
            <v>0</v>
          </cell>
          <cell r="AR424">
            <v>0</v>
          </cell>
          <cell r="AS424">
            <v>0</v>
          </cell>
          <cell r="AT424" t="str">
            <v>div yield + estimated 5yr average EPS</v>
          </cell>
          <cell r="AU424" t="e">
            <v>#VALUE!</v>
          </cell>
          <cell r="AV424" t="e">
            <v>#VALUE!</v>
          </cell>
          <cell r="AW424" t="str">
            <v>UNSURE ABOUT FORMULA</v>
          </cell>
        </row>
        <row r="425">
          <cell r="A425">
            <v>213</v>
          </cell>
          <cell r="B425" t="str">
            <v>2r_total_shareholder_return</v>
          </cell>
          <cell r="C425" t="str">
            <v>Total shareholder return</v>
          </cell>
          <cell r="D425" t="str">
            <v>(%)</v>
          </cell>
          <cell r="E425">
            <v>0</v>
          </cell>
          <cell r="F425">
            <v>0</v>
          </cell>
          <cell r="G425">
            <v>0</v>
          </cell>
          <cell r="H425">
            <v>0</v>
          </cell>
          <cell r="I425">
            <v>0</v>
          </cell>
          <cell r="J425">
            <v>0</v>
          </cell>
          <cell r="K425">
            <v>0</v>
          </cell>
          <cell r="L425">
            <v>0</v>
          </cell>
          <cell r="M425">
            <v>0</v>
          </cell>
          <cell r="N425" t="str">
            <v>r_total_shareholder_return</v>
          </cell>
          <cell r="O425">
            <v>0</v>
          </cell>
          <cell r="P425">
            <v>0</v>
          </cell>
          <cell r="Q425">
            <v>0.01</v>
          </cell>
          <cell r="R425" t="str">
            <v>S</v>
          </cell>
          <cell r="S425">
            <v>2</v>
          </cell>
          <cell r="T425" t="str">
            <v>null</v>
          </cell>
          <cell r="U425">
            <v>2</v>
          </cell>
          <cell r="V425">
            <v>0</v>
          </cell>
          <cell r="W425">
            <v>0</v>
          </cell>
          <cell r="X425">
            <v>0</v>
          </cell>
          <cell r="Y425">
            <v>0</v>
          </cell>
          <cell r="Z425">
            <v>0</v>
          </cell>
          <cell r="AA425">
            <v>569</v>
          </cell>
          <cell r="AB425" t="str">
            <v>Ratios/Misc</v>
          </cell>
          <cell r="AC425">
            <v>405</v>
          </cell>
          <cell r="AD425" t="str">
            <v>future market data feed</v>
          </cell>
          <cell r="AE425">
            <v>0</v>
          </cell>
          <cell r="AF425">
            <v>0</v>
          </cell>
          <cell r="AG425">
            <v>0</v>
          </cell>
          <cell r="AH425">
            <v>0</v>
          </cell>
          <cell r="AI425">
            <v>0</v>
          </cell>
          <cell r="AJ425">
            <v>0</v>
          </cell>
          <cell r="AK425">
            <v>0</v>
          </cell>
          <cell r="AL425">
            <v>0</v>
          </cell>
          <cell r="AM425">
            <v>0</v>
          </cell>
          <cell r="AN425">
            <v>213</v>
          </cell>
          <cell r="AO425" t="str">
            <v>Total Shareholder Return %</v>
          </cell>
          <cell r="AP425" t="str">
            <v>%</v>
          </cell>
          <cell r="AQ425">
            <v>0</v>
          </cell>
          <cell r="AR425" t="str">
            <v>future market data feed</v>
          </cell>
          <cell r="AS425" t="str">
            <v>future market data feed</v>
          </cell>
          <cell r="AT425">
            <v>0</v>
          </cell>
          <cell r="AU425" t="e">
            <v>#VALUE!</v>
          </cell>
          <cell r="AV425" t="e">
            <v>#VALUE!</v>
          </cell>
          <cell r="AW425" t="str">
            <v>ADD NEW</v>
          </cell>
          <cell r="AX425" t="str">
            <v>Marketfeed</v>
          </cell>
        </row>
        <row r="426">
          <cell r="A426">
            <v>214</v>
          </cell>
          <cell r="B426" t="str">
            <v>2r_roe</v>
          </cell>
          <cell r="C426" t="str">
            <v>ROE</v>
          </cell>
          <cell r="D426" t="str">
            <v>(%)</v>
          </cell>
          <cell r="E426">
            <v>0</v>
          </cell>
          <cell r="F426">
            <v>0</v>
          </cell>
          <cell r="G426">
            <v>0</v>
          </cell>
          <cell r="H426">
            <v>0</v>
          </cell>
          <cell r="I426">
            <v>0</v>
          </cell>
          <cell r="J426">
            <v>0</v>
          </cell>
          <cell r="K426">
            <v>0</v>
          </cell>
          <cell r="L426">
            <v>0</v>
          </cell>
          <cell r="M426">
            <v>0</v>
          </cell>
          <cell r="N426" t="str">
            <v>r_roe</v>
          </cell>
          <cell r="O426">
            <v>0</v>
          </cell>
          <cell r="P426">
            <v>0</v>
          </cell>
          <cell r="Q426">
            <v>0.01</v>
          </cell>
          <cell r="R426" t="str">
            <v>E</v>
          </cell>
          <cell r="S426">
            <v>2</v>
          </cell>
          <cell r="T426" t="str">
            <v>null</v>
          </cell>
          <cell r="U426">
            <v>2</v>
          </cell>
          <cell r="V426">
            <v>0</v>
          </cell>
          <cell r="W426">
            <v>0</v>
          </cell>
          <cell r="X426">
            <v>0</v>
          </cell>
          <cell r="Y426">
            <v>0</v>
          </cell>
          <cell r="Z426">
            <v>0</v>
          </cell>
          <cell r="AA426">
            <v>512</v>
          </cell>
          <cell r="AB426" t="str">
            <v>Ratios/Misc</v>
          </cell>
          <cell r="AC426">
            <v>406</v>
          </cell>
          <cell r="AD426">
            <v>0</v>
          </cell>
          <cell r="AE426" t="str">
            <v>fd_net_income_adj</v>
          </cell>
          <cell r="AF426" t="str">
            <v>b_ord_sh_holders_funds</v>
          </cell>
          <cell r="AG426">
            <v>0</v>
          </cell>
          <cell r="AH426">
            <v>0</v>
          </cell>
          <cell r="AI426">
            <v>0</v>
          </cell>
          <cell r="AJ426">
            <v>58</v>
          </cell>
          <cell r="AK426">
            <v>167</v>
          </cell>
          <cell r="AL426">
            <v>0</v>
          </cell>
          <cell r="AM426">
            <v>0</v>
          </cell>
          <cell r="AN426">
            <v>214</v>
          </cell>
          <cell r="AO426" t="str">
            <v>ROE %</v>
          </cell>
          <cell r="AP426" t="str">
            <v>%</v>
          </cell>
          <cell r="AQ426" t="str">
            <v>adjusted ROE</v>
          </cell>
          <cell r="AR426">
            <v>0</v>
          </cell>
          <cell r="AS426" t="str">
            <v>58/167</v>
          </cell>
          <cell r="AT426" t="str">
            <v>earnings adjusted/Ordinary shareholders funds</v>
          </cell>
          <cell r="AU426" t="str">
            <v>58</v>
          </cell>
          <cell r="AV426" t="str">
            <v>167</v>
          </cell>
          <cell r="AW426" t="str">
            <v>UNSURE ABOUT FORMULA</v>
          </cell>
        </row>
        <row r="427">
          <cell r="A427">
            <v>214.2</v>
          </cell>
          <cell r="B427" t="str">
            <v>1r_roe_manual</v>
          </cell>
          <cell r="C427" t="str">
            <v>ROE</v>
          </cell>
          <cell r="D427" t="str">
            <v>(%)</v>
          </cell>
          <cell r="E427">
            <v>0</v>
          </cell>
          <cell r="F427">
            <v>0</v>
          </cell>
          <cell r="G427">
            <v>0</v>
          </cell>
          <cell r="H427">
            <v>0</v>
          </cell>
          <cell r="I427">
            <v>0</v>
          </cell>
          <cell r="J427">
            <v>0</v>
          </cell>
          <cell r="K427">
            <v>0</v>
          </cell>
          <cell r="L427">
            <v>0</v>
          </cell>
          <cell r="M427">
            <v>0</v>
          </cell>
          <cell r="N427" t="str">
            <v>r_roe_manual</v>
          </cell>
          <cell r="O427">
            <v>0</v>
          </cell>
          <cell r="P427">
            <v>0</v>
          </cell>
          <cell r="Q427">
            <v>0.01</v>
          </cell>
          <cell r="R427" t="str">
            <v>E</v>
          </cell>
          <cell r="S427">
            <v>2</v>
          </cell>
          <cell r="T427" t="str">
            <v>null</v>
          </cell>
          <cell r="U427">
            <v>1</v>
          </cell>
          <cell r="V427">
            <v>0</v>
          </cell>
          <cell r="W427">
            <v>0</v>
          </cell>
          <cell r="X427">
            <v>0</v>
          </cell>
          <cell r="Y427">
            <v>0</v>
          </cell>
          <cell r="Z427">
            <v>0</v>
          </cell>
          <cell r="AA427">
            <v>512</v>
          </cell>
          <cell r="AB427" t="str">
            <v>Ratios/Misc</v>
          </cell>
          <cell r="AC427">
            <v>406</v>
          </cell>
        </row>
        <row r="428">
          <cell r="A428">
            <v>394</v>
          </cell>
          <cell r="B428" t="str">
            <v>1r_roe_adj</v>
          </cell>
          <cell r="C428" t="str">
            <v>ROE (adjusted for goodwill)</v>
          </cell>
          <cell r="D428" t="str">
            <v>(%)</v>
          </cell>
          <cell r="E428">
            <v>0</v>
          </cell>
          <cell r="F428">
            <v>0</v>
          </cell>
          <cell r="G428">
            <v>0</v>
          </cell>
          <cell r="H428">
            <v>0</v>
          </cell>
          <cell r="I428">
            <v>0</v>
          </cell>
          <cell r="J428">
            <v>0</v>
          </cell>
          <cell r="K428">
            <v>0</v>
          </cell>
          <cell r="L428">
            <v>0</v>
          </cell>
          <cell r="M428">
            <v>0</v>
          </cell>
          <cell r="N428" t="str">
            <v>r_roe_adj</v>
          </cell>
          <cell r="O428">
            <v>0</v>
          </cell>
          <cell r="P428">
            <v>0</v>
          </cell>
          <cell r="Q428">
            <v>0.01</v>
          </cell>
          <cell r="R428" t="str">
            <v>E</v>
          </cell>
          <cell r="S428">
            <v>2</v>
          </cell>
          <cell r="T428" t="str">
            <v>null</v>
          </cell>
          <cell r="U428">
            <v>1</v>
          </cell>
          <cell r="V428">
            <v>0</v>
          </cell>
          <cell r="W428">
            <v>0</v>
          </cell>
          <cell r="X428">
            <v>0</v>
          </cell>
          <cell r="Y428">
            <v>0</v>
          </cell>
          <cell r="Z428">
            <v>0</v>
          </cell>
          <cell r="AA428">
            <v>513</v>
          </cell>
          <cell r="AB428" t="str">
            <v>Ratios/Misc</v>
          </cell>
          <cell r="AC428">
            <v>407</v>
          </cell>
          <cell r="AD428">
            <v>0</v>
          </cell>
          <cell r="AE428">
            <v>0</v>
          </cell>
          <cell r="AF428">
            <v>0</v>
          </cell>
          <cell r="AG428">
            <v>0</v>
          </cell>
          <cell r="AH428">
            <v>0</v>
          </cell>
          <cell r="AI428">
            <v>0</v>
          </cell>
          <cell r="AJ428">
            <v>0</v>
          </cell>
          <cell r="AK428">
            <v>0</v>
          </cell>
          <cell r="AL428">
            <v>0</v>
          </cell>
          <cell r="AM428">
            <v>0</v>
          </cell>
          <cell r="AN428" t="e">
            <v>#N/A</v>
          </cell>
          <cell r="AO428" t="e">
            <v>#N/A</v>
          </cell>
          <cell r="AP428" t="e">
            <v>#N/A</v>
          </cell>
          <cell r="AQ428" t="e">
            <v>#N/A</v>
          </cell>
          <cell r="AR428" t="e">
            <v>#N/A</v>
          </cell>
          <cell r="AS428" t="e">
            <v>#N/A</v>
          </cell>
          <cell r="AT428" t="e">
            <v>#N/A</v>
          </cell>
          <cell r="AU428" t="e">
            <v>#N/A</v>
          </cell>
          <cell r="AV428" t="e">
            <v>#N/A</v>
          </cell>
        </row>
        <row r="429">
          <cell r="A429">
            <v>215</v>
          </cell>
          <cell r="B429" t="str">
            <v>2r_roce</v>
          </cell>
          <cell r="C429" t="str">
            <v>ROCE</v>
          </cell>
          <cell r="D429" t="str">
            <v>(%)</v>
          </cell>
          <cell r="E429">
            <v>0</v>
          </cell>
          <cell r="F429">
            <v>0</v>
          </cell>
          <cell r="G429">
            <v>0</v>
          </cell>
          <cell r="H429">
            <v>0</v>
          </cell>
          <cell r="I429">
            <v>0</v>
          </cell>
          <cell r="J429">
            <v>0</v>
          </cell>
          <cell r="K429">
            <v>0</v>
          </cell>
          <cell r="L429">
            <v>0</v>
          </cell>
          <cell r="M429">
            <v>0</v>
          </cell>
          <cell r="N429" t="str">
            <v>r_roce</v>
          </cell>
          <cell r="O429">
            <v>0</v>
          </cell>
          <cell r="P429">
            <v>0</v>
          </cell>
          <cell r="Q429">
            <v>0.01</v>
          </cell>
          <cell r="R429" t="str">
            <v>E</v>
          </cell>
          <cell r="S429">
            <v>2</v>
          </cell>
          <cell r="T429" t="str">
            <v>null</v>
          </cell>
          <cell r="U429">
            <v>2</v>
          </cell>
          <cell r="V429" t="str">
            <v>UK/US</v>
          </cell>
          <cell r="W429">
            <v>0</v>
          </cell>
          <cell r="X429">
            <v>0</v>
          </cell>
          <cell r="Y429">
            <v>0</v>
          </cell>
          <cell r="Z429">
            <v>0</v>
          </cell>
          <cell r="AA429">
            <v>510</v>
          </cell>
          <cell r="AB429" t="str">
            <v>Ratios/Misc</v>
          </cell>
          <cell r="AC429">
            <v>408</v>
          </cell>
          <cell r="AD429">
            <v>0</v>
          </cell>
          <cell r="AE429" t="str">
            <v>fd_ebit_rec_adj</v>
          </cell>
          <cell r="AF429" t="str">
            <v>b_capital_employed</v>
          </cell>
          <cell r="AG429">
            <v>0</v>
          </cell>
          <cell r="AH429">
            <v>0</v>
          </cell>
          <cell r="AI429">
            <v>0</v>
          </cell>
          <cell r="AJ429">
            <v>46</v>
          </cell>
          <cell r="AK429">
            <v>163</v>
          </cell>
          <cell r="AL429">
            <v>0</v>
          </cell>
          <cell r="AM429">
            <v>0</v>
          </cell>
          <cell r="AN429">
            <v>215</v>
          </cell>
          <cell r="AO429" t="str">
            <v>ROCE %*</v>
          </cell>
          <cell r="AP429" t="str">
            <v>%</v>
          </cell>
          <cell r="AQ429" t="str">
            <v>adjusted ROCE</v>
          </cell>
          <cell r="AR429">
            <v>0</v>
          </cell>
          <cell r="AS429" t="str">
            <v>46/163</v>
          </cell>
          <cell r="AT429" t="str">
            <v>ebit/total assets</v>
          </cell>
          <cell r="AU429" t="str">
            <v>46</v>
          </cell>
          <cell r="AV429" t="str">
            <v>163</v>
          </cell>
        </row>
        <row r="430">
          <cell r="A430">
            <v>215.2</v>
          </cell>
          <cell r="B430" t="str">
            <v>1r_roce_manual</v>
          </cell>
          <cell r="C430" t="str">
            <v>ROCE</v>
          </cell>
          <cell r="D430" t="str">
            <v>(%)</v>
          </cell>
          <cell r="E430">
            <v>0</v>
          </cell>
          <cell r="F430">
            <v>0</v>
          </cell>
          <cell r="G430">
            <v>0</v>
          </cell>
          <cell r="H430">
            <v>0</v>
          </cell>
          <cell r="I430">
            <v>0</v>
          </cell>
          <cell r="J430">
            <v>0</v>
          </cell>
          <cell r="K430">
            <v>0</v>
          </cell>
          <cell r="L430">
            <v>0</v>
          </cell>
          <cell r="M430">
            <v>0</v>
          </cell>
          <cell r="N430" t="str">
            <v>r_roce_manual</v>
          </cell>
          <cell r="O430">
            <v>0</v>
          </cell>
          <cell r="P430">
            <v>0</v>
          </cell>
          <cell r="Q430">
            <v>0.01</v>
          </cell>
          <cell r="R430" t="str">
            <v>E</v>
          </cell>
          <cell r="S430">
            <v>2</v>
          </cell>
          <cell r="T430" t="str">
            <v>null</v>
          </cell>
          <cell r="U430">
            <v>1</v>
          </cell>
          <cell r="V430">
            <v>0</v>
          </cell>
          <cell r="W430">
            <v>0</v>
          </cell>
          <cell r="X430">
            <v>0</v>
          </cell>
          <cell r="Y430">
            <v>0</v>
          </cell>
          <cell r="Z430">
            <v>0</v>
          </cell>
          <cell r="AA430">
            <v>511</v>
          </cell>
          <cell r="AB430" t="str">
            <v>Ratios/Misc</v>
          </cell>
          <cell r="AC430">
            <v>409</v>
          </cell>
          <cell r="AD430">
            <v>0</v>
          </cell>
          <cell r="AE430">
            <v>0</v>
          </cell>
          <cell r="AF430">
            <v>0</v>
          </cell>
          <cell r="AG430">
            <v>0</v>
          </cell>
          <cell r="AH430">
            <v>0</v>
          </cell>
          <cell r="AI430">
            <v>0</v>
          </cell>
          <cell r="AJ430">
            <v>0</v>
          </cell>
          <cell r="AK430">
            <v>0</v>
          </cell>
          <cell r="AL430">
            <v>0</v>
          </cell>
          <cell r="AM430">
            <v>0</v>
          </cell>
          <cell r="AN430" t="e">
            <v>#N/A</v>
          </cell>
          <cell r="AO430" t="e">
            <v>#N/A</v>
          </cell>
          <cell r="AP430" t="e">
            <v>#N/A</v>
          </cell>
          <cell r="AQ430" t="e">
            <v>#N/A</v>
          </cell>
          <cell r="AR430" t="e">
            <v>#N/A</v>
          </cell>
          <cell r="AS430" t="e">
            <v>#N/A</v>
          </cell>
          <cell r="AT430" t="e">
            <v>#N/A</v>
          </cell>
          <cell r="AU430" t="e">
            <v>#N/A</v>
          </cell>
          <cell r="AV430" t="e">
            <v>#N/A</v>
          </cell>
        </row>
        <row r="431">
          <cell r="A431">
            <v>216</v>
          </cell>
          <cell r="B431" t="str">
            <v>2r_roic</v>
          </cell>
          <cell r="C431" t="str">
            <v>ROIC</v>
          </cell>
          <cell r="D431" t="str">
            <v>(%)</v>
          </cell>
          <cell r="E431">
            <v>0</v>
          </cell>
          <cell r="F431">
            <v>0</v>
          </cell>
          <cell r="G431">
            <v>0</v>
          </cell>
          <cell r="H431">
            <v>0</v>
          </cell>
          <cell r="I431">
            <v>0</v>
          </cell>
          <cell r="J431">
            <v>0</v>
          </cell>
          <cell r="K431">
            <v>0</v>
          </cell>
          <cell r="L431">
            <v>0</v>
          </cell>
          <cell r="M431">
            <v>0</v>
          </cell>
          <cell r="N431" t="str">
            <v>r_roic</v>
          </cell>
          <cell r="O431">
            <v>0</v>
          </cell>
          <cell r="P431">
            <v>0</v>
          </cell>
          <cell r="Q431">
            <v>0.01</v>
          </cell>
          <cell r="R431" t="str">
            <v>E</v>
          </cell>
          <cell r="S431">
            <v>2</v>
          </cell>
          <cell r="T431" t="str">
            <v>null</v>
          </cell>
          <cell r="U431">
            <v>2</v>
          </cell>
          <cell r="V431">
            <v>0</v>
          </cell>
          <cell r="W431">
            <v>0</v>
          </cell>
          <cell r="X431">
            <v>0</v>
          </cell>
          <cell r="Y431">
            <v>0</v>
          </cell>
          <cell r="Z431">
            <v>0</v>
          </cell>
          <cell r="AA431">
            <v>514</v>
          </cell>
          <cell r="AB431" t="str">
            <v>Ratios/Misc</v>
          </cell>
          <cell r="AC431">
            <v>410</v>
          </cell>
          <cell r="AD431">
            <v>0</v>
          </cell>
          <cell r="AE431" t="str">
            <v>c_noplat</v>
          </cell>
          <cell r="AF431" t="str">
            <v>b_inv_capital</v>
          </cell>
          <cell r="AG431">
            <v>0</v>
          </cell>
          <cell r="AH431">
            <v>0</v>
          </cell>
          <cell r="AI431">
            <v>0</v>
          </cell>
          <cell r="AJ431">
            <v>216.2</v>
          </cell>
          <cell r="AK431">
            <v>0</v>
          </cell>
          <cell r="AL431">
            <v>0</v>
          </cell>
          <cell r="AM431">
            <v>0</v>
          </cell>
          <cell r="AN431">
            <v>216</v>
          </cell>
          <cell r="AO431" t="str">
            <v>ROIC %</v>
          </cell>
          <cell r="AP431" t="str">
            <v>%</v>
          </cell>
          <cell r="AQ431">
            <v>0</v>
          </cell>
          <cell r="AR431">
            <v>0</v>
          </cell>
          <cell r="AS431" t="str">
            <v>144/168</v>
          </cell>
          <cell r="AT431" t="str">
            <v>NOPLAT /Invested capital</v>
          </cell>
          <cell r="AU431" t="str">
            <v>144</v>
          </cell>
          <cell r="AV431" t="str">
            <v>168</v>
          </cell>
        </row>
        <row r="432">
          <cell r="A432">
            <v>216.2</v>
          </cell>
          <cell r="B432" t="str">
            <v>1r_roic_manual</v>
          </cell>
          <cell r="C432" t="str">
            <v>ROIC</v>
          </cell>
          <cell r="D432" t="str">
            <v>(%)</v>
          </cell>
          <cell r="E432">
            <v>0</v>
          </cell>
          <cell r="F432">
            <v>0</v>
          </cell>
          <cell r="G432">
            <v>0</v>
          </cell>
          <cell r="H432">
            <v>0</v>
          </cell>
          <cell r="I432">
            <v>0</v>
          </cell>
          <cell r="J432">
            <v>0</v>
          </cell>
          <cell r="K432">
            <v>0</v>
          </cell>
          <cell r="L432">
            <v>0</v>
          </cell>
          <cell r="M432">
            <v>0</v>
          </cell>
          <cell r="N432" t="str">
            <v>r_roic_manual</v>
          </cell>
          <cell r="O432">
            <v>0</v>
          </cell>
          <cell r="P432">
            <v>0</v>
          </cell>
          <cell r="Q432">
            <v>0.01</v>
          </cell>
          <cell r="R432" t="str">
            <v>E</v>
          </cell>
          <cell r="S432">
            <v>2</v>
          </cell>
          <cell r="T432" t="str">
            <v>null</v>
          </cell>
          <cell r="U432">
            <v>1</v>
          </cell>
          <cell r="V432">
            <v>0</v>
          </cell>
          <cell r="W432">
            <v>0</v>
          </cell>
          <cell r="X432">
            <v>0</v>
          </cell>
          <cell r="Y432">
            <v>0</v>
          </cell>
          <cell r="Z432">
            <v>0</v>
          </cell>
          <cell r="AA432">
            <v>515</v>
          </cell>
          <cell r="AB432" t="str">
            <v>Ratios/Misc</v>
          </cell>
          <cell r="AC432">
            <v>411</v>
          </cell>
          <cell r="AD432">
            <v>0</v>
          </cell>
          <cell r="AE432">
            <v>0</v>
          </cell>
          <cell r="AF432">
            <v>0</v>
          </cell>
          <cell r="AG432">
            <v>0</v>
          </cell>
          <cell r="AH432">
            <v>0</v>
          </cell>
          <cell r="AI432">
            <v>0</v>
          </cell>
          <cell r="AJ432">
            <v>144</v>
          </cell>
          <cell r="AK432">
            <v>168</v>
          </cell>
          <cell r="AL432">
            <v>0</v>
          </cell>
          <cell r="AM432">
            <v>0</v>
          </cell>
          <cell r="AN432" t="e">
            <v>#N/A</v>
          </cell>
          <cell r="AO432" t="e">
            <v>#N/A</v>
          </cell>
          <cell r="AP432" t="e">
            <v>#N/A</v>
          </cell>
          <cell r="AQ432" t="e">
            <v>#N/A</v>
          </cell>
          <cell r="AR432" t="e">
            <v>#N/A</v>
          </cell>
          <cell r="AS432" t="e">
            <v>#N/A</v>
          </cell>
          <cell r="AT432" t="e">
            <v>#N/A</v>
          </cell>
          <cell r="AU432" t="e">
            <v>#N/A</v>
          </cell>
          <cell r="AV432" t="e">
            <v>#N/A</v>
          </cell>
        </row>
        <row r="433">
          <cell r="A433">
            <v>217</v>
          </cell>
          <cell r="B433" t="str">
            <v>2r_dividend_yield</v>
          </cell>
          <cell r="C433" t="str">
            <v>Dividend yield</v>
          </cell>
          <cell r="D433" t="str">
            <v>(%)</v>
          </cell>
          <cell r="E433">
            <v>0</v>
          </cell>
          <cell r="F433">
            <v>0</v>
          </cell>
          <cell r="G433">
            <v>0</v>
          </cell>
          <cell r="H433">
            <v>0</v>
          </cell>
          <cell r="I433">
            <v>0</v>
          </cell>
          <cell r="J433">
            <v>0</v>
          </cell>
          <cell r="K433">
            <v>0</v>
          </cell>
          <cell r="L433">
            <v>0</v>
          </cell>
          <cell r="M433">
            <v>0</v>
          </cell>
          <cell r="N433" t="str">
            <v>r_dividend_yield</v>
          </cell>
          <cell r="O433">
            <v>0</v>
          </cell>
          <cell r="P433">
            <v>0</v>
          </cell>
          <cell r="Q433">
            <v>0.01</v>
          </cell>
          <cell r="R433" t="str">
            <v>S</v>
          </cell>
          <cell r="S433">
            <v>2</v>
          </cell>
          <cell r="T433" t="str">
            <v>null</v>
          </cell>
          <cell r="U433">
            <v>2</v>
          </cell>
          <cell r="V433" t="str">
            <v>UK</v>
          </cell>
          <cell r="W433">
            <v>0</v>
          </cell>
          <cell r="X433">
            <v>0</v>
          </cell>
          <cell r="Y433">
            <v>0</v>
          </cell>
          <cell r="Z433">
            <v>0</v>
          </cell>
          <cell r="AA433">
            <v>153</v>
          </cell>
          <cell r="AB433" t="str">
            <v>Ratios/Misc</v>
          </cell>
          <cell r="AC433">
            <v>412</v>
          </cell>
          <cell r="AD433">
            <v>0</v>
          </cell>
          <cell r="AE433" t="str">
            <v>dividend_per_share</v>
          </cell>
          <cell r="AF433" t="str">
            <v>&lt;price&gt;</v>
          </cell>
          <cell r="AG433">
            <v>0</v>
          </cell>
          <cell r="AH433">
            <v>0</v>
          </cell>
          <cell r="AI433">
            <v>0</v>
          </cell>
          <cell r="AJ433">
            <v>72</v>
          </cell>
          <cell r="AK433">
            <v>13</v>
          </cell>
          <cell r="AL433">
            <v>0</v>
          </cell>
          <cell r="AM433">
            <v>0</v>
          </cell>
          <cell r="AN433">
            <v>217</v>
          </cell>
          <cell r="AO433" t="str">
            <v>Dividend Yield %*</v>
          </cell>
          <cell r="AP433" t="str">
            <v>%</v>
          </cell>
          <cell r="AQ433">
            <v>0</v>
          </cell>
          <cell r="AR433">
            <v>0</v>
          </cell>
          <cell r="AS433" t="str">
            <v>72/13</v>
          </cell>
          <cell r="AT433" t="str">
            <v>see note on 13</v>
          </cell>
          <cell r="AU433" t="str">
            <v>72</v>
          </cell>
          <cell r="AV433" t="str">
            <v>13</v>
          </cell>
        </row>
        <row r="434">
          <cell r="A434">
            <v>217.5</v>
          </cell>
          <cell r="B434" t="str">
            <v>2r_gross_dividend_yield</v>
          </cell>
          <cell r="C434" t="str">
            <v>Gross dividend yield</v>
          </cell>
          <cell r="D434" t="str">
            <v>(%)</v>
          </cell>
          <cell r="E434">
            <v>0</v>
          </cell>
          <cell r="F434">
            <v>0</v>
          </cell>
          <cell r="G434">
            <v>0</v>
          </cell>
          <cell r="H434">
            <v>0</v>
          </cell>
          <cell r="I434">
            <v>0</v>
          </cell>
          <cell r="J434">
            <v>0</v>
          </cell>
          <cell r="K434">
            <v>0</v>
          </cell>
          <cell r="L434">
            <v>0</v>
          </cell>
          <cell r="M434">
            <v>0</v>
          </cell>
          <cell r="N434" t="str">
            <v>r_gross_dividend_yield</v>
          </cell>
          <cell r="O434">
            <v>0</v>
          </cell>
          <cell r="P434">
            <v>0</v>
          </cell>
          <cell r="Q434">
            <v>0.01</v>
          </cell>
          <cell r="R434" t="str">
            <v>S</v>
          </cell>
          <cell r="S434">
            <v>2</v>
          </cell>
          <cell r="T434" t="str">
            <v>null</v>
          </cell>
          <cell r="U434">
            <v>2</v>
          </cell>
          <cell r="V434">
            <v>0</v>
          </cell>
          <cell r="W434">
            <v>0</v>
          </cell>
          <cell r="X434">
            <v>0</v>
          </cell>
          <cell r="Y434">
            <v>0</v>
          </cell>
          <cell r="Z434">
            <v>0</v>
          </cell>
          <cell r="AA434">
            <v>276</v>
          </cell>
          <cell r="AB434" t="str">
            <v>Ratios/Misc</v>
          </cell>
          <cell r="AC434">
            <v>413</v>
          </cell>
          <cell r="AD434">
            <v>0</v>
          </cell>
          <cell r="AE434" t="str">
            <v>gross_dividend_per_share</v>
          </cell>
          <cell r="AF434" t="str">
            <v>&lt;price&gt;</v>
          </cell>
          <cell r="AG434">
            <v>0</v>
          </cell>
          <cell r="AH434">
            <v>0</v>
          </cell>
          <cell r="AI434">
            <v>0</v>
          </cell>
          <cell r="AJ434">
            <v>0</v>
          </cell>
          <cell r="AK434">
            <v>0</v>
          </cell>
          <cell r="AL434">
            <v>0</v>
          </cell>
          <cell r="AM434">
            <v>0</v>
          </cell>
          <cell r="AN434" t="e">
            <v>#N/A</v>
          </cell>
          <cell r="AO434" t="e">
            <v>#N/A</v>
          </cell>
          <cell r="AP434" t="e">
            <v>#N/A</v>
          </cell>
          <cell r="AQ434" t="e">
            <v>#N/A</v>
          </cell>
          <cell r="AR434" t="e">
            <v>#N/A</v>
          </cell>
          <cell r="AS434" t="e">
            <v>#N/A</v>
          </cell>
          <cell r="AT434" t="e">
            <v>#N/A</v>
          </cell>
          <cell r="AU434" t="e">
            <v>#N/A</v>
          </cell>
          <cell r="AV434" t="e">
            <v>#N/A</v>
          </cell>
          <cell r="AW434" t="str">
            <v>ADD NEW</v>
          </cell>
        </row>
        <row r="435">
          <cell r="A435">
            <v>218</v>
          </cell>
          <cell r="B435" t="str">
            <v>2r_div_yield_rel_sector</v>
          </cell>
          <cell r="C435" t="str">
            <v>Dividend yield relative to sector</v>
          </cell>
          <cell r="D435" t="str">
            <v>Number</v>
          </cell>
          <cell r="E435">
            <v>0</v>
          </cell>
          <cell r="F435">
            <v>0</v>
          </cell>
          <cell r="G435">
            <v>0</v>
          </cell>
          <cell r="H435">
            <v>0</v>
          </cell>
          <cell r="I435">
            <v>0</v>
          </cell>
          <cell r="J435">
            <v>0</v>
          </cell>
          <cell r="K435">
            <v>0</v>
          </cell>
          <cell r="L435">
            <v>0</v>
          </cell>
          <cell r="M435">
            <v>0</v>
          </cell>
          <cell r="N435" t="str">
            <v>r_div_yield_rel_sector</v>
          </cell>
          <cell r="O435">
            <v>0</v>
          </cell>
          <cell r="P435">
            <v>0</v>
          </cell>
          <cell r="Q435">
            <v>1</v>
          </cell>
          <cell r="R435" t="str">
            <v>S</v>
          </cell>
          <cell r="S435">
            <v>2</v>
          </cell>
          <cell r="T435" t="str">
            <v>null</v>
          </cell>
          <cell r="U435">
            <v>2</v>
          </cell>
          <cell r="V435">
            <v>0</v>
          </cell>
          <cell r="W435">
            <v>0</v>
          </cell>
          <cell r="X435">
            <v>0</v>
          </cell>
          <cell r="Y435">
            <v>0</v>
          </cell>
          <cell r="Z435">
            <v>0</v>
          </cell>
          <cell r="AA435">
            <v>155</v>
          </cell>
          <cell r="AB435" t="str">
            <v>Ratios/Misc</v>
          </cell>
          <cell r="AC435">
            <v>414</v>
          </cell>
          <cell r="AD435">
            <v>0</v>
          </cell>
          <cell r="AE435">
            <v>0</v>
          </cell>
          <cell r="AF435">
            <v>0</v>
          </cell>
          <cell r="AG435">
            <v>0</v>
          </cell>
          <cell r="AH435">
            <v>0</v>
          </cell>
          <cell r="AI435">
            <v>0</v>
          </cell>
          <cell r="AJ435">
            <v>0</v>
          </cell>
          <cell r="AK435">
            <v>0</v>
          </cell>
          <cell r="AL435">
            <v>0</v>
          </cell>
          <cell r="AM435">
            <v>0</v>
          </cell>
          <cell r="AN435">
            <v>218</v>
          </cell>
          <cell r="AO435" t="str">
            <v>Dividend Yield relative to sector*</v>
          </cell>
          <cell r="AP435" t="str">
            <v>%</v>
          </cell>
          <cell r="AQ435">
            <v>0</v>
          </cell>
          <cell r="AR435">
            <v>0</v>
          </cell>
          <cell r="AS435" t="str">
            <v>(217/Dividend Yield of local sector as calculated by market model and apportioned to match the year end of the company)*100</v>
          </cell>
          <cell r="AT435">
            <v>0</v>
          </cell>
          <cell r="AU435" t="str">
            <v>(217</v>
          </cell>
          <cell r="AV435" t="str">
            <v>Dividend Yield of local sector as calculated by market model and apportioned to match the year end of the company)*100</v>
          </cell>
          <cell r="AW435" t="str">
            <v>Relative</v>
          </cell>
        </row>
        <row r="436">
          <cell r="A436">
            <v>219</v>
          </cell>
          <cell r="B436" t="str">
            <v>2r_div_yield_rel_market</v>
          </cell>
          <cell r="C436" t="str">
            <v>Dividend yield relative to market</v>
          </cell>
          <cell r="D436" t="str">
            <v>Number</v>
          </cell>
          <cell r="E436">
            <v>0</v>
          </cell>
          <cell r="F436">
            <v>0</v>
          </cell>
          <cell r="G436">
            <v>0</v>
          </cell>
          <cell r="H436">
            <v>0</v>
          </cell>
          <cell r="I436">
            <v>0</v>
          </cell>
          <cell r="J436">
            <v>0</v>
          </cell>
          <cell r="K436">
            <v>0</v>
          </cell>
          <cell r="L436">
            <v>0</v>
          </cell>
          <cell r="M436">
            <v>0</v>
          </cell>
          <cell r="N436" t="str">
            <v>r_div_yield_rel_market</v>
          </cell>
          <cell r="O436">
            <v>0</v>
          </cell>
          <cell r="P436">
            <v>0</v>
          </cell>
          <cell r="Q436">
            <v>1</v>
          </cell>
          <cell r="R436" t="str">
            <v>S</v>
          </cell>
          <cell r="S436">
            <v>2</v>
          </cell>
          <cell r="T436" t="str">
            <v>null</v>
          </cell>
          <cell r="U436">
            <v>2</v>
          </cell>
          <cell r="V436">
            <v>0</v>
          </cell>
          <cell r="W436">
            <v>0</v>
          </cell>
          <cell r="X436">
            <v>0</v>
          </cell>
          <cell r="Y436">
            <v>0</v>
          </cell>
          <cell r="Z436">
            <v>0</v>
          </cell>
          <cell r="AA436">
            <v>154</v>
          </cell>
          <cell r="AB436" t="str">
            <v>Ratios/Misc</v>
          </cell>
          <cell r="AC436">
            <v>415</v>
          </cell>
          <cell r="AD436">
            <v>0</v>
          </cell>
          <cell r="AE436">
            <v>0</v>
          </cell>
          <cell r="AF436">
            <v>0</v>
          </cell>
          <cell r="AG436">
            <v>0</v>
          </cell>
          <cell r="AH436">
            <v>0</v>
          </cell>
          <cell r="AI436">
            <v>0</v>
          </cell>
          <cell r="AJ436">
            <v>0</v>
          </cell>
          <cell r="AK436">
            <v>0</v>
          </cell>
          <cell r="AL436">
            <v>0</v>
          </cell>
          <cell r="AM436">
            <v>0</v>
          </cell>
          <cell r="AN436">
            <v>219</v>
          </cell>
          <cell r="AO436" t="str">
            <v>Dividend Yield relative to market*</v>
          </cell>
          <cell r="AP436" t="str">
            <v>%</v>
          </cell>
          <cell r="AQ436">
            <v>0</v>
          </cell>
          <cell r="AR436">
            <v>0</v>
          </cell>
          <cell r="AS436" t="str">
            <v>(217/Dividend Yield of local market as calculated by market model and apportioned to match the year end of the company)*100</v>
          </cell>
          <cell r="AT436">
            <v>0</v>
          </cell>
          <cell r="AU436" t="str">
            <v>(217</v>
          </cell>
          <cell r="AV436" t="str">
            <v>Dividend Yield of local market as calculated by market model and apportioned to match the year end of the company)*100</v>
          </cell>
          <cell r="AW436" t="str">
            <v>Relative</v>
          </cell>
        </row>
        <row r="437">
          <cell r="A437">
            <v>220</v>
          </cell>
          <cell r="B437" t="str">
            <v>2r_net_debt_cap_emp</v>
          </cell>
          <cell r="C437" t="str">
            <v>Net debt/capital employed</v>
          </cell>
          <cell r="D437" t="str">
            <v>(%)</v>
          </cell>
          <cell r="E437">
            <v>0</v>
          </cell>
          <cell r="F437">
            <v>0</v>
          </cell>
          <cell r="G437">
            <v>0</v>
          </cell>
          <cell r="H437">
            <v>0</v>
          </cell>
          <cell r="I437">
            <v>0</v>
          </cell>
          <cell r="J437">
            <v>0</v>
          </cell>
          <cell r="K437">
            <v>0</v>
          </cell>
          <cell r="L437">
            <v>0</v>
          </cell>
          <cell r="M437">
            <v>0</v>
          </cell>
          <cell r="N437" t="str">
            <v>r_net_debt_cap_emp</v>
          </cell>
          <cell r="O437">
            <v>0</v>
          </cell>
          <cell r="P437">
            <v>0</v>
          </cell>
          <cell r="Q437">
            <v>0.01</v>
          </cell>
          <cell r="R437" t="str">
            <v>E</v>
          </cell>
          <cell r="S437">
            <v>2</v>
          </cell>
          <cell r="T437" t="str">
            <v>null</v>
          </cell>
          <cell r="U437">
            <v>2</v>
          </cell>
          <cell r="V437">
            <v>0</v>
          </cell>
          <cell r="W437">
            <v>0</v>
          </cell>
          <cell r="X437">
            <v>0</v>
          </cell>
          <cell r="Y437">
            <v>0</v>
          </cell>
          <cell r="Z437">
            <v>0</v>
          </cell>
          <cell r="AA437">
            <v>365</v>
          </cell>
          <cell r="AB437" t="str">
            <v>Ratios/Misc</v>
          </cell>
          <cell r="AC437">
            <v>416</v>
          </cell>
          <cell r="AD437">
            <v>0</v>
          </cell>
          <cell r="AE437" t="str">
            <v>net_cash_debt_mv</v>
          </cell>
          <cell r="AF437" t="str">
            <v>b_capital_employed</v>
          </cell>
          <cell r="AG437">
            <v>0</v>
          </cell>
          <cell r="AH437">
            <v>0</v>
          </cell>
          <cell r="AI437">
            <v>0</v>
          </cell>
          <cell r="AJ437">
            <v>0</v>
          </cell>
          <cell r="AK437">
            <v>0</v>
          </cell>
          <cell r="AL437">
            <v>0</v>
          </cell>
          <cell r="AM437">
            <v>0</v>
          </cell>
          <cell r="AN437">
            <v>220</v>
          </cell>
          <cell r="AO437" t="str">
            <v>Net debt/Capital Employed %</v>
          </cell>
          <cell r="AP437" t="str">
            <v>%</v>
          </cell>
          <cell r="AQ437">
            <v>0</v>
          </cell>
          <cell r="AR437">
            <v>0</v>
          </cell>
          <cell r="AS437" t="str">
            <v>if(161&gt;=0, na, -161/163)</v>
          </cell>
          <cell r="AT437">
            <v>0</v>
          </cell>
          <cell r="AU437" t="str">
            <v>if(161&gt;=0, na, -161</v>
          </cell>
          <cell r="AV437" t="str">
            <v>163)</v>
          </cell>
        </row>
        <row r="438">
          <cell r="A438">
            <v>221</v>
          </cell>
          <cell r="B438" t="str">
            <v>2r_net_debt_inv_cap</v>
          </cell>
          <cell r="C438" t="str">
            <v>Net debt/invested capital</v>
          </cell>
          <cell r="D438" t="str">
            <v>(%)</v>
          </cell>
          <cell r="E438">
            <v>0</v>
          </cell>
          <cell r="F438">
            <v>0</v>
          </cell>
          <cell r="G438">
            <v>0</v>
          </cell>
          <cell r="H438">
            <v>0</v>
          </cell>
          <cell r="I438">
            <v>0</v>
          </cell>
          <cell r="J438">
            <v>0</v>
          </cell>
          <cell r="K438">
            <v>0</v>
          </cell>
          <cell r="L438">
            <v>0</v>
          </cell>
          <cell r="M438">
            <v>0</v>
          </cell>
          <cell r="N438" t="str">
            <v>r_net_debt_inv_cap</v>
          </cell>
          <cell r="O438">
            <v>0</v>
          </cell>
          <cell r="P438">
            <v>0</v>
          </cell>
          <cell r="Q438">
            <v>0.01</v>
          </cell>
          <cell r="R438" t="str">
            <v>E</v>
          </cell>
          <cell r="S438">
            <v>2</v>
          </cell>
          <cell r="T438" t="str">
            <v>null</v>
          </cell>
          <cell r="U438">
            <v>2</v>
          </cell>
          <cell r="V438">
            <v>0</v>
          </cell>
          <cell r="W438">
            <v>0</v>
          </cell>
          <cell r="X438">
            <v>0</v>
          </cell>
          <cell r="Y438">
            <v>0</v>
          </cell>
          <cell r="Z438">
            <v>0</v>
          </cell>
          <cell r="AA438">
            <v>367</v>
          </cell>
          <cell r="AB438" t="str">
            <v>Ratios/Misc</v>
          </cell>
          <cell r="AC438">
            <v>417</v>
          </cell>
          <cell r="AD438">
            <v>0</v>
          </cell>
          <cell r="AE438" t="str">
            <v>net_cash_debt_mv</v>
          </cell>
          <cell r="AF438" t="str">
            <v>b_inv_capital</v>
          </cell>
          <cell r="AG438">
            <v>0</v>
          </cell>
          <cell r="AH438">
            <v>0</v>
          </cell>
          <cell r="AI438">
            <v>0</v>
          </cell>
          <cell r="AJ438">
            <v>0</v>
          </cell>
          <cell r="AK438">
            <v>0</v>
          </cell>
          <cell r="AL438">
            <v>0</v>
          </cell>
          <cell r="AM438">
            <v>0</v>
          </cell>
          <cell r="AN438">
            <v>221</v>
          </cell>
          <cell r="AO438" t="str">
            <v>Net Debt/Invested Capital</v>
          </cell>
          <cell r="AP438" t="str">
            <v>%</v>
          </cell>
          <cell r="AQ438">
            <v>0</v>
          </cell>
          <cell r="AR438">
            <v>0</v>
          </cell>
          <cell r="AS438" t="str">
            <v>if(161&gt;=0, na, -161/168)</v>
          </cell>
          <cell r="AT438">
            <v>0</v>
          </cell>
          <cell r="AU438" t="str">
            <v>if(161&gt;=0, na, -161</v>
          </cell>
          <cell r="AV438" t="str">
            <v>168)</v>
          </cell>
        </row>
        <row r="439">
          <cell r="A439">
            <v>222</v>
          </cell>
          <cell r="B439" t="str">
            <v>2r_net_debt_ev</v>
          </cell>
          <cell r="C439" t="str">
            <v>Net debt/EV</v>
          </cell>
          <cell r="D439" t="str">
            <v>(%)</v>
          </cell>
          <cell r="E439">
            <v>0</v>
          </cell>
          <cell r="F439">
            <v>0</v>
          </cell>
          <cell r="G439">
            <v>0</v>
          </cell>
          <cell r="H439">
            <v>0</v>
          </cell>
          <cell r="I439">
            <v>0</v>
          </cell>
          <cell r="J439">
            <v>0</v>
          </cell>
          <cell r="K439">
            <v>0</v>
          </cell>
          <cell r="L439">
            <v>0</v>
          </cell>
          <cell r="M439">
            <v>0</v>
          </cell>
          <cell r="N439" t="str">
            <v>r_net_debt_ev</v>
          </cell>
          <cell r="O439">
            <v>0</v>
          </cell>
          <cell r="P439">
            <v>0</v>
          </cell>
          <cell r="Q439">
            <v>0.01</v>
          </cell>
          <cell r="R439" t="str">
            <v>E</v>
          </cell>
          <cell r="S439">
            <v>2</v>
          </cell>
          <cell r="T439" t="str">
            <v>null</v>
          </cell>
          <cell r="U439">
            <v>2</v>
          </cell>
          <cell r="V439">
            <v>0</v>
          </cell>
          <cell r="W439">
            <v>0</v>
          </cell>
          <cell r="X439">
            <v>0</v>
          </cell>
          <cell r="Y439">
            <v>0</v>
          </cell>
          <cell r="Z439">
            <v>0</v>
          </cell>
          <cell r="AA439">
            <v>366</v>
          </cell>
          <cell r="AB439" t="str">
            <v>Ratios/Misc</v>
          </cell>
          <cell r="AC439">
            <v>418</v>
          </cell>
          <cell r="AD439">
            <v>0</v>
          </cell>
          <cell r="AE439" t="str">
            <v>net_cash_debt_mv</v>
          </cell>
          <cell r="AF439" t="str">
            <v>&lt;ev&gt;</v>
          </cell>
          <cell r="AG439">
            <v>0</v>
          </cell>
          <cell r="AH439">
            <v>0</v>
          </cell>
          <cell r="AI439">
            <v>0</v>
          </cell>
          <cell r="AJ439">
            <v>0</v>
          </cell>
          <cell r="AK439">
            <v>0</v>
          </cell>
          <cell r="AL439">
            <v>0</v>
          </cell>
          <cell r="AM439">
            <v>0</v>
          </cell>
          <cell r="AN439">
            <v>222</v>
          </cell>
          <cell r="AO439" t="str">
            <v>Net debt/EV %</v>
          </cell>
          <cell r="AP439" t="str">
            <v>%</v>
          </cell>
          <cell r="AQ439">
            <v>0</v>
          </cell>
          <cell r="AR439">
            <v>0</v>
          </cell>
          <cell r="AS439" t="str">
            <v>if(161&gt;=0, na, -161/3)</v>
          </cell>
          <cell r="AT439">
            <v>0</v>
          </cell>
          <cell r="AU439" t="str">
            <v>if(161&gt;=0, na, -161</v>
          </cell>
          <cell r="AV439" t="str">
            <v>3)</v>
          </cell>
        </row>
        <row r="440">
          <cell r="A440">
            <v>426</v>
          </cell>
          <cell r="B440" t="str">
            <v>1r_gearing</v>
          </cell>
          <cell r="C440" t="str">
            <v>Net debt/shareholders funds (net gearing)</v>
          </cell>
          <cell r="D440" t="str">
            <v>(%)</v>
          </cell>
          <cell r="E440">
            <v>0</v>
          </cell>
          <cell r="F440">
            <v>0</v>
          </cell>
          <cell r="G440">
            <v>0</v>
          </cell>
          <cell r="H440">
            <v>0</v>
          </cell>
          <cell r="I440">
            <v>0</v>
          </cell>
          <cell r="J440">
            <v>0</v>
          </cell>
          <cell r="K440">
            <v>0</v>
          </cell>
          <cell r="L440">
            <v>0</v>
          </cell>
          <cell r="M440">
            <v>0</v>
          </cell>
          <cell r="N440" t="str">
            <v>r_gearing</v>
          </cell>
          <cell r="O440">
            <v>0</v>
          </cell>
          <cell r="P440">
            <v>0</v>
          </cell>
          <cell r="Q440">
            <v>0.01</v>
          </cell>
          <cell r="R440" t="str">
            <v>E</v>
          </cell>
          <cell r="S440">
            <v>2</v>
          </cell>
          <cell r="T440" t="str">
            <v>null</v>
          </cell>
          <cell r="U440">
            <v>1</v>
          </cell>
          <cell r="V440" t="str">
            <v>UK/US</v>
          </cell>
          <cell r="W440">
            <v>0</v>
          </cell>
          <cell r="X440">
            <v>0</v>
          </cell>
          <cell r="Y440">
            <v>0</v>
          </cell>
          <cell r="Z440">
            <v>0</v>
          </cell>
          <cell r="AA440">
            <v>371</v>
          </cell>
          <cell r="AB440" t="str">
            <v>Ratios/Misc</v>
          </cell>
          <cell r="AC440">
            <v>419</v>
          </cell>
          <cell r="AD440">
            <v>0</v>
          </cell>
          <cell r="AE440">
            <v>0</v>
          </cell>
          <cell r="AF440">
            <v>0</v>
          </cell>
          <cell r="AG440">
            <v>0</v>
          </cell>
          <cell r="AH440">
            <v>0</v>
          </cell>
          <cell r="AI440">
            <v>0</v>
          </cell>
          <cell r="AJ440">
            <v>0</v>
          </cell>
          <cell r="AK440">
            <v>0</v>
          </cell>
          <cell r="AL440">
            <v>0</v>
          </cell>
          <cell r="AM440">
            <v>0</v>
          </cell>
          <cell r="AN440" t="e">
            <v>#N/A</v>
          </cell>
          <cell r="AO440" t="e">
            <v>#N/A</v>
          </cell>
          <cell r="AP440" t="e">
            <v>#N/A</v>
          </cell>
          <cell r="AQ440" t="e">
            <v>#N/A</v>
          </cell>
          <cell r="AR440" t="e">
            <v>#N/A</v>
          </cell>
          <cell r="AS440" t="e">
            <v>#N/A</v>
          </cell>
          <cell r="AT440" t="e">
            <v>#N/A</v>
          </cell>
          <cell r="AU440" t="e">
            <v>#N/A</v>
          </cell>
          <cell r="AV440" t="e">
            <v>#N/A</v>
          </cell>
        </row>
        <row r="441">
          <cell r="A441">
            <v>223</v>
          </cell>
          <cell r="B441" t="str">
            <v>1r_gearing</v>
          </cell>
          <cell r="C441" t="str">
            <v>Net gearing</v>
          </cell>
          <cell r="D441" t="str">
            <v>(%)</v>
          </cell>
          <cell r="E441">
            <v>0</v>
          </cell>
          <cell r="F441">
            <v>0</v>
          </cell>
          <cell r="G441">
            <v>0</v>
          </cell>
          <cell r="H441">
            <v>0</v>
          </cell>
          <cell r="I441">
            <v>0</v>
          </cell>
          <cell r="J441">
            <v>0</v>
          </cell>
          <cell r="K441">
            <v>0</v>
          </cell>
          <cell r="L441">
            <v>0</v>
          </cell>
          <cell r="M441">
            <v>0</v>
          </cell>
          <cell r="N441" t="str">
            <v>r_gearing</v>
          </cell>
          <cell r="O441">
            <v>0</v>
          </cell>
          <cell r="P441">
            <v>0</v>
          </cell>
          <cell r="Q441">
            <v>0.01</v>
          </cell>
          <cell r="R441" t="str">
            <v>E</v>
          </cell>
          <cell r="S441">
            <v>2</v>
          </cell>
          <cell r="T441" t="str">
            <v>null</v>
          </cell>
          <cell r="U441">
            <v>1</v>
          </cell>
          <cell r="V441" t="str">
            <v>UK/US</v>
          </cell>
          <cell r="W441">
            <v>0</v>
          </cell>
          <cell r="X441">
            <v>0</v>
          </cell>
          <cell r="Y441">
            <v>0</v>
          </cell>
          <cell r="Z441">
            <v>0</v>
          </cell>
          <cell r="AA441">
            <v>372</v>
          </cell>
          <cell r="AB441" t="str">
            <v>Ratios/Misc</v>
          </cell>
          <cell r="AC441">
            <v>420</v>
          </cell>
          <cell r="AD441">
            <v>0</v>
          </cell>
          <cell r="AE441">
            <v>0</v>
          </cell>
          <cell r="AF441">
            <v>0</v>
          </cell>
          <cell r="AG441">
            <v>0</v>
          </cell>
          <cell r="AH441">
            <v>0</v>
          </cell>
          <cell r="AI441">
            <v>0</v>
          </cell>
          <cell r="AJ441">
            <v>0</v>
          </cell>
          <cell r="AK441">
            <v>0</v>
          </cell>
          <cell r="AL441">
            <v>0</v>
          </cell>
          <cell r="AM441">
            <v>0</v>
          </cell>
          <cell r="AN441">
            <v>223</v>
          </cell>
          <cell r="AO441" t="str">
            <v>Gearing %*</v>
          </cell>
          <cell r="AP441" t="str">
            <v>%</v>
          </cell>
          <cell r="AQ441" t="str">
            <v>Net gearing</v>
          </cell>
          <cell r="AR441">
            <v>0</v>
          </cell>
          <cell r="AS441">
            <v>0</v>
          </cell>
          <cell r="AT441">
            <v>0</v>
          </cell>
          <cell r="AU441" t="e">
            <v>#VALUE!</v>
          </cell>
          <cell r="AV441" t="e">
            <v>#VALUE!</v>
          </cell>
        </row>
        <row r="442">
          <cell r="A442">
            <v>224</v>
          </cell>
          <cell r="B442" t="str">
            <v>2r_net_debt_market_cap</v>
          </cell>
          <cell r="C442" t="str">
            <v>Net debt/market cap</v>
          </cell>
          <cell r="D442" t="str">
            <v>(%)</v>
          </cell>
          <cell r="E442">
            <v>0</v>
          </cell>
          <cell r="F442">
            <v>0</v>
          </cell>
          <cell r="G442">
            <v>0</v>
          </cell>
          <cell r="H442">
            <v>0</v>
          </cell>
          <cell r="I442">
            <v>0</v>
          </cell>
          <cell r="J442">
            <v>0</v>
          </cell>
          <cell r="K442">
            <v>0</v>
          </cell>
          <cell r="L442">
            <v>0</v>
          </cell>
          <cell r="M442">
            <v>0</v>
          </cell>
          <cell r="N442" t="str">
            <v>r_net_debt_market_cap</v>
          </cell>
          <cell r="O442">
            <v>0</v>
          </cell>
          <cell r="P442">
            <v>0</v>
          </cell>
          <cell r="Q442">
            <v>0.01</v>
          </cell>
          <cell r="R442" t="str">
            <v>S</v>
          </cell>
          <cell r="S442">
            <v>2</v>
          </cell>
          <cell r="T442" t="str">
            <v>null</v>
          </cell>
          <cell r="U442">
            <v>2</v>
          </cell>
          <cell r="V442">
            <v>0</v>
          </cell>
          <cell r="W442">
            <v>0</v>
          </cell>
          <cell r="X442">
            <v>0</v>
          </cell>
          <cell r="Y442">
            <v>0</v>
          </cell>
          <cell r="Z442">
            <v>0</v>
          </cell>
          <cell r="AA442">
            <v>368</v>
          </cell>
          <cell r="AB442" t="str">
            <v>Ratios/Misc</v>
          </cell>
          <cell r="AC442">
            <v>421</v>
          </cell>
          <cell r="AD442">
            <v>0</v>
          </cell>
          <cell r="AE442" t="str">
            <v>net_cash_debt_mv</v>
          </cell>
          <cell r="AF442" t="str">
            <v>&lt;mc&gt;</v>
          </cell>
          <cell r="AG442">
            <v>0</v>
          </cell>
          <cell r="AH442">
            <v>0</v>
          </cell>
          <cell r="AI442">
            <v>0</v>
          </cell>
          <cell r="AJ442">
            <v>161</v>
          </cell>
          <cell r="AK442">
            <v>2</v>
          </cell>
          <cell r="AL442">
            <v>0</v>
          </cell>
          <cell r="AM442">
            <v>0</v>
          </cell>
          <cell r="AN442">
            <v>224</v>
          </cell>
          <cell r="AO442" t="str">
            <v>net debt/market cap %</v>
          </cell>
          <cell r="AP442" t="str">
            <v>%</v>
          </cell>
          <cell r="AQ442">
            <v>0</v>
          </cell>
          <cell r="AR442">
            <v>0</v>
          </cell>
          <cell r="AS442" t="str">
            <v>161/2</v>
          </cell>
          <cell r="AT442">
            <v>0</v>
          </cell>
          <cell r="AU442" t="str">
            <v>161</v>
          </cell>
          <cell r="AV442" t="str">
            <v>2</v>
          </cell>
        </row>
        <row r="443">
          <cell r="A443">
            <v>224.5</v>
          </cell>
          <cell r="B443" t="str">
            <v>2r_nebtdebt_reg_cap_value</v>
          </cell>
          <cell r="C443" t="str">
            <v>Net debt/regulatory capital value</v>
          </cell>
          <cell r="D443" t="str">
            <v>(%)</v>
          </cell>
          <cell r="E443">
            <v>0</v>
          </cell>
          <cell r="F443">
            <v>0</v>
          </cell>
          <cell r="G443">
            <v>0</v>
          </cell>
          <cell r="H443">
            <v>0</v>
          </cell>
          <cell r="I443">
            <v>0</v>
          </cell>
          <cell r="J443">
            <v>0</v>
          </cell>
          <cell r="K443">
            <v>0</v>
          </cell>
          <cell r="L443">
            <v>0</v>
          </cell>
          <cell r="M443">
            <v>0</v>
          </cell>
          <cell r="N443" t="str">
            <v>r_nebtdebt_reg_cap_value</v>
          </cell>
          <cell r="O443">
            <v>0</v>
          </cell>
          <cell r="P443">
            <v>0</v>
          </cell>
          <cell r="Q443">
            <v>1</v>
          </cell>
          <cell r="R443" t="str">
            <v>E</v>
          </cell>
          <cell r="S443">
            <v>2</v>
          </cell>
          <cell r="T443" t="str">
            <v>null</v>
          </cell>
          <cell r="U443">
            <v>2</v>
          </cell>
          <cell r="V443">
            <v>0</v>
          </cell>
          <cell r="W443">
            <v>0</v>
          </cell>
          <cell r="X443">
            <v>0</v>
          </cell>
          <cell r="Y443">
            <v>0</v>
          </cell>
          <cell r="Z443">
            <v>0</v>
          </cell>
          <cell r="AA443">
            <v>370</v>
          </cell>
          <cell r="AB443" t="str">
            <v>Ratios/Misc</v>
          </cell>
          <cell r="AC443">
            <v>422</v>
          </cell>
          <cell r="AD443">
            <v>0</v>
          </cell>
          <cell r="AE443" t="str">
            <v>b_net_cash</v>
          </cell>
          <cell r="AF443" t="str">
            <v>property?</v>
          </cell>
          <cell r="AG443">
            <v>0</v>
          </cell>
          <cell r="AH443">
            <v>0</v>
          </cell>
          <cell r="AI443">
            <v>0</v>
          </cell>
          <cell r="AJ443">
            <v>0</v>
          </cell>
          <cell r="AK443">
            <v>0</v>
          </cell>
          <cell r="AL443">
            <v>0</v>
          </cell>
          <cell r="AM443">
            <v>0</v>
          </cell>
          <cell r="AN443" t="e">
            <v>#N/A</v>
          </cell>
          <cell r="AO443" t="e">
            <v>#N/A</v>
          </cell>
          <cell r="AP443" t="e">
            <v>#N/A</v>
          </cell>
          <cell r="AQ443" t="e">
            <v>#N/A</v>
          </cell>
          <cell r="AR443" t="e">
            <v>#N/A</v>
          </cell>
          <cell r="AS443" t="e">
            <v>#N/A</v>
          </cell>
          <cell r="AT443" t="e">
            <v>#N/A</v>
          </cell>
          <cell r="AU443" t="e">
            <v>#N/A</v>
          </cell>
          <cell r="AV443" t="e">
            <v>#N/A</v>
          </cell>
        </row>
        <row r="444">
          <cell r="A444">
            <v>225</v>
          </cell>
          <cell r="B444" t="str">
            <v>2r_premium_disc_nav</v>
          </cell>
          <cell r="C444" t="str">
            <v>Premium (disc) to NAV</v>
          </cell>
          <cell r="D444" t="str">
            <v>(%)</v>
          </cell>
          <cell r="E444">
            <v>0</v>
          </cell>
          <cell r="F444">
            <v>0</v>
          </cell>
          <cell r="G444">
            <v>0</v>
          </cell>
          <cell r="H444">
            <v>0</v>
          </cell>
          <cell r="I444">
            <v>0</v>
          </cell>
          <cell r="J444">
            <v>0</v>
          </cell>
          <cell r="K444">
            <v>0</v>
          </cell>
          <cell r="L444">
            <v>0</v>
          </cell>
          <cell r="M444">
            <v>0</v>
          </cell>
          <cell r="N444" t="str">
            <v>r_premium_disc_nav</v>
          </cell>
          <cell r="O444">
            <v>0</v>
          </cell>
          <cell r="P444">
            <v>0</v>
          </cell>
          <cell r="Q444">
            <v>0.01</v>
          </cell>
          <cell r="R444" t="str">
            <v>S</v>
          </cell>
          <cell r="S444">
            <v>2</v>
          </cell>
          <cell r="T444" t="str">
            <v>null</v>
          </cell>
          <cell r="U444">
            <v>2</v>
          </cell>
          <cell r="V444">
            <v>0</v>
          </cell>
          <cell r="W444">
            <v>0</v>
          </cell>
          <cell r="X444">
            <v>0</v>
          </cell>
          <cell r="Y444">
            <v>0</v>
          </cell>
          <cell r="Z444">
            <v>0</v>
          </cell>
          <cell r="AA444">
            <v>475</v>
          </cell>
          <cell r="AB444" t="str">
            <v>Ratios/Misc</v>
          </cell>
          <cell r="AC444">
            <v>423</v>
          </cell>
          <cell r="AD444">
            <v>0</v>
          </cell>
          <cell r="AE444" t="str">
            <v>&lt;price&gt;</v>
          </cell>
          <cell r="AF444" t="str">
            <v>book_value_per_share</v>
          </cell>
          <cell r="AG444">
            <v>0</v>
          </cell>
          <cell r="AH444">
            <v>0</v>
          </cell>
          <cell r="AI444">
            <v>0</v>
          </cell>
          <cell r="AJ444">
            <v>170</v>
          </cell>
          <cell r="AK444">
            <v>13</v>
          </cell>
          <cell r="AL444">
            <v>0</v>
          </cell>
          <cell r="AM444">
            <v>0</v>
          </cell>
          <cell r="AN444">
            <v>225</v>
          </cell>
          <cell r="AO444" t="str">
            <v>Premium(Disc) to NAV*</v>
          </cell>
          <cell r="AP444" t="str">
            <v>%</v>
          </cell>
          <cell r="AQ444">
            <v>0</v>
          </cell>
          <cell r="AR444">
            <v>0</v>
          </cell>
          <cell r="AS444" t="str">
            <v>(170/13)*100 -100</v>
          </cell>
          <cell r="AT444" t="str">
            <v>see note re 13</v>
          </cell>
          <cell r="AU444" t="str">
            <v>(170</v>
          </cell>
          <cell r="AV444" t="str">
            <v>13)*100 -100</v>
          </cell>
          <cell r="AW444" t="str">
            <v>UNSURE ABOUT FORMULA</v>
          </cell>
        </row>
        <row r="445">
          <cell r="A445">
            <v>225.2</v>
          </cell>
          <cell r="B445" t="str">
            <v>2r_premium_disc_nav_exclmin</v>
          </cell>
          <cell r="C445" t="str">
            <v>Premium (disc) to NAV (excluding minorities)</v>
          </cell>
          <cell r="D445" t="str">
            <v>(%)</v>
          </cell>
          <cell r="E445">
            <v>0</v>
          </cell>
          <cell r="F445">
            <v>0</v>
          </cell>
          <cell r="G445">
            <v>0</v>
          </cell>
          <cell r="H445">
            <v>0</v>
          </cell>
          <cell r="I445">
            <v>0</v>
          </cell>
          <cell r="J445">
            <v>0</v>
          </cell>
          <cell r="K445">
            <v>0</v>
          </cell>
          <cell r="L445">
            <v>0</v>
          </cell>
          <cell r="M445">
            <v>0</v>
          </cell>
          <cell r="N445" t="str">
            <v>r_premium_disc_nav_exclmin</v>
          </cell>
          <cell r="O445">
            <v>0</v>
          </cell>
          <cell r="P445">
            <v>0</v>
          </cell>
          <cell r="Q445">
            <v>0.01</v>
          </cell>
          <cell r="R445" t="str">
            <v>S</v>
          </cell>
          <cell r="S445">
            <v>2</v>
          </cell>
          <cell r="T445" t="str">
            <v>null</v>
          </cell>
          <cell r="U445">
            <v>2</v>
          </cell>
          <cell r="V445">
            <v>0</v>
          </cell>
          <cell r="W445">
            <v>0</v>
          </cell>
          <cell r="X445">
            <v>0</v>
          </cell>
          <cell r="Y445">
            <v>0</v>
          </cell>
          <cell r="Z445">
            <v>0</v>
          </cell>
          <cell r="AA445">
            <v>476</v>
          </cell>
          <cell r="AB445" t="str">
            <v>Ratios/Misc</v>
          </cell>
          <cell r="AC445">
            <v>424</v>
          </cell>
          <cell r="AD445">
            <v>0</v>
          </cell>
          <cell r="AE445">
            <v>0</v>
          </cell>
          <cell r="AF445">
            <v>0</v>
          </cell>
          <cell r="AG445">
            <v>0</v>
          </cell>
          <cell r="AH445">
            <v>0</v>
          </cell>
          <cell r="AI445">
            <v>0</v>
          </cell>
          <cell r="AJ445">
            <v>0</v>
          </cell>
          <cell r="AK445">
            <v>0</v>
          </cell>
          <cell r="AL445">
            <v>0</v>
          </cell>
          <cell r="AM445">
            <v>0</v>
          </cell>
          <cell r="AN445" t="e">
            <v>#N/A</v>
          </cell>
          <cell r="AO445" t="e">
            <v>#N/A</v>
          </cell>
          <cell r="AP445" t="e">
            <v>#N/A</v>
          </cell>
          <cell r="AQ445" t="e">
            <v>#N/A</v>
          </cell>
          <cell r="AR445" t="e">
            <v>#N/A</v>
          </cell>
          <cell r="AS445" t="e">
            <v>#N/A</v>
          </cell>
          <cell r="AT445" t="e">
            <v>#N/A</v>
          </cell>
          <cell r="AU445" t="e">
            <v>#N/A</v>
          </cell>
          <cell r="AV445" t="e">
            <v>#N/A</v>
          </cell>
          <cell r="AW445" t="str">
            <v>UNSURE ABOUT FORMULA</v>
          </cell>
        </row>
        <row r="446">
          <cell r="A446">
            <v>226</v>
          </cell>
          <cell r="B446" t="str">
            <v>2r_price_book</v>
          </cell>
          <cell r="C446" t="str">
            <v>Price/book</v>
          </cell>
          <cell r="D446" t="str">
            <v>Multiple</v>
          </cell>
          <cell r="E446">
            <v>0</v>
          </cell>
          <cell r="F446">
            <v>0</v>
          </cell>
          <cell r="G446">
            <v>0</v>
          </cell>
          <cell r="H446">
            <v>0</v>
          </cell>
          <cell r="I446">
            <v>0</v>
          </cell>
          <cell r="J446">
            <v>0</v>
          </cell>
          <cell r="K446">
            <v>0</v>
          </cell>
          <cell r="L446">
            <v>0</v>
          </cell>
          <cell r="M446">
            <v>0</v>
          </cell>
          <cell r="N446" t="str">
            <v>r_price_book</v>
          </cell>
          <cell r="O446">
            <v>0</v>
          </cell>
          <cell r="P446">
            <v>0</v>
          </cell>
          <cell r="Q446">
            <v>1</v>
          </cell>
          <cell r="R446" t="str">
            <v>S</v>
          </cell>
          <cell r="S446">
            <v>2</v>
          </cell>
          <cell r="T446" t="str">
            <v>null</v>
          </cell>
          <cell r="U446">
            <v>2</v>
          </cell>
          <cell r="V446">
            <v>0</v>
          </cell>
          <cell r="W446">
            <v>0</v>
          </cell>
          <cell r="X446">
            <v>0</v>
          </cell>
          <cell r="Y446">
            <v>0</v>
          </cell>
          <cell r="Z446">
            <v>0</v>
          </cell>
          <cell r="AA446">
            <v>478</v>
          </cell>
          <cell r="AB446" t="str">
            <v>Ratios/Misc</v>
          </cell>
          <cell r="AC446">
            <v>425</v>
          </cell>
          <cell r="AD446">
            <v>0</v>
          </cell>
          <cell r="AE446" t="str">
            <v>&lt;price&gt;</v>
          </cell>
          <cell r="AF446" t="str">
            <v>book_value_per_share</v>
          </cell>
          <cell r="AG446">
            <v>0</v>
          </cell>
          <cell r="AH446">
            <v>0</v>
          </cell>
          <cell r="AI446">
            <v>0</v>
          </cell>
          <cell r="AJ446">
            <v>13</v>
          </cell>
          <cell r="AK446">
            <v>170</v>
          </cell>
          <cell r="AL446">
            <v>0</v>
          </cell>
          <cell r="AM446">
            <v>0</v>
          </cell>
          <cell r="AN446">
            <v>226</v>
          </cell>
          <cell r="AO446" t="str">
            <v>Price/Book*</v>
          </cell>
          <cell r="AP446" t="str">
            <v>x</v>
          </cell>
          <cell r="AQ446">
            <v>0</v>
          </cell>
          <cell r="AR446">
            <v>0</v>
          </cell>
          <cell r="AS446" t="str">
            <v>13/170</v>
          </cell>
          <cell r="AT446" t="str">
            <v>see note re 13</v>
          </cell>
          <cell r="AU446" t="str">
            <v>13</v>
          </cell>
          <cell r="AV446" t="str">
            <v>170</v>
          </cell>
        </row>
        <row r="447">
          <cell r="A447">
            <v>227</v>
          </cell>
          <cell r="B447" t="str">
            <v>2r_p_opcf_opts_per_share</v>
          </cell>
          <cell r="C447" t="str">
            <v>P/net CF from operations per share</v>
          </cell>
          <cell r="D447" t="str">
            <v>Multiple</v>
          </cell>
          <cell r="E447">
            <v>0</v>
          </cell>
          <cell r="F447">
            <v>0</v>
          </cell>
          <cell r="G447">
            <v>0</v>
          </cell>
          <cell r="H447">
            <v>0</v>
          </cell>
          <cell r="I447">
            <v>0</v>
          </cell>
          <cell r="J447">
            <v>0</v>
          </cell>
          <cell r="K447">
            <v>0</v>
          </cell>
          <cell r="L447">
            <v>0</v>
          </cell>
          <cell r="M447">
            <v>0</v>
          </cell>
          <cell r="N447" t="str">
            <v>r_p_opcf_opts_per_share</v>
          </cell>
          <cell r="O447">
            <v>0</v>
          </cell>
          <cell r="P447">
            <v>0</v>
          </cell>
          <cell r="Q447">
            <v>1</v>
          </cell>
          <cell r="R447" t="str">
            <v>S</v>
          </cell>
          <cell r="S447">
            <v>2</v>
          </cell>
          <cell r="T447" t="str">
            <v>null</v>
          </cell>
          <cell r="U447">
            <v>2</v>
          </cell>
          <cell r="V447">
            <v>0</v>
          </cell>
          <cell r="W447">
            <v>0</v>
          </cell>
          <cell r="X447">
            <v>0</v>
          </cell>
          <cell r="Y447">
            <v>0</v>
          </cell>
          <cell r="Z447">
            <v>0</v>
          </cell>
          <cell r="AA447">
            <v>463</v>
          </cell>
          <cell r="AB447" t="str">
            <v>Ratios/Misc</v>
          </cell>
          <cell r="AC447">
            <v>426</v>
          </cell>
          <cell r="AD447">
            <v>0</v>
          </cell>
          <cell r="AE447" t="str">
            <v>&lt;price&gt;</v>
          </cell>
          <cell r="AF447" t="str">
            <v>c_opcf_opts_per_share</v>
          </cell>
          <cell r="AG447">
            <v>0</v>
          </cell>
          <cell r="AH447">
            <v>0</v>
          </cell>
          <cell r="AI447">
            <v>0</v>
          </cell>
          <cell r="AJ447">
            <v>2</v>
          </cell>
          <cell r="AK447">
            <v>115</v>
          </cell>
          <cell r="AL447">
            <v>0</v>
          </cell>
          <cell r="AM447">
            <v>0</v>
          </cell>
          <cell r="AN447">
            <v>227</v>
          </cell>
          <cell r="AO447" t="str">
            <v>P/operating cash flow per share</v>
          </cell>
          <cell r="AP447" t="str">
            <v>x</v>
          </cell>
          <cell r="AQ447">
            <v>0</v>
          </cell>
          <cell r="AR447">
            <v>0</v>
          </cell>
          <cell r="AS447" t="str">
            <v>2/115</v>
          </cell>
          <cell r="AT447">
            <v>0</v>
          </cell>
          <cell r="AU447" t="str">
            <v>2</v>
          </cell>
          <cell r="AV447" t="str">
            <v>115</v>
          </cell>
        </row>
        <row r="448">
          <cell r="A448">
            <v>228</v>
          </cell>
          <cell r="B448" t="str">
            <v>2r_p_fcf_for_equity_per_share</v>
          </cell>
          <cell r="C448" t="str">
            <v>P/FCF for equity per share</v>
          </cell>
          <cell r="D448" t="str">
            <v>Multiple</v>
          </cell>
          <cell r="E448">
            <v>0</v>
          </cell>
          <cell r="F448">
            <v>0</v>
          </cell>
          <cell r="G448">
            <v>0</v>
          </cell>
          <cell r="H448">
            <v>0</v>
          </cell>
          <cell r="I448">
            <v>0</v>
          </cell>
          <cell r="J448">
            <v>0</v>
          </cell>
          <cell r="K448">
            <v>0</v>
          </cell>
          <cell r="L448">
            <v>0</v>
          </cell>
          <cell r="M448">
            <v>0</v>
          </cell>
          <cell r="N448" t="str">
            <v>r_p_fcf_for_equity_per_share</v>
          </cell>
          <cell r="O448">
            <v>0</v>
          </cell>
          <cell r="P448">
            <v>0</v>
          </cell>
          <cell r="Q448">
            <v>1</v>
          </cell>
          <cell r="R448" t="str">
            <v>S</v>
          </cell>
          <cell r="S448">
            <v>2</v>
          </cell>
          <cell r="T448" t="str">
            <v>null</v>
          </cell>
          <cell r="U448">
            <v>2</v>
          </cell>
          <cell r="V448">
            <v>0</v>
          </cell>
          <cell r="W448">
            <v>0</v>
          </cell>
          <cell r="X448">
            <v>0</v>
          </cell>
          <cell r="Y448">
            <v>0</v>
          </cell>
          <cell r="Z448">
            <v>0</v>
          </cell>
          <cell r="AA448">
            <v>462</v>
          </cell>
          <cell r="AB448" t="str">
            <v>Ratios/Misc</v>
          </cell>
          <cell r="AC448">
            <v>427</v>
          </cell>
          <cell r="AD448">
            <v>0</v>
          </cell>
          <cell r="AE448" t="str">
            <v>&lt;price&gt;</v>
          </cell>
          <cell r="AF448" t="str">
            <v>c_maint_fcf_per_share</v>
          </cell>
          <cell r="AG448">
            <v>0</v>
          </cell>
          <cell r="AH448">
            <v>0</v>
          </cell>
          <cell r="AI448">
            <v>0</v>
          </cell>
          <cell r="AJ448">
            <v>2</v>
          </cell>
          <cell r="AK448">
            <v>154</v>
          </cell>
          <cell r="AL448">
            <v>0</v>
          </cell>
          <cell r="AM448">
            <v>0</v>
          </cell>
          <cell r="AN448">
            <v>228</v>
          </cell>
          <cell r="AO448" t="str">
            <v>P/mFCFe</v>
          </cell>
          <cell r="AP448" t="str">
            <v>x</v>
          </cell>
          <cell r="AQ448">
            <v>0</v>
          </cell>
          <cell r="AR448">
            <v>0</v>
          </cell>
          <cell r="AS448" t="str">
            <v>2/154</v>
          </cell>
          <cell r="AT448">
            <v>0</v>
          </cell>
          <cell r="AU448" t="str">
            <v>2</v>
          </cell>
          <cell r="AV448" t="str">
            <v>154</v>
          </cell>
        </row>
        <row r="449">
          <cell r="A449">
            <v>414.2</v>
          </cell>
          <cell r="B449" t="str">
            <v>2p_adj_sharehold_funds</v>
          </cell>
          <cell r="C449" t="str">
            <v>P/adjusted shareholders funds</v>
          </cell>
          <cell r="D449" t="str">
            <v>Multiple</v>
          </cell>
          <cell r="E449">
            <v>0</v>
          </cell>
          <cell r="F449">
            <v>0</v>
          </cell>
          <cell r="G449">
            <v>0</v>
          </cell>
          <cell r="H449">
            <v>0</v>
          </cell>
          <cell r="I449">
            <v>0</v>
          </cell>
          <cell r="J449">
            <v>0</v>
          </cell>
          <cell r="K449">
            <v>0</v>
          </cell>
          <cell r="L449">
            <v>0</v>
          </cell>
          <cell r="M449">
            <v>0</v>
          </cell>
          <cell r="N449" t="str">
            <v>p_adj_sharehold_funds</v>
          </cell>
          <cell r="O449">
            <v>0</v>
          </cell>
          <cell r="P449">
            <v>0</v>
          </cell>
          <cell r="Q449">
            <v>1</v>
          </cell>
          <cell r="R449" t="str">
            <v>S</v>
          </cell>
          <cell r="S449">
            <v>1</v>
          </cell>
          <cell r="T449" t="str">
            <v>null</v>
          </cell>
          <cell r="U449">
            <v>2</v>
          </cell>
          <cell r="V449">
            <v>0</v>
          </cell>
          <cell r="W449">
            <v>0</v>
          </cell>
          <cell r="X449">
            <v>0</v>
          </cell>
          <cell r="Y449">
            <v>0</v>
          </cell>
          <cell r="Z449">
            <v>0</v>
          </cell>
          <cell r="AA449">
            <v>450</v>
          </cell>
          <cell r="AB449" t="str">
            <v>Ratios/Misc</v>
          </cell>
          <cell r="AC449">
            <v>428</v>
          </cell>
          <cell r="AD449">
            <v>0</v>
          </cell>
          <cell r="AE449" t="str">
            <v>c_st_p_adjusted_shareholders_funds</v>
          </cell>
          <cell r="AF449">
            <v>0</v>
          </cell>
          <cell r="AG449">
            <v>0</v>
          </cell>
          <cell r="AH449">
            <v>0</v>
          </cell>
          <cell r="AI449">
            <v>0</v>
          </cell>
          <cell r="AJ449">
            <v>0</v>
          </cell>
          <cell r="AK449">
            <v>0</v>
          </cell>
          <cell r="AL449">
            <v>0</v>
          </cell>
          <cell r="AM449">
            <v>0</v>
          </cell>
          <cell r="AN449" t="e">
            <v>#N/A</v>
          </cell>
          <cell r="AO449" t="e">
            <v>#N/A</v>
          </cell>
          <cell r="AP449" t="e">
            <v>#N/A</v>
          </cell>
          <cell r="AQ449" t="e">
            <v>#N/A</v>
          </cell>
          <cell r="AR449" t="e">
            <v>#N/A</v>
          </cell>
          <cell r="AS449" t="e">
            <v>#N/A</v>
          </cell>
          <cell r="AT449" t="e">
            <v>#N/A</v>
          </cell>
          <cell r="AU449" t="e">
            <v>#N/A</v>
          </cell>
          <cell r="AV449" t="e">
            <v>#N/A</v>
          </cell>
        </row>
        <row r="450">
          <cell r="A450">
            <v>262.60000000000002</v>
          </cell>
          <cell r="B450" t="str">
            <v>2p_basic_fair_value</v>
          </cell>
          <cell r="C450" t="str">
            <v>P/basic fair value</v>
          </cell>
          <cell r="D450" t="str">
            <v>Multiple</v>
          </cell>
          <cell r="E450">
            <v>0</v>
          </cell>
          <cell r="F450">
            <v>0</v>
          </cell>
          <cell r="G450">
            <v>0</v>
          </cell>
          <cell r="H450">
            <v>0</v>
          </cell>
          <cell r="I450">
            <v>0</v>
          </cell>
          <cell r="J450">
            <v>0</v>
          </cell>
          <cell r="K450">
            <v>0</v>
          </cell>
          <cell r="L450">
            <v>0</v>
          </cell>
          <cell r="M450">
            <v>0</v>
          </cell>
          <cell r="N450" t="str">
            <v>p_basic_fair_value</v>
          </cell>
          <cell r="O450">
            <v>0</v>
          </cell>
          <cell r="P450">
            <v>0</v>
          </cell>
          <cell r="Q450">
            <v>1</v>
          </cell>
          <cell r="R450" t="str">
            <v>S</v>
          </cell>
          <cell r="S450">
            <v>1</v>
          </cell>
          <cell r="T450" t="str">
            <v>null</v>
          </cell>
          <cell r="U450">
            <v>2</v>
          </cell>
          <cell r="V450">
            <v>0</v>
          </cell>
          <cell r="W450">
            <v>0</v>
          </cell>
          <cell r="X450">
            <v>0</v>
          </cell>
          <cell r="Y450">
            <v>0</v>
          </cell>
          <cell r="Z450">
            <v>0</v>
          </cell>
          <cell r="AA450">
            <v>454</v>
          </cell>
          <cell r="AB450" t="str">
            <v>Ratios/Misc</v>
          </cell>
          <cell r="AC450">
            <v>428</v>
          </cell>
          <cell r="AD450">
            <v>0</v>
          </cell>
          <cell r="AE450" t="str">
            <v>c_st_p_basic_fair_value</v>
          </cell>
          <cell r="AF450">
            <v>0</v>
          </cell>
          <cell r="AG450">
            <v>0</v>
          </cell>
          <cell r="AH450">
            <v>0</v>
          </cell>
          <cell r="AI450">
            <v>0</v>
          </cell>
          <cell r="AJ450">
            <v>0</v>
          </cell>
          <cell r="AK450">
            <v>0</v>
          </cell>
          <cell r="AL450">
            <v>0</v>
          </cell>
          <cell r="AM450">
            <v>0</v>
          </cell>
          <cell r="AN450" t="e">
            <v>#N/A</v>
          </cell>
          <cell r="AO450" t="e">
            <v>#N/A</v>
          </cell>
          <cell r="AP450" t="e">
            <v>#N/A</v>
          </cell>
          <cell r="AQ450" t="e">
            <v>#N/A</v>
          </cell>
          <cell r="AR450" t="e">
            <v>#N/A</v>
          </cell>
          <cell r="AS450" t="e">
            <v>#N/A</v>
          </cell>
          <cell r="AT450" t="e">
            <v>#N/A</v>
          </cell>
          <cell r="AU450" t="e">
            <v>#N/A</v>
          </cell>
          <cell r="AV450" t="e">
            <v>#N/A</v>
          </cell>
        </row>
        <row r="451">
          <cell r="A451">
            <v>413.2</v>
          </cell>
          <cell r="B451" t="str">
            <v>2p_group_embed_value</v>
          </cell>
          <cell r="C451" t="str">
            <v>P/group embedded value</v>
          </cell>
          <cell r="D451" t="str">
            <v>Multiple</v>
          </cell>
          <cell r="E451">
            <v>0</v>
          </cell>
          <cell r="F451">
            <v>0</v>
          </cell>
          <cell r="G451">
            <v>0</v>
          </cell>
          <cell r="H451">
            <v>0</v>
          </cell>
          <cell r="I451">
            <v>0</v>
          </cell>
          <cell r="J451">
            <v>0</v>
          </cell>
          <cell r="K451">
            <v>0</v>
          </cell>
          <cell r="L451">
            <v>0</v>
          </cell>
          <cell r="M451">
            <v>0</v>
          </cell>
          <cell r="N451" t="str">
            <v>p_group_embed_value</v>
          </cell>
          <cell r="O451">
            <v>0</v>
          </cell>
          <cell r="P451">
            <v>0</v>
          </cell>
          <cell r="Q451">
            <v>1</v>
          </cell>
          <cell r="R451" t="str">
            <v>S</v>
          </cell>
          <cell r="S451">
            <v>1</v>
          </cell>
          <cell r="T451" t="str">
            <v>null</v>
          </cell>
          <cell r="U451">
            <v>2</v>
          </cell>
          <cell r="V451">
            <v>0</v>
          </cell>
          <cell r="W451">
            <v>0</v>
          </cell>
          <cell r="X451">
            <v>0</v>
          </cell>
          <cell r="Y451">
            <v>0</v>
          </cell>
          <cell r="Z451">
            <v>0</v>
          </cell>
          <cell r="AA451">
            <v>460</v>
          </cell>
          <cell r="AB451" t="str">
            <v>Ratios/Misc</v>
          </cell>
          <cell r="AC451">
            <v>428</v>
          </cell>
          <cell r="AD451">
            <v>0</v>
          </cell>
          <cell r="AE451" t="str">
            <v>c_st_p_group_embedded_value</v>
          </cell>
          <cell r="AF451">
            <v>0</v>
          </cell>
          <cell r="AG451">
            <v>0</v>
          </cell>
          <cell r="AH451">
            <v>0</v>
          </cell>
          <cell r="AI451">
            <v>0</v>
          </cell>
          <cell r="AJ451">
            <v>0</v>
          </cell>
          <cell r="AK451">
            <v>0</v>
          </cell>
          <cell r="AL451">
            <v>0</v>
          </cell>
          <cell r="AM451">
            <v>0</v>
          </cell>
          <cell r="AN451" t="e">
            <v>#N/A</v>
          </cell>
          <cell r="AO451" t="e">
            <v>#N/A</v>
          </cell>
          <cell r="AP451" t="e">
            <v>#N/A</v>
          </cell>
          <cell r="AQ451" t="e">
            <v>#N/A</v>
          </cell>
          <cell r="AR451" t="e">
            <v>#N/A</v>
          </cell>
          <cell r="AS451" t="e">
            <v>#N/A</v>
          </cell>
          <cell r="AT451" t="e">
            <v>#N/A</v>
          </cell>
          <cell r="AU451" t="e">
            <v>#N/A</v>
          </cell>
          <cell r="AV451" t="e">
            <v>#N/A</v>
          </cell>
        </row>
        <row r="452">
          <cell r="A452">
            <v>255.2</v>
          </cell>
          <cell r="B452" t="str">
            <v>2r_p_appraisal_value</v>
          </cell>
          <cell r="C452" t="str">
            <v>P/appraisal value</v>
          </cell>
          <cell r="D452" t="str">
            <v>Multiple</v>
          </cell>
          <cell r="E452">
            <v>0</v>
          </cell>
          <cell r="F452">
            <v>0</v>
          </cell>
          <cell r="G452">
            <v>0</v>
          </cell>
          <cell r="H452">
            <v>0</v>
          </cell>
          <cell r="I452">
            <v>0</v>
          </cell>
          <cell r="J452">
            <v>0</v>
          </cell>
          <cell r="K452">
            <v>0</v>
          </cell>
          <cell r="L452">
            <v>0</v>
          </cell>
          <cell r="M452">
            <v>0</v>
          </cell>
          <cell r="N452" t="str">
            <v>r_p_appraisal_value</v>
          </cell>
          <cell r="O452">
            <v>0</v>
          </cell>
          <cell r="P452">
            <v>0</v>
          </cell>
          <cell r="Q452">
            <v>1</v>
          </cell>
          <cell r="R452" t="str">
            <v>S</v>
          </cell>
          <cell r="S452">
            <v>2</v>
          </cell>
          <cell r="T452" t="str">
            <v>null</v>
          </cell>
          <cell r="U452">
            <v>2</v>
          </cell>
          <cell r="V452">
            <v>0</v>
          </cell>
          <cell r="W452">
            <v>0</v>
          </cell>
          <cell r="X452">
            <v>0</v>
          </cell>
          <cell r="Y452">
            <v>0</v>
          </cell>
          <cell r="Z452">
            <v>0</v>
          </cell>
          <cell r="AA452">
            <v>452</v>
          </cell>
          <cell r="AB452" t="str">
            <v>Ratios/Misc</v>
          </cell>
          <cell r="AC452">
            <v>428</v>
          </cell>
          <cell r="AD452">
            <v>0</v>
          </cell>
          <cell r="AE452" t="str">
            <v>c_st_p_appraisal_value</v>
          </cell>
          <cell r="AF452">
            <v>0</v>
          </cell>
          <cell r="AG452">
            <v>0</v>
          </cell>
          <cell r="AH452">
            <v>0</v>
          </cell>
          <cell r="AI452">
            <v>0</v>
          </cell>
          <cell r="AJ452">
            <v>0</v>
          </cell>
          <cell r="AK452">
            <v>0</v>
          </cell>
          <cell r="AL452">
            <v>0</v>
          </cell>
          <cell r="AM452">
            <v>0</v>
          </cell>
          <cell r="AN452" t="e">
            <v>#N/A</v>
          </cell>
          <cell r="AO452" t="e">
            <v>#N/A</v>
          </cell>
          <cell r="AP452" t="e">
            <v>#N/A</v>
          </cell>
          <cell r="AQ452" t="e">
            <v>#N/A</v>
          </cell>
          <cell r="AR452" t="e">
            <v>#N/A</v>
          </cell>
          <cell r="AS452" t="e">
            <v>#N/A</v>
          </cell>
          <cell r="AT452" t="e">
            <v>#N/A</v>
          </cell>
          <cell r="AU452" t="e">
            <v>#N/A</v>
          </cell>
          <cell r="AV452" t="e">
            <v>#N/A</v>
          </cell>
        </row>
        <row r="453">
          <cell r="A453">
            <v>268</v>
          </cell>
          <cell r="B453" t="str">
            <v>1r_p_fad</v>
          </cell>
          <cell r="C453" t="str">
            <v>P/FAD</v>
          </cell>
          <cell r="D453" t="str">
            <v>Multiple</v>
          </cell>
          <cell r="E453">
            <v>0</v>
          </cell>
          <cell r="F453">
            <v>0</v>
          </cell>
          <cell r="G453">
            <v>0</v>
          </cell>
          <cell r="H453">
            <v>0</v>
          </cell>
          <cell r="I453">
            <v>0</v>
          </cell>
          <cell r="J453">
            <v>0</v>
          </cell>
          <cell r="K453">
            <v>0</v>
          </cell>
          <cell r="L453">
            <v>0</v>
          </cell>
          <cell r="M453">
            <v>0</v>
          </cell>
          <cell r="N453" t="str">
            <v>r_p_fad</v>
          </cell>
          <cell r="O453">
            <v>0</v>
          </cell>
          <cell r="P453">
            <v>0</v>
          </cell>
          <cell r="Q453">
            <v>1</v>
          </cell>
          <cell r="R453" t="str">
            <v>E</v>
          </cell>
          <cell r="S453">
            <v>2</v>
          </cell>
          <cell r="T453" t="str">
            <v>null</v>
          </cell>
          <cell r="U453">
            <v>1</v>
          </cell>
          <cell r="V453">
            <v>0</v>
          </cell>
          <cell r="W453">
            <v>0</v>
          </cell>
          <cell r="X453">
            <v>0</v>
          </cell>
          <cell r="Y453">
            <v>0</v>
          </cell>
          <cell r="Z453">
            <v>0</v>
          </cell>
          <cell r="AA453">
            <v>457</v>
          </cell>
          <cell r="AB453" t="str">
            <v>Ratios/Misc</v>
          </cell>
          <cell r="AC453">
            <v>428</v>
          </cell>
          <cell r="AD453">
            <v>0</v>
          </cell>
          <cell r="AE453">
            <v>0</v>
          </cell>
          <cell r="AF453">
            <v>0</v>
          </cell>
          <cell r="AG453">
            <v>0</v>
          </cell>
          <cell r="AH453">
            <v>0</v>
          </cell>
          <cell r="AI453">
            <v>0</v>
          </cell>
          <cell r="AJ453">
            <v>13</v>
          </cell>
          <cell r="AK453">
            <v>131</v>
          </cell>
          <cell r="AL453">
            <v>0</v>
          </cell>
          <cell r="AM453">
            <v>0</v>
          </cell>
          <cell r="AN453">
            <v>268</v>
          </cell>
          <cell r="AO453" t="str">
            <v>P/FAD</v>
          </cell>
          <cell r="AP453" t="str">
            <v>x</v>
          </cell>
          <cell r="AQ453">
            <v>0</v>
          </cell>
          <cell r="AR453" t="str">
            <v>Property</v>
          </cell>
          <cell r="AS453" t="str">
            <v>13/131</v>
          </cell>
          <cell r="AT453">
            <v>0</v>
          </cell>
          <cell r="AU453" t="str">
            <v>13</v>
          </cell>
          <cell r="AV453" t="str">
            <v>131</v>
          </cell>
        </row>
        <row r="454">
          <cell r="A454">
            <v>262.39999999999998</v>
          </cell>
          <cell r="B454" t="str">
            <v>2r_p_fair_value</v>
          </cell>
          <cell r="C454" t="str">
            <v>P/fair value</v>
          </cell>
          <cell r="D454" t="str">
            <v>Multiple</v>
          </cell>
          <cell r="E454">
            <v>0</v>
          </cell>
          <cell r="F454">
            <v>0</v>
          </cell>
          <cell r="G454">
            <v>0</v>
          </cell>
          <cell r="H454">
            <v>0</v>
          </cell>
          <cell r="I454">
            <v>0</v>
          </cell>
          <cell r="J454">
            <v>0</v>
          </cell>
          <cell r="K454">
            <v>0</v>
          </cell>
          <cell r="L454">
            <v>0</v>
          </cell>
          <cell r="M454">
            <v>0</v>
          </cell>
          <cell r="N454" t="str">
            <v>r_p_fair_value</v>
          </cell>
          <cell r="O454">
            <v>0</v>
          </cell>
          <cell r="P454">
            <v>0</v>
          </cell>
          <cell r="Q454">
            <v>1</v>
          </cell>
          <cell r="R454" t="str">
            <v>S</v>
          </cell>
          <cell r="S454">
            <v>2</v>
          </cell>
          <cell r="T454" t="str">
            <v>null</v>
          </cell>
          <cell r="U454">
            <v>2</v>
          </cell>
          <cell r="V454">
            <v>0</v>
          </cell>
          <cell r="W454">
            <v>0</v>
          </cell>
          <cell r="X454">
            <v>0</v>
          </cell>
          <cell r="Y454">
            <v>0</v>
          </cell>
          <cell r="Z454">
            <v>0</v>
          </cell>
          <cell r="AA454">
            <v>458</v>
          </cell>
          <cell r="AB454" t="str">
            <v>Ratios/Misc</v>
          </cell>
          <cell r="AC454">
            <v>428</v>
          </cell>
          <cell r="AD454">
            <v>0</v>
          </cell>
          <cell r="AE454" t="str">
            <v>c_st_p_fair_value</v>
          </cell>
          <cell r="AF454">
            <v>0</v>
          </cell>
          <cell r="AG454">
            <v>0</v>
          </cell>
          <cell r="AH454">
            <v>0</v>
          </cell>
          <cell r="AI454">
            <v>0</v>
          </cell>
          <cell r="AJ454">
            <v>0</v>
          </cell>
          <cell r="AK454">
            <v>0</v>
          </cell>
          <cell r="AL454">
            <v>0</v>
          </cell>
          <cell r="AM454">
            <v>0</v>
          </cell>
          <cell r="AN454" t="e">
            <v>#N/A</v>
          </cell>
          <cell r="AO454" t="e">
            <v>#N/A</v>
          </cell>
          <cell r="AP454" t="e">
            <v>#N/A</v>
          </cell>
          <cell r="AQ454" t="e">
            <v>#N/A</v>
          </cell>
          <cell r="AR454" t="e">
            <v>#N/A</v>
          </cell>
          <cell r="AS454" t="e">
            <v>#N/A</v>
          </cell>
          <cell r="AT454" t="e">
            <v>#N/A</v>
          </cell>
          <cell r="AU454" t="e">
            <v>#N/A</v>
          </cell>
          <cell r="AV454" t="e">
            <v>#N/A</v>
          </cell>
        </row>
        <row r="455">
          <cell r="A455">
            <v>229</v>
          </cell>
          <cell r="B455" t="str">
            <v>2r_pceps</v>
          </cell>
          <cell r="C455" t="str">
            <v>P/cash earnings per share</v>
          </cell>
          <cell r="D455" t="str">
            <v>Multiple</v>
          </cell>
          <cell r="E455">
            <v>0</v>
          </cell>
          <cell r="F455">
            <v>0</v>
          </cell>
          <cell r="G455">
            <v>0</v>
          </cell>
          <cell r="H455">
            <v>0</v>
          </cell>
          <cell r="I455">
            <v>0</v>
          </cell>
          <cell r="J455">
            <v>0</v>
          </cell>
          <cell r="K455">
            <v>0</v>
          </cell>
          <cell r="L455">
            <v>0</v>
          </cell>
          <cell r="M455">
            <v>0</v>
          </cell>
          <cell r="N455" t="str">
            <v>r_pceps</v>
          </cell>
          <cell r="O455">
            <v>0</v>
          </cell>
          <cell r="P455">
            <v>0</v>
          </cell>
          <cell r="Q455">
            <v>1</v>
          </cell>
          <cell r="R455" t="str">
            <v>S</v>
          </cell>
          <cell r="S455">
            <v>2</v>
          </cell>
          <cell r="T455" t="str">
            <v>null</v>
          </cell>
          <cell r="U455">
            <v>2</v>
          </cell>
          <cell r="V455">
            <v>0</v>
          </cell>
          <cell r="W455">
            <v>0</v>
          </cell>
          <cell r="X455">
            <v>0</v>
          </cell>
          <cell r="Y455">
            <v>0</v>
          </cell>
          <cell r="Z455">
            <v>0</v>
          </cell>
          <cell r="AA455">
            <v>456</v>
          </cell>
          <cell r="AB455" t="str">
            <v>Ratios/Misc</v>
          </cell>
          <cell r="AC455">
            <v>428</v>
          </cell>
          <cell r="AD455">
            <v>0</v>
          </cell>
          <cell r="AE455" t="str">
            <v>&lt;price&gt;</v>
          </cell>
          <cell r="AF455" t="str">
            <v>cash_earnings_per_share</v>
          </cell>
          <cell r="AG455">
            <v>0</v>
          </cell>
          <cell r="AH455">
            <v>0</v>
          </cell>
          <cell r="AI455">
            <v>0</v>
          </cell>
          <cell r="AJ455">
            <v>13</v>
          </cell>
          <cell r="AK455">
            <v>71</v>
          </cell>
          <cell r="AL455">
            <v>0</v>
          </cell>
          <cell r="AM455">
            <v>0</v>
          </cell>
          <cell r="AN455">
            <v>229</v>
          </cell>
          <cell r="AO455" t="str">
            <v>P/CEPS</v>
          </cell>
          <cell r="AP455" t="str">
            <v>x</v>
          </cell>
          <cell r="AQ455">
            <v>0</v>
          </cell>
          <cell r="AR455">
            <v>0</v>
          </cell>
          <cell r="AS455" t="str">
            <v>13/71</v>
          </cell>
          <cell r="AT455" t="str">
            <v>see note re 13</v>
          </cell>
          <cell r="AU455" t="str">
            <v>13</v>
          </cell>
          <cell r="AV455" t="str">
            <v>71</v>
          </cell>
        </row>
        <row r="456">
          <cell r="A456">
            <v>236.8</v>
          </cell>
          <cell r="B456" t="str">
            <v>2r_price_net_tang_assets</v>
          </cell>
          <cell r="C456" t="str">
            <v>P/net tangible assets</v>
          </cell>
          <cell r="D456" t="str">
            <v>Multiple</v>
          </cell>
          <cell r="E456">
            <v>0</v>
          </cell>
          <cell r="F456">
            <v>0</v>
          </cell>
          <cell r="G456">
            <v>0</v>
          </cell>
          <cell r="H456">
            <v>0</v>
          </cell>
          <cell r="I456">
            <v>0</v>
          </cell>
          <cell r="J456">
            <v>0</v>
          </cell>
          <cell r="K456">
            <v>0</v>
          </cell>
          <cell r="L456">
            <v>0</v>
          </cell>
          <cell r="M456">
            <v>0</v>
          </cell>
          <cell r="N456" t="str">
            <v>r_price_net_tang_assets</v>
          </cell>
          <cell r="O456">
            <v>0</v>
          </cell>
          <cell r="P456">
            <v>0</v>
          </cell>
          <cell r="Q456">
            <v>1</v>
          </cell>
          <cell r="R456" t="str">
            <v>S</v>
          </cell>
          <cell r="S456">
            <v>2</v>
          </cell>
          <cell r="T456" t="str">
            <v>null</v>
          </cell>
          <cell r="U456">
            <v>2</v>
          </cell>
          <cell r="V456">
            <v>0</v>
          </cell>
          <cell r="W456">
            <v>0</v>
          </cell>
          <cell r="X456">
            <v>0</v>
          </cell>
          <cell r="Y456">
            <v>0</v>
          </cell>
          <cell r="Z456">
            <v>0</v>
          </cell>
          <cell r="AA456">
            <v>319</v>
          </cell>
          <cell r="AB456" t="str">
            <v>Ratios/Misc</v>
          </cell>
          <cell r="AC456">
            <v>428</v>
          </cell>
          <cell r="AD456">
            <v>0</v>
          </cell>
          <cell r="AE456" t="str">
            <v>&lt;price&gt;</v>
          </cell>
          <cell r="AF456" t="str">
            <v>b_net_tang_assets</v>
          </cell>
          <cell r="AG456">
            <v>0</v>
          </cell>
          <cell r="AH456">
            <v>0</v>
          </cell>
          <cell r="AI456">
            <v>0</v>
          </cell>
          <cell r="AJ456">
            <v>0</v>
          </cell>
          <cell r="AK456">
            <v>0</v>
          </cell>
          <cell r="AL456">
            <v>0</v>
          </cell>
          <cell r="AM456">
            <v>0</v>
          </cell>
          <cell r="AN456">
            <v>0</v>
          </cell>
          <cell r="AO456">
            <v>0</v>
          </cell>
          <cell r="AP456">
            <v>0</v>
          </cell>
          <cell r="AQ456">
            <v>0</v>
          </cell>
          <cell r="AR456">
            <v>0</v>
          </cell>
          <cell r="AS456" t="str">
            <v>13 = price</v>
          </cell>
          <cell r="AT456">
            <v>0</v>
          </cell>
          <cell r="AU456">
            <v>0</v>
          </cell>
          <cell r="AV456">
            <v>0</v>
          </cell>
          <cell r="AW456" t="str">
            <v>ADD NEW</v>
          </cell>
        </row>
        <row r="457">
          <cell r="A457">
            <v>230</v>
          </cell>
          <cell r="B457" t="str">
            <v>1r_cap_exp_depr_x</v>
          </cell>
          <cell r="C457" t="str">
            <v>Capital expenditure/depreciation</v>
          </cell>
          <cell r="D457" t="str">
            <v>Multiple</v>
          </cell>
          <cell r="E457">
            <v>0</v>
          </cell>
          <cell r="F457">
            <v>0</v>
          </cell>
          <cell r="G457">
            <v>0</v>
          </cell>
          <cell r="H457">
            <v>0</v>
          </cell>
          <cell r="I457">
            <v>0</v>
          </cell>
          <cell r="J457">
            <v>0</v>
          </cell>
          <cell r="K457">
            <v>0</v>
          </cell>
          <cell r="L457">
            <v>0</v>
          </cell>
          <cell r="M457">
            <v>0</v>
          </cell>
          <cell r="N457" t="str">
            <v>r_cap_exp_depr_x</v>
          </cell>
          <cell r="O457">
            <v>0</v>
          </cell>
          <cell r="P457">
            <v>0</v>
          </cell>
          <cell r="Q457">
            <v>1</v>
          </cell>
          <cell r="R457" t="str">
            <v>E</v>
          </cell>
          <cell r="S457">
            <v>2</v>
          </cell>
          <cell r="T457" t="str">
            <v>null</v>
          </cell>
          <cell r="U457">
            <v>1</v>
          </cell>
          <cell r="V457">
            <v>0</v>
          </cell>
          <cell r="W457">
            <v>0</v>
          </cell>
          <cell r="X457">
            <v>0</v>
          </cell>
          <cell r="Y457">
            <v>0</v>
          </cell>
          <cell r="Z457">
            <v>0</v>
          </cell>
          <cell r="AA457">
            <v>56</v>
          </cell>
          <cell r="AB457" t="str">
            <v>Ratios/Misc</v>
          </cell>
          <cell r="AC457">
            <v>429</v>
          </cell>
          <cell r="AD457">
            <v>0</v>
          </cell>
          <cell r="AE457">
            <v>0</v>
          </cell>
          <cell r="AF457">
            <v>0</v>
          </cell>
          <cell r="AG457">
            <v>0</v>
          </cell>
          <cell r="AH457">
            <v>0</v>
          </cell>
          <cell r="AI457">
            <v>0</v>
          </cell>
          <cell r="AJ457">
            <v>149</v>
          </cell>
          <cell r="AK457">
            <v>110</v>
          </cell>
          <cell r="AL457">
            <v>0</v>
          </cell>
          <cell r="AM457">
            <v>0</v>
          </cell>
          <cell r="AN457">
            <v>230</v>
          </cell>
          <cell r="AO457" t="str">
            <v>Capital expenditure/depreciation x</v>
          </cell>
          <cell r="AP457" t="str">
            <v>x</v>
          </cell>
          <cell r="AQ457">
            <v>0</v>
          </cell>
          <cell r="AR457">
            <v>0</v>
          </cell>
          <cell r="AS457" t="str">
            <v>149/110a</v>
          </cell>
          <cell r="AT457">
            <v>0</v>
          </cell>
          <cell r="AU457" t="str">
            <v>149</v>
          </cell>
          <cell r="AV457" t="str">
            <v>110a</v>
          </cell>
          <cell r="AW457" t="str">
            <v>/</v>
          </cell>
        </row>
        <row r="458">
          <cell r="A458">
            <v>231</v>
          </cell>
          <cell r="B458" t="str">
            <v>2r_int_cover</v>
          </cell>
          <cell r="C458" t="str">
            <v>Interest cover (using ebit)</v>
          </cell>
          <cell r="D458" t="str">
            <v>Multiple</v>
          </cell>
          <cell r="E458">
            <v>0</v>
          </cell>
          <cell r="F458">
            <v>0</v>
          </cell>
          <cell r="G458">
            <v>0</v>
          </cell>
          <cell r="H458">
            <v>0</v>
          </cell>
          <cell r="I458">
            <v>0</v>
          </cell>
          <cell r="J458">
            <v>0</v>
          </cell>
          <cell r="K458">
            <v>0</v>
          </cell>
          <cell r="L458">
            <v>0</v>
          </cell>
          <cell r="M458">
            <v>0</v>
          </cell>
          <cell r="N458" t="str">
            <v>r_int_cover</v>
          </cell>
          <cell r="O458">
            <v>0</v>
          </cell>
          <cell r="P458">
            <v>0</v>
          </cell>
          <cell r="Q458">
            <v>1</v>
          </cell>
          <cell r="R458" t="str">
            <v>E</v>
          </cell>
          <cell r="S458">
            <v>2</v>
          </cell>
          <cell r="T458" t="str">
            <v>null</v>
          </cell>
          <cell r="U458">
            <v>2</v>
          </cell>
          <cell r="V458" t="str">
            <v>UK/US</v>
          </cell>
          <cell r="W458">
            <v>0</v>
          </cell>
          <cell r="X458">
            <v>0</v>
          </cell>
          <cell r="Y458">
            <v>0</v>
          </cell>
          <cell r="Z458">
            <v>0</v>
          </cell>
          <cell r="AA458">
            <v>297</v>
          </cell>
          <cell r="AB458" t="str">
            <v>Ratios/Misc</v>
          </cell>
          <cell r="AC458">
            <v>430</v>
          </cell>
          <cell r="AD458">
            <v>0</v>
          </cell>
          <cell r="AE458" t="str">
            <v>fd_ebit_rec_adj</v>
          </cell>
          <cell r="AF458" t="str">
            <v>fd_net_int_charge</v>
          </cell>
          <cell r="AG458">
            <v>0</v>
          </cell>
          <cell r="AH458">
            <v>0</v>
          </cell>
          <cell r="AI458">
            <v>0</v>
          </cell>
          <cell r="AJ458">
            <v>46</v>
          </cell>
          <cell r="AK458">
            <v>117.2</v>
          </cell>
          <cell r="AL458">
            <v>0</v>
          </cell>
          <cell r="AM458">
            <v>0</v>
          </cell>
          <cell r="AN458">
            <v>231</v>
          </cell>
          <cell r="AO458" t="str">
            <v>Interest cover*</v>
          </cell>
          <cell r="AP458" t="str">
            <v>x</v>
          </cell>
          <cell r="AQ458">
            <v>0</v>
          </cell>
          <cell r="AR458">
            <v>0</v>
          </cell>
          <cell r="AS458" t="str">
            <v>46/117a</v>
          </cell>
          <cell r="AT458">
            <v>0</v>
          </cell>
          <cell r="AU458" t="str">
            <v>46</v>
          </cell>
          <cell r="AV458" t="str">
            <v>117a</v>
          </cell>
        </row>
        <row r="459">
          <cell r="A459">
            <v>231.5</v>
          </cell>
          <cell r="B459" t="str">
            <v>2r_int_cover_op_profit</v>
          </cell>
          <cell r="C459" t="str">
            <v>Interest cover (using op profit)</v>
          </cell>
          <cell r="D459" t="str">
            <v>Multiple</v>
          </cell>
          <cell r="E459">
            <v>0</v>
          </cell>
          <cell r="F459">
            <v>0</v>
          </cell>
          <cell r="G459">
            <v>0</v>
          </cell>
          <cell r="H459">
            <v>0</v>
          </cell>
          <cell r="I459">
            <v>0</v>
          </cell>
          <cell r="J459">
            <v>0</v>
          </cell>
          <cell r="K459">
            <v>0</v>
          </cell>
          <cell r="L459">
            <v>0</v>
          </cell>
          <cell r="M459">
            <v>0</v>
          </cell>
          <cell r="N459" t="str">
            <v>r_int_cover_op_profit</v>
          </cell>
          <cell r="O459">
            <v>0</v>
          </cell>
          <cell r="P459">
            <v>0</v>
          </cell>
          <cell r="Q459">
            <v>1</v>
          </cell>
          <cell r="R459" t="str">
            <v>E</v>
          </cell>
          <cell r="S459">
            <v>2</v>
          </cell>
          <cell r="T459" t="str">
            <v>null</v>
          </cell>
          <cell r="U459">
            <v>2</v>
          </cell>
          <cell r="V459">
            <v>0</v>
          </cell>
          <cell r="W459">
            <v>0</v>
          </cell>
          <cell r="X459">
            <v>0</v>
          </cell>
          <cell r="Y459">
            <v>0</v>
          </cell>
          <cell r="Z459">
            <v>0</v>
          </cell>
          <cell r="AA459">
            <v>297</v>
          </cell>
          <cell r="AB459" t="str">
            <v>Ratios/Misc</v>
          </cell>
          <cell r="AC459">
            <v>430.2</v>
          </cell>
          <cell r="AD459">
            <v>0</v>
          </cell>
          <cell r="AE459" t="str">
            <v>fd_operating_profit</v>
          </cell>
          <cell r="AF459" t="str">
            <v>fd_net_int_charge</v>
          </cell>
          <cell r="AG459">
            <v>0</v>
          </cell>
          <cell r="AH459">
            <v>0</v>
          </cell>
          <cell r="AI459">
            <v>0</v>
          </cell>
          <cell r="AJ459">
            <v>46</v>
          </cell>
          <cell r="AK459">
            <v>117.2</v>
          </cell>
          <cell r="AL459">
            <v>0</v>
          </cell>
          <cell r="AM459">
            <v>0</v>
          </cell>
          <cell r="AN459">
            <v>231</v>
          </cell>
          <cell r="AO459" t="str">
            <v>Interest cover*</v>
          </cell>
          <cell r="AP459" t="str">
            <v>x</v>
          </cell>
          <cell r="AQ459">
            <v>0</v>
          </cell>
          <cell r="AR459">
            <v>0</v>
          </cell>
          <cell r="AS459" t="str">
            <v>46/117a</v>
          </cell>
          <cell r="AT459">
            <v>0</v>
          </cell>
          <cell r="AU459" t="str">
            <v>46</v>
          </cell>
          <cell r="AV459" t="str">
            <v>117a</v>
          </cell>
        </row>
        <row r="460">
          <cell r="A460">
            <v>316</v>
          </cell>
          <cell r="B460" t="str">
            <v>2r_int_cover_x_ebita</v>
          </cell>
          <cell r="C460" t="str">
            <v>Interest cover using EBITA</v>
          </cell>
          <cell r="D460" t="str">
            <v>Multiple</v>
          </cell>
          <cell r="E460">
            <v>0</v>
          </cell>
          <cell r="F460">
            <v>0</v>
          </cell>
          <cell r="G460">
            <v>0</v>
          </cell>
          <cell r="H460">
            <v>0</v>
          </cell>
          <cell r="I460">
            <v>0</v>
          </cell>
          <cell r="J460">
            <v>0</v>
          </cell>
          <cell r="K460">
            <v>0</v>
          </cell>
          <cell r="L460">
            <v>0</v>
          </cell>
          <cell r="M460">
            <v>0</v>
          </cell>
          <cell r="N460" t="str">
            <v>r_int_cover_x_ebita</v>
          </cell>
          <cell r="O460">
            <v>0</v>
          </cell>
          <cell r="P460">
            <v>0</v>
          </cell>
          <cell r="Q460">
            <v>1</v>
          </cell>
          <cell r="R460" t="str">
            <v>E</v>
          </cell>
          <cell r="S460">
            <v>2</v>
          </cell>
          <cell r="T460" t="str">
            <v>null</v>
          </cell>
          <cell r="U460">
            <v>2</v>
          </cell>
          <cell r="V460">
            <v>0</v>
          </cell>
          <cell r="W460">
            <v>0</v>
          </cell>
          <cell r="X460">
            <v>0</v>
          </cell>
          <cell r="Y460">
            <v>0</v>
          </cell>
          <cell r="Z460">
            <v>0</v>
          </cell>
          <cell r="AA460">
            <v>299</v>
          </cell>
          <cell r="AB460" t="str">
            <v>Ratios/Misc</v>
          </cell>
          <cell r="AC460">
            <v>430.6</v>
          </cell>
          <cell r="AD460">
            <v>0</v>
          </cell>
          <cell r="AE460" t="str">
            <v>fd_ebita</v>
          </cell>
          <cell r="AF460" t="str">
            <v>c_interest_paid</v>
          </cell>
          <cell r="AG460">
            <v>0</v>
          </cell>
          <cell r="AH460">
            <v>0</v>
          </cell>
          <cell r="AI460">
            <v>0</v>
          </cell>
          <cell r="AJ460">
            <v>309</v>
          </cell>
          <cell r="AK460">
            <v>117.2</v>
          </cell>
          <cell r="AL460">
            <v>0</v>
          </cell>
          <cell r="AM460">
            <v>0</v>
          </cell>
          <cell r="AN460">
            <v>316</v>
          </cell>
          <cell r="AO460" t="str">
            <v>interest cover using EBITA</v>
          </cell>
          <cell r="AP460">
            <v>0</v>
          </cell>
          <cell r="AQ460">
            <v>0</v>
          </cell>
          <cell r="AR460">
            <v>0</v>
          </cell>
          <cell r="AS460" t="str">
            <v>309/117a</v>
          </cell>
          <cell r="AT460">
            <v>0</v>
          </cell>
          <cell r="AU460" t="str">
            <v>309</v>
          </cell>
          <cell r="AV460" t="str">
            <v>117a</v>
          </cell>
        </row>
        <row r="461">
          <cell r="A461">
            <v>232</v>
          </cell>
          <cell r="B461" t="str">
            <v>2r_ebitda_int_cover_x</v>
          </cell>
          <cell r="C461" t="str">
            <v>EBITDA interest cover</v>
          </cell>
          <cell r="D461" t="str">
            <v>Multiple</v>
          </cell>
          <cell r="E461">
            <v>0</v>
          </cell>
          <cell r="F461">
            <v>0</v>
          </cell>
          <cell r="G461">
            <v>0</v>
          </cell>
          <cell r="H461">
            <v>0</v>
          </cell>
          <cell r="I461">
            <v>0</v>
          </cell>
          <cell r="J461">
            <v>0</v>
          </cell>
          <cell r="K461">
            <v>0</v>
          </cell>
          <cell r="L461">
            <v>0</v>
          </cell>
          <cell r="M461">
            <v>0</v>
          </cell>
          <cell r="N461" t="str">
            <v>r_ebitda_int_cover_x</v>
          </cell>
          <cell r="O461">
            <v>0</v>
          </cell>
          <cell r="P461">
            <v>0</v>
          </cell>
          <cell r="Q461">
            <v>1</v>
          </cell>
          <cell r="R461" t="str">
            <v>E</v>
          </cell>
          <cell r="S461">
            <v>2</v>
          </cell>
          <cell r="T461" t="str">
            <v>null</v>
          </cell>
          <cell r="U461">
            <v>2</v>
          </cell>
          <cell r="V461">
            <v>0</v>
          </cell>
          <cell r="W461">
            <v>0</v>
          </cell>
          <cell r="X461">
            <v>0</v>
          </cell>
          <cell r="Y461">
            <v>0</v>
          </cell>
          <cell r="Z461">
            <v>0</v>
          </cell>
          <cell r="AA461">
            <v>179</v>
          </cell>
          <cell r="AB461" t="str">
            <v>Ratios/Misc</v>
          </cell>
          <cell r="AC461">
            <v>431</v>
          </cell>
          <cell r="AD461">
            <v>0</v>
          </cell>
          <cell r="AE461" t="str">
            <v>fd_ebitda</v>
          </cell>
          <cell r="AF461" t="str">
            <v>fd_net_int_charge</v>
          </cell>
          <cell r="AG461">
            <v>0</v>
          </cell>
          <cell r="AH461">
            <v>0</v>
          </cell>
          <cell r="AI461">
            <v>0</v>
          </cell>
          <cell r="AJ461">
            <v>40</v>
          </cell>
          <cell r="AK461">
            <v>117.2</v>
          </cell>
          <cell r="AL461">
            <v>0</v>
          </cell>
          <cell r="AM461">
            <v>0</v>
          </cell>
          <cell r="AN461">
            <v>232</v>
          </cell>
          <cell r="AO461" t="str">
            <v>EBITDA interest cover x</v>
          </cell>
          <cell r="AP461" t="str">
            <v>x</v>
          </cell>
          <cell r="AQ461">
            <v>0</v>
          </cell>
          <cell r="AR461">
            <v>0</v>
          </cell>
          <cell r="AS461" t="str">
            <v>40/117a</v>
          </cell>
          <cell r="AT461">
            <v>0</v>
          </cell>
          <cell r="AU461" t="str">
            <v>40</v>
          </cell>
          <cell r="AV461" t="str">
            <v>117a</v>
          </cell>
        </row>
        <row r="462">
          <cell r="A462">
            <v>233</v>
          </cell>
          <cell r="B462" t="str">
            <v>2r_cash_int_cover_x</v>
          </cell>
          <cell r="C462" t="str">
            <v>Cash interest cover</v>
          </cell>
          <cell r="D462" t="str">
            <v>Multiple</v>
          </cell>
          <cell r="E462">
            <v>0</v>
          </cell>
          <cell r="F462">
            <v>0</v>
          </cell>
          <cell r="G462">
            <v>0</v>
          </cell>
          <cell r="H462">
            <v>0</v>
          </cell>
          <cell r="I462">
            <v>0</v>
          </cell>
          <cell r="J462">
            <v>0</v>
          </cell>
          <cell r="K462">
            <v>0</v>
          </cell>
          <cell r="L462">
            <v>0</v>
          </cell>
          <cell r="M462">
            <v>0</v>
          </cell>
          <cell r="N462" t="str">
            <v>r_cash_int_cover_x</v>
          </cell>
          <cell r="O462">
            <v>0</v>
          </cell>
          <cell r="P462">
            <v>0</v>
          </cell>
          <cell r="Q462">
            <v>1</v>
          </cell>
          <cell r="R462" t="str">
            <v>E</v>
          </cell>
          <cell r="S462">
            <v>2</v>
          </cell>
          <cell r="T462" t="str">
            <v>null</v>
          </cell>
          <cell r="U462">
            <v>2</v>
          </cell>
          <cell r="V462">
            <v>0</v>
          </cell>
          <cell r="W462">
            <v>0</v>
          </cell>
          <cell r="X462">
            <v>0</v>
          </cell>
          <cell r="Y462">
            <v>0</v>
          </cell>
          <cell r="Z462">
            <v>0</v>
          </cell>
          <cell r="AA462">
            <v>65</v>
          </cell>
          <cell r="AB462" t="str">
            <v>Ratios/Misc</v>
          </cell>
          <cell r="AC462">
            <v>432</v>
          </cell>
          <cell r="AD462">
            <v>0</v>
          </cell>
          <cell r="AE462" t="str">
            <v>c_opcf_aft_tax</v>
          </cell>
          <cell r="AF462" t="str">
            <v>c_interest_paid</v>
          </cell>
          <cell r="AG462">
            <v>0</v>
          </cell>
          <cell r="AH462">
            <v>0</v>
          </cell>
          <cell r="AI462">
            <v>0</v>
          </cell>
          <cell r="AJ462">
            <v>115</v>
          </cell>
          <cell r="AK462">
            <v>117.2</v>
          </cell>
          <cell r="AL462">
            <v>0</v>
          </cell>
          <cell r="AM462">
            <v>0</v>
          </cell>
          <cell r="AN462">
            <v>233</v>
          </cell>
          <cell r="AO462" t="str">
            <v>Cash interest cover x</v>
          </cell>
          <cell r="AP462" t="str">
            <v>x</v>
          </cell>
          <cell r="AQ462">
            <v>0</v>
          </cell>
          <cell r="AR462">
            <v>0</v>
          </cell>
          <cell r="AS462" t="str">
            <v>115/117a</v>
          </cell>
          <cell r="AT462" t="str">
            <v>Operating Cashflow after tax/NetInterest (calc diff between received and paid OR Net Interest Charge</v>
          </cell>
          <cell r="AU462" t="str">
            <v>115</v>
          </cell>
          <cell r="AV462" t="str">
            <v>117a</v>
          </cell>
        </row>
        <row r="463">
          <cell r="A463">
            <v>234</v>
          </cell>
          <cell r="B463" t="str">
            <v>2r_div_cover_c_adj_eps</v>
          </cell>
          <cell r="C463" t="str">
            <v>Dividend cover</v>
          </cell>
          <cell r="D463" t="str">
            <v>Multiple</v>
          </cell>
          <cell r="E463">
            <v>0</v>
          </cell>
          <cell r="F463">
            <v>0</v>
          </cell>
          <cell r="G463">
            <v>0</v>
          </cell>
          <cell r="H463">
            <v>0</v>
          </cell>
          <cell r="I463">
            <v>0</v>
          </cell>
          <cell r="J463">
            <v>0</v>
          </cell>
          <cell r="K463">
            <v>0</v>
          </cell>
          <cell r="L463">
            <v>0</v>
          </cell>
          <cell r="M463">
            <v>0</v>
          </cell>
          <cell r="N463" t="str">
            <v>r_div_cover_c_adj_eps</v>
          </cell>
          <cell r="O463">
            <v>0</v>
          </cell>
          <cell r="P463">
            <v>0</v>
          </cell>
          <cell r="Q463">
            <v>1</v>
          </cell>
          <cell r="R463" t="str">
            <v>S</v>
          </cell>
          <cell r="S463">
            <v>2</v>
          </cell>
          <cell r="T463" t="str">
            <v>null</v>
          </cell>
          <cell r="U463">
            <v>2</v>
          </cell>
          <cell r="V463">
            <v>0</v>
          </cell>
          <cell r="W463">
            <v>0</v>
          </cell>
          <cell r="X463">
            <v>0</v>
          </cell>
          <cell r="Y463">
            <v>0</v>
          </cell>
          <cell r="Z463">
            <v>0</v>
          </cell>
          <cell r="AA463">
            <v>146</v>
          </cell>
          <cell r="AB463" t="str">
            <v>Ratios/Misc</v>
          </cell>
          <cell r="AC463">
            <v>434</v>
          </cell>
          <cell r="AD463">
            <v>0</v>
          </cell>
          <cell r="AE463" t="str">
            <v>eps_adjusted</v>
          </cell>
          <cell r="AF463" t="str">
            <v>dividend_per_share</v>
          </cell>
          <cell r="AG463">
            <v>0</v>
          </cell>
          <cell r="AH463">
            <v>0</v>
          </cell>
          <cell r="AI463">
            <v>0</v>
          </cell>
          <cell r="AJ463">
            <v>61</v>
          </cell>
          <cell r="AK463">
            <v>72</v>
          </cell>
          <cell r="AL463">
            <v>0</v>
          </cell>
          <cell r="AM463">
            <v>0</v>
          </cell>
          <cell r="AN463">
            <v>234</v>
          </cell>
          <cell r="AO463" t="str">
            <v>Dividend cover x*</v>
          </cell>
          <cell r="AP463" t="str">
            <v>x</v>
          </cell>
          <cell r="AQ463">
            <v>0</v>
          </cell>
          <cell r="AR463">
            <v>0</v>
          </cell>
          <cell r="AS463" t="str">
            <v>61/72</v>
          </cell>
          <cell r="AT463">
            <v>0</v>
          </cell>
          <cell r="AU463" t="str">
            <v>61</v>
          </cell>
          <cell r="AV463" t="str">
            <v>72</v>
          </cell>
        </row>
        <row r="464">
          <cell r="A464">
            <v>235</v>
          </cell>
          <cell r="B464" t="str">
            <v>2r_payout_ratio</v>
          </cell>
          <cell r="C464" t="str">
            <v>Payout ratio</v>
          </cell>
          <cell r="D464" t="str">
            <v>(%)</v>
          </cell>
          <cell r="E464">
            <v>0</v>
          </cell>
          <cell r="F464">
            <v>0</v>
          </cell>
          <cell r="G464">
            <v>0</v>
          </cell>
          <cell r="H464">
            <v>0</v>
          </cell>
          <cell r="I464">
            <v>0</v>
          </cell>
          <cell r="J464">
            <v>0</v>
          </cell>
          <cell r="K464">
            <v>0</v>
          </cell>
          <cell r="L464">
            <v>0</v>
          </cell>
          <cell r="M464">
            <v>0</v>
          </cell>
          <cell r="N464" t="str">
            <v>r_payout_ratio</v>
          </cell>
          <cell r="O464">
            <v>0</v>
          </cell>
          <cell r="P464">
            <v>0</v>
          </cell>
          <cell r="Q464">
            <v>0.01</v>
          </cell>
          <cell r="R464" t="str">
            <v>S</v>
          </cell>
          <cell r="S464">
            <v>2</v>
          </cell>
          <cell r="T464" t="str">
            <v>null</v>
          </cell>
          <cell r="U464">
            <v>2</v>
          </cell>
          <cell r="V464">
            <v>0</v>
          </cell>
          <cell r="W464">
            <v>0</v>
          </cell>
          <cell r="X464">
            <v>0</v>
          </cell>
          <cell r="Y464">
            <v>0</v>
          </cell>
          <cell r="Z464">
            <v>0</v>
          </cell>
          <cell r="AA464">
            <v>466</v>
          </cell>
          <cell r="AB464" t="str">
            <v>Ratios/Misc</v>
          </cell>
          <cell r="AC464">
            <v>435</v>
          </cell>
          <cell r="AD464">
            <v>0</v>
          </cell>
          <cell r="AE464" t="str">
            <v>dividend_per_share</v>
          </cell>
          <cell r="AF464" t="str">
            <v>eps_adjusted</v>
          </cell>
          <cell r="AG464">
            <v>0</v>
          </cell>
          <cell r="AH464">
            <v>0</v>
          </cell>
          <cell r="AI464">
            <v>0</v>
          </cell>
          <cell r="AJ464">
            <v>72</v>
          </cell>
          <cell r="AK464">
            <v>61</v>
          </cell>
          <cell r="AL464">
            <v>0</v>
          </cell>
          <cell r="AM464">
            <v>0</v>
          </cell>
          <cell r="AN464">
            <v>235</v>
          </cell>
          <cell r="AO464" t="str">
            <v>Payout ratio %</v>
          </cell>
          <cell r="AP464" t="str">
            <v>%</v>
          </cell>
          <cell r="AQ464">
            <v>0</v>
          </cell>
          <cell r="AR464">
            <v>0</v>
          </cell>
          <cell r="AS464" t="str">
            <v>(72/61)* 100</v>
          </cell>
          <cell r="AT464">
            <v>0</v>
          </cell>
          <cell r="AU464" t="str">
            <v>(72</v>
          </cell>
          <cell r="AV464" t="str">
            <v>61)* 100</v>
          </cell>
        </row>
        <row r="465">
          <cell r="A465">
            <v>236</v>
          </cell>
          <cell r="B465" t="str">
            <v>1r_cash_earn_total_debt</v>
          </cell>
          <cell r="C465" t="str">
            <v>Cash earnings/total debt</v>
          </cell>
          <cell r="D465" t="str">
            <v>(%)</v>
          </cell>
          <cell r="E465">
            <v>0</v>
          </cell>
          <cell r="F465">
            <v>0</v>
          </cell>
          <cell r="G465">
            <v>0</v>
          </cell>
          <cell r="H465">
            <v>0</v>
          </cell>
          <cell r="I465">
            <v>0</v>
          </cell>
          <cell r="J465">
            <v>0</v>
          </cell>
          <cell r="K465">
            <v>0</v>
          </cell>
          <cell r="L465">
            <v>0</v>
          </cell>
          <cell r="M465">
            <v>0</v>
          </cell>
          <cell r="N465" t="str">
            <v>r_cash_earn_total_debt</v>
          </cell>
          <cell r="O465">
            <v>0</v>
          </cell>
          <cell r="P465">
            <v>0</v>
          </cell>
          <cell r="Q465">
            <v>0.01</v>
          </cell>
          <cell r="R465" t="str">
            <v>E</v>
          </cell>
          <cell r="S465">
            <v>2</v>
          </cell>
          <cell r="T465" t="str">
            <v>null</v>
          </cell>
          <cell r="U465">
            <v>1</v>
          </cell>
          <cell r="V465">
            <v>0</v>
          </cell>
          <cell r="W465">
            <v>0</v>
          </cell>
          <cell r="X465">
            <v>0</v>
          </cell>
          <cell r="Y465">
            <v>0</v>
          </cell>
          <cell r="Z465">
            <v>0</v>
          </cell>
          <cell r="AA465">
            <v>61</v>
          </cell>
          <cell r="AB465" t="str">
            <v>Ratios/Misc</v>
          </cell>
          <cell r="AC465">
            <v>437</v>
          </cell>
          <cell r="AD465">
            <v>0</v>
          </cell>
          <cell r="AE465">
            <v>0</v>
          </cell>
          <cell r="AF465">
            <v>0</v>
          </cell>
          <cell r="AG465">
            <v>0</v>
          </cell>
          <cell r="AH465">
            <v>0</v>
          </cell>
          <cell r="AI465">
            <v>0</v>
          </cell>
          <cell r="AJ465">
            <v>0</v>
          </cell>
          <cell r="AK465">
            <v>0</v>
          </cell>
          <cell r="AL465">
            <v>0</v>
          </cell>
          <cell r="AM465">
            <v>0</v>
          </cell>
          <cell r="AN465">
            <v>236</v>
          </cell>
          <cell r="AO465" t="str">
            <v>Cash earnings/total debt %</v>
          </cell>
          <cell r="AP465" t="str">
            <v>%</v>
          </cell>
          <cell r="AQ465">
            <v>0</v>
          </cell>
          <cell r="AR465">
            <v>0</v>
          </cell>
          <cell r="AS465">
            <v>0</v>
          </cell>
          <cell r="AT465">
            <v>0</v>
          </cell>
          <cell r="AU465" t="e">
            <v>#VALUE!</v>
          </cell>
          <cell r="AV465" t="e">
            <v>#VALUE!</v>
          </cell>
        </row>
        <row r="466">
          <cell r="A466">
            <v>237</v>
          </cell>
          <cell r="B466" t="str">
            <v>1r_rorwa</v>
          </cell>
          <cell r="C466" t="str">
            <v>RORWA</v>
          </cell>
          <cell r="D466" t="str">
            <v>(%)</v>
          </cell>
          <cell r="E466">
            <v>0</v>
          </cell>
          <cell r="F466">
            <v>0</v>
          </cell>
          <cell r="G466">
            <v>0</v>
          </cell>
          <cell r="H466">
            <v>0</v>
          </cell>
          <cell r="I466">
            <v>0</v>
          </cell>
          <cell r="J466">
            <v>0</v>
          </cell>
          <cell r="K466">
            <v>0</v>
          </cell>
          <cell r="L466">
            <v>0</v>
          </cell>
          <cell r="M466">
            <v>0</v>
          </cell>
          <cell r="N466" t="str">
            <v>r_rorwa</v>
          </cell>
          <cell r="O466">
            <v>0</v>
          </cell>
          <cell r="P466">
            <v>0</v>
          </cell>
          <cell r="Q466">
            <v>0.01</v>
          </cell>
          <cell r="R466" t="str">
            <v>E</v>
          </cell>
          <cell r="S466">
            <v>2</v>
          </cell>
          <cell r="T466" t="str">
            <v>null</v>
          </cell>
          <cell r="U466">
            <v>1</v>
          </cell>
          <cell r="V466">
            <v>0</v>
          </cell>
          <cell r="W466">
            <v>0</v>
          </cell>
          <cell r="X466">
            <v>0</v>
          </cell>
          <cell r="Y466">
            <v>0</v>
          </cell>
          <cell r="Z466">
            <v>0</v>
          </cell>
          <cell r="AA466">
            <v>516</v>
          </cell>
          <cell r="AB466" t="str">
            <v>Ratios/Misc</v>
          </cell>
          <cell r="AC466">
            <v>438</v>
          </cell>
          <cell r="AD466">
            <v>0</v>
          </cell>
          <cell r="AE466">
            <v>0</v>
          </cell>
          <cell r="AF466">
            <v>0</v>
          </cell>
          <cell r="AG466">
            <v>0</v>
          </cell>
          <cell r="AH466">
            <v>0</v>
          </cell>
          <cell r="AI466">
            <v>0</v>
          </cell>
          <cell r="AJ466">
            <v>48</v>
          </cell>
          <cell r="AK466">
            <v>53</v>
          </cell>
          <cell r="AL466">
            <v>178</v>
          </cell>
          <cell r="AM466">
            <v>0</v>
          </cell>
          <cell r="AN466">
            <v>237</v>
          </cell>
          <cell r="AO466" t="str">
            <v xml:space="preserve">RORWA % </v>
          </cell>
          <cell r="AP466" t="str">
            <v>%</v>
          </cell>
          <cell r="AQ466">
            <v>0</v>
          </cell>
          <cell r="AR466" t="str">
            <v>Banks</v>
          </cell>
          <cell r="AS466" t="str">
            <v>48-53/178</v>
          </cell>
          <cell r="AT466">
            <v>0</v>
          </cell>
          <cell r="AU466" t="str">
            <v>48-53</v>
          </cell>
          <cell r="AV466" t="str">
            <v>178</v>
          </cell>
        </row>
        <row r="467">
          <cell r="A467">
            <v>238</v>
          </cell>
          <cell r="B467" t="str">
            <v>1r_efficiency_ratio</v>
          </cell>
          <cell r="C467" t="str">
            <v>Efficiency ratio</v>
          </cell>
          <cell r="D467" t="str">
            <v>(%)</v>
          </cell>
          <cell r="E467">
            <v>0</v>
          </cell>
          <cell r="F467">
            <v>0</v>
          </cell>
          <cell r="G467">
            <v>0</v>
          </cell>
          <cell r="H467">
            <v>0</v>
          </cell>
          <cell r="I467">
            <v>0</v>
          </cell>
          <cell r="J467">
            <v>0</v>
          </cell>
          <cell r="K467">
            <v>0</v>
          </cell>
          <cell r="L467">
            <v>0</v>
          </cell>
          <cell r="M467">
            <v>0</v>
          </cell>
          <cell r="N467" t="str">
            <v>r_efficiency_ratio</v>
          </cell>
          <cell r="O467">
            <v>0</v>
          </cell>
          <cell r="P467">
            <v>0</v>
          </cell>
          <cell r="Q467">
            <v>0.01</v>
          </cell>
          <cell r="R467" t="str">
            <v>E</v>
          </cell>
          <cell r="S467">
            <v>2</v>
          </cell>
          <cell r="T467" t="str">
            <v>null</v>
          </cell>
          <cell r="U467">
            <v>1</v>
          </cell>
          <cell r="V467">
            <v>0</v>
          </cell>
          <cell r="W467">
            <v>0</v>
          </cell>
          <cell r="X467">
            <v>0</v>
          </cell>
          <cell r="Y467">
            <v>0</v>
          </cell>
          <cell r="Z467">
            <v>0</v>
          </cell>
          <cell r="AA467">
            <v>184</v>
          </cell>
          <cell r="AB467" t="str">
            <v>Ratios/Misc</v>
          </cell>
          <cell r="AC467">
            <v>439</v>
          </cell>
          <cell r="AD467">
            <v>0</v>
          </cell>
          <cell r="AE467">
            <v>0</v>
          </cell>
          <cell r="AF467">
            <v>0</v>
          </cell>
          <cell r="AG467">
            <v>0</v>
          </cell>
          <cell r="AH467">
            <v>0</v>
          </cell>
          <cell r="AI467">
            <v>0</v>
          </cell>
          <cell r="AJ467">
            <v>0</v>
          </cell>
          <cell r="AK467">
            <v>0</v>
          </cell>
          <cell r="AL467">
            <v>0</v>
          </cell>
          <cell r="AM467">
            <v>0</v>
          </cell>
          <cell r="AN467">
            <v>238</v>
          </cell>
          <cell r="AO467" t="str">
            <v>Efficiency ratio %</v>
          </cell>
          <cell r="AP467" t="str">
            <v>%</v>
          </cell>
          <cell r="AQ467">
            <v>0</v>
          </cell>
          <cell r="AR467" t="str">
            <v>Banks</v>
          </cell>
          <cell r="AS467">
            <v>0</v>
          </cell>
          <cell r="AT467">
            <v>0</v>
          </cell>
          <cell r="AU467" t="e">
            <v>#VALUE!</v>
          </cell>
          <cell r="AV467" t="e">
            <v>#VALUE!</v>
          </cell>
        </row>
        <row r="468">
          <cell r="A468">
            <v>239.8</v>
          </cell>
          <cell r="B468" t="str">
            <v>1r_combined_ratio</v>
          </cell>
          <cell r="C468" t="str">
            <v>combined ratio (loss + expense)</v>
          </cell>
          <cell r="D468" t="str">
            <v>(%)</v>
          </cell>
          <cell r="E468">
            <v>0</v>
          </cell>
          <cell r="F468">
            <v>0</v>
          </cell>
          <cell r="G468">
            <v>0</v>
          </cell>
          <cell r="H468">
            <v>0</v>
          </cell>
          <cell r="I468">
            <v>0</v>
          </cell>
          <cell r="J468">
            <v>0</v>
          </cell>
          <cell r="K468">
            <v>0</v>
          </cell>
          <cell r="L468">
            <v>0</v>
          </cell>
          <cell r="M468">
            <v>0</v>
          </cell>
          <cell r="N468" t="str">
            <v>r_combined_ratio</v>
          </cell>
          <cell r="O468">
            <v>0</v>
          </cell>
          <cell r="P468">
            <v>0</v>
          </cell>
          <cell r="Q468">
            <v>0.01</v>
          </cell>
          <cell r="R468" t="str">
            <v>E</v>
          </cell>
          <cell r="S468">
            <v>2</v>
          </cell>
          <cell r="T468" t="str">
            <v>null</v>
          </cell>
          <cell r="U468">
            <v>1</v>
          </cell>
          <cell r="V468">
            <v>0</v>
          </cell>
          <cell r="W468">
            <v>0</v>
          </cell>
          <cell r="X468">
            <v>0</v>
          </cell>
          <cell r="Y468">
            <v>0</v>
          </cell>
          <cell r="Z468">
            <v>0</v>
          </cell>
          <cell r="AA468">
            <v>554</v>
          </cell>
          <cell r="AB468" t="str">
            <v>Ratios/Misc</v>
          </cell>
          <cell r="AC468">
            <v>440</v>
          </cell>
        </row>
        <row r="469">
          <cell r="A469">
            <v>239.7</v>
          </cell>
          <cell r="B469" t="str">
            <v>1r_expense_ratio</v>
          </cell>
          <cell r="C469" t="str">
            <v>expense ratio</v>
          </cell>
          <cell r="D469" t="str">
            <v>(%)</v>
          </cell>
          <cell r="E469">
            <v>0</v>
          </cell>
          <cell r="F469">
            <v>0</v>
          </cell>
          <cell r="G469">
            <v>0</v>
          </cell>
          <cell r="H469">
            <v>0</v>
          </cell>
          <cell r="I469">
            <v>0</v>
          </cell>
          <cell r="J469">
            <v>0</v>
          </cell>
          <cell r="K469">
            <v>0</v>
          </cell>
          <cell r="L469">
            <v>0</v>
          </cell>
          <cell r="M469">
            <v>0</v>
          </cell>
          <cell r="N469" t="str">
            <v>r_expense_ratio</v>
          </cell>
          <cell r="O469">
            <v>0</v>
          </cell>
          <cell r="P469">
            <v>0</v>
          </cell>
          <cell r="Q469">
            <v>0.01</v>
          </cell>
          <cell r="R469" t="str">
            <v>E</v>
          </cell>
          <cell r="S469">
            <v>2</v>
          </cell>
          <cell r="T469" t="str">
            <v>null</v>
          </cell>
          <cell r="U469">
            <v>1</v>
          </cell>
          <cell r="V469">
            <v>0</v>
          </cell>
          <cell r="W469">
            <v>0</v>
          </cell>
          <cell r="X469">
            <v>0</v>
          </cell>
          <cell r="Y469">
            <v>0</v>
          </cell>
          <cell r="Z469">
            <v>0</v>
          </cell>
          <cell r="AA469">
            <v>554</v>
          </cell>
          <cell r="AB469" t="str">
            <v>Ratios/Misc</v>
          </cell>
          <cell r="AC469">
            <v>440</v>
          </cell>
        </row>
        <row r="470">
          <cell r="A470">
            <v>239.5</v>
          </cell>
          <cell r="B470" t="str">
            <v>1r_loss_ratio</v>
          </cell>
          <cell r="C470" t="str">
            <v>loss ratio</v>
          </cell>
          <cell r="D470" t="str">
            <v>(%)</v>
          </cell>
          <cell r="E470">
            <v>0</v>
          </cell>
          <cell r="F470">
            <v>0</v>
          </cell>
          <cell r="G470">
            <v>0</v>
          </cell>
          <cell r="H470">
            <v>0</v>
          </cell>
          <cell r="I470">
            <v>0</v>
          </cell>
          <cell r="J470">
            <v>0</v>
          </cell>
          <cell r="K470">
            <v>0</v>
          </cell>
          <cell r="L470">
            <v>0</v>
          </cell>
          <cell r="M470">
            <v>0</v>
          </cell>
          <cell r="N470" t="str">
            <v>r_loss_ratio</v>
          </cell>
          <cell r="O470">
            <v>0</v>
          </cell>
          <cell r="P470">
            <v>0</v>
          </cell>
          <cell r="Q470">
            <v>0.01</v>
          </cell>
          <cell r="R470" t="str">
            <v>E</v>
          </cell>
          <cell r="S470">
            <v>2</v>
          </cell>
          <cell r="T470" t="str">
            <v>null</v>
          </cell>
          <cell r="U470">
            <v>1</v>
          </cell>
          <cell r="V470">
            <v>0</v>
          </cell>
          <cell r="W470">
            <v>0</v>
          </cell>
          <cell r="X470">
            <v>0</v>
          </cell>
          <cell r="Y470">
            <v>0</v>
          </cell>
          <cell r="Z470">
            <v>0</v>
          </cell>
          <cell r="AA470">
            <v>554</v>
          </cell>
          <cell r="AB470" t="str">
            <v>Ratios/Misc</v>
          </cell>
          <cell r="AC470">
            <v>440</v>
          </cell>
        </row>
        <row r="471">
          <cell r="A471">
            <v>239</v>
          </cell>
          <cell r="B471" t="str">
            <v>1r_tier_1_ratio</v>
          </cell>
          <cell r="C471" t="str">
            <v>Tier 1 ratio</v>
          </cell>
          <cell r="D471" t="str">
            <v>(%)</v>
          </cell>
          <cell r="E471">
            <v>0</v>
          </cell>
          <cell r="F471">
            <v>0</v>
          </cell>
          <cell r="G471">
            <v>0</v>
          </cell>
          <cell r="H471">
            <v>0</v>
          </cell>
          <cell r="I471">
            <v>0</v>
          </cell>
          <cell r="J471">
            <v>0</v>
          </cell>
          <cell r="K471">
            <v>0</v>
          </cell>
          <cell r="L471">
            <v>0</v>
          </cell>
          <cell r="M471">
            <v>0</v>
          </cell>
          <cell r="N471" t="str">
            <v>r_tier_1_ratio</v>
          </cell>
          <cell r="O471">
            <v>0</v>
          </cell>
          <cell r="P471">
            <v>0</v>
          </cell>
          <cell r="Q471">
            <v>0.01</v>
          </cell>
          <cell r="R471" t="str">
            <v>E</v>
          </cell>
          <cell r="S471">
            <v>2</v>
          </cell>
          <cell r="T471" t="str">
            <v>null</v>
          </cell>
          <cell r="U471">
            <v>1</v>
          </cell>
          <cell r="V471">
            <v>0</v>
          </cell>
          <cell r="W471">
            <v>0</v>
          </cell>
          <cell r="X471">
            <v>0</v>
          </cell>
          <cell r="Y471">
            <v>0</v>
          </cell>
          <cell r="Z471">
            <v>0</v>
          </cell>
          <cell r="AA471">
            <v>554</v>
          </cell>
          <cell r="AB471" t="str">
            <v>Ratios/Misc</v>
          </cell>
          <cell r="AC471">
            <v>440</v>
          </cell>
          <cell r="AD471">
            <v>0</v>
          </cell>
          <cell r="AE471">
            <v>0</v>
          </cell>
          <cell r="AF471">
            <v>0</v>
          </cell>
          <cell r="AG471">
            <v>0</v>
          </cell>
          <cell r="AH471">
            <v>0</v>
          </cell>
          <cell r="AI471">
            <v>0</v>
          </cell>
          <cell r="AJ471">
            <v>0</v>
          </cell>
          <cell r="AK471">
            <v>0</v>
          </cell>
          <cell r="AL471">
            <v>0</v>
          </cell>
          <cell r="AM471">
            <v>0</v>
          </cell>
          <cell r="AN471">
            <v>239</v>
          </cell>
          <cell r="AO471" t="str">
            <v>Tier 1 ratio %</v>
          </cell>
          <cell r="AP471" t="str">
            <v>%</v>
          </cell>
          <cell r="AQ471">
            <v>0</v>
          </cell>
          <cell r="AR471" t="str">
            <v>Banks</v>
          </cell>
          <cell r="AS471">
            <v>0</v>
          </cell>
          <cell r="AT471">
            <v>0</v>
          </cell>
          <cell r="AU471" t="e">
            <v>#VALUE!</v>
          </cell>
          <cell r="AV471" t="e">
            <v>#VALUE!</v>
          </cell>
        </row>
        <row r="472">
          <cell r="A472">
            <v>240</v>
          </cell>
          <cell r="B472" t="str">
            <v>1r_roa</v>
          </cell>
          <cell r="C472" t="str">
            <v>ROA</v>
          </cell>
          <cell r="D472" t="str">
            <v>(%)</v>
          </cell>
          <cell r="E472">
            <v>0</v>
          </cell>
          <cell r="F472">
            <v>0</v>
          </cell>
          <cell r="G472">
            <v>0</v>
          </cell>
          <cell r="H472">
            <v>0</v>
          </cell>
          <cell r="I472">
            <v>0</v>
          </cell>
          <cell r="J472">
            <v>0</v>
          </cell>
          <cell r="K472">
            <v>0</v>
          </cell>
          <cell r="L472">
            <v>0</v>
          </cell>
          <cell r="M472">
            <v>0</v>
          </cell>
          <cell r="N472" t="str">
            <v>r_roa</v>
          </cell>
          <cell r="O472">
            <v>0</v>
          </cell>
          <cell r="P472">
            <v>0</v>
          </cell>
          <cell r="Q472">
            <v>0.01</v>
          </cell>
          <cell r="R472" t="str">
            <v>E</v>
          </cell>
          <cell r="S472">
            <v>2</v>
          </cell>
          <cell r="T472" t="str">
            <v>null</v>
          </cell>
          <cell r="U472">
            <v>1</v>
          </cell>
          <cell r="V472">
            <v>0</v>
          </cell>
          <cell r="W472">
            <v>0</v>
          </cell>
          <cell r="X472">
            <v>0</v>
          </cell>
          <cell r="Y472">
            <v>0</v>
          </cell>
          <cell r="Z472">
            <v>0</v>
          </cell>
          <cell r="AA472">
            <v>509</v>
          </cell>
          <cell r="AB472" t="str">
            <v>Ratios/Misc</v>
          </cell>
          <cell r="AC472">
            <v>411.5</v>
          </cell>
          <cell r="AD472">
            <v>0</v>
          </cell>
          <cell r="AE472">
            <v>0</v>
          </cell>
          <cell r="AF472">
            <v>0</v>
          </cell>
          <cell r="AG472">
            <v>0</v>
          </cell>
          <cell r="AH472">
            <v>0</v>
          </cell>
          <cell r="AI472">
            <v>0</v>
          </cell>
          <cell r="AJ472">
            <v>0</v>
          </cell>
          <cell r="AK472">
            <v>0</v>
          </cell>
          <cell r="AL472">
            <v>0</v>
          </cell>
          <cell r="AM472">
            <v>0</v>
          </cell>
          <cell r="AN472">
            <v>240</v>
          </cell>
          <cell r="AO472" t="str">
            <v>ROA %</v>
          </cell>
          <cell r="AP472" t="str">
            <v>%</v>
          </cell>
          <cell r="AQ472">
            <v>0</v>
          </cell>
          <cell r="AR472" t="str">
            <v>Banks</v>
          </cell>
          <cell r="AS472">
            <v>0</v>
          </cell>
          <cell r="AT472">
            <v>0</v>
          </cell>
          <cell r="AU472" t="e">
            <v>#VALUE!</v>
          </cell>
          <cell r="AV472" t="e">
            <v>#VALUE!</v>
          </cell>
        </row>
        <row r="473">
          <cell r="A473">
            <v>241</v>
          </cell>
          <cell r="B473" t="str">
            <v>1r_cost_income</v>
          </cell>
          <cell r="C473" t="str">
            <v>Cost/income</v>
          </cell>
          <cell r="D473" t="str">
            <v>(%)</v>
          </cell>
          <cell r="E473">
            <v>0</v>
          </cell>
          <cell r="F473">
            <v>0</v>
          </cell>
          <cell r="G473">
            <v>0</v>
          </cell>
          <cell r="H473">
            <v>0</v>
          </cell>
          <cell r="I473">
            <v>0</v>
          </cell>
          <cell r="J473">
            <v>0</v>
          </cell>
          <cell r="K473">
            <v>0</v>
          </cell>
          <cell r="L473">
            <v>0</v>
          </cell>
          <cell r="M473">
            <v>0</v>
          </cell>
          <cell r="N473" t="str">
            <v>r_cost_income</v>
          </cell>
          <cell r="O473">
            <v>0</v>
          </cell>
          <cell r="P473">
            <v>0</v>
          </cell>
          <cell r="Q473">
            <v>0.01</v>
          </cell>
          <cell r="R473" t="str">
            <v>E</v>
          </cell>
          <cell r="S473">
            <v>2</v>
          </cell>
          <cell r="T473" t="str">
            <v>null</v>
          </cell>
          <cell r="U473">
            <v>1</v>
          </cell>
          <cell r="V473">
            <v>0</v>
          </cell>
          <cell r="W473">
            <v>0</v>
          </cell>
          <cell r="X473">
            <v>0</v>
          </cell>
          <cell r="Y473">
            <v>0</v>
          </cell>
          <cell r="Z473">
            <v>0</v>
          </cell>
          <cell r="AA473">
            <v>92</v>
          </cell>
          <cell r="AB473" t="str">
            <v>Ratios/Misc</v>
          </cell>
          <cell r="AC473">
            <v>442</v>
          </cell>
          <cell r="AD473">
            <v>0</v>
          </cell>
          <cell r="AE473">
            <v>0</v>
          </cell>
          <cell r="AF473">
            <v>0</v>
          </cell>
          <cell r="AG473">
            <v>0</v>
          </cell>
          <cell r="AH473">
            <v>0</v>
          </cell>
          <cell r="AI473">
            <v>0</v>
          </cell>
          <cell r="AJ473">
            <v>0</v>
          </cell>
          <cell r="AK473">
            <v>0</v>
          </cell>
          <cell r="AL473">
            <v>0</v>
          </cell>
          <cell r="AM473">
            <v>0</v>
          </cell>
          <cell r="AN473">
            <v>241</v>
          </cell>
          <cell r="AO473" t="str">
            <v>Cost/income %</v>
          </cell>
          <cell r="AP473" t="str">
            <v>%</v>
          </cell>
          <cell r="AQ473">
            <v>0</v>
          </cell>
          <cell r="AR473" t="str">
            <v>Banks</v>
          </cell>
          <cell r="AS473">
            <v>0</v>
          </cell>
          <cell r="AT473">
            <v>0</v>
          </cell>
          <cell r="AU473" t="e">
            <v>#VALUE!</v>
          </cell>
          <cell r="AV473" t="e">
            <v>#VALUE!</v>
          </cell>
        </row>
        <row r="474">
          <cell r="A474">
            <v>242</v>
          </cell>
          <cell r="B474" t="str">
            <v>1r_loan_loss_res_total_loans</v>
          </cell>
          <cell r="C474" t="str">
            <v>Loan loss reserve/total loans</v>
          </cell>
          <cell r="D474" t="str">
            <v>Multiple</v>
          </cell>
          <cell r="E474">
            <v>0</v>
          </cell>
          <cell r="F474">
            <v>0</v>
          </cell>
          <cell r="G474">
            <v>0</v>
          </cell>
          <cell r="H474">
            <v>0</v>
          </cell>
          <cell r="I474">
            <v>0</v>
          </cell>
          <cell r="J474">
            <v>0</v>
          </cell>
          <cell r="K474">
            <v>0</v>
          </cell>
          <cell r="L474">
            <v>0</v>
          </cell>
          <cell r="M474">
            <v>0</v>
          </cell>
          <cell r="N474" t="str">
            <v>r_loan_loss_res_total_loans</v>
          </cell>
          <cell r="O474">
            <v>0</v>
          </cell>
          <cell r="P474">
            <v>0</v>
          </cell>
          <cell r="Q474">
            <v>1</v>
          </cell>
          <cell r="R474" t="str">
            <v>E</v>
          </cell>
          <cell r="S474">
            <v>2</v>
          </cell>
          <cell r="T474" t="str">
            <v>null</v>
          </cell>
          <cell r="U474">
            <v>1</v>
          </cell>
          <cell r="V474">
            <v>0</v>
          </cell>
          <cell r="W474">
            <v>0</v>
          </cell>
          <cell r="X474">
            <v>0</v>
          </cell>
          <cell r="Y474">
            <v>0</v>
          </cell>
          <cell r="Z474">
            <v>0</v>
          </cell>
          <cell r="AA474">
            <v>320</v>
          </cell>
          <cell r="AB474" t="str">
            <v>Ratios/Misc</v>
          </cell>
          <cell r="AC474">
            <v>443</v>
          </cell>
          <cell r="AD474">
            <v>0</v>
          </cell>
          <cell r="AE474">
            <v>0</v>
          </cell>
          <cell r="AF474">
            <v>0</v>
          </cell>
          <cell r="AG474">
            <v>0</v>
          </cell>
          <cell r="AH474">
            <v>0</v>
          </cell>
          <cell r="AI474">
            <v>0</v>
          </cell>
          <cell r="AJ474">
            <v>0</v>
          </cell>
          <cell r="AK474">
            <v>0</v>
          </cell>
          <cell r="AL474">
            <v>0</v>
          </cell>
          <cell r="AM474">
            <v>0</v>
          </cell>
          <cell r="AN474">
            <v>242</v>
          </cell>
          <cell r="AO474" t="str">
            <v>Loan loss reserve/total loans</v>
          </cell>
          <cell r="AP474" t="str">
            <v>%</v>
          </cell>
          <cell r="AQ474">
            <v>0</v>
          </cell>
          <cell r="AR474" t="str">
            <v>Banks</v>
          </cell>
          <cell r="AS474">
            <v>0</v>
          </cell>
          <cell r="AT474">
            <v>0</v>
          </cell>
          <cell r="AU474" t="e">
            <v>#VALUE!</v>
          </cell>
          <cell r="AV474" t="e">
            <v>#VALUE!</v>
          </cell>
        </row>
        <row r="475">
          <cell r="A475">
            <v>236.6</v>
          </cell>
          <cell r="B475" t="str">
            <v>1r_cash_headline_roe</v>
          </cell>
          <cell r="C475" t="str">
            <v xml:space="preserve">Cash/headline ROE </v>
          </cell>
          <cell r="D475" t="str">
            <v>Multiple</v>
          </cell>
          <cell r="E475">
            <v>0</v>
          </cell>
          <cell r="F475">
            <v>0</v>
          </cell>
          <cell r="G475">
            <v>0</v>
          </cell>
          <cell r="H475">
            <v>0</v>
          </cell>
          <cell r="I475">
            <v>0</v>
          </cell>
          <cell r="J475">
            <v>0</v>
          </cell>
          <cell r="K475">
            <v>0</v>
          </cell>
          <cell r="L475">
            <v>0</v>
          </cell>
          <cell r="M475">
            <v>0</v>
          </cell>
          <cell r="N475" t="str">
            <v>r_cash_headline_roe</v>
          </cell>
          <cell r="O475">
            <v>0</v>
          </cell>
          <cell r="P475">
            <v>0</v>
          </cell>
          <cell r="Q475">
            <v>1</v>
          </cell>
          <cell r="R475" t="str">
            <v>E</v>
          </cell>
          <cell r="S475">
            <v>2</v>
          </cell>
          <cell r="T475" t="str">
            <v>null</v>
          </cell>
          <cell r="U475">
            <v>1</v>
          </cell>
          <cell r="V475">
            <v>0</v>
          </cell>
          <cell r="W475">
            <v>0</v>
          </cell>
          <cell r="X475">
            <v>0</v>
          </cell>
          <cell r="Y475">
            <v>0</v>
          </cell>
          <cell r="Z475">
            <v>0</v>
          </cell>
          <cell r="AA475">
            <v>319</v>
          </cell>
          <cell r="AB475" t="str">
            <v>Ratios/Misc</v>
          </cell>
          <cell r="AC475">
            <v>444</v>
          </cell>
          <cell r="AD475">
            <v>0</v>
          </cell>
          <cell r="AE475">
            <v>0</v>
          </cell>
          <cell r="AF475">
            <v>0</v>
          </cell>
          <cell r="AG475">
            <v>0</v>
          </cell>
          <cell r="AH475">
            <v>0</v>
          </cell>
          <cell r="AI475">
            <v>0</v>
          </cell>
          <cell r="AJ475">
            <v>0</v>
          </cell>
          <cell r="AK475">
            <v>0</v>
          </cell>
          <cell r="AL475">
            <v>0</v>
          </cell>
          <cell r="AM475">
            <v>0</v>
          </cell>
          <cell r="AN475">
            <v>243</v>
          </cell>
          <cell r="AO475" t="str">
            <v>Loan loss reserve/non-performing assets</v>
          </cell>
          <cell r="AP475" t="str">
            <v>%</v>
          </cell>
          <cell r="AQ475">
            <v>0</v>
          </cell>
          <cell r="AR475" t="str">
            <v>Banks</v>
          </cell>
          <cell r="AS475">
            <v>0</v>
          </cell>
          <cell r="AT475">
            <v>0</v>
          </cell>
          <cell r="AU475" t="e">
            <v>#VALUE!</v>
          </cell>
          <cell r="AV475" t="e">
            <v>#VALUE!</v>
          </cell>
        </row>
        <row r="476">
          <cell r="A476">
            <v>243</v>
          </cell>
          <cell r="B476" t="str">
            <v>1r_loan_loss_res_non_per_ass</v>
          </cell>
          <cell r="C476" t="str">
            <v>Loan loss reserve/non-performing assets</v>
          </cell>
          <cell r="D476" t="str">
            <v>Multiple</v>
          </cell>
          <cell r="E476">
            <v>0</v>
          </cell>
          <cell r="F476">
            <v>0</v>
          </cell>
          <cell r="G476">
            <v>0</v>
          </cell>
          <cell r="H476">
            <v>0</v>
          </cell>
          <cell r="I476">
            <v>0</v>
          </cell>
          <cell r="J476">
            <v>0</v>
          </cell>
          <cell r="K476">
            <v>0</v>
          </cell>
          <cell r="L476">
            <v>0</v>
          </cell>
          <cell r="M476">
            <v>0</v>
          </cell>
          <cell r="N476" t="str">
            <v>r_loan_loss_res_non_per_ass</v>
          </cell>
          <cell r="O476">
            <v>0</v>
          </cell>
          <cell r="P476">
            <v>0</v>
          </cell>
          <cell r="Q476">
            <v>1</v>
          </cell>
          <cell r="R476" t="str">
            <v>E</v>
          </cell>
          <cell r="S476">
            <v>2</v>
          </cell>
          <cell r="T476" t="str">
            <v>null</v>
          </cell>
          <cell r="U476">
            <v>1</v>
          </cell>
          <cell r="V476">
            <v>0</v>
          </cell>
          <cell r="W476">
            <v>0</v>
          </cell>
          <cell r="X476">
            <v>0</v>
          </cell>
          <cell r="Y476">
            <v>0</v>
          </cell>
          <cell r="Z476">
            <v>0</v>
          </cell>
          <cell r="AA476">
            <v>319</v>
          </cell>
          <cell r="AB476" t="str">
            <v>Ratios/Misc</v>
          </cell>
          <cell r="AC476">
            <v>444</v>
          </cell>
          <cell r="AD476">
            <v>0</v>
          </cell>
          <cell r="AE476">
            <v>0</v>
          </cell>
          <cell r="AF476">
            <v>0</v>
          </cell>
          <cell r="AG476">
            <v>0</v>
          </cell>
          <cell r="AH476">
            <v>0</v>
          </cell>
          <cell r="AI476">
            <v>0</v>
          </cell>
          <cell r="AJ476">
            <v>0</v>
          </cell>
          <cell r="AK476">
            <v>0</v>
          </cell>
          <cell r="AL476">
            <v>0</v>
          </cell>
          <cell r="AM476">
            <v>0</v>
          </cell>
          <cell r="AN476">
            <v>243</v>
          </cell>
          <cell r="AO476" t="str">
            <v>Loan loss reserve/non-performing assets</v>
          </cell>
          <cell r="AP476" t="str">
            <v>%</v>
          </cell>
          <cell r="AQ476">
            <v>0</v>
          </cell>
          <cell r="AR476" t="str">
            <v>Banks</v>
          </cell>
          <cell r="AS476">
            <v>0</v>
          </cell>
          <cell r="AT476">
            <v>0</v>
          </cell>
          <cell r="AU476" t="e">
            <v>#VALUE!</v>
          </cell>
          <cell r="AV476" t="e">
            <v>#VALUE!</v>
          </cell>
        </row>
        <row r="477">
          <cell r="A477">
            <v>244</v>
          </cell>
          <cell r="B477" t="str">
            <v>1r_net_chng_netprofit_avloans</v>
          </cell>
          <cell r="C477" t="str">
            <v>Net change in op profit/average loans</v>
          </cell>
          <cell r="D477" t="str">
            <v>(%)</v>
          </cell>
          <cell r="E477">
            <v>0</v>
          </cell>
          <cell r="F477">
            <v>0</v>
          </cell>
          <cell r="G477">
            <v>0</v>
          </cell>
          <cell r="H477">
            <v>0</v>
          </cell>
          <cell r="I477">
            <v>0</v>
          </cell>
          <cell r="J477">
            <v>0</v>
          </cell>
          <cell r="K477">
            <v>0</v>
          </cell>
          <cell r="L477">
            <v>0</v>
          </cell>
          <cell r="M477">
            <v>0</v>
          </cell>
          <cell r="N477" t="str">
            <v>r_net_chng_netprofit_avloans</v>
          </cell>
          <cell r="O477">
            <v>0</v>
          </cell>
          <cell r="P477">
            <v>0</v>
          </cell>
          <cell r="Q477">
            <v>0.01</v>
          </cell>
          <cell r="R477" t="str">
            <v>E</v>
          </cell>
          <cell r="S477">
            <v>2</v>
          </cell>
          <cell r="T477" t="str">
            <v>null</v>
          </cell>
          <cell r="U477">
            <v>1</v>
          </cell>
          <cell r="V477">
            <v>0</v>
          </cell>
          <cell r="W477">
            <v>0</v>
          </cell>
          <cell r="X477">
            <v>0</v>
          </cell>
          <cell r="Y477">
            <v>0</v>
          </cell>
          <cell r="Z477">
            <v>0</v>
          </cell>
          <cell r="AA477">
            <v>363</v>
          </cell>
          <cell r="AB477" t="str">
            <v>Ratios/Misc</v>
          </cell>
          <cell r="AC477">
            <v>445</v>
          </cell>
          <cell r="AD477">
            <v>0</v>
          </cell>
          <cell r="AE477">
            <v>0</v>
          </cell>
          <cell r="AF477">
            <v>0</v>
          </cell>
          <cell r="AG477">
            <v>0</v>
          </cell>
          <cell r="AH477">
            <v>0</v>
          </cell>
          <cell r="AI477">
            <v>0</v>
          </cell>
          <cell r="AJ477">
            <v>0</v>
          </cell>
          <cell r="AK477">
            <v>0</v>
          </cell>
          <cell r="AL477">
            <v>0</v>
          </cell>
          <cell r="AM477">
            <v>0</v>
          </cell>
          <cell r="AN477">
            <v>244</v>
          </cell>
          <cell r="AO477" t="str">
            <v>Net change in op profit/average loans (?)</v>
          </cell>
          <cell r="AP477" t="str">
            <v>%</v>
          </cell>
          <cell r="AQ477">
            <v>0</v>
          </cell>
          <cell r="AR477" t="str">
            <v>Banks</v>
          </cell>
          <cell r="AS477">
            <v>0</v>
          </cell>
          <cell r="AT477">
            <v>0</v>
          </cell>
          <cell r="AU477" t="e">
            <v>#VALUE!</v>
          </cell>
          <cell r="AV477" t="e">
            <v>#VALUE!</v>
          </cell>
        </row>
        <row r="478">
          <cell r="A478">
            <v>245</v>
          </cell>
          <cell r="B478" t="str">
            <v>1r_leverage</v>
          </cell>
          <cell r="C478" t="str">
            <v>Leverage</v>
          </cell>
          <cell r="D478" t="str">
            <v>(%)</v>
          </cell>
          <cell r="E478">
            <v>0</v>
          </cell>
          <cell r="F478">
            <v>0</v>
          </cell>
          <cell r="G478">
            <v>0</v>
          </cell>
          <cell r="H478">
            <v>0</v>
          </cell>
          <cell r="I478">
            <v>0</v>
          </cell>
          <cell r="J478">
            <v>0</v>
          </cell>
          <cell r="K478">
            <v>0</v>
          </cell>
          <cell r="L478">
            <v>0</v>
          </cell>
          <cell r="M478">
            <v>0</v>
          </cell>
          <cell r="N478" t="str">
            <v>r_leverage</v>
          </cell>
          <cell r="O478">
            <v>0</v>
          </cell>
          <cell r="P478">
            <v>0</v>
          </cell>
          <cell r="Q478">
            <v>0.01</v>
          </cell>
          <cell r="R478" t="str">
            <v>E</v>
          </cell>
          <cell r="S478">
            <v>2</v>
          </cell>
          <cell r="T478" t="str">
            <v>null</v>
          </cell>
          <cell r="U478">
            <v>1</v>
          </cell>
          <cell r="V478">
            <v>0</v>
          </cell>
          <cell r="W478">
            <v>0</v>
          </cell>
          <cell r="X478">
            <v>0</v>
          </cell>
          <cell r="Y478">
            <v>0</v>
          </cell>
          <cell r="Z478">
            <v>0</v>
          </cell>
          <cell r="AA478">
            <v>372.2</v>
          </cell>
          <cell r="AB478" t="str">
            <v>Ratios/Misc</v>
          </cell>
          <cell r="AC478">
            <v>446</v>
          </cell>
          <cell r="AD478">
            <v>0</v>
          </cell>
          <cell r="AE478">
            <v>0</v>
          </cell>
          <cell r="AF478">
            <v>0</v>
          </cell>
          <cell r="AG478">
            <v>0</v>
          </cell>
          <cell r="AH478">
            <v>0</v>
          </cell>
          <cell r="AI478">
            <v>0</v>
          </cell>
          <cell r="AJ478">
            <v>0</v>
          </cell>
          <cell r="AK478">
            <v>0</v>
          </cell>
          <cell r="AL478">
            <v>0</v>
          </cell>
          <cell r="AM478">
            <v>0</v>
          </cell>
          <cell r="AN478">
            <v>245</v>
          </cell>
          <cell r="AO478" t="str">
            <v>Leverage</v>
          </cell>
          <cell r="AP478" t="str">
            <v>%</v>
          </cell>
          <cell r="AQ478">
            <v>0</v>
          </cell>
          <cell r="AR478" t="str">
            <v>Banks</v>
          </cell>
          <cell r="AS478">
            <v>0</v>
          </cell>
          <cell r="AT478">
            <v>0</v>
          </cell>
          <cell r="AU478" t="e">
            <v>#VALUE!</v>
          </cell>
          <cell r="AV478" t="e">
            <v>#VALUE!</v>
          </cell>
        </row>
        <row r="479">
          <cell r="A479">
            <v>236.4</v>
          </cell>
          <cell r="B479" t="str">
            <v>1r_bad_debt_non_perm_loans</v>
          </cell>
          <cell r="C479" t="str">
            <v>Bad debt charge/average customer loans</v>
          </cell>
          <cell r="D479" t="str">
            <v>Multiple</v>
          </cell>
          <cell r="E479">
            <v>0</v>
          </cell>
          <cell r="F479">
            <v>0</v>
          </cell>
          <cell r="G479">
            <v>0</v>
          </cell>
          <cell r="H479">
            <v>0</v>
          </cell>
          <cell r="I479">
            <v>0</v>
          </cell>
          <cell r="J479">
            <v>0</v>
          </cell>
          <cell r="K479">
            <v>0</v>
          </cell>
          <cell r="L479">
            <v>0</v>
          </cell>
          <cell r="M479">
            <v>0</v>
          </cell>
          <cell r="N479" t="str">
            <v>r_bad_debt_non_perm_loans</v>
          </cell>
          <cell r="O479">
            <v>0</v>
          </cell>
          <cell r="P479">
            <v>0</v>
          </cell>
          <cell r="Q479">
            <v>1</v>
          </cell>
          <cell r="R479" t="str">
            <v>E</v>
          </cell>
          <cell r="S479">
            <v>2</v>
          </cell>
          <cell r="T479" t="str">
            <v>null</v>
          </cell>
          <cell r="U479">
            <v>1</v>
          </cell>
          <cell r="V479">
            <v>0</v>
          </cell>
          <cell r="W479">
            <v>0</v>
          </cell>
          <cell r="X479">
            <v>0</v>
          </cell>
          <cell r="Y479">
            <v>0</v>
          </cell>
          <cell r="Z479">
            <v>0</v>
          </cell>
          <cell r="AA479">
            <v>319</v>
          </cell>
          <cell r="AB479" t="str">
            <v>Ratios/Misc</v>
          </cell>
          <cell r="AC479">
            <v>447</v>
          </cell>
          <cell r="AD479">
            <v>0</v>
          </cell>
          <cell r="AE479">
            <v>0</v>
          </cell>
          <cell r="AF479">
            <v>0</v>
          </cell>
          <cell r="AG479">
            <v>0</v>
          </cell>
          <cell r="AH479">
            <v>0</v>
          </cell>
          <cell r="AI479">
            <v>0</v>
          </cell>
          <cell r="AJ479">
            <v>0</v>
          </cell>
          <cell r="AK479">
            <v>0</v>
          </cell>
          <cell r="AL479">
            <v>0</v>
          </cell>
          <cell r="AM479">
            <v>0</v>
          </cell>
          <cell r="AN479">
            <v>243</v>
          </cell>
          <cell r="AO479" t="str">
            <v>Loan loss reserve/non-performing assets</v>
          </cell>
          <cell r="AP479" t="str">
            <v>%</v>
          </cell>
          <cell r="AQ479">
            <v>0</v>
          </cell>
          <cell r="AR479" t="str">
            <v>Banks</v>
          </cell>
          <cell r="AS479">
            <v>0</v>
          </cell>
          <cell r="AT479">
            <v>0</v>
          </cell>
          <cell r="AU479" t="e">
            <v>#VALUE!</v>
          </cell>
          <cell r="AV479" t="e">
            <v>#VALUE!</v>
          </cell>
        </row>
        <row r="480">
          <cell r="A480">
            <v>246</v>
          </cell>
          <cell r="B480" t="str">
            <v>1r_bad_debt_pro_non_per_loans</v>
          </cell>
          <cell r="C480" t="str">
            <v>Bad debt provisions/non-performing loans</v>
          </cell>
          <cell r="D480" t="str">
            <v>Multiple</v>
          </cell>
          <cell r="E480">
            <v>0</v>
          </cell>
          <cell r="F480">
            <v>0</v>
          </cell>
          <cell r="G480">
            <v>0</v>
          </cell>
          <cell r="H480">
            <v>0</v>
          </cell>
          <cell r="I480">
            <v>0</v>
          </cell>
          <cell r="J480">
            <v>0</v>
          </cell>
          <cell r="K480">
            <v>0</v>
          </cell>
          <cell r="L480">
            <v>0</v>
          </cell>
          <cell r="M480">
            <v>0</v>
          </cell>
          <cell r="N480" t="str">
            <v>r_bad_debt_pro_non_per_loans</v>
          </cell>
          <cell r="O480">
            <v>0</v>
          </cell>
          <cell r="P480">
            <v>0</v>
          </cell>
          <cell r="Q480">
            <v>1</v>
          </cell>
          <cell r="R480" t="str">
            <v>E</v>
          </cell>
          <cell r="S480">
            <v>2</v>
          </cell>
          <cell r="T480" t="str">
            <v>null</v>
          </cell>
          <cell r="U480">
            <v>1</v>
          </cell>
          <cell r="V480">
            <v>0</v>
          </cell>
          <cell r="W480">
            <v>0</v>
          </cell>
          <cell r="X480">
            <v>0</v>
          </cell>
          <cell r="Y480">
            <v>0</v>
          </cell>
          <cell r="Z480">
            <v>0</v>
          </cell>
          <cell r="AA480">
            <v>36</v>
          </cell>
          <cell r="AB480" t="str">
            <v>Ratios/Misc</v>
          </cell>
          <cell r="AC480">
            <v>447</v>
          </cell>
          <cell r="AD480">
            <v>0</v>
          </cell>
          <cell r="AE480">
            <v>0</v>
          </cell>
          <cell r="AF480">
            <v>0</v>
          </cell>
          <cell r="AG480">
            <v>0</v>
          </cell>
          <cell r="AH480">
            <v>0</v>
          </cell>
          <cell r="AI480">
            <v>0</v>
          </cell>
          <cell r="AJ480">
            <v>0</v>
          </cell>
          <cell r="AK480">
            <v>0</v>
          </cell>
          <cell r="AL480">
            <v>0</v>
          </cell>
          <cell r="AM480">
            <v>0</v>
          </cell>
          <cell r="AN480">
            <v>246</v>
          </cell>
          <cell r="AO480" t="str">
            <v>Bad debt provisions/non-performing loans</v>
          </cell>
          <cell r="AP480" t="str">
            <v>%</v>
          </cell>
          <cell r="AQ480" t="str">
            <v>Loan loss reserve/non-performing loans</v>
          </cell>
          <cell r="AR480" t="str">
            <v>Banks</v>
          </cell>
          <cell r="AS480">
            <v>0</v>
          </cell>
          <cell r="AT480">
            <v>0</v>
          </cell>
          <cell r="AU480" t="e">
            <v>#VALUE!</v>
          </cell>
          <cell r="AV480" t="e">
            <v>#VALUE!</v>
          </cell>
        </row>
        <row r="481">
          <cell r="A481">
            <v>246.5</v>
          </cell>
          <cell r="B481" t="str">
            <v>1r_bad_debt_pro_non_per_loans</v>
          </cell>
          <cell r="C481" t="str">
            <v>Net charge-offs/non-performing loans</v>
          </cell>
          <cell r="D481" t="str">
            <v>Multiple</v>
          </cell>
          <cell r="E481">
            <v>0</v>
          </cell>
          <cell r="F481">
            <v>0</v>
          </cell>
          <cell r="G481">
            <v>0</v>
          </cell>
          <cell r="H481">
            <v>0</v>
          </cell>
          <cell r="I481">
            <v>0</v>
          </cell>
          <cell r="J481">
            <v>0</v>
          </cell>
          <cell r="K481">
            <v>0</v>
          </cell>
          <cell r="L481">
            <v>0</v>
          </cell>
          <cell r="M481">
            <v>0</v>
          </cell>
          <cell r="N481" t="str">
            <v>r_bad_debt_pro_non_per_loans</v>
          </cell>
          <cell r="O481">
            <v>0</v>
          </cell>
          <cell r="P481">
            <v>0</v>
          </cell>
          <cell r="Q481">
            <v>1</v>
          </cell>
          <cell r="R481" t="str">
            <v>E</v>
          </cell>
          <cell r="S481">
            <v>2</v>
          </cell>
          <cell r="T481" t="str">
            <v>null</v>
          </cell>
          <cell r="U481">
            <v>1</v>
          </cell>
          <cell r="V481">
            <v>0</v>
          </cell>
          <cell r="W481">
            <v>0</v>
          </cell>
          <cell r="X481">
            <v>0</v>
          </cell>
          <cell r="Y481">
            <v>0</v>
          </cell>
          <cell r="Z481">
            <v>0</v>
          </cell>
          <cell r="AA481">
            <v>36</v>
          </cell>
          <cell r="AB481" t="str">
            <v>Ratios/Misc</v>
          </cell>
          <cell r="AC481">
            <v>447</v>
          </cell>
          <cell r="AD481">
            <v>0</v>
          </cell>
          <cell r="AE481">
            <v>0</v>
          </cell>
          <cell r="AF481">
            <v>0</v>
          </cell>
          <cell r="AG481">
            <v>0</v>
          </cell>
          <cell r="AH481">
            <v>0</v>
          </cell>
          <cell r="AI481">
            <v>0</v>
          </cell>
          <cell r="AJ481">
            <v>0</v>
          </cell>
          <cell r="AK481">
            <v>0</v>
          </cell>
          <cell r="AL481">
            <v>0</v>
          </cell>
          <cell r="AM481">
            <v>0</v>
          </cell>
          <cell r="AN481">
            <v>246</v>
          </cell>
          <cell r="AO481" t="str">
            <v>Bad debt provisions/non-performing loans</v>
          </cell>
          <cell r="AP481" t="str">
            <v>%</v>
          </cell>
          <cell r="AQ481" t="str">
            <v>Loan loss reserve/non-performing loans</v>
          </cell>
          <cell r="AR481" t="str">
            <v>Banks</v>
          </cell>
          <cell r="AS481">
            <v>0</v>
          </cell>
          <cell r="AT481">
            <v>0</v>
          </cell>
          <cell r="AU481" t="e">
            <v>#VALUE!</v>
          </cell>
          <cell r="AV481" t="e">
            <v>#VALUE!</v>
          </cell>
        </row>
        <row r="482">
          <cell r="A482">
            <v>236.2</v>
          </cell>
          <cell r="B482" t="str">
            <v>1r_non_perfm_loans_gross_loans</v>
          </cell>
          <cell r="C482" t="str">
            <v>Gross non-performing loans/gross loans</v>
          </cell>
          <cell r="D482" t="str">
            <v>Multiple</v>
          </cell>
          <cell r="E482">
            <v>0</v>
          </cell>
          <cell r="F482">
            <v>0</v>
          </cell>
          <cell r="G482">
            <v>0</v>
          </cell>
          <cell r="H482">
            <v>0</v>
          </cell>
          <cell r="I482">
            <v>0</v>
          </cell>
          <cell r="J482">
            <v>0</v>
          </cell>
          <cell r="K482">
            <v>0</v>
          </cell>
          <cell r="L482">
            <v>0</v>
          </cell>
          <cell r="M482">
            <v>0</v>
          </cell>
          <cell r="N482" t="str">
            <v>r_non_perfm_loans_gross_loans</v>
          </cell>
          <cell r="O482">
            <v>0</v>
          </cell>
          <cell r="P482">
            <v>0</v>
          </cell>
          <cell r="Q482">
            <v>1</v>
          </cell>
          <cell r="R482" t="str">
            <v>E</v>
          </cell>
          <cell r="S482">
            <v>2</v>
          </cell>
          <cell r="T482" t="str">
            <v>null</v>
          </cell>
          <cell r="U482">
            <v>1</v>
          </cell>
          <cell r="V482">
            <v>0</v>
          </cell>
          <cell r="W482">
            <v>0</v>
          </cell>
          <cell r="X482">
            <v>0</v>
          </cell>
          <cell r="Y482">
            <v>0</v>
          </cell>
          <cell r="Z482">
            <v>0</v>
          </cell>
          <cell r="AA482">
            <v>319</v>
          </cell>
          <cell r="AB482" t="str">
            <v>Ratios/Misc</v>
          </cell>
          <cell r="AC482">
            <v>447</v>
          </cell>
          <cell r="AD482">
            <v>0</v>
          </cell>
          <cell r="AE482">
            <v>0</v>
          </cell>
          <cell r="AF482">
            <v>0</v>
          </cell>
          <cell r="AG482">
            <v>0</v>
          </cell>
          <cell r="AH482">
            <v>0</v>
          </cell>
          <cell r="AI482">
            <v>0</v>
          </cell>
          <cell r="AJ482">
            <v>0</v>
          </cell>
          <cell r="AK482">
            <v>0</v>
          </cell>
          <cell r="AL482">
            <v>0</v>
          </cell>
          <cell r="AM482">
            <v>0</v>
          </cell>
          <cell r="AN482">
            <v>243</v>
          </cell>
          <cell r="AO482" t="str">
            <v>Loan loss reserve/non-performing assets</v>
          </cell>
          <cell r="AP482" t="str">
            <v>%</v>
          </cell>
          <cell r="AQ482">
            <v>0</v>
          </cell>
          <cell r="AR482" t="str">
            <v>Banks</v>
          </cell>
          <cell r="AS482">
            <v>0</v>
          </cell>
          <cell r="AT482">
            <v>0</v>
          </cell>
          <cell r="AU482" t="e">
            <v>#VALUE!</v>
          </cell>
          <cell r="AV482" t="e">
            <v>#VALUE!</v>
          </cell>
        </row>
        <row r="483">
          <cell r="A483">
            <v>247</v>
          </cell>
          <cell r="B483" t="str">
            <v>1r_tier_1_and_2_ratio</v>
          </cell>
          <cell r="C483" t="str">
            <v>Total capital adequacy ratio (tier 1 &amp; 2)</v>
          </cell>
          <cell r="D483" t="str">
            <v>Multiple</v>
          </cell>
          <cell r="E483">
            <v>0</v>
          </cell>
          <cell r="F483">
            <v>0</v>
          </cell>
          <cell r="G483">
            <v>0</v>
          </cell>
          <cell r="H483">
            <v>0</v>
          </cell>
          <cell r="I483">
            <v>0</v>
          </cell>
          <cell r="J483">
            <v>0</v>
          </cell>
          <cell r="K483">
            <v>0</v>
          </cell>
          <cell r="L483">
            <v>0</v>
          </cell>
          <cell r="M483">
            <v>0</v>
          </cell>
          <cell r="N483" t="str">
            <v>r_tier_1_and_2_ratio</v>
          </cell>
          <cell r="O483">
            <v>0</v>
          </cell>
          <cell r="P483">
            <v>0</v>
          </cell>
          <cell r="Q483">
            <v>1</v>
          </cell>
          <cell r="R483" t="str">
            <v>E</v>
          </cell>
          <cell r="S483">
            <v>2</v>
          </cell>
          <cell r="T483" t="str">
            <v>null</v>
          </cell>
          <cell r="U483">
            <v>1</v>
          </cell>
          <cell r="V483">
            <v>0</v>
          </cell>
          <cell r="W483">
            <v>0</v>
          </cell>
          <cell r="X483">
            <v>0</v>
          </cell>
          <cell r="Y483">
            <v>0</v>
          </cell>
          <cell r="Z483">
            <v>0</v>
          </cell>
          <cell r="AA483">
            <v>556</v>
          </cell>
          <cell r="AB483" t="str">
            <v>Ratios/Misc</v>
          </cell>
          <cell r="AC483">
            <v>448</v>
          </cell>
          <cell r="AD483">
            <v>0</v>
          </cell>
          <cell r="AE483">
            <v>0</v>
          </cell>
          <cell r="AF483">
            <v>0</v>
          </cell>
          <cell r="AG483">
            <v>0</v>
          </cell>
          <cell r="AH483">
            <v>0</v>
          </cell>
          <cell r="AI483">
            <v>0</v>
          </cell>
          <cell r="AJ483">
            <v>0</v>
          </cell>
          <cell r="AK483">
            <v>0</v>
          </cell>
          <cell r="AL483">
            <v>0</v>
          </cell>
          <cell r="AM483">
            <v>0</v>
          </cell>
          <cell r="AN483">
            <v>247</v>
          </cell>
          <cell r="AO483" t="str">
            <v>Total capital adequacy ratio (tier 1 &amp; 2)</v>
          </cell>
          <cell r="AP483" t="str">
            <v>x</v>
          </cell>
          <cell r="AQ483">
            <v>0</v>
          </cell>
          <cell r="AR483" t="str">
            <v>Banks</v>
          </cell>
          <cell r="AS483">
            <v>0</v>
          </cell>
          <cell r="AT483">
            <v>0</v>
          </cell>
          <cell r="AU483" t="e">
            <v>#VALUE!</v>
          </cell>
          <cell r="AV483" t="e">
            <v>#VALUE!</v>
          </cell>
        </row>
        <row r="484">
          <cell r="A484">
            <v>248</v>
          </cell>
          <cell r="B484" t="str">
            <v>1r_net_interest_margin</v>
          </cell>
          <cell r="C484" t="str">
            <v>Net interest margin</v>
          </cell>
          <cell r="D484" t="str">
            <v>(%)</v>
          </cell>
          <cell r="E484">
            <v>0</v>
          </cell>
          <cell r="F484">
            <v>0</v>
          </cell>
          <cell r="G484">
            <v>0</v>
          </cell>
          <cell r="H484">
            <v>0</v>
          </cell>
          <cell r="I484">
            <v>0</v>
          </cell>
          <cell r="J484">
            <v>0</v>
          </cell>
          <cell r="K484">
            <v>0</v>
          </cell>
          <cell r="L484">
            <v>0</v>
          </cell>
          <cell r="M484">
            <v>0</v>
          </cell>
          <cell r="N484" t="str">
            <v>r_net_interest_margin</v>
          </cell>
          <cell r="O484">
            <v>0</v>
          </cell>
          <cell r="P484">
            <v>0</v>
          </cell>
          <cell r="Q484">
            <v>0.01</v>
          </cell>
          <cell r="R484" t="str">
            <v>E</v>
          </cell>
          <cell r="S484">
            <v>2</v>
          </cell>
          <cell r="T484" t="str">
            <v>null</v>
          </cell>
          <cell r="U484">
            <v>1</v>
          </cell>
          <cell r="V484">
            <v>0</v>
          </cell>
          <cell r="W484">
            <v>0</v>
          </cell>
          <cell r="X484">
            <v>0</v>
          </cell>
          <cell r="Y484">
            <v>0</v>
          </cell>
          <cell r="Z484">
            <v>0</v>
          </cell>
          <cell r="AA484">
            <v>383</v>
          </cell>
          <cell r="AB484" t="str">
            <v>Ratios/Misc</v>
          </cell>
          <cell r="AC484">
            <v>449</v>
          </cell>
          <cell r="AD484">
            <v>0</v>
          </cell>
          <cell r="AE484">
            <v>0</v>
          </cell>
          <cell r="AF484">
            <v>0</v>
          </cell>
          <cell r="AG484">
            <v>0</v>
          </cell>
          <cell r="AH484">
            <v>0</v>
          </cell>
          <cell r="AI484">
            <v>0</v>
          </cell>
          <cell r="AJ484">
            <v>0</v>
          </cell>
          <cell r="AK484">
            <v>0</v>
          </cell>
          <cell r="AL484">
            <v>0</v>
          </cell>
          <cell r="AM484">
            <v>0</v>
          </cell>
          <cell r="AN484">
            <v>248</v>
          </cell>
          <cell r="AO484" t="str">
            <v>Net interest margin %</v>
          </cell>
          <cell r="AP484" t="str">
            <v>%</v>
          </cell>
          <cell r="AQ484">
            <v>0</v>
          </cell>
          <cell r="AR484" t="str">
            <v>Banks</v>
          </cell>
          <cell r="AS484">
            <v>0</v>
          </cell>
          <cell r="AT484">
            <v>0</v>
          </cell>
          <cell r="AU484" t="e">
            <v>#VALUE!</v>
          </cell>
          <cell r="AV484" t="e">
            <v>#VALUE!</v>
          </cell>
        </row>
        <row r="485">
          <cell r="A485">
            <v>254</v>
          </cell>
          <cell r="B485" t="str">
            <v>1r_earnings_funds_under_man</v>
          </cell>
          <cell r="C485" t="str">
            <v>Earnings/funds under management</v>
          </cell>
          <cell r="D485" t="str">
            <v>Multiple</v>
          </cell>
          <cell r="E485">
            <v>0</v>
          </cell>
          <cell r="F485">
            <v>0</v>
          </cell>
          <cell r="G485">
            <v>0</v>
          </cell>
          <cell r="H485">
            <v>0</v>
          </cell>
          <cell r="I485">
            <v>0</v>
          </cell>
          <cell r="J485">
            <v>0</v>
          </cell>
          <cell r="K485">
            <v>0</v>
          </cell>
          <cell r="L485">
            <v>0</v>
          </cell>
          <cell r="M485">
            <v>0</v>
          </cell>
          <cell r="N485" t="str">
            <v>r_earnings_funds_under_man</v>
          </cell>
          <cell r="O485">
            <v>0</v>
          </cell>
          <cell r="P485">
            <v>0</v>
          </cell>
          <cell r="Q485">
            <v>1</v>
          </cell>
          <cell r="R485" t="str">
            <v>E</v>
          </cell>
          <cell r="S485">
            <v>2</v>
          </cell>
          <cell r="T485" t="str">
            <v>null</v>
          </cell>
          <cell r="U485">
            <v>1</v>
          </cell>
          <cell r="V485">
            <v>0</v>
          </cell>
          <cell r="W485">
            <v>0</v>
          </cell>
          <cell r="X485">
            <v>0</v>
          </cell>
          <cell r="Y485">
            <v>0</v>
          </cell>
          <cell r="Z485">
            <v>0</v>
          </cell>
          <cell r="AA485">
            <v>164</v>
          </cell>
          <cell r="AB485" t="str">
            <v>Ratios/Misc</v>
          </cell>
          <cell r="AC485">
            <v>455</v>
          </cell>
          <cell r="AD485">
            <v>0</v>
          </cell>
          <cell r="AE485">
            <v>0</v>
          </cell>
          <cell r="AF485">
            <v>0</v>
          </cell>
          <cell r="AG485">
            <v>0</v>
          </cell>
          <cell r="AH485">
            <v>0</v>
          </cell>
          <cell r="AI485">
            <v>0</v>
          </cell>
          <cell r="AJ485">
            <v>58</v>
          </cell>
          <cell r="AK485">
            <v>189</v>
          </cell>
          <cell r="AL485">
            <v>0</v>
          </cell>
          <cell r="AM485">
            <v>0</v>
          </cell>
          <cell r="AN485">
            <v>254</v>
          </cell>
          <cell r="AO485" t="str">
            <v>Earnings/Funds under Management</v>
          </cell>
          <cell r="AP485" t="str">
            <v>%</v>
          </cell>
          <cell r="AQ485">
            <v>0</v>
          </cell>
          <cell r="AR485" t="str">
            <v>Insurance</v>
          </cell>
          <cell r="AS485" t="str">
            <v>58/189</v>
          </cell>
          <cell r="AT485">
            <v>0</v>
          </cell>
          <cell r="AU485" t="str">
            <v>58</v>
          </cell>
          <cell r="AV485" t="str">
            <v>189</v>
          </cell>
          <cell r="AW485" t="str">
            <v>ADD NEW</v>
          </cell>
        </row>
        <row r="486">
          <cell r="A486">
            <v>256</v>
          </cell>
          <cell r="B486" t="str">
            <v>2r_market_value_fum</v>
          </cell>
          <cell r="C486" t="str">
            <v>Market value/funds under management</v>
          </cell>
          <cell r="D486" t="str">
            <v>Multiple</v>
          </cell>
          <cell r="E486">
            <v>0</v>
          </cell>
          <cell r="F486">
            <v>0</v>
          </cell>
          <cell r="G486">
            <v>0</v>
          </cell>
          <cell r="H486">
            <v>0</v>
          </cell>
          <cell r="I486">
            <v>0</v>
          </cell>
          <cell r="J486">
            <v>0</v>
          </cell>
          <cell r="K486">
            <v>0</v>
          </cell>
          <cell r="L486">
            <v>0</v>
          </cell>
          <cell r="M486">
            <v>0</v>
          </cell>
          <cell r="N486" t="str">
            <v>r_market_value_fum</v>
          </cell>
          <cell r="O486">
            <v>0</v>
          </cell>
          <cell r="P486">
            <v>0</v>
          </cell>
          <cell r="Q486">
            <v>1</v>
          </cell>
          <cell r="R486" t="str">
            <v>S</v>
          </cell>
          <cell r="S486">
            <v>2</v>
          </cell>
          <cell r="T486" t="str">
            <v>null</v>
          </cell>
          <cell r="U486">
            <v>2</v>
          </cell>
          <cell r="V486">
            <v>0</v>
          </cell>
          <cell r="W486">
            <v>0</v>
          </cell>
          <cell r="X486">
            <v>0</v>
          </cell>
          <cell r="Y486">
            <v>0</v>
          </cell>
          <cell r="Z486">
            <v>0</v>
          </cell>
          <cell r="AA486">
            <v>337</v>
          </cell>
          <cell r="AB486" t="str">
            <v>Ratios/Misc</v>
          </cell>
          <cell r="AC486">
            <v>458</v>
          </cell>
          <cell r="AD486">
            <v>0</v>
          </cell>
          <cell r="AE486" t="str">
            <v>&lt;mv&gt;</v>
          </cell>
          <cell r="AF486" t="str">
            <v>b_funds_under_man</v>
          </cell>
          <cell r="AG486">
            <v>0</v>
          </cell>
          <cell r="AH486">
            <v>0</v>
          </cell>
          <cell r="AI486">
            <v>0</v>
          </cell>
          <cell r="AJ486">
            <v>2</v>
          </cell>
          <cell r="AK486">
            <v>189</v>
          </cell>
          <cell r="AL486">
            <v>0</v>
          </cell>
          <cell r="AM486">
            <v>0</v>
          </cell>
          <cell r="AN486">
            <v>256</v>
          </cell>
          <cell r="AO486" t="str">
            <v>Market value/funds under management</v>
          </cell>
          <cell r="AP486" t="str">
            <v>x</v>
          </cell>
          <cell r="AQ486">
            <v>0</v>
          </cell>
          <cell r="AR486" t="str">
            <v>Insurance</v>
          </cell>
          <cell r="AS486" t="str">
            <v>2/189</v>
          </cell>
          <cell r="AT486">
            <v>0</v>
          </cell>
          <cell r="AU486" t="str">
            <v>2</v>
          </cell>
          <cell r="AV486" t="str">
            <v>189</v>
          </cell>
        </row>
        <row r="487">
          <cell r="A487">
            <v>257</v>
          </cell>
          <cell r="B487" t="str">
            <v>2r_market_value_premiums</v>
          </cell>
          <cell r="C487" t="str">
            <v>Market value/premiums</v>
          </cell>
          <cell r="D487" t="str">
            <v>Multiple</v>
          </cell>
          <cell r="E487">
            <v>0</v>
          </cell>
          <cell r="F487">
            <v>0</v>
          </cell>
          <cell r="G487">
            <v>0</v>
          </cell>
          <cell r="H487">
            <v>0</v>
          </cell>
          <cell r="I487">
            <v>0</v>
          </cell>
          <cell r="J487">
            <v>0</v>
          </cell>
          <cell r="K487">
            <v>0</v>
          </cell>
          <cell r="L487">
            <v>0</v>
          </cell>
          <cell r="M487">
            <v>0</v>
          </cell>
          <cell r="N487" t="str">
            <v>r_market_value_premiums</v>
          </cell>
          <cell r="O487">
            <v>0</v>
          </cell>
          <cell r="P487">
            <v>0</v>
          </cell>
          <cell r="Q487">
            <v>1</v>
          </cell>
          <cell r="R487" t="str">
            <v>S</v>
          </cell>
          <cell r="S487">
            <v>2</v>
          </cell>
          <cell r="T487" t="str">
            <v>null</v>
          </cell>
          <cell r="U487">
            <v>2</v>
          </cell>
          <cell r="V487">
            <v>0</v>
          </cell>
          <cell r="W487">
            <v>0</v>
          </cell>
          <cell r="X487">
            <v>0</v>
          </cell>
          <cell r="Y487">
            <v>0</v>
          </cell>
          <cell r="Z487">
            <v>0</v>
          </cell>
          <cell r="AA487">
            <v>338</v>
          </cell>
          <cell r="AB487" t="str">
            <v>Ratios/Misc</v>
          </cell>
          <cell r="AC487">
            <v>459</v>
          </cell>
          <cell r="AD487">
            <v>0</v>
          </cell>
          <cell r="AE487" t="str">
            <v>&lt;mv&gt;</v>
          </cell>
          <cell r="AF487" t="str">
            <v>fd_sales</v>
          </cell>
          <cell r="AG487">
            <v>0</v>
          </cell>
          <cell r="AH487">
            <v>0</v>
          </cell>
          <cell r="AI487">
            <v>0</v>
          </cell>
          <cell r="AJ487">
            <v>2</v>
          </cell>
          <cell r="AK487">
            <v>83</v>
          </cell>
          <cell r="AL487">
            <v>0</v>
          </cell>
          <cell r="AM487">
            <v>0</v>
          </cell>
          <cell r="AN487">
            <v>257</v>
          </cell>
          <cell r="AO487" t="str">
            <v>Market value/premiums</v>
          </cell>
          <cell r="AP487" t="str">
            <v>x</v>
          </cell>
          <cell r="AQ487">
            <v>0</v>
          </cell>
          <cell r="AR487" t="str">
            <v>Insurance</v>
          </cell>
          <cell r="AS487" t="str">
            <v>2/83</v>
          </cell>
          <cell r="AT487">
            <v>0</v>
          </cell>
          <cell r="AU487" t="str">
            <v>2</v>
          </cell>
          <cell r="AV487" t="str">
            <v>83</v>
          </cell>
        </row>
        <row r="488">
          <cell r="A488">
            <v>259</v>
          </cell>
          <cell r="B488" t="str">
            <v>1r_div_cover_state_op</v>
          </cell>
          <cell r="C488" t="str">
            <v>Dividend cover (statutory operating)</v>
          </cell>
          <cell r="D488" t="str">
            <v>Multiple</v>
          </cell>
          <cell r="E488">
            <v>0</v>
          </cell>
          <cell r="F488">
            <v>0</v>
          </cell>
          <cell r="G488">
            <v>0</v>
          </cell>
          <cell r="H488">
            <v>0</v>
          </cell>
          <cell r="I488">
            <v>0</v>
          </cell>
          <cell r="J488">
            <v>0</v>
          </cell>
          <cell r="K488">
            <v>0</v>
          </cell>
          <cell r="L488">
            <v>0</v>
          </cell>
          <cell r="M488">
            <v>0</v>
          </cell>
          <cell r="N488" t="str">
            <v>r_div_cover_state_op</v>
          </cell>
          <cell r="O488">
            <v>0</v>
          </cell>
          <cell r="P488">
            <v>0</v>
          </cell>
          <cell r="Q488">
            <v>1</v>
          </cell>
          <cell r="R488" t="str">
            <v>E</v>
          </cell>
          <cell r="S488">
            <v>2</v>
          </cell>
          <cell r="T488" t="str">
            <v>null</v>
          </cell>
          <cell r="U488">
            <v>1</v>
          </cell>
          <cell r="V488">
            <v>0</v>
          </cell>
          <cell r="W488">
            <v>0</v>
          </cell>
          <cell r="X488">
            <v>0</v>
          </cell>
          <cell r="Y488">
            <v>0</v>
          </cell>
          <cell r="Z488">
            <v>0</v>
          </cell>
          <cell r="AA488">
            <v>149</v>
          </cell>
          <cell r="AB488" t="str">
            <v>Ratios/Misc</v>
          </cell>
          <cell r="AC488">
            <v>461</v>
          </cell>
          <cell r="AD488">
            <v>0</v>
          </cell>
          <cell r="AE488">
            <v>0</v>
          </cell>
          <cell r="AF488">
            <v>0</v>
          </cell>
          <cell r="AG488">
            <v>0</v>
          </cell>
          <cell r="AH488">
            <v>0</v>
          </cell>
          <cell r="AI488">
            <v>0</v>
          </cell>
          <cell r="AJ488">
            <v>0</v>
          </cell>
          <cell r="AK488">
            <v>0</v>
          </cell>
          <cell r="AL488">
            <v>0</v>
          </cell>
          <cell r="AM488">
            <v>0</v>
          </cell>
          <cell r="AN488">
            <v>259</v>
          </cell>
          <cell r="AO488" t="str">
            <v>Dividend cover - statutory operating</v>
          </cell>
          <cell r="AP488" t="str">
            <v>x</v>
          </cell>
          <cell r="AQ488">
            <v>0</v>
          </cell>
          <cell r="AR488" t="str">
            <v>Insurance</v>
          </cell>
          <cell r="AS488" t="str">
            <v>64/72</v>
          </cell>
          <cell r="AT488">
            <v>0</v>
          </cell>
          <cell r="AU488" t="str">
            <v>64</v>
          </cell>
          <cell r="AV488" t="str">
            <v>72</v>
          </cell>
        </row>
        <row r="489">
          <cell r="A489">
            <v>260</v>
          </cell>
          <cell r="B489" t="str">
            <v>1r_div_cover_stat_life_profits</v>
          </cell>
          <cell r="C489" t="str">
            <v>Dividend cover (statutory life profits)</v>
          </cell>
          <cell r="D489" t="str">
            <v>Multiple</v>
          </cell>
          <cell r="E489">
            <v>0</v>
          </cell>
          <cell r="F489">
            <v>0</v>
          </cell>
          <cell r="G489">
            <v>0</v>
          </cell>
          <cell r="H489">
            <v>0</v>
          </cell>
          <cell r="I489">
            <v>0</v>
          </cell>
          <cell r="J489">
            <v>0</v>
          </cell>
          <cell r="K489">
            <v>0</v>
          </cell>
          <cell r="L489">
            <v>0</v>
          </cell>
          <cell r="M489">
            <v>0</v>
          </cell>
          <cell r="N489" t="str">
            <v>r_div_cover_stat_life_profits</v>
          </cell>
          <cell r="O489">
            <v>0</v>
          </cell>
          <cell r="P489">
            <v>0</v>
          </cell>
          <cell r="Q489">
            <v>1</v>
          </cell>
          <cell r="R489" t="str">
            <v>E</v>
          </cell>
          <cell r="S489">
            <v>2</v>
          </cell>
          <cell r="T489" t="str">
            <v>null</v>
          </cell>
          <cell r="U489">
            <v>1</v>
          </cell>
          <cell r="V489">
            <v>0</v>
          </cell>
          <cell r="W489">
            <v>0</v>
          </cell>
          <cell r="X489">
            <v>0</v>
          </cell>
          <cell r="Y489">
            <v>0</v>
          </cell>
          <cell r="Z489">
            <v>0</v>
          </cell>
          <cell r="AA489">
            <v>148</v>
          </cell>
          <cell r="AB489" t="str">
            <v>Ratios/Misc</v>
          </cell>
          <cell r="AC489">
            <v>462</v>
          </cell>
          <cell r="AD489">
            <v>0</v>
          </cell>
          <cell r="AE489">
            <v>0</v>
          </cell>
          <cell r="AF489">
            <v>0</v>
          </cell>
          <cell r="AG489">
            <v>0</v>
          </cell>
          <cell r="AH489">
            <v>0</v>
          </cell>
          <cell r="AI489">
            <v>0</v>
          </cell>
          <cell r="AJ489">
            <v>0</v>
          </cell>
          <cell r="AK489">
            <v>0</v>
          </cell>
          <cell r="AL489">
            <v>0</v>
          </cell>
          <cell r="AM489">
            <v>0</v>
          </cell>
          <cell r="AN489">
            <v>260</v>
          </cell>
          <cell r="AO489" t="str">
            <v>Dividend cover - statutory life profits</v>
          </cell>
          <cell r="AP489" t="str">
            <v>x</v>
          </cell>
          <cell r="AQ489">
            <v>0</v>
          </cell>
          <cell r="AR489" t="str">
            <v>Insurance</v>
          </cell>
          <cell r="AS489">
            <v>0</v>
          </cell>
          <cell r="AT489">
            <v>0</v>
          </cell>
          <cell r="AU489" t="e">
            <v>#VALUE!</v>
          </cell>
          <cell r="AV489" t="e">
            <v>#VALUE!</v>
          </cell>
        </row>
        <row r="490">
          <cell r="A490">
            <v>261</v>
          </cell>
          <cell r="B490" t="str">
            <v>1r_new_bus_val_margin</v>
          </cell>
          <cell r="C490" t="str">
            <v>New business value margin</v>
          </cell>
          <cell r="D490" t="str">
            <v>(%)</v>
          </cell>
          <cell r="E490">
            <v>0</v>
          </cell>
          <cell r="F490">
            <v>0</v>
          </cell>
          <cell r="G490">
            <v>0</v>
          </cell>
          <cell r="H490">
            <v>0</v>
          </cell>
          <cell r="I490">
            <v>0</v>
          </cell>
          <cell r="J490">
            <v>0</v>
          </cell>
          <cell r="K490">
            <v>0</v>
          </cell>
          <cell r="L490">
            <v>0</v>
          </cell>
          <cell r="M490">
            <v>0</v>
          </cell>
          <cell r="N490" t="str">
            <v>r_new_bus_val_margin</v>
          </cell>
          <cell r="O490">
            <v>0</v>
          </cell>
          <cell r="P490">
            <v>0</v>
          </cell>
          <cell r="Q490">
            <v>0.01</v>
          </cell>
          <cell r="R490" t="str">
            <v>E</v>
          </cell>
          <cell r="S490">
            <v>2</v>
          </cell>
          <cell r="T490" t="str">
            <v>null</v>
          </cell>
          <cell r="U490">
            <v>1</v>
          </cell>
          <cell r="V490">
            <v>0</v>
          </cell>
          <cell r="W490">
            <v>0</v>
          </cell>
          <cell r="X490">
            <v>0</v>
          </cell>
          <cell r="Y490">
            <v>0</v>
          </cell>
          <cell r="Z490">
            <v>0</v>
          </cell>
          <cell r="AA490">
            <v>393</v>
          </cell>
          <cell r="AB490" t="str">
            <v>Ratios/Misc</v>
          </cell>
          <cell r="AC490">
            <v>463</v>
          </cell>
          <cell r="AD490">
            <v>0</v>
          </cell>
          <cell r="AE490">
            <v>0</v>
          </cell>
          <cell r="AF490">
            <v>0</v>
          </cell>
          <cell r="AG490">
            <v>0</v>
          </cell>
          <cell r="AH490">
            <v>0</v>
          </cell>
          <cell r="AI490">
            <v>0</v>
          </cell>
          <cell r="AJ490">
            <v>0</v>
          </cell>
          <cell r="AK490">
            <v>0</v>
          </cell>
          <cell r="AL490">
            <v>0</v>
          </cell>
          <cell r="AM490">
            <v>0</v>
          </cell>
          <cell r="AN490">
            <v>261</v>
          </cell>
          <cell r="AO490" t="str">
            <v xml:space="preserve">New business value margin </v>
          </cell>
          <cell r="AP490" t="str">
            <v>%</v>
          </cell>
          <cell r="AQ490">
            <v>0</v>
          </cell>
          <cell r="AR490" t="str">
            <v>Insurance</v>
          </cell>
          <cell r="AS490">
            <v>0</v>
          </cell>
          <cell r="AT490">
            <v>0</v>
          </cell>
          <cell r="AU490" t="e">
            <v>#VALUE!</v>
          </cell>
          <cell r="AV490" t="e">
            <v>#VALUE!</v>
          </cell>
        </row>
        <row r="491">
          <cell r="A491">
            <v>263</v>
          </cell>
          <cell r="B491" t="str">
            <v>1r_sales_reg_user</v>
          </cell>
          <cell r="C491" t="str">
            <v>Sales/registered user</v>
          </cell>
          <cell r="D491" t="str">
            <v>(unit)</v>
          </cell>
          <cell r="E491">
            <v>0</v>
          </cell>
          <cell r="F491">
            <v>0</v>
          </cell>
          <cell r="G491">
            <v>0</v>
          </cell>
          <cell r="H491">
            <v>0</v>
          </cell>
          <cell r="I491">
            <v>0</v>
          </cell>
          <cell r="J491">
            <v>0</v>
          </cell>
          <cell r="K491">
            <v>0</v>
          </cell>
          <cell r="L491">
            <v>0</v>
          </cell>
          <cell r="M491">
            <v>0</v>
          </cell>
          <cell r="N491" t="str">
            <v>r_sales_reg_user</v>
          </cell>
          <cell r="O491">
            <v>0</v>
          </cell>
          <cell r="P491">
            <v>0</v>
          </cell>
          <cell r="Q491">
            <v>1</v>
          </cell>
          <cell r="R491" t="str">
            <v>E</v>
          </cell>
          <cell r="S491">
            <v>2</v>
          </cell>
          <cell r="T491" t="str">
            <v>null</v>
          </cell>
          <cell r="U491">
            <v>1</v>
          </cell>
          <cell r="V491">
            <v>0</v>
          </cell>
          <cell r="W491">
            <v>0</v>
          </cell>
          <cell r="X491">
            <v>0</v>
          </cell>
          <cell r="Y491">
            <v>0</v>
          </cell>
          <cell r="Z491">
            <v>0</v>
          </cell>
          <cell r="AA491">
            <v>527</v>
          </cell>
          <cell r="AB491" t="str">
            <v>Ratios/Misc</v>
          </cell>
          <cell r="AC491">
            <v>468</v>
          </cell>
          <cell r="AD491">
            <v>0</v>
          </cell>
          <cell r="AE491">
            <v>0</v>
          </cell>
          <cell r="AF491">
            <v>0</v>
          </cell>
          <cell r="AG491">
            <v>0</v>
          </cell>
          <cell r="AH491">
            <v>0</v>
          </cell>
          <cell r="AI491">
            <v>0</v>
          </cell>
          <cell r="AJ491">
            <v>35</v>
          </cell>
          <cell r="AK491">
            <v>98</v>
          </cell>
          <cell r="AL491">
            <v>0</v>
          </cell>
          <cell r="AM491">
            <v>0</v>
          </cell>
          <cell r="AN491">
            <v>263</v>
          </cell>
          <cell r="AO491" t="str">
            <v>Sales /Registered user</v>
          </cell>
          <cell r="AP491" t="str">
            <v>£</v>
          </cell>
          <cell r="AQ491">
            <v>0</v>
          </cell>
          <cell r="AR491" t="str">
            <v>Internet, media</v>
          </cell>
          <cell r="AS491" t="str">
            <v>35/(98/1000)</v>
          </cell>
          <cell r="AT491">
            <v>0</v>
          </cell>
          <cell r="AU491" t="str">
            <v>35</v>
          </cell>
          <cell r="AV491" t="str">
            <v>(98/1000)</v>
          </cell>
        </row>
        <row r="492">
          <cell r="A492">
            <v>264</v>
          </cell>
          <cell r="B492" t="str">
            <v>1r_sm_turnover</v>
          </cell>
          <cell r="C492" t="str">
            <v>Sales &amp; marketing/turnover</v>
          </cell>
          <cell r="D492" t="str">
            <v>Multiple</v>
          </cell>
          <cell r="E492">
            <v>0</v>
          </cell>
          <cell r="F492">
            <v>0</v>
          </cell>
          <cell r="G492">
            <v>0</v>
          </cell>
          <cell r="H492">
            <v>0</v>
          </cell>
          <cell r="I492">
            <v>0</v>
          </cell>
          <cell r="J492">
            <v>0</v>
          </cell>
          <cell r="K492">
            <v>0</v>
          </cell>
          <cell r="L492">
            <v>0</v>
          </cell>
          <cell r="M492">
            <v>0</v>
          </cell>
          <cell r="N492" t="str">
            <v>r_sm_turnover</v>
          </cell>
          <cell r="O492">
            <v>0</v>
          </cell>
          <cell r="P492">
            <v>0</v>
          </cell>
          <cell r="Q492">
            <v>1</v>
          </cell>
          <cell r="R492" t="str">
            <v>E</v>
          </cell>
          <cell r="S492">
            <v>2</v>
          </cell>
          <cell r="T492" t="str">
            <v>null</v>
          </cell>
          <cell r="U492">
            <v>1</v>
          </cell>
          <cell r="V492">
            <v>0</v>
          </cell>
          <cell r="W492">
            <v>0</v>
          </cell>
          <cell r="X492">
            <v>0</v>
          </cell>
          <cell r="Y492">
            <v>0</v>
          </cell>
          <cell r="Z492">
            <v>0</v>
          </cell>
          <cell r="AA492">
            <v>521</v>
          </cell>
          <cell r="AB492" t="str">
            <v>Ratios/Misc</v>
          </cell>
          <cell r="AC492">
            <v>469</v>
          </cell>
          <cell r="AD492">
            <v>0</v>
          </cell>
          <cell r="AE492">
            <v>0</v>
          </cell>
          <cell r="AF492">
            <v>0</v>
          </cell>
          <cell r="AG492">
            <v>0</v>
          </cell>
          <cell r="AH492">
            <v>0</v>
          </cell>
          <cell r="AI492">
            <v>0</v>
          </cell>
          <cell r="AJ492">
            <v>94</v>
          </cell>
          <cell r="AK492">
            <v>35</v>
          </cell>
          <cell r="AL492">
            <v>0</v>
          </cell>
          <cell r="AM492">
            <v>0</v>
          </cell>
          <cell r="AN492">
            <v>264</v>
          </cell>
          <cell r="AO492" t="str">
            <v>Sales &amp; Marketing / turnover</v>
          </cell>
          <cell r="AP492" t="str">
            <v>%</v>
          </cell>
          <cell r="AQ492">
            <v>0</v>
          </cell>
          <cell r="AR492" t="str">
            <v>Internet, media</v>
          </cell>
          <cell r="AS492" t="str">
            <v>94/35</v>
          </cell>
          <cell r="AT492">
            <v>0</v>
          </cell>
          <cell r="AU492" t="str">
            <v>94</v>
          </cell>
          <cell r="AV492" t="str">
            <v>35</v>
          </cell>
        </row>
        <row r="493">
          <cell r="A493">
            <v>265</v>
          </cell>
          <cell r="B493" t="str">
            <v>1r_gen_admin_turnover</v>
          </cell>
          <cell r="C493" t="str">
            <v>General &amp; admin/turnover</v>
          </cell>
          <cell r="D493" t="str">
            <v>Multiple</v>
          </cell>
          <cell r="E493">
            <v>0</v>
          </cell>
          <cell r="F493">
            <v>0</v>
          </cell>
          <cell r="G493">
            <v>0</v>
          </cell>
          <cell r="H493">
            <v>0</v>
          </cell>
          <cell r="I493">
            <v>0</v>
          </cell>
          <cell r="J493">
            <v>0</v>
          </cell>
          <cell r="K493">
            <v>0</v>
          </cell>
          <cell r="L493">
            <v>0</v>
          </cell>
          <cell r="M493">
            <v>0</v>
          </cell>
          <cell r="N493" t="str">
            <v>r_gen_admin_turnover</v>
          </cell>
          <cell r="O493">
            <v>0</v>
          </cell>
          <cell r="P493">
            <v>0</v>
          </cell>
          <cell r="Q493">
            <v>1</v>
          </cell>
          <cell r="R493" t="str">
            <v>E</v>
          </cell>
          <cell r="S493">
            <v>2</v>
          </cell>
          <cell r="T493" t="str">
            <v>null</v>
          </cell>
          <cell r="U493">
            <v>1</v>
          </cell>
          <cell r="V493">
            <v>0</v>
          </cell>
          <cell r="W493">
            <v>0</v>
          </cell>
          <cell r="X493">
            <v>0</v>
          </cell>
          <cell r="Y493">
            <v>0</v>
          </cell>
          <cell r="Z493">
            <v>0</v>
          </cell>
          <cell r="AA493">
            <v>270</v>
          </cell>
          <cell r="AB493" t="str">
            <v>Ratios/Misc</v>
          </cell>
          <cell r="AC493">
            <v>470</v>
          </cell>
          <cell r="AD493">
            <v>0</v>
          </cell>
          <cell r="AE493">
            <v>0</v>
          </cell>
          <cell r="AF493">
            <v>0</v>
          </cell>
          <cell r="AG493">
            <v>0</v>
          </cell>
          <cell r="AH493">
            <v>0</v>
          </cell>
          <cell r="AI493">
            <v>0</v>
          </cell>
          <cell r="AJ493">
            <v>95</v>
          </cell>
          <cell r="AK493">
            <v>35</v>
          </cell>
          <cell r="AL493">
            <v>0</v>
          </cell>
          <cell r="AM493">
            <v>0</v>
          </cell>
          <cell r="AN493">
            <v>265</v>
          </cell>
          <cell r="AO493" t="str">
            <v>General &amp; Admin / turnover</v>
          </cell>
          <cell r="AP493" t="str">
            <v>%</v>
          </cell>
          <cell r="AQ493">
            <v>0</v>
          </cell>
          <cell r="AR493" t="str">
            <v>Internet, media</v>
          </cell>
          <cell r="AS493" t="str">
            <v>95/35</v>
          </cell>
          <cell r="AT493">
            <v>0</v>
          </cell>
          <cell r="AU493" t="str">
            <v>95</v>
          </cell>
          <cell r="AV493" t="str">
            <v>35</v>
          </cell>
        </row>
        <row r="494">
          <cell r="A494">
            <v>266</v>
          </cell>
          <cell r="B494" t="str">
            <v>1r_ev_page_view</v>
          </cell>
          <cell r="C494" t="str">
            <v>EV/page view</v>
          </cell>
          <cell r="D494" t="str">
            <v>Multiple</v>
          </cell>
          <cell r="E494">
            <v>0</v>
          </cell>
          <cell r="F494">
            <v>0</v>
          </cell>
          <cell r="G494">
            <v>0</v>
          </cell>
          <cell r="H494">
            <v>0</v>
          </cell>
          <cell r="I494">
            <v>0</v>
          </cell>
          <cell r="J494">
            <v>0</v>
          </cell>
          <cell r="K494">
            <v>0</v>
          </cell>
          <cell r="L494">
            <v>0</v>
          </cell>
          <cell r="M494">
            <v>0</v>
          </cell>
          <cell r="N494" t="str">
            <v>r_ev_page_view</v>
          </cell>
          <cell r="O494">
            <v>0</v>
          </cell>
          <cell r="P494">
            <v>0</v>
          </cell>
          <cell r="Q494">
            <v>1</v>
          </cell>
          <cell r="R494" t="str">
            <v>E</v>
          </cell>
          <cell r="S494">
            <v>2</v>
          </cell>
          <cell r="T494" t="str">
            <v>null</v>
          </cell>
          <cell r="U494">
            <v>1</v>
          </cell>
          <cell r="V494">
            <v>0</v>
          </cell>
          <cell r="W494">
            <v>0</v>
          </cell>
          <cell r="X494">
            <v>0</v>
          </cell>
          <cell r="Y494">
            <v>0</v>
          </cell>
          <cell r="Z494">
            <v>0</v>
          </cell>
          <cell r="AA494">
            <v>222</v>
          </cell>
          <cell r="AB494" t="str">
            <v>Ratios/Misc</v>
          </cell>
          <cell r="AC494">
            <v>471</v>
          </cell>
          <cell r="AD494">
            <v>0</v>
          </cell>
          <cell r="AE494">
            <v>0</v>
          </cell>
          <cell r="AF494">
            <v>0</v>
          </cell>
          <cell r="AG494">
            <v>0</v>
          </cell>
          <cell r="AH494">
            <v>0</v>
          </cell>
          <cell r="AI494">
            <v>0</v>
          </cell>
          <cell r="AJ494">
            <v>0</v>
          </cell>
          <cell r="AK494">
            <v>96</v>
          </cell>
          <cell r="AL494">
            <v>0</v>
          </cell>
          <cell r="AM494">
            <v>0</v>
          </cell>
          <cell r="AN494">
            <v>266</v>
          </cell>
          <cell r="AO494" t="str">
            <v>EV/Page View</v>
          </cell>
          <cell r="AP494" t="str">
            <v>£</v>
          </cell>
          <cell r="AQ494">
            <v>0</v>
          </cell>
          <cell r="AR494" t="str">
            <v>Internet, media</v>
          </cell>
          <cell r="AS494" t="str">
            <v>3/96</v>
          </cell>
          <cell r="AT494">
            <v>0</v>
          </cell>
          <cell r="AU494" t="str">
            <v>3</v>
          </cell>
          <cell r="AV494" t="str">
            <v>96</v>
          </cell>
        </row>
        <row r="495">
          <cell r="A495">
            <v>267</v>
          </cell>
          <cell r="B495" t="str">
            <v>1r_ev_reg_user</v>
          </cell>
          <cell r="C495" t="str">
            <v>EV/registered user</v>
          </cell>
          <cell r="D495" t="str">
            <v>Multiple</v>
          </cell>
          <cell r="E495">
            <v>0</v>
          </cell>
          <cell r="F495">
            <v>0</v>
          </cell>
          <cell r="G495">
            <v>0</v>
          </cell>
          <cell r="H495">
            <v>0</v>
          </cell>
          <cell r="I495">
            <v>0</v>
          </cell>
          <cell r="J495">
            <v>0</v>
          </cell>
          <cell r="K495">
            <v>0</v>
          </cell>
          <cell r="L495">
            <v>0</v>
          </cell>
          <cell r="M495">
            <v>0</v>
          </cell>
          <cell r="N495" t="str">
            <v>r_ev_reg_user</v>
          </cell>
          <cell r="O495">
            <v>0</v>
          </cell>
          <cell r="P495">
            <v>0</v>
          </cell>
          <cell r="Q495">
            <v>1</v>
          </cell>
          <cell r="R495" t="str">
            <v>E</v>
          </cell>
          <cell r="S495">
            <v>2</v>
          </cell>
          <cell r="T495" t="str">
            <v>null</v>
          </cell>
          <cell r="U495">
            <v>1</v>
          </cell>
          <cell r="V495">
            <v>0</v>
          </cell>
          <cell r="W495">
            <v>0</v>
          </cell>
          <cell r="X495">
            <v>0</v>
          </cell>
          <cell r="Y495">
            <v>0</v>
          </cell>
          <cell r="Z495">
            <v>0</v>
          </cell>
          <cell r="AA495">
            <v>223</v>
          </cell>
          <cell r="AB495" t="str">
            <v>Ratios/Misc</v>
          </cell>
          <cell r="AC495">
            <v>472</v>
          </cell>
          <cell r="AD495">
            <v>0</v>
          </cell>
          <cell r="AE495">
            <v>0</v>
          </cell>
          <cell r="AF495">
            <v>0</v>
          </cell>
          <cell r="AG495">
            <v>0</v>
          </cell>
          <cell r="AH495">
            <v>0</v>
          </cell>
          <cell r="AI495">
            <v>0</v>
          </cell>
          <cell r="AJ495">
            <v>0</v>
          </cell>
          <cell r="AK495">
            <v>98</v>
          </cell>
          <cell r="AL495">
            <v>0</v>
          </cell>
          <cell r="AM495">
            <v>0</v>
          </cell>
          <cell r="AN495">
            <v>267</v>
          </cell>
          <cell r="AO495" t="str">
            <v xml:space="preserve">EV/Registered user </v>
          </cell>
          <cell r="AP495" t="str">
            <v>£</v>
          </cell>
          <cell r="AQ495">
            <v>0</v>
          </cell>
          <cell r="AR495" t="str">
            <v>Internet, media</v>
          </cell>
          <cell r="AS495" t="str">
            <v>3/98</v>
          </cell>
          <cell r="AT495">
            <v>0</v>
          </cell>
          <cell r="AU495" t="str">
            <v>3</v>
          </cell>
          <cell r="AV495" t="str">
            <v>98</v>
          </cell>
        </row>
        <row r="496">
          <cell r="A496">
            <v>427</v>
          </cell>
          <cell r="B496" t="str">
            <v>1r_quick_ratio</v>
          </cell>
          <cell r="C496" t="str">
            <v>Quick ratio</v>
          </cell>
          <cell r="D496" t="str">
            <v>(%)</v>
          </cell>
          <cell r="E496">
            <v>0</v>
          </cell>
          <cell r="F496">
            <v>0</v>
          </cell>
          <cell r="G496">
            <v>0</v>
          </cell>
          <cell r="H496">
            <v>0</v>
          </cell>
          <cell r="I496">
            <v>0</v>
          </cell>
          <cell r="J496">
            <v>0</v>
          </cell>
          <cell r="K496">
            <v>0</v>
          </cell>
          <cell r="L496">
            <v>0</v>
          </cell>
          <cell r="M496">
            <v>0</v>
          </cell>
          <cell r="N496" t="str">
            <v>r_quick_ratio</v>
          </cell>
          <cell r="O496">
            <v>0</v>
          </cell>
          <cell r="P496">
            <v>0</v>
          </cell>
          <cell r="Q496">
            <v>0.01</v>
          </cell>
          <cell r="R496" t="str">
            <v>E</v>
          </cell>
          <cell r="S496">
            <v>2</v>
          </cell>
          <cell r="T496" t="str">
            <v>null</v>
          </cell>
          <cell r="U496">
            <v>1</v>
          </cell>
          <cell r="V496">
            <v>0</v>
          </cell>
          <cell r="W496">
            <v>0</v>
          </cell>
          <cell r="X496">
            <v>0</v>
          </cell>
          <cell r="Y496">
            <v>0</v>
          </cell>
          <cell r="Z496">
            <v>0</v>
          </cell>
          <cell r="AA496">
            <v>495</v>
          </cell>
          <cell r="AB496" t="str">
            <v>Ratios/Misc</v>
          </cell>
          <cell r="AC496">
            <v>473</v>
          </cell>
          <cell r="AD496">
            <v>0</v>
          </cell>
          <cell r="AE496">
            <v>0</v>
          </cell>
          <cell r="AF496">
            <v>0</v>
          </cell>
          <cell r="AG496">
            <v>0</v>
          </cell>
          <cell r="AH496">
            <v>0</v>
          </cell>
          <cell r="AI496">
            <v>0</v>
          </cell>
          <cell r="AJ496">
            <v>0</v>
          </cell>
          <cell r="AK496">
            <v>0</v>
          </cell>
          <cell r="AL496">
            <v>0</v>
          </cell>
          <cell r="AM496">
            <v>0</v>
          </cell>
          <cell r="AN496" t="e">
            <v>#N/A</v>
          </cell>
          <cell r="AO496" t="e">
            <v>#N/A</v>
          </cell>
          <cell r="AP496" t="e">
            <v>#N/A</v>
          </cell>
          <cell r="AQ496" t="e">
            <v>#N/A</v>
          </cell>
          <cell r="AR496" t="e">
            <v>#N/A</v>
          </cell>
          <cell r="AS496" t="e">
            <v>#N/A</v>
          </cell>
          <cell r="AT496" t="e">
            <v>#N/A</v>
          </cell>
          <cell r="AU496" t="e">
            <v>#N/A</v>
          </cell>
          <cell r="AV496" t="e">
            <v>#N/A</v>
          </cell>
        </row>
        <row r="497">
          <cell r="A497">
            <v>269</v>
          </cell>
          <cell r="B497" t="str">
            <v>1r_portfolio_yield</v>
          </cell>
          <cell r="C497" t="str">
            <v>Portfolio yield</v>
          </cell>
          <cell r="D497" t="str">
            <v>(%)</v>
          </cell>
          <cell r="E497">
            <v>0</v>
          </cell>
          <cell r="F497">
            <v>0</v>
          </cell>
          <cell r="G497">
            <v>0</v>
          </cell>
          <cell r="H497">
            <v>0</v>
          </cell>
          <cell r="I497">
            <v>0</v>
          </cell>
          <cell r="J497">
            <v>0</v>
          </cell>
          <cell r="K497">
            <v>0</v>
          </cell>
          <cell r="L497">
            <v>0</v>
          </cell>
          <cell r="M497">
            <v>0</v>
          </cell>
          <cell r="N497" t="str">
            <v>r_portfolio_yield</v>
          </cell>
          <cell r="O497">
            <v>0</v>
          </cell>
          <cell r="P497">
            <v>0</v>
          </cell>
          <cell r="Q497">
            <v>0.01</v>
          </cell>
          <cell r="R497" t="str">
            <v>E</v>
          </cell>
          <cell r="S497">
            <v>2</v>
          </cell>
          <cell r="T497" t="str">
            <v>null</v>
          </cell>
          <cell r="U497">
            <v>1</v>
          </cell>
          <cell r="V497">
            <v>0</v>
          </cell>
          <cell r="W497">
            <v>0</v>
          </cell>
          <cell r="X497">
            <v>0</v>
          </cell>
          <cell r="Y497">
            <v>0</v>
          </cell>
          <cell r="Z497">
            <v>0</v>
          </cell>
          <cell r="AA497">
            <v>472</v>
          </cell>
          <cell r="AB497" t="str">
            <v>Ratios/Misc</v>
          </cell>
          <cell r="AC497">
            <v>475</v>
          </cell>
          <cell r="AD497">
            <v>0</v>
          </cell>
          <cell r="AE497">
            <v>0</v>
          </cell>
          <cell r="AF497">
            <v>0</v>
          </cell>
          <cell r="AG497">
            <v>0</v>
          </cell>
          <cell r="AH497">
            <v>0</v>
          </cell>
          <cell r="AI497">
            <v>0</v>
          </cell>
          <cell r="AJ497">
            <v>0</v>
          </cell>
          <cell r="AK497">
            <v>0</v>
          </cell>
          <cell r="AL497">
            <v>0</v>
          </cell>
          <cell r="AM497">
            <v>0</v>
          </cell>
          <cell r="AN497">
            <v>269</v>
          </cell>
          <cell r="AO497" t="str">
            <v>Portfolio yield %</v>
          </cell>
          <cell r="AP497" t="str">
            <v>%</v>
          </cell>
          <cell r="AQ497">
            <v>0</v>
          </cell>
          <cell r="AR497" t="str">
            <v>Property</v>
          </cell>
          <cell r="AS497">
            <v>0</v>
          </cell>
          <cell r="AT497">
            <v>0</v>
          </cell>
          <cell r="AU497" t="e">
            <v>#VALUE!</v>
          </cell>
          <cell r="AV497" t="e">
            <v>#VALUE!</v>
          </cell>
        </row>
        <row r="498">
          <cell r="A498">
            <v>270</v>
          </cell>
          <cell r="B498" t="str">
            <v>2r_net_debt_property</v>
          </cell>
          <cell r="C498" t="str">
            <v>Net debt/property</v>
          </cell>
          <cell r="D498" t="str">
            <v>Multiple</v>
          </cell>
          <cell r="E498">
            <v>0</v>
          </cell>
          <cell r="F498">
            <v>0</v>
          </cell>
          <cell r="G498">
            <v>0</v>
          </cell>
          <cell r="H498">
            <v>0</v>
          </cell>
          <cell r="I498">
            <v>0</v>
          </cell>
          <cell r="J498">
            <v>0</v>
          </cell>
          <cell r="K498">
            <v>0</v>
          </cell>
          <cell r="L498">
            <v>0</v>
          </cell>
          <cell r="M498">
            <v>0</v>
          </cell>
          <cell r="N498" t="str">
            <v>r_net_debt_property</v>
          </cell>
          <cell r="O498">
            <v>0</v>
          </cell>
          <cell r="P498">
            <v>0</v>
          </cell>
          <cell r="Q498">
            <v>1</v>
          </cell>
          <cell r="R498" t="str">
            <v>E</v>
          </cell>
          <cell r="S498">
            <v>2</v>
          </cell>
          <cell r="T498" t="str">
            <v>null</v>
          </cell>
          <cell r="U498">
            <v>2</v>
          </cell>
          <cell r="V498">
            <v>0</v>
          </cell>
          <cell r="W498">
            <v>0</v>
          </cell>
          <cell r="X498">
            <v>0</v>
          </cell>
          <cell r="Y498">
            <v>0</v>
          </cell>
          <cell r="Z498">
            <v>0</v>
          </cell>
          <cell r="AA498">
            <v>369</v>
          </cell>
          <cell r="AB498" t="str">
            <v>Ratios/Misc</v>
          </cell>
          <cell r="AC498">
            <v>476</v>
          </cell>
          <cell r="AD498">
            <v>0</v>
          </cell>
          <cell r="AE498" t="str">
            <v>net_cash_debt_mv</v>
          </cell>
          <cell r="AF498">
            <v>0</v>
          </cell>
          <cell r="AG498">
            <v>0</v>
          </cell>
          <cell r="AH498">
            <v>0</v>
          </cell>
          <cell r="AI498">
            <v>0</v>
          </cell>
          <cell r="AJ498">
            <v>0</v>
          </cell>
          <cell r="AK498">
            <v>0</v>
          </cell>
          <cell r="AL498">
            <v>0</v>
          </cell>
          <cell r="AM498">
            <v>0</v>
          </cell>
          <cell r="AN498">
            <v>270</v>
          </cell>
          <cell r="AO498" t="str">
            <v>Net debt/property %</v>
          </cell>
          <cell r="AP498" t="str">
            <v>%</v>
          </cell>
          <cell r="AQ498">
            <v>0</v>
          </cell>
          <cell r="AR498" t="str">
            <v>Property</v>
          </cell>
          <cell r="AS498">
            <v>0</v>
          </cell>
          <cell r="AT498">
            <v>0</v>
          </cell>
          <cell r="AU498" t="e">
            <v>#VALUE!</v>
          </cell>
          <cell r="AV498" t="e">
            <v>#VALUE!</v>
          </cell>
        </row>
        <row r="499">
          <cell r="A499">
            <v>271</v>
          </cell>
          <cell r="B499" t="str">
            <v>1r_rent_inc_admin_int</v>
          </cell>
          <cell r="C499" t="str">
            <v>Rental income/admin+interest</v>
          </cell>
          <cell r="D499" t="str">
            <v>Multiple</v>
          </cell>
          <cell r="E499">
            <v>0</v>
          </cell>
          <cell r="F499">
            <v>0</v>
          </cell>
          <cell r="G499">
            <v>0</v>
          </cell>
          <cell r="H499">
            <v>0</v>
          </cell>
          <cell r="I499">
            <v>0</v>
          </cell>
          <cell r="J499">
            <v>0</v>
          </cell>
          <cell r="K499">
            <v>0</v>
          </cell>
          <cell r="L499">
            <v>0</v>
          </cell>
          <cell r="M499">
            <v>0</v>
          </cell>
          <cell r="N499" t="str">
            <v>r_rent_inc_admin_int</v>
          </cell>
          <cell r="O499">
            <v>0</v>
          </cell>
          <cell r="P499">
            <v>0</v>
          </cell>
          <cell r="Q499">
            <v>1</v>
          </cell>
          <cell r="R499" t="str">
            <v>E</v>
          </cell>
          <cell r="S499">
            <v>2</v>
          </cell>
          <cell r="T499" t="str">
            <v>null</v>
          </cell>
          <cell r="U499">
            <v>1</v>
          </cell>
          <cell r="V499">
            <v>0</v>
          </cell>
          <cell r="W499">
            <v>0</v>
          </cell>
          <cell r="X499">
            <v>0</v>
          </cell>
          <cell r="Y499">
            <v>0</v>
          </cell>
          <cell r="Z499">
            <v>0</v>
          </cell>
          <cell r="AA499">
            <v>505</v>
          </cell>
          <cell r="AB499" t="str">
            <v>Ratios/Misc</v>
          </cell>
          <cell r="AC499">
            <v>477</v>
          </cell>
          <cell r="AD499">
            <v>0</v>
          </cell>
          <cell r="AE499">
            <v>0</v>
          </cell>
          <cell r="AF499">
            <v>0</v>
          </cell>
          <cell r="AG499">
            <v>0</v>
          </cell>
          <cell r="AH499">
            <v>0</v>
          </cell>
          <cell r="AI499">
            <v>0</v>
          </cell>
          <cell r="AJ499">
            <v>0</v>
          </cell>
          <cell r="AK499">
            <v>0</v>
          </cell>
          <cell r="AL499">
            <v>0</v>
          </cell>
          <cell r="AM499">
            <v>0</v>
          </cell>
          <cell r="AN499">
            <v>271</v>
          </cell>
          <cell r="AO499" t="str">
            <v>Rental income/admin+interest x</v>
          </cell>
          <cell r="AP499" t="str">
            <v>x</v>
          </cell>
          <cell r="AQ499">
            <v>0</v>
          </cell>
          <cell r="AR499" t="str">
            <v>Property</v>
          </cell>
          <cell r="AS499">
            <v>0</v>
          </cell>
          <cell r="AT499">
            <v>0</v>
          </cell>
          <cell r="AU499" t="e">
            <v>#VALUE!</v>
          </cell>
          <cell r="AV499" t="e">
            <v>#VALUE!</v>
          </cell>
        </row>
        <row r="500">
          <cell r="A500">
            <v>272</v>
          </cell>
          <cell r="B500" t="str">
            <v>1r_est_total_return_props</v>
          </cell>
          <cell r="C500" t="str">
            <v>Estimated total return (props)</v>
          </cell>
          <cell r="D500" t="str">
            <v>(%)</v>
          </cell>
          <cell r="E500">
            <v>0</v>
          </cell>
          <cell r="F500">
            <v>0</v>
          </cell>
          <cell r="G500">
            <v>0</v>
          </cell>
          <cell r="H500">
            <v>0</v>
          </cell>
          <cell r="I500">
            <v>0</v>
          </cell>
          <cell r="J500">
            <v>0</v>
          </cell>
          <cell r="K500">
            <v>0</v>
          </cell>
          <cell r="L500">
            <v>0</v>
          </cell>
          <cell r="M500">
            <v>0</v>
          </cell>
          <cell r="N500" t="str">
            <v>r_est_total_return_props</v>
          </cell>
          <cell r="O500">
            <v>0</v>
          </cell>
          <cell r="P500">
            <v>0</v>
          </cell>
          <cell r="Q500">
            <v>0.01</v>
          </cell>
          <cell r="R500" t="str">
            <v>E</v>
          </cell>
          <cell r="S500">
            <v>2</v>
          </cell>
          <cell r="T500" t="str">
            <v>null</v>
          </cell>
          <cell r="U500">
            <v>1</v>
          </cell>
          <cell r="V500">
            <v>0</v>
          </cell>
          <cell r="W500">
            <v>0</v>
          </cell>
          <cell r="X500">
            <v>0</v>
          </cell>
          <cell r="Y500">
            <v>0</v>
          </cell>
          <cell r="Z500">
            <v>0</v>
          </cell>
          <cell r="AA500">
            <v>203</v>
          </cell>
          <cell r="AB500" t="str">
            <v>Ratios/Misc</v>
          </cell>
          <cell r="AC500">
            <v>478</v>
          </cell>
          <cell r="AD500">
            <v>0</v>
          </cell>
          <cell r="AE500">
            <v>0</v>
          </cell>
          <cell r="AF500">
            <v>0</v>
          </cell>
          <cell r="AG500">
            <v>0</v>
          </cell>
          <cell r="AH500">
            <v>0</v>
          </cell>
          <cell r="AI500">
            <v>0</v>
          </cell>
          <cell r="AJ500">
            <v>0</v>
          </cell>
          <cell r="AK500">
            <v>0</v>
          </cell>
          <cell r="AL500">
            <v>0</v>
          </cell>
          <cell r="AM500">
            <v>0</v>
          </cell>
          <cell r="AN500">
            <v>272</v>
          </cell>
          <cell r="AO500" t="str">
            <v>Estimated total return (props) %</v>
          </cell>
          <cell r="AP500" t="str">
            <v>%</v>
          </cell>
          <cell r="AQ500">
            <v>0</v>
          </cell>
          <cell r="AR500" t="str">
            <v xml:space="preserve">Property - different calculation </v>
          </cell>
          <cell r="AS500">
            <v>0</v>
          </cell>
          <cell r="AT500">
            <v>0</v>
          </cell>
          <cell r="AU500" t="e">
            <v>#VALUE!</v>
          </cell>
          <cell r="AV500" t="e">
            <v>#VALUE!</v>
          </cell>
        </row>
        <row r="501">
          <cell r="A501">
            <v>273</v>
          </cell>
          <cell r="B501" t="str">
            <v>1r_devlop_margin</v>
          </cell>
          <cell r="C501" t="str">
            <v>Development margin</v>
          </cell>
          <cell r="D501" t="str">
            <v>(%)</v>
          </cell>
          <cell r="E501">
            <v>0</v>
          </cell>
          <cell r="F501">
            <v>0</v>
          </cell>
          <cell r="G501">
            <v>0</v>
          </cell>
          <cell r="H501">
            <v>0</v>
          </cell>
          <cell r="I501">
            <v>0</v>
          </cell>
          <cell r="J501">
            <v>0</v>
          </cell>
          <cell r="K501">
            <v>0</v>
          </cell>
          <cell r="L501">
            <v>0</v>
          </cell>
          <cell r="M501">
            <v>0</v>
          </cell>
          <cell r="N501" t="str">
            <v>r_devlop_margin</v>
          </cell>
          <cell r="O501">
            <v>0</v>
          </cell>
          <cell r="P501">
            <v>0</v>
          </cell>
          <cell r="Q501">
            <v>0.01</v>
          </cell>
          <cell r="R501" t="str">
            <v>E</v>
          </cell>
          <cell r="S501">
            <v>2</v>
          </cell>
          <cell r="T501" t="str">
            <v>null</v>
          </cell>
          <cell r="U501">
            <v>1</v>
          </cell>
          <cell r="V501">
            <v>0</v>
          </cell>
          <cell r="W501">
            <v>0</v>
          </cell>
          <cell r="X501">
            <v>0</v>
          </cell>
          <cell r="Y501">
            <v>0</v>
          </cell>
          <cell r="Z501">
            <v>0</v>
          </cell>
          <cell r="AA501">
            <v>138</v>
          </cell>
          <cell r="AB501" t="str">
            <v>Ratios/Misc</v>
          </cell>
          <cell r="AC501">
            <v>479</v>
          </cell>
          <cell r="AD501">
            <v>0</v>
          </cell>
          <cell r="AE501">
            <v>0</v>
          </cell>
          <cell r="AF501">
            <v>0</v>
          </cell>
          <cell r="AG501">
            <v>0</v>
          </cell>
          <cell r="AH501">
            <v>0</v>
          </cell>
          <cell r="AI501">
            <v>0</v>
          </cell>
          <cell r="AJ501">
            <v>0</v>
          </cell>
          <cell r="AK501">
            <v>0</v>
          </cell>
          <cell r="AL501">
            <v>0</v>
          </cell>
          <cell r="AM501">
            <v>0</v>
          </cell>
          <cell r="AN501">
            <v>273</v>
          </cell>
          <cell r="AO501" t="str">
            <v>Development margin %</v>
          </cell>
          <cell r="AP501" t="str">
            <v>%</v>
          </cell>
          <cell r="AQ501">
            <v>0</v>
          </cell>
          <cell r="AR501" t="str">
            <v>Property development</v>
          </cell>
          <cell r="AS501">
            <v>0</v>
          </cell>
          <cell r="AT501">
            <v>0</v>
          </cell>
          <cell r="AU501" t="e">
            <v>#VALUE!</v>
          </cell>
          <cell r="AV501" t="e">
            <v>#VALUE!</v>
          </cell>
        </row>
        <row r="502">
          <cell r="A502">
            <v>274</v>
          </cell>
          <cell r="B502" t="str">
            <v>1r_fixed_asset_turnover</v>
          </cell>
          <cell r="C502" t="str">
            <v>Fixed asset turnover</v>
          </cell>
          <cell r="D502" t="str">
            <v>Multiple</v>
          </cell>
          <cell r="E502">
            <v>0</v>
          </cell>
          <cell r="F502">
            <v>0</v>
          </cell>
          <cell r="G502">
            <v>0</v>
          </cell>
          <cell r="H502">
            <v>0</v>
          </cell>
          <cell r="I502">
            <v>0</v>
          </cell>
          <cell r="J502">
            <v>0</v>
          </cell>
          <cell r="K502">
            <v>0</v>
          </cell>
          <cell r="L502">
            <v>0</v>
          </cell>
          <cell r="M502">
            <v>0</v>
          </cell>
          <cell r="N502" t="str">
            <v>r_fixed_asset_turnover</v>
          </cell>
          <cell r="O502">
            <v>0</v>
          </cell>
          <cell r="P502">
            <v>0</v>
          </cell>
          <cell r="Q502">
            <v>1</v>
          </cell>
          <cell r="R502" t="str">
            <v>E</v>
          </cell>
          <cell r="S502">
            <v>2</v>
          </cell>
          <cell r="T502" t="str">
            <v>null</v>
          </cell>
          <cell r="U502">
            <v>1</v>
          </cell>
          <cell r="V502">
            <v>0</v>
          </cell>
          <cell r="W502">
            <v>0</v>
          </cell>
          <cell r="X502">
            <v>0</v>
          </cell>
          <cell r="Y502">
            <v>0</v>
          </cell>
          <cell r="Z502">
            <v>0</v>
          </cell>
          <cell r="AA502">
            <v>242</v>
          </cell>
          <cell r="AB502" t="str">
            <v>Ratios/Misc</v>
          </cell>
          <cell r="AC502">
            <v>480</v>
          </cell>
          <cell r="AD502">
            <v>0</v>
          </cell>
          <cell r="AE502">
            <v>0</v>
          </cell>
          <cell r="AF502">
            <v>0</v>
          </cell>
          <cell r="AG502">
            <v>0</v>
          </cell>
          <cell r="AH502">
            <v>0</v>
          </cell>
          <cell r="AI502">
            <v>0</v>
          </cell>
          <cell r="AJ502">
            <v>35</v>
          </cell>
          <cell r="AK502">
            <v>159</v>
          </cell>
          <cell r="AL502">
            <v>0</v>
          </cell>
          <cell r="AM502">
            <v>0</v>
          </cell>
          <cell r="AN502">
            <v>274</v>
          </cell>
          <cell r="AO502" t="str">
            <v>Fixed Asset Turnover</v>
          </cell>
          <cell r="AP502" t="str">
            <v>x</v>
          </cell>
          <cell r="AQ502">
            <v>0</v>
          </cell>
          <cell r="AR502" t="str">
            <v>Technology</v>
          </cell>
          <cell r="AS502" t="str">
            <v>35/159</v>
          </cell>
          <cell r="AT502" t="str">
            <v>sales/fixed assets</v>
          </cell>
          <cell r="AU502" t="str">
            <v>35</v>
          </cell>
          <cell r="AV502" t="str">
            <v>159</v>
          </cell>
        </row>
        <row r="503">
          <cell r="A503">
            <v>276</v>
          </cell>
          <cell r="B503" t="str">
            <v>1r_fixed_charge_cover</v>
          </cell>
          <cell r="C503" t="str">
            <v>Fixed asset turnover</v>
          </cell>
          <cell r="D503" t="str">
            <v>Multiple</v>
          </cell>
          <cell r="E503">
            <v>0</v>
          </cell>
          <cell r="F503">
            <v>0</v>
          </cell>
          <cell r="G503">
            <v>0</v>
          </cell>
          <cell r="H503">
            <v>0</v>
          </cell>
          <cell r="I503">
            <v>0</v>
          </cell>
          <cell r="J503">
            <v>0</v>
          </cell>
          <cell r="K503">
            <v>0</v>
          </cell>
          <cell r="L503">
            <v>0</v>
          </cell>
          <cell r="M503">
            <v>0</v>
          </cell>
          <cell r="N503" t="str">
            <v>r_fixed_charge_cover</v>
          </cell>
          <cell r="O503">
            <v>0</v>
          </cell>
          <cell r="P503">
            <v>0</v>
          </cell>
          <cell r="Q503">
            <v>1</v>
          </cell>
          <cell r="R503" t="str">
            <v>E</v>
          </cell>
          <cell r="S503">
            <v>2</v>
          </cell>
          <cell r="T503" t="str">
            <v>null</v>
          </cell>
          <cell r="U503">
            <v>1</v>
          </cell>
          <cell r="V503">
            <v>0</v>
          </cell>
          <cell r="W503">
            <v>0</v>
          </cell>
          <cell r="X503">
            <v>0</v>
          </cell>
          <cell r="Y503">
            <v>0</v>
          </cell>
          <cell r="Z503">
            <v>0</v>
          </cell>
          <cell r="AA503">
            <v>245</v>
          </cell>
          <cell r="AB503" t="str">
            <v>Ratios/Misc</v>
          </cell>
          <cell r="AC503">
            <v>482</v>
          </cell>
          <cell r="AD503">
            <v>0</v>
          </cell>
          <cell r="AE503">
            <v>0</v>
          </cell>
          <cell r="AF503">
            <v>0</v>
          </cell>
          <cell r="AG503">
            <v>0</v>
          </cell>
          <cell r="AH503">
            <v>0</v>
          </cell>
          <cell r="AI503">
            <v>0</v>
          </cell>
          <cell r="AJ503">
            <v>0</v>
          </cell>
          <cell r="AK503">
            <v>0</v>
          </cell>
          <cell r="AL503">
            <v>0</v>
          </cell>
          <cell r="AM503">
            <v>0</v>
          </cell>
          <cell r="AN503">
            <v>276</v>
          </cell>
          <cell r="AO503" t="str">
            <v>Fixed charge cover</v>
          </cell>
          <cell r="AP503" t="str">
            <v>x</v>
          </cell>
          <cell r="AQ503">
            <v>0</v>
          </cell>
          <cell r="AR503" t="str">
            <v>Retail</v>
          </cell>
          <cell r="AS503">
            <v>0</v>
          </cell>
          <cell r="AT503">
            <v>0</v>
          </cell>
          <cell r="AU503" t="e">
            <v>#VALUE!</v>
          </cell>
          <cell r="AV503" t="e">
            <v>#VALUE!</v>
          </cell>
        </row>
        <row r="504">
          <cell r="A504">
            <v>277</v>
          </cell>
          <cell r="B504" t="str">
            <v>1r_wages_per_sales</v>
          </cell>
          <cell r="C504" t="str">
            <v>Wages as % of sales</v>
          </cell>
          <cell r="D504" t="str">
            <v>(%)</v>
          </cell>
          <cell r="E504">
            <v>0</v>
          </cell>
          <cell r="F504">
            <v>0</v>
          </cell>
          <cell r="G504">
            <v>0</v>
          </cell>
          <cell r="H504">
            <v>0</v>
          </cell>
          <cell r="I504">
            <v>0</v>
          </cell>
          <cell r="J504">
            <v>0</v>
          </cell>
          <cell r="K504">
            <v>0</v>
          </cell>
          <cell r="L504">
            <v>0</v>
          </cell>
          <cell r="M504">
            <v>0</v>
          </cell>
          <cell r="N504" t="str">
            <v>r_wages_per_sales</v>
          </cell>
          <cell r="O504">
            <v>0</v>
          </cell>
          <cell r="P504">
            <v>0</v>
          </cell>
          <cell r="Q504">
            <v>0.01</v>
          </cell>
          <cell r="R504" t="str">
            <v>E</v>
          </cell>
          <cell r="S504">
            <v>2</v>
          </cell>
          <cell r="T504" t="str">
            <v>null</v>
          </cell>
          <cell r="U504">
            <v>1</v>
          </cell>
          <cell r="V504">
            <v>0</v>
          </cell>
          <cell r="W504">
            <v>0</v>
          </cell>
          <cell r="X504">
            <v>0</v>
          </cell>
          <cell r="Y504">
            <v>0</v>
          </cell>
          <cell r="Z504">
            <v>0</v>
          </cell>
          <cell r="AA504">
            <v>600</v>
          </cell>
          <cell r="AB504" t="str">
            <v>Ratios/Misc</v>
          </cell>
          <cell r="AC504">
            <v>483</v>
          </cell>
          <cell r="AD504">
            <v>0</v>
          </cell>
          <cell r="AE504">
            <v>0</v>
          </cell>
          <cell r="AF504">
            <v>0</v>
          </cell>
          <cell r="AG504">
            <v>0</v>
          </cell>
          <cell r="AH504">
            <v>0</v>
          </cell>
          <cell r="AI504">
            <v>0</v>
          </cell>
          <cell r="AJ504">
            <v>0</v>
          </cell>
          <cell r="AK504">
            <v>0</v>
          </cell>
          <cell r="AL504">
            <v>0</v>
          </cell>
          <cell r="AM504">
            <v>0</v>
          </cell>
          <cell r="AN504">
            <v>277</v>
          </cell>
          <cell r="AO504" t="str">
            <v>Wages as % of sales</v>
          </cell>
          <cell r="AP504" t="str">
            <v>%</v>
          </cell>
          <cell r="AQ504">
            <v>0</v>
          </cell>
          <cell r="AR504" t="str">
            <v>Retail</v>
          </cell>
          <cell r="AS504">
            <v>0</v>
          </cell>
          <cell r="AT504">
            <v>0</v>
          </cell>
          <cell r="AU504" t="e">
            <v>#VALUE!</v>
          </cell>
          <cell r="AV504" t="e">
            <v>#VALUE!</v>
          </cell>
        </row>
        <row r="505">
          <cell r="A505">
            <v>278</v>
          </cell>
          <cell r="B505" t="str">
            <v>1r_rent_per_sales</v>
          </cell>
          <cell r="C505" t="str">
            <v>Rent as % of sales</v>
          </cell>
          <cell r="D505" t="str">
            <v>(%)</v>
          </cell>
          <cell r="E505">
            <v>0</v>
          </cell>
          <cell r="F505">
            <v>0</v>
          </cell>
          <cell r="G505">
            <v>0</v>
          </cell>
          <cell r="H505">
            <v>0</v>
          </cell>
          <cell r="I505">
            <v>0</v>
          </cell>
          <cell r="J505">
            <v>0</v>
          </cell>
          <cell r="K505">
            <v>0</v>
          </cell>
          <cell r="L505">
            <v>0</v>
          </cell>
          <cell r="M505">
            <v>0</v>
          </cell>
          <cell r="N505" t="str">
            <v>r_rent_per_sales</v>
          </cell>
          <cell r="O505">
            <v>0</v>
          </cell>
          <cell r="P505">
            <v>0</v>
          </cell>
          <cell r="Q505">
            <v>0.01</v>
          </cell>
          <cell r="R505" t="str">
            <v>E</v>
          </cell>
          <cell r="S505">
            <v>2</v>
          </cell>
          <cell r="T505" t="str">
            <v>null</v>
          </cell>
          <cell r="U505">
            <v>1</v>
          </cell>
          <cell r="V505">
            <v>0</v>
          </cell>
          <cell r="W505">
            <v>0</v>
          </cell>
          <cell r="X505">
            <v>0</v>
          </cell>
          <cell r="Y505">
            <v>0</v>
          </cell>
          <cell r="Z505">
            <v>0</v>
          </cell>
          <cell r="AA505">
            <v>504</v>
          </cell>
          <cell r="AB505" t="str">
            <v>Ratios/Misc</v>
          </cell>
          <cell r="AC505">
            <v>484</v>
          </cell>
          <cell r="AD505">
            <v>0</v>
          </cell>
          <cell r="AE505">
            <v>0</v>
          </cell>
          <cell r="AF505">
            <v>0</v>
          </cell>
          <cell r="AG505">
            <v>0</v>
          </cell>
          <cell r="AH505">
            <v>0</v>
          </cell>
          <cell r="AI505">
            <v>0</v>
          </cell>
          <cell r="AJ505">
            <v>0</v>
          </cell>
          <cell r="AK505">
            <v>0</v>
          </cell>
          <cell r="AL505">
            <v>0</v>
          </cell>
          <cell r="AM505">
            <v>0</v>
          </cell>
          <cell r="AN505">
            <v>278</v>
          </cell>
          <cell r="AO505" t="str">
            <v>Rent as % of sales</v>
          </cell>
          <cell r="AP505" t="str">
            <v>%</v>
          </cell>
          <cell r="AQ505">
            <v>0</v>
          </cell>
          <cell r="AR505" t="str">
            <v>Retail</v>
          </cell>
          <cell r="AS505">
            <v>0</v>
          </cell>
          <cell r="AT505">
            <v>0</v>
          </cell>
          <cell r="AU505" t="e">
            <v>#VALUE!</v>
          </cell>
          <cell r="AV505" t="e">
            <v>#VALUE!</v>
          </cell>
        </row>
        <row r="506">
          <cell r="A506">
            <v>279</v>
          </cell>
          <cell r="B506" t="str">
            <v>1r_traffic_growth</v>
          </cell>
          <cell r="C506" t="str">
            <v>Traffic growth y-o-y</v>
          </cell>
          <cell r="D506" t="str">
            <v>(%)</v>
          </cell>
          <cell r="E506">
            <v>0</v>
          </cell>
          <cell r="F506">
            <v>0</v>
          </cell>
          <cell r="G506">
            <v>0</v>
          </cell>
          <cell r="H506">
            <v>0</v>
          </cell>
          <cell r="I506">
            <v>0</v>
          </cell>
          <cell r="J506">
            <v>0</v>
          </cell>
          <cell r="K506">
            <v>0</v>
          </cell>
          <cell r="L506">
            <v>0</v>
          </cell>
          <cell r="M506">
            <v>0</v>
          </cell>
          <cell r="N506" t="str">
            <v>r_traffic_growth</v>
          </cell>
          <cell r="O506">
            <v>0</v>
          </cell>
          <cell r="P506">
            <v>0</v>
          </cell>
          <cell r="Q506">
            <v>0.01</v>
          </cell>
          <cell r="R506" t="str">
            <v>E</v>
          </cell>
          <cell r="S506">
            <v>2</v>
          </cell>
          <cell r="T506" t="str">
            <v>null</v>
          </cell>
          <cell r="U506">
            <v>1</v>
          </cell>
          <cell r="V506">
            <v>0</v>
          </cell>
          <cell r="W506">
            <v>0</v>
          </cell>
          <cell r="X506">
            <v>0</v>
          </cell>
          <cell r="Y506">
            <v>0</v>
          </cell>
          <cell r="Z506">
            <v>0</v>
          </cell>
          <cell r="AA506">
            <v>573</v>
          </cell>
          <cell r="AB506" t="str">
            <v>Ratios/Misc</v>
          </cell>
          <cell r="AC506">
            <v>485</v>
          </cell>
          <cell r="AD506">
            <v>0</v>
          </cell>
          <cell r="AE506">
            <v>0</v>
          </cell>
          <cell r="AF506">
            <v>0</v>
          </cell>
          <cell r="AG506">
            <v>0</v>
          </cell>
          <cell r="AH506">
            <v>0</v>
          </cell>
          <cell r="AI506">
            <v>0</v>
          </cell>
          <cell r="AJ506">
            <v>0</v>
          </cell>
          <cell r="AK506">
            <v>0</v>
          </cell>
          <cell r="AL506">
            <v>0</v>
          </cell>
          <cell r="AM506">
            <v>0</v>
          </cell>
          <cell r="AN506">
            <v>279</v>
          </cell>
          <cell r="AO506" t="str">
            <v>Traffic growth y-o-y %</v>
          </cell>
          <cell r="AP506" t="str">
            <v>%</v>
          </cell>
          <cell r="AQ506">
            <v>0</v>
          </cell>
          <cell r="AR506" t="str">
            <v>Airlines/Transport</v>
          </cell>
          <cell r="AS506">
            <v>0</v>
          </cell>
          <cell r="AT506">
            <v>0</v>
          </cell>
          <cell r="AU506" t="e">
            <v>#VALUE!</v>
          </cell>
          <cell r="AV506" t="e">
            <v>#VALUE!</v>
          </cell>
        </row>
        <row r="507">
          <cell r="A507">
            <v>280</v>
          </cell>
          <cell r="B507" t="str">
            <v>1r_capacity_growth</v>
          </cell>
          <cell r="C507" t="str">
            <v>Capacity growth y-o-y</v>
          </cell>
          <cell r="D507" t="str">
            <v>(%)</v>
          </cell>
          <cell r="E507">
            <v>0</v>
          </cell>
          <cell r="F507">
            <v>0</v>
          </cell>
          <cell r="G507">
            <v>0</v>
          </cell>
          <cell r="H507">
            <v>0</v>
          </cell>
          <cell r="I507">
            <v>0</v>
          </cell>
          <cell r="J507">
            <v>0</v>
          </cell>
          <cell r="K507">
            <v>0</v>
          </cell>
          <cell r="L507">
            <v>0</v>
          </cell>
          <cell r="M507">
            <v>0</v>
          </cell>
          <cell r="N507" t="str">
            <v>r_capacity_growth</v>
          </cell>
          <cell r="O507">
            <v>0</v>
          </cell>
          <cell r="P507">
            <v>0</v>
          </cell>
          <cell r="Q507">
            <v>0.01</v>
          </cell>
          <cell r="R507" t="str">
            <v>E</v>
          </cell>
          <cell r="S507">
            <v>2</v>
          </cell>
          <cell r="T507" t="str">
            <v>null</v>
          </cell>
          <cell r="U507">
            <v>1</v>
          </cell>
          <cell r="V507">
            <v>0</v>
          </cell>
          <cell r="W507">
            <v>0</v>
          </cell>
          <cell r="X507">
            <v>0</v>
          </cell>
          <cell r="Y507">
            <v>0</v>
          </cell>
          <cell r="Z507">
            <v>0</v>
          </cell>
          <cell r="AA507">
            <v>48</v>
          </cell>
          <cell r="AB507" t="str">
            <v>Ratios/Misc</v>
          </cell>
          <cell r="AC507">
            <v>486</v>
          </cell>
          <cell r="AD507">
            <v>0</v>
          </cell>
          <cell r="AE507">
            <v>0</v>
          </cell>
          <cell r="AF507">
            <v>0</v>
          </cell>
          <cell r="AG507">
            <v>0</v>
          </cell>
          <cell r="AH507">
            <v>0</v>
          </cell>
          <cell r="AI507">
            <v>0</v>
          </cell>
          <cell r="AJ507">
            <v>0</v>
          </cell>
          <cell r="AK507">
            <v>0</v>
          </cell>
          <cell r="AL507">
            <v>0</v>
          </cell>
          <cell r="AM507">
            <v>0</v>
          </cell>
          <cell r="AN507">
            <v>280</v>
          </cell>
          <cell r="AO507" t="str">
            <v>Capacity growth y-o-y %</v>
          </cell>
          <cell r="AP507" t="str">
            <v>%</v>
          </cell>
          <cell r="AQ507">
            <v>0</v>
          </cell>
          <cell r="AR507" t="str">
            <v>Airlines/Transport</v>
          </cell>
          <cell r="AS507">
            <v>0</v>
          </cell>
          <cell r="AT507">
            <v>0</v>
          </cell>
          <cell r="AU507" t="e">
            <v>#VALUE!</v>
          </cell>
          <cell r="AV507" t="e">
            <v>#VALUE!</v>
          </cell>
        </row>
        <row r="508">
          <cell r="A508">
            <v>281</v>
          </cell>
          <cell r="B508" t="str">
            <v>1r_load_factor</v>
          </cell>
          <cell r="C508" t="str">
            <v>Load factor</v>
          </cell>
          <cell r="D508" t="str">
            <v>(%)</v>
          </cell>
          <cell r="E508">
            <v>0</v>
          </cell>
          <cell r="F508">
            <v>0</v>
          </cell>
          <cell r="G508">
            <v>0</v>
          </cell>
          <cell r="H508">
            <v>0</v>
          </cell>
          <cell r="I508">
            <v>0</v>
          </cell>
          <cell r="J508">
            <v>0</v>
          </cell>
          <cell r="K508">
            <v>0</v>
          </cell>
          <cell r="L508">
            <v>0</v>
          </cell>
          <cell r="M508">
            <v>0</v>
          </cell>
          <cell r="N508" t="str">
            <v>r_load_factor</v>
          </cell>
          <cell r="O508">
            <v>0</v>
          </cell>
          <cell r="P508">
            <v>0</v>
          </cell>
          <cell r="Q508">
            <v>0.01</v>
          </cell>
          <cell r="R508" t="str">
            <v>E</v>
          </cell>
          <cell r="S508">
            <v>2</v>
          </cell>
          <cell r="T508" t="str">
            <v>null</v>
          </cell>
          <cell r="U508">
            <v>1</v>
          </cell>
          <cell r="V508">
            <v>0</v>
          </cell>
          <cell r="W508">
            <v>0</v>
          </cell>
          <cell r="X508">
            <v>0</v>
          </cell>
          <cell r="Y508">
            <v>0</v>
          </cell>
          <cell r="Z508">
            <v>0</v>
          </cell>
          <cell r="AA508">
            <v>318</v>
          </cell>
          <cell r="AB508" t="str">
            <v>Ratios/Misc</v>
          </cell>
          <cell r="AC508">
            <v>487</v>
          </cell>
          <cell r="AD508">
            <v>0</v>
          </cell>
          <cell r="AE508">
            <v>0</v>
          </cell>
          <cell r="AF508">
            <v>0</v>
          </cell>
          <cell r="AG508">
            <v>0</v>
          </cell>
          <cell r="AH508">
            <v>0</v>
          </cell>
          <cell r="AI508">
            <v>0</v>
          </cell>
          <cell r="AJ508">
            <v>0</v>
          </cell>
          <cell r="AK508">
            <v>0</v>
          </cell>
          <cell r="AL508">
            <v>0</v>
          </cell>
          <cell r="AM508">
            <v>0</v>
          </cell>
          <cell r="AN508">
            <v>281</v>
          </cell>
          <cell r="AO508" t="str">
            <v>Load factor %</v>
          </cell>
          <cell r="AP508" t="str">
            <v>%</v>
          </cell>
          <cell r="AQ508">
            <v>0</v>
          </cell>
          <cell r="AR508" t="str">
            <v>Airlines/Transport</v>
          </cell>
          <cell r="AS508">
            <v>0</v>
          </cell>
          <cell r="AT508">
            <v>0</v>
          </cell>
          <cell r="AU508" t="e">
            <v>#VALUE!</v>
          </cell>
          <cell r="AV508" t="e">
            <v>#VALUE!</v>
          </cell>
        </row>
        <row r="509">
          <cell r="A509">
            <v>282</v>
          </cell>
          <cell r="B509" t="str">
            <v>1r_unit_costs_per_av_seat</v>
          </cell>
          <cell r="C509" t="str">
            <v>Unit costs (per available seat kilometers)</v>
          </cell>
          <cell r="D509" t="str">
            <v>(unit)</v>
          </cell>
          <cell r="E509">
            <v>0</v>
          </cell>
          <cell r="F509">
            <v>0</v>
          </cell>
          <cell r="G509">
            <v>0</v>
          </cell>
          <cell r="H509">
            <v>0</v>
          </cell>
          <cell r="I509">
            <v>0</v>
          </cell>
          <cell r="J509">
            <v>0</v>
          </cell>
          <cell r="K509">
            <v>0</v>
          </cell>
          <cell r="L509">
            <v>0</v>
          </cell>
          <cell r="M509">
            <v>0</v>
          </cell>
          <cell r="N509" t="str">
            <v>r_unit_costs_per_av_seat</v>
          </cell>
          <cell r="O509">
            <v>0</v>
          </cell>
          <cell r="P509">
            <v>0</v>
          </cell>
          <cell r="Q509">
            <v>1</v>
          </cell>
          <cell r="R509" t="str">
            <v>E</v>
          </cell>
          <cell r="S509">
            <v>2</v>
          </cell>
          <cell r="T509" t="str">
            <v>null</v>
          </cell>
          <cell r="U509">
            <v>1</v>
          </cell>
          <cell r="V509">
            <v>0</v>
          </cell>
          <cell r="W509">
            <v>0</v>
          </cell>
          <cell r="X509">
            <v>0</v>
          </cell>
          <cell r="Y509">
            <v>0</v>
          </cell>
          <cell r="Z509">
            <v>0</v>
          </cell>
          <cell r="AA509">
            <v>588</v>
          </cell>
          <cell r="AB509" t="str">
            <v>Ratios/Misc</v>
          </cell>
          <cell r="AC509">
            <v>488</v>
          </cell>
          <cell r="AD509">
            <v>0</v>
          </cell>
          <cell r="AE509">
            <v>0</v>
          </cell>
          <cell r="AF509">
            <v>0</v>
          </cell>
          <cell r="AG509">
            <v>0</v>
          </cell>
          <cell r="AH509">
            <v>0</v>
          </cell>
          <cell r="AI509">
            <v>0</v>
          </cell>
          <cell r="AJ509">
            <v>0</v>
          </cell>
          <cell r="AK509">
            <v>0</v>
          </cell>
          <cell r="AL509">
            <v>0</v>
          </cell>
          <cell r="AM509">
            <v>0</v>
          </cell>
          <cell r="AN509">
            <v>282</v>
          </cell>
          <cell r="AO509" t="str">
            <v>Unit costs (per Available Seat Kilometers) (p)</v>
          </cell>
          <cell r="AP509" t="str">
            <v>p</v>
          </cell>
          <cell r="AQ509">
            <v>0</v>
          </cell>
          <cell r="AR509" t="str">
            <v>Airlines/Transport</v>
          </cell>
          <cell r="AS509">
            <v>0</v>
          </cell>
          <cell r="AT509">
            <v>0</v>
          </cell>
          <cell r="AU509" t="e">
            <v>#VALUE!</v>
          </cell>
          <cell r="AV509" t="e">
            <v>#VALUE!</v>
          </cell>
        </row>
        <row r="510">
          <cell r="A510">
            <v>283</v>
          </cell>
          <cell r="B510" t="str">
            <v>2r_unit_cost_y_o_y</v>
          </cell>
          <cell r="C510" t="str">
            <v>Unit cost y-o-y change</v>
          </cell>
          <cell r="D510" t="str">
            <v>(%)</v>
          </cell>
          <cell r="E510">
            <v>0</v>
          </cell>
          <cell r="F510">
            <v>0</v>
          </cell>
          <cell r="G510">
            <v>0</v>
          </cell>
          <cell r="H510">
            <v>0</v>
          </cell>
          <cell r="I510">
            <v>0</v>
          </cell>
          <cell r="J510">
            <v>0</v>
          </cell>
          <cell r="K510">
            <v>0</v>
          </cell>
          <cell r="L510">
            <v>0</v>
          </cell>
          <cell r="M510">
            <v>0</v>
          </cell>
          <cell r="N510" t="str">
            <v>r_unit_cost_y_o_y</v>
          </cell>
          <cell r="O510">
            <v>0</v>
          </cell>
          <cell r="P510">
            <v>0</v>
          </cell>
          <cell r="Q510">
            <v>0.01</v>
          </cell>
          <cell r="R510" t="str">
            <v>E</v>
          </cell>
          <cell r="S510">
            <v>2</v>
          </cell>
          <cell r="T510" t="str">
            <v>null</v>
          </cell>
          <cell r="U510">
            <v>2</v>
          </cell>
          <cell r="V510">
            <v>0</v>
          </cell>
          <cell r="W510">
            <v>0</v>
          </cell>
          <cell r="X510">
            <v>0</v>
          </cell>
          <cell r="Y510">
            <v>0</v>
          </cell>
          <cell r="Z510">
            <v>0</v>
          </cell>
          <cell r="AA510">
            <v>586</v>
          </cell>
          <cell r="AB510" t="str">
            <v>Ratios/Misc</v>
          </cell>
          <cell r="AC510">
            <v>489</v>
          </cell>
          <cell r="AD510">
            <v>0</v>
          </cell>
          <cell r="AE510">
            <v>0</v>
          </cell>
          <cell r="AF510">
            <v>0</v>
          </cell>
          <cell r="AG510">
            <v>0</v>
          </cell>
          <cell r="AH510">
            <v>0</v>
          </cell>
          <cell r="AI510">
            <v>0</v>
          </cell>
          <cell r="AJ510">
            <v>0</v>
          </cell>
          <cell r="AK510">
            <v>0</v>
          </cell>
          <cell r="AL510">
            <v>0</v>
          </cell>
          <cell r="AM510">
            <v>0</v>
          </cell>
          <cell r="AN510">
            <v>283</v>
          </cell>
          <cell r="AO510" t="str">
            <v>Unit cost y-o-y change %</v>
          </cell>
          <cell r="AP510" t="str">
            <v>%</v>
          </cell>
          <cell r="AQ510">
            <v>0</v>
          </cell>
          <cell r="AR510" t="str">
            <v>Airlines/Transport</v>
          </cell>
          <cell r="AS510" t="str">
            <v>standard y-o-y growth calc on 282</v>
          </cell>
          <cell r="AT510">
            <v>0</v>
          </cell>
          <cell r="AU510" t="e">
            <v>#VALUE!</v>
          </cell>
          <cell r="AV510" t="e">
            <v>#VALUE!</v>
          </cell>
        </row>
        <row r="511">
          <cell r="A511">
            <v>284</v>
          </cell>
          <cell r="B511" t="str">
            <v>1r_unit_revenues</v>
          </cell>
          <cell r="C511" t="str">
            <v>Unit revenues (per revenue passenger kilometers)</v>
          </cell>
          <cell r="D511" t="str">
            <v>(unit)</v>
          </cell>
          <cell r="E511">
            <v>0</v>
          </cell>
          <cell r="F511">
            <v>0</v>
          </cell>
          <cell r="G511">
            <v>0</v>
          </cell>
          <cell r="H511">
            <v>0</v>
          </cell>
          <cell r="I511">
            <v>0</v>
          </cell>
          <cell r="J511">
            <v>0</v>
          </cell>
          <cell r="K511">
            <v>0</v>
          </cell>
          <cell r="L511">
            <v>0</v>
          </cell>
          <cell r="M511">
            <v>0</v>
          </cell>
          <cell r="N511" t="str">
            <v>r_unit_revenues</v>
          </cell>
          <cell r="O511">
            <v>0</v>
          </cell>
          <cell r="P511">
            <v>0</v>
          </cell>
          <cell r="Q511">
            <v>1</v>
          </cell>
          <cell r="R511" t="str">
            <v>E</v>
          </cell>
          <cell r="S511">
            <v>2</v>
          </cell>
          <cell r="T511" t="str">
            <v>null</v>
          </cell>
          <cell r="U511">
            <v>1</v>
          </cell>
          <cell r="V511">
            <v>0</v>
          </cell>
          <cell r="W511">
            <v>0</v>
          </cell>
          <cell r="X511">
            <v>0</v>
          </cell>
          <cell r="Y511">
            <v>0</v>
          </cell>
          <cell r="Z511">
            <v>0</v>
          </cell>
          <cell r="AA511">
            <v>589</v>
          </cell>
          <cell r="AB511" t="str">
            <v>Ratios/Misc</v>
          </cell>
          <cell r="AC511">
            <v>491</v>
          </cell>
          <cell r="AD511">
            <v>0</v>
          </cell>
          <cell r="AE511">
            <v>0</v>
          </cell>
          <cell r="AF511">
            <v>0</v>
          </cell>
          <cell r="AG511">
            <v>0</v>
          </cell>
          <cell r="AH511">
            <v>0</v>
          </cell>
          <cell r="AI511">
            <v>0</v>
          </cell>
          <cell r="AJ511">
            <v>0</v>
          </cell>
          <cell r="AK511">
            <v>0</v>
          </cell>
          <cell r="AL511">
            <v>0</v>
          </cell>
          <cell r="AM511">
            <v>0</v>
          </cell>
          <cell r="AN511">
            <v>284</v>
          </cell>
          <cell r="AO511" t="str">
            <v>Unit revenues (per Revenue Passenger Kilometers)</v>
          </cell>
          <cell r="AP511" t="str">
            <v>p</v>
          </cell>
          <cell r="AQ511">
            <v>0</v>
          </cell>
          <cell r="AR511" t="str">
            <v>Airlines/Transport</v>
          </cell>
          <cell r="AS511">
            <v>0</v>
          </cell>
          <cell r="AT511">
            <v>0</v>
          </cell>
          <cell r="AU511" t="e">
            <v>#VALUE!</v>
          </cell>
          <cell r="AV511" t="e">
            <v>#VALUE!</v>
          </cell>
        </row>
        <row r="512">
          <cell r="A512">
            <v>285</v>
          </cell>
          <cell r="B512" t="str">
            <v>2r_unit_revenues_y_o_y</v>
          </cell>
          <cell r="C512" t="str">
            <v>Unit revenues y-o-y change</v>
          </cell>
          <cell r="D512" t="str">
            <v>(%)</v>
          </cell>
          <cell r="E512">
            <v>0</v>
          </cell>
          <cell r="F512">
            <v>0</v>
          </cell>
          <cell r="G512">
            <v>0</v>
          </cell>
          <cell r="H512">
            <v>0</v>
          </cell>
          <cell r="I512">
            <v>0</v>
          </cell>
          <cell r="J512">
            <v>0</v>
          </cell>
          <cell r="K512">
            <v>0</v>
          </cell>
          <cell r="L512">
            <v>0</v>
          </cell>
          <cell r="M512">
            <v>0</v>
          </cell>
          <cell r="N512" t="str">
            <v>r_unit_revenues_y_o_y</v>
          </cell>
          <cell r="O512">
            <v>0</v>
          </cell>
          <cell r="P512">
            <v>0</v>
          </cell>
          <cell r="Q512">
            <v>0.01</v>
          </cell>
          <cell r="R512" t="str">
            <v>E</v>
          </cell>
          <cell r="S512">
            <v>2</v>
          </cell>
          <cell r="T512" t="str">
            <v>null</v>
          </cell>
          <cell r="U512">
            <v>2</v>
          </cell>
          <cell r="V512">
            <v>0</v>
          </cell>
          <cell r="W512">
            <v>0</v>
          </cell>
          <cell r="X512">
            <v>0</v>
          </cell>
          <cell r="Y512">
            <v>0</v>
          </cell>
          <cell r="Z512">
            <v>0</v>
          </cell>
          <cell r="AA512">
            <v>590</v>
          </cell>
          <cell r="AB512" t="str">
            <v>Ratios/Misc</v>
          </cell>
          <cell r="AC512">
            <v>492</v>
          </cell>
          <cell r="AD512" t="str">
            <v>Requires 285, or use 285.2</v>
          </cell>
          <cell r="AE512" t="str">
            <v>r_unit_revenues_y_o_y</v>
          </cell>
          <cell r="AF512">
            <v>0</v>
          </cell>
          <cell r="AG512">
            <v>0</v>
          </cell>
          <cell r="AH512">
            <v>0</v>
          </cell>
          <cell r="AI512">
            <v>0</v>
          </cell>
          <cell r="AJ512">
            <v>285</v>
          </cell>
          <cell r="AK512">
            <v>0</v>
          </cell>
          <cell r="AL512">
            <v>0</v>
          </cell>
          <cell r="AM512">
            <v>0</v>
          </cell>
          <cell r="AN512">
            <v>285</v>
          </cell>
          <cell r="AO512" t="str">
            <v>Unit revenues y-o-y change %</v>
          </cell>
          <cell r="AP512" t="str">
            <v>%</v>
          </cell>
          <cell r="AQ512">
            <v>0</v>
          </cell>
          <cell r="AR512" t="str">
            <v>Airlines/Transport</v>
          </cell>
          <cell r="AS512" t="str">
            <v>standard y-o-y growth calc on 284</v>
          </cell>
          <cell r="AT512">
            <v>0</v>
          </cell>
          <cell r="AU512" t="e">
            <v>#VALUE!</v>
          </cell>
          <cell r="AV512" t="e">
            <v>#VALUE!</v>
          </cell>
        </row>
        <row r="513">
          <cell r="A513">
            <v>286</v>
          </cell>
          <cell r="B513" t="str">
            <v>2r_fixes_assets_sales</v>
          </cell>
          <cell r="C513" t="str">
            <v>Fixed assets/sales</v>
          </cell>
          <cell r="D513" t="str">
            <v>(%)</v>
          </cell>
          <cell r="E513">
            <v>0</v>
          </cell>
          <cell r="F513">
            <v>0</v>
          </cell>
          <cell r="G513">
            <v>0</v>
          </cell>
          <cell r="H513">
            <v>0</v>
          </cell>
          <cell r="I513">
            <v>0</v>
          </cell>
          <cell r="J513">
            <v>0</v>
          </cell>
          <cell r="K513">
            <v>0</v>
          </cell>
          <cell r="L513">
            <v>0</v>
          </cell>
          <cell r="M513">
            <v>0</v>
          </cell>
          <cell r="N513" t="str">
            <v>r_fixes_assets_sales</v>
          </cell>
          <cell r="O513">
            <v>0</v>
          </cell>
          <cell r="P513">
            <v>0</v>
          </cell>
          <cell r="Q513">
            <v>0.01</v>
          </cell>
          <cell r="R513" t="str">
            <v>E</v>
          </cell>
          <cell r="S513">
            <v>2</v>
          </cell>
          <cell r="T513" t="str">
            <v>null</v>
          </cell>
          <cell r="U513">
            <v>2</v>
          </cell>
          <cell r="V513">
            <v>0</v>
          </cell>
          <cell r="W513">
            <v>0</v>
          </cell>
          <cell r="X513">
            <v>0</v>
          </cell>
          <cell r="Y513">
            <v>0</v>
          </cell>
          <cell r="Z513">
            <v>0</v>
          </cell>
          <cell r="AA513">
            <v>244</v>
          </cell>
          <cell r="AB513" t="str">
            <v>Ratios/Misc</v>
          </cell>
          <cell r="AC513">
            <v>494</v>
          </cell>
          <cell r="AD513">
            <v>0</v>
          </cell>
          <cell r="AE513" t="str">
            <v>b_fxd_assets</v>
          </cell>
          <cell r="AF513" t="str">
            <v>fd_sales</v>
          </cell>
          <cell r="AG513">
            <v>0</v>
          </cell>
          <cell r="AH513">
            <v>0</v>
          </cell>
          <cell r="AI513">
            <v>0</v>
          </cell>
          <cell r="AJ513">
            <v>159</v>
          </cell>
          <cell r="AK513">
            <v>35</v>
          </cell>
          <cell r="AL513">
            <v>0</v>
          </cell>
          <cell r="AM513">
            <v>0</v>
          </cell>
          <cell r="AN513">
            <v>286</v>
          </cell>
          <cell r="AO513" t="str">
            <v>Fixed Assets/Sales %</v>
          </cell>
          <cell r="AP513" t="str">
            <v>%</v>
          </cell>
          <cell r="AQ513">
            <v>0</v>
          </cell>
          <cell r="AR513" t="str">
            <v>Consumer</v>
          </cell>
          <cell r="AS513" t="str">
            <v>159/35</v>
          </cell>
          <cell r="AT513">
            <v>0</v>
          </cell>
          <cell r="AU513" t="str">
            <v>159</v>
          </cell>
          <cell r="AV513" t="str">
            <v>35</v>
          </cell>
        </row>
        <row r="514">
          <cell r="A514">
            <v>395</v>
          </cell>
          <cell r="B514" t="str">
            <v>1r_tang_fixed_assets_sales</v>
          </cell>
          <cell r="C514" t="str">
            <v>Tangible fixed assets/sales</v>
          </cell>
          <cell r="D514" t="str">
            <v>(%)</v>
          </cell>
          <cell r="E514">
            <v>0</v>
          </cell>
          <cell r="F514">
            <v>0</v>
          </cell>
          <cell r="G514">
            <v>0</v>
          </cell>
          <cell r="H514">
            <v>0</v>
          </cell>
          <cell r="I514">
            <v>0</v>
          </cell>
          <cell r="J514">
            <v>0</v>
          </cell>
          <cell r="K514">
            <v>0</v>
          </cell>
          <cell r="L514">
            <v>0</v>
          </cell>
          <cell r="M514">
            <v>0</v>
          </cell>
          <cell r="N514" t="str">
            <v>r_tang_fixed_assets_sales</v>
          </cell>
          <cell r="O514">
            <v>0</v>
          </cell>
          <cell r="P514">
            <v>0</v>
          </cell>
          <cell r="Q514">
            <v>0.01</v>
          </cell>
          <cell r="R514" t="str">
            <v>E</v>
          </cell>
          <cell r="S514">
            <v>2</v>
          </cell>
          <cell r="T514" t="str">
            <v>null</v>
          </cell>
          <cell r="U514">
            <v>1</v>
          </cell>
          <cell r="V514">
            <v>0</v>
          </cell>
          <cell r="W514">
            <v>0</v>
          </cell>
          <cell r="X514">
            <v>0</v>
          </cell>
          <cell r="Y514">
            <v>0</v>
          </cell>
          <cell r="Z514">
            <v>0</v>
          </cell>
          <cell r="AA514">
            <v>549</v>
          </cell>
          <cell r="AB514" t="str">
            <v>Ratios/Misc</v>
          </cell>
          <cell r="AC514">
            <v>495</v>
          </cell>
          <cell r="AD514">
            <v>0</v>
          </cell>
          <cell r="AE514">
            <v>0</v>
          </cell>
          <cell r="AF514">
            <v>0</v>
          </cell>
          <cell r="AG514">
            <v>0</v>
          </cell>
          <cell r="AH514">
            <v>0</v>
          </cell>
          <cell r="AI514">
            <v>0</v>
          </cell>
          <cell r="AJ514">
            <v>0</v>
          </cell>
          <cell r="AK514">
            <v>0</v>
          </cell>
          <cell r="AL514">
            <v>0</v>
          </cell>
          <cell r="AM514">
            <v>0</v>
          </cell>
          <cell r="AN514" t="e">
            <v>#N/A</v>
          </cell>
          <cell r="AO514" t="e">
            <v>#N/A</v>
          </cell>
          <cell r="AP514" t="e">
            <v>#N/A</v>
          </cell>
          <cell r="AQ514" t="e">
            <v>#N/A</v>
          </cell>
          <cell r="AR514" t="e">
            <v>#N/A</v>
          </cell>
          <cell r="AS514" t="e">
            <v>#N/A</v>
          </cell>
          <cell r="AT514" t="e">
            <v>#N/A</v>
          </cell>
          <cell r="AU514" t="e">
            <v>#N/A</v>
          </cell>
          <cell r="AV514" t="e">
            <v>#N/A</v>
          </cell>
        </row>
        <row r="515">
          <cell r="A515">
            <v>287</v>
          </cell>
          <cell r="B515" t="str">
            <v>2r_working_cap_sales</v>
          </cell>
          <cell r="C515" t="str">
            <v>Working capital/sales</v>
          </cell>
          <cell r="D515" t="str">
            <v>(%)</v>
          </cell>
          <cell r="E515">
            <v>0</v>
          </cell>
          <cell r="F515">
            <v>0</v>
          </cell>
          <cell r="G515">
            <v>0</v>
          </cell>
          <cell r="H515">
            <v>0</v>
          </cell>
          <cell r="I515">
            <v>0</v>
          </cell>
          <cell r="J515">
            <v>0</v>
          </cell>
          <cell r="K515">
            <v>0</v>
          </cell>
          <cell r="L515">
            <v>0</v>
          </cell>
          <cell r="M515">
            <v>0</v>
          </cell>
          <cell r="N515" t="str">
            <v>r_working_cap_sales</v>
          </cell>
          <cell r="O515">
            <v>0</v>
          </cell>
          <cell r="P515">
            <v>0</v>
          </cell>
          <cell r="Q515">
            <v>0.01</v>
          </cell>
          <cell r="R515" t="str">
            <v>E</v>
          </cell>
          <cell r="S515">
            <v>2</v>
          </cell>
          <cell r="T515" t="str">
            <v>null</v>
          </cell>
          <cell r="U515">
            <v>2</v>
          </cell>
          <cell r="V515">
            <v>0</v>
          </cell>
          <cell r="W515">
            <v>0</v>
          </cell>
          <cell r="X515">
            <v>0</v>
          </cell>
          <cell r="Y515">
            <v>0</v>
          </cell>
          <cell r="Z515">
            <v>0</v>
          </cell>
          <cell r="AA515">
            <v>604</v>
          </cell>
          <cell r="AB515" t="str">
            <v>Ratios/Misc</v>
          </cell>
          <cell r="AC515">
            <v>496</v>
          </cell>
          <cell r="AD515">
            <v>0</v>
          </cell>
          <cell r="AE515" t="str">
            <v>b_working_capital</v>
          </cell>
          <cell r="AF515" t="str">
            <v>fd_sales</v>
          </cell>
          <cell r="AG515">
            <v>0</v>
          </cell>
          <cell r="AH515">
            <v>0</v>
          </cell>
          <cell r="AI515">
            <v>0</v>
          </cell>
          <cell r="AJ515">
            <v>160</v>
          </cell>
          <cell r="AK515">
            <v>35</v>
          </cell>
          <cell r="AL515">
            <v>0</v>
          </cell>
          <cell r="AM515">
            <v>0</v>
          </cell>
          <cell r="AN515">
            <v>287</v>
          </cell>
          <cell r="AO515" t="str">
            <v>Working Capital/Sales %</v>
          </cell>
          <cell r="AP515" t="str">
            <v>%</v>
          </cell>
          <cell r="AQ515">
            <v>0</v>
          </cell>
          <cell r="AR515" t="str">
            <v>Consumer</v>
          </cell>
          <cell r="AS515" t="str">
            <v>160/35</v>
          </cell>
          <cell r="AT515">
            <v>0</v>
          </cell>
          <cell r="AU515" t="str">
            <v>160</v>
          </cell>
          <cell r="AV515" t="str">
            <v>35</v>
          </cell>
        </row>
        <row r="516">
          <cell r="A516">
            <v>288</v>
          </cell>
          <cell r="B516" t="str">
            <v>1r_depreciation_fix_assets</v>
          </cell>
          <cell r="C516" t="str">
            <v>Depreciation/fixed assets</v>
          </cell>
          <cell r="D516" t="str">
            <v>(%)</v>
          </cell>
          <cell r="E516">
            <v>0</v>
          </cell>
          <cell r="F516">
            <v>0</v>
          </cell>
          <cell r="G516">
            <v>0</v>
          </cell>
          <cell r="H516">
            <v>0</v>
          </cell>
          <cell r="I516">
            <v>0</v>
          </cell>
          <cell r="J516">
            <v>0</v>
          </cell>
          <cell r="K516">
            <v>0</v>
          </cell>
          <cell r="L516">
            <v>0</v>
          </cell>
          <cell r="M516">
            <v>0</v>
          </cell>
          <cell r="N516" t="str">
            <v>r_depreciation_fix_assets</v>
          </cell>
          <cell r="O516">
            <v>0</v>
          </cell>
          <cell r="P516">
            <v>0</v>
          </cell>
          <cell r="Q516">
            <v>0.01</v>
          </cell>
          <cell r="R516" t="str">
            <v>E</v>
          </cell>
          <cell r="S516">
            <v>2</v>
          </cell>
          <cell r="T516" t="str">
            <v>null</v>
          </cell>
          <cell r="U516">
            <v>1</v>
          </cell>
          <cell r="V516">
            <v>0</v>
          </cell>
          <cell r="W516">
            <v>0</v>
          </cell>
          <cell r="X516">
            <v>0</v>
          </cell>
          <cell r="Y516">
            <v>0</v>
          </cell>
          <cell r="Z516">
            <v>0</v>
          </cell>
          <cell r="AA516">
            <v>135</v>
          </cell>
          <cell r="AB516" t="str">
            <v>Ratios/Misc</v>
          </cell>
          <cell r="AC516">
            <v>497</v>
          </cell>
          <cell r="AD516">
            <v>0</v>
          </cell>
          <cell r="AE516">
            <v>0</v>
          </cell>
          <cell r="AF516">
            <v>0</v>
          </cell>
          <cell r="AG516">
            <v>0</v>
          </cell>
          <cell r="AH516">
            <v>0</v>
          </cell>
          <cell r="AI516">
            <v>0</v>
          </cell>
          <cell r="AJ516">
            <v>110</v>
          </cell>
          <cell r="AK516">
            <v>159</v>
          </cell>
          <cell r="AL516">
            <v>0</v>
          </cell>
          <cell r="AM516">
            <v>0</v>
          </cell>
          <cell r="AN516">
            <v>288</v>
          </cell>
          <cell r="AO516" t="str">
            <v>Depreciation/Fixed Assets %</v>
          </cell>
          <cell r="AP516" t="str">
            <v>%</v>
          </cell>
          <cell r="AQ516">
            <v>0</v>
          </cell>
          <cell r="AR516" t="str">
            <v>Consumer</v>
          </cell>
          <cell r="AS516" t="str">
            <v>110a/159</v>
          </cell>
          <cell r="AT516">
            <v>0</v>
          </cell>
          <cell r="AU516" t="str">
            <v>110a</v>
          </cell>
          <cell r="AV516" t="str">
            <v>159</v>
          </cell>
          <cell r="AW516" t="str">
            <v>/</v>
          </cell>
        </row>
        <row r="517">
          <cell r="A517">
            <v>288.2</v>
          </cell>
          <cell r="B517" t="str">
            <v>1r_depreciation_capex</v>
          </cell>
          <cell r="C517" t="str">
            <v>Depreciation/capex</v>
          </cell>
          <cell r="D517" t="str">
            <v>(%)</v>
          </cell>
          <cell r="E517">
            <v>0</v>
          </cell>
          <cell r="F517">
            <v>0</v>
          </cell>
          <cell r="G517">
            <v>0</v>
          </cell>
          <cell r="H517">
            <v>0</v>
          </cell>
          <cell r="I517">
            <v>0</v>
          </cell>
          <cell r="J517">
            <v>0</v>
          </cell>
          <cell r="K517">
            <v>0</v>
          </cell>
          <cell r="L517">
            <v>0</v>
          </cell>
          <cell r="M517">
            <v>0</v>
          </cell>
          <cell r="N517" t="str">
            <v>r_depreciation_capex</v>
          </cell>
          <cell r="O517">
            <v>0</v>
          </cell>
          <cell r="P517">
            <v>0</v>
          </cell>
          <cell r="Q517">
            <v>0.01</v>
          </cell>
          <cell r="R517" t="str">
            <v>E</v>
          </cell>
          <cell r="S517">
            <v>2</v>
          </cell>
          <cell r="T517" t="str">
            <v>null</v>
          </cell>
          <cell r="U517">
            <v>1</v>
          </cell>
          <cell r="V517">
            <v>0</v>
          </cell>
          <cell r="W517">
            <v>0</v>
          </cell>
          <cell r="X517">
            <v>0</v>
          </cell>
          <cell r="Y517">
            <v>0</v>
          </cell>
          <cell r="Z517">
            <v>0</v>
          </cell>
          <cell r="AA517">
            <v>134</v>
          </cell>
          <cell r="AB517" t="str">
            <v>Ratios/Misc</v>
          </cell>
          <cell r="AC517">
            <v>498</v>
          </cell>
          <cell r="AD517">
            <v>0</v>
          </cell>
          <cell r="AE517">
            <v>0</v>
          </cell>
          <cell r="AF517">
            <v>0</v>
          </cell>
          <cell r="AG517">
            <v>0</v>
          </cell>
          <cell r="AH517">
            <v>0</v>
          </cell>
          <cell r="AI517">
            <v>0</v>
          </cell>
          <cell r="AJ517">
            <v>0</v>
          </cell>
          <cell r="AK517">
            <v>0</v>
          </cell>
          <cell r="AL517">
            <v>0</v>
          </cell>
          <cell r="AM517">
            <v>0</v>
          </cell>
          <cell r="AN517" t="e">
            <v>#N/A</v>
          </cell>
          <cell r="AO517" t="e">
            <v>#N/A</v>
          </cell>
          <cell r="AP517" t="e">
            <v>#N/A</v>
          </cell>
          <cell r="AQ517" t="e">
            <v>#N/A</v>
          </cell>
          <cell r="AR517" t="e">
            <v>#N/A</v>
          </cell>
          <cell r="AS517" t="e">
            <v>#N/A</v>
          </cell>
          <cell r="AT517" t="e">
            <v>#N/A</v>
          </cell>
          <cell r="AU517" t="e">
            <v>#N/A</v>
          </cell>
          <cell r="AV517" t="e">
            <v>#N/A</v>
          </cell>
        </row>
        <row r="518">
          <cell r="A518">
            <v>289</v>
          </cell>
          <cell r="B518" t="str">
            <v>2r_r_d_sales</v>
          </cell>
          <cell r="C518" t="str">
            <v>R&amp;D/sales</v>
          </cell>
          <cell r="D518" t="str">
            <v>(%)</v>
          </cell>
          <cell r="E518">
            <v>0</v>
          </cell>
          <cell r="F518">
            <v>0</v>
          </cell>
          <cell r="G518">
            <v>0</v>
          </cell>
          <cell r="H518">
            <v>0</v>
          </cell>
          <cell r="I518">
            <v>0</v>
          </cell>
          <cell r="J518">
            <v>0</v>
          </cell>
          <cell r="K518">
            <v>0</v>
          </cell>
          <cell r="L518">
            <v>0</v>
          </cell>
          <cell r="M518">
            <v>0</v>
          </cell>
          <cell r="N518" t="str">
            <v>r_r_d_sales</v>
          </cell>
          <cell r="O518">
            <v>0</v>
          </cell>
          <cell r="P518">
            <v>0</v>
          </cell>
          <cell r="Q518">
            <v>0.01</v>
          </cell>
          <cell r="R518" t="str">
            <v>E</v>
          </cell>
          <cell r="S518">
            <v>2</v>
          </cell>
          <cell r="T518" t="str">
            <v>null</v>
          </cell>
          <cell r="U518">
            <v>2</v>
          </cell>
          <cell r="V518">
            <v>0</v>
          </cell>
          <cell r="W518">
            <v>0</v>
          </cell>
          <cell r="X518">
            <v>0</v>
          </cell>
          <cell r="Y518">
            <v>0</v>
          </cell>
          <cell r="Z518">
            <v>0</v>
          </cell>
          <cell r="AA518">
            <v>497</v>
          </cell>
          <cell r="AB518" t="str">
            <v>Ratios/Misc</v>
          </cell>
          <cell r="AC518">
            <v>499</v>
          </cell>
          <cell r="AD518">
            <v>0</v>
          </cell>
          <cell r="AE518" t="str">
            <v>fd_r_and_d</v>
          </cell>
          <cell r="AF518" t="str">
            <v>fd_sales</v>
          </cell>
          <cell r="AG518">
            <v>0</v>
          </cell>
          <cell r="AH518">
            <v>0</v>
          </cell>
          <cell r="AI518">
            <v>0</v>
          </cell>
          <cell r="AJ518">
            <v>106</v>
          </cell>
          <cell r="AK518">
            <v>35</v>
          </cell>
          <cell r="AL518">
            <v>0</v>
          </cell>
          <cell r="AM518">
            <v>0</v>
          </cell>
          <cell r="AN518">
            <v>289</v>
          </cell>
          <cell r="AO518" t="str">
            <v>R&amp;D/Sales %</v>
          </cell>
          <cell r="AP518" t="str">
            <v>%</v>
          </cell>
          <cell r="AQ518">
            <v>0</v>
          </cell>
          <cell r="AR518" t="str">
            <v>Consumer</v>
          </cell>
          <cell r="AS518" t="str">
            <v>106/35</v>
          </cell>
          <cell r="AT518">
            <v>0</v>
          </cell>
          <cell r="AU518" t="str">
            <v>106</v>
          </cell>
          <cell r="AV518" t="str">
            <v>35</v>
          </cell>
        </row>
        <row r="519">
          <cell r="A519">
            <v>290</v>
          </cell>
          <cell r="B519" t="str">
            <v>1r_sales_top5_customers</v>
          </cell>
          <cell r="C519" t="str">
            <v>Sales to top 5 customers</v>
          </cell>
          <cell r="D519" t="str">
            <v>(m)</v>
          </cell>
          <cell r="E519">
            <v>0</v>
          </cell>
          <cell r="F519">
            <v>0</v>
          </cell>
          <cell r="G519">
            <v>0</v>
          </cell>
          <cell r="H519">
            <v>0</v>
          </cell>
          <cell r="I519">
            <v>0</v>
          </cell>
          <cell r="J519">
            <v>0</v>
          </cell>
          <cell r="K519">
            <v>0</v>
          </cell>
          <cell r="L519">
            <v>0</v>
          </cell>
          <cell r="M519">
            <v>0</v>
          </cell>
          <cell r="N519" t="str">
            <v>r_sales_top5_customers</v>
          </cell>
          <cell r="O519">
            <v>0</v>
          </cell>
          <cell r="P519">
            <v>0</v>
          </cell>
          <cell r="Q519">
            <v>1000000</v>
          </cell>
          <cell r="R519" t="str">
            <v>E</v>
          </cell>
          <cell r="S519">
            <v>2</v>
          </cell>
          <cell r="T519" t="str">
            <v>null</v>
          </cell>
          <cell r="U519">
            <v>1</v>
          </cell>
          <cell r="V519">
            <v>0</v>
          </cell>
          <cell r="W519">
            <v>0</v>
          </cell>
          <cell r="X519">
            <v>0</v>
          </cell>
          <cell r="Y519">
            <v>0</v>
          </cell>
          <cell r="Z519">
            <v>0</v>
          </cell>
          <cell r="AA519">
            <v>525</v>
          </cell>
          <cell r="AB519" t="str">
            <v>Ratios/Misc</v>
          </cell>
          <cell r="AC519">
            <v>500</v>
          </cell>
          <cell r="AD519">
            <v>0</v>
          </cell>
          <cell r="AE519">
            <v>0</v>
          </cell>
          <cell r="AF519">
            <v>0</v>
          </cell>
          <cell r="AG519">
            <v>0</v>
          </cell>
          <cell r="AH519">
            <v>0</v>
          </cell>
          <cell r="AI519">
            <v>0</v>
          </cell>
          <cell r="AJ519">
            <v>0</v>
          </cell>
          <cell r="AK519">
            <v>0</v>
          </cell>
          <cell r="AL519">
            <v>0</v>
          </cell>
          <cell r="AM519">
            <v>0</v>
          </cell>
          <cell r="AN519">
            <v>290</v>
          </cell>
          <cell r="AO519" t="str">
            <v>Sales to top 5 customers %</v>
          </cell>
          <cell r="AP519" t="str">
            <v>%</v>
          </cell>
          <cell r="AQ519">
            <v>0</v>
          </cell>
          <cell r="AR519" t="str">
            <v>Consumer</v>
          </cell>
          <cell r="AS519">
            <v>0</v>
          </cell>
          <cell r="AT519">
            <v>0</v>
          </cell>
          <cell r="AU519" t="e">
            <v>#VALUE!</v>
          </cell>
          <cell r="AV519" t="e">
            <v>#VALUE!</v>
          </cell>
        </row>
        <row r="520">
          <cell r="A520">
            <v>302</v>
          </cell>
          <cell r="B520" t="str">
            <v>1r_ev_ebitdar</v>
          </cell>
          <cell r="C520" t="str">
            <v>Adj. EV/EBITAR</v>
          </cell>
          <cell r="D520" t="str">
            <v>Multiple</v>
          </cell>
          <cell r="E520">
            <v>0</v>
          </cell>
          <cell r="F520">
            <v>0</v>
          </cell>
          <cell r="G520">
            <v>0</v>
          </cell>
          <cell r="H520">
            <v>0</v>
          </cell>
          <cell r="I520">
            <v>0</v>
          </cell>
          <cell r="J520">
            <v>0</v>
          </cell>
          <cell r="K520">
            <v>0</v>
          </cell>
          <cell r="L520">
            <v>0</v>
          </cell>
          <cell r="M520">
            <v>0</v>
          </cell>
          <cell r="N520" t="str">
            <v>r_ev_ebitdar</v>
          </cell>
          <cell r="O520">
            <v>0</v>
          </cell>
          <cell r="P520">
            <v>0</v>
          </cell>
          <cell r="Q520">
            <v>1</v>
          </cell>
          <cell r="R520" t="str">
            <v>E</v>
          </cell>
          <cell r="S520">
            <v>2</v>
          </cell>
          <cell r="T520" t="str">
            <v>null</v>
          </cell>
          <cell r="U520">
            <v>1</v>
          </cell>
          <cell r="V520">
            <v>0</v>
          </cell>
          <cell r="W520">
            <v>0</v>
          </cell>
          <cell r="X520">
            <v>0</v>
          </cell>
          <cell r="Y520">
            <v>0</v>
          </cell>
          <cell r="Z520">
            <v>0</v>
          </cell>
          <cell r="AA520">
            <v>13</v>
          </cell>
          <cell r="AB520" t="str">
            <v>Ratios/Misc</v>
          </cell>
          <cell r="AC520">
            <v>511</v>
          </cell>
          <cell r="AD520">
            <v>0</v>
          </cell>
          <cell r="AE520">
            <v>0</v>
          </cell>
          <cell r="AF520">
            <v>0</v>
          </cell>
          <cell r="AG520">
            <v>0</v>
          </cell>
          <cell r="AH520">
            <v>0</v>
          </cell>
          <cell r="AI520">
            <v>0</v>
          </cell>
          <cell r="AJ520">
            <v>0</v>
          </cell>
          <cell r="AK520">
            <v>0</v>
          </cell>
          <cell r="AL520">
            <v>0</v>
          </cell>
          <cell r="AM520">
            <v>0</v>
          </cell>
          <cell r="AN520">
            <v>302</v>
          </cell>
          <cell r="AO520" t="str">
            <v>Adj. EV/EBITAR</v>
          </cell>
          <cell r="AP520">
            <v>0</v>
          </cell>
          <cell r="AQ520">
            <v>0</v>
          </cell>
          <cell r="AR520">
            <v>0</v>
          </cell>
          <cell r="AS520">
            <v>0</v>
          </cell>
          <cell r="AT520">
            <v>0</v>
          </cell>
          <cell r="AU520" t="e">
            <v>#VALUE!</v>
          </cell>
          <cell r="AV520" t="e">
            <v>#VALUE!</v>
          </cell>
        </row>
        <row r="521">
          <cell r="A521">
            <v>317</v>
          </cell>
          <cell r="B521" t="str">
            <v>2r_div_cover_x_epx_prex</v>
          </cell>
          <cell r="C521" t="str">
            <v>Dividend cover (EPS pre-exceptional)</v>
          </cell>
          <cell r="D521" t="str">
            <v>Multiple</v>
          </cell>
          <cell r="E521">
            <v>0</v>
          </cell>
          <cell r="F521">
            <v>0</v>
          </cell>
          <cell r="G521">
            <v>0</v>
          </cell>
          <cell r="H521">
            <v>0</v>
          </cell>
          <cell r="I521">
            <v>0</v>
          </cell>
          <cell r="J521">
            <v>0</v>
          </cell>
          <cell r="K521">
            <v>0</v>
          </cell>
          <cell r="L521">
            <v>0</v>
          </cell>
          <cell r="M521">
            <v>0</v>
          </cell>
          <cell r="N521" t="str">
            <v>r_div_cover_x_epx_prex</v>
          </cell>
          <cell r="O521">
            <v>0</v>
          </cell>
          <cell r="P521">
            <v>0</v>
          </cell>
          <cell r="Q521">
            <v>1</v>
          </cell>
          <cell r="R521" t="str">
            <v>S</v>
          </cell>
          <cell r="S521">
            <v>2</v>
          </cell>
          <cell r="T521" t="str">
            <v>null</v>
          </cell>
          <cell r="U521">
            <v>2</v>
          </cell>
          <cell r="V521">
            <v>0</v>
          </cell>
          <cell r="W521">
            <v>0</v>
          </cell>
          <cell r="X521">
            <v>0</v>
          </cell>
          <cell r="Y521">
            <v>0</v>
          </cell>
          <cell r="Z521">
            <v>0</v>
          </cell>
          <cell r="AA521">
            <v>147</v>
          </cell>
          <cell r="AB521" t="str">
            <v>Ratios/Misc</v>
          </cell>
          <cell r="AC521">
            <v>533</v>
          </cell>
          <cell r="AD521">
            <v>0</v>
          </cell>
          <cell r="AE521" t="str">
            <v>dividend_per_share</v>
          </cell>
          <cell r="AF521" t="str">
            <v>eps_analyst_defined</v>
          </cell>
          <cell r="AG521">
            <v>0</v>
          </cell>
          <cell r="AH521">
            <v>0</v>
          </cell>
          <cell r="AI521">
            <v>0</v>
          </cell>
          <cell r="AJ521">
            <v>72</v>
          </cell>
          <cell r="AK521">
            <v>67</v>
          </cell>
          <cell r="AL521">
            <v>0</v>
          </cell>
          <cell r="AM521">
            <v>0</v>
          </cell>
          <cell r="AN521">
            <v>317</v>
          </cell>
          <cell r="AO521" t="str">
            <v>Dividend cover x (EPS pre exceptional)</v>
          </cell>
          <cell r="AP521">
            <v>0</v>
          </cell>
          <cell r="AQ521">
            <v>0</v>
          </cell>
          <cell r="AR521">
            <v>0</v>
          </cell>
          <cell r="AS521" t="str">
            <v>72/67</v>
          </cell>
          <cell r="AT521">
            <v>0</v>
          </cell>
          <cell r="AU521" t="str">
            <v>72</v>
          </cell>
          <cell r="AV521" t="str">
            <v>67</v>
          </cell>
        </row>
        <row r="522">
          <cell r="A522">
            <v>318</v>
          </cell>
          <cell r="B522" t="str">
            <v>2r_s_g_a_sales</v>
          </cell>
          <cell r="C522" t="str">
            <v>SG&amp;A/sales</v>
          </cell>
          <cell r="D522" t="str">
            <v>Multiple</v>
          </cell>
          <cell r="E522">
            <v>0</v>
          </cell>
          <cell r="F522">
            <v>0</v>
          </cell>
          <cell r="G522">
            <v>0</v>
          </cell>
          <cell r="H522">
            <v>0</v>
          </cell>
          <cell r="I522">
            <v>0</v>
          </cell>
          <cell r="J522">
            <v>0</v>
          </cell>
          <cell r="K522">
            <v>0</v>
          </cell>
          <cell r="L522">
            <v>0</v>
          </cell>
          <cell r="M522">
            <v>0</v>
          </cell>
          <cell r="N522" t="str">
            <v>r_s_g_a_sales</v>
          </cell>
          <cell r="O522">
            <v>0</v>
          </cell>
          <cell r="P522">
            <v>0</v>
          </cell>
          <cell r="Q522">
            <v>1</v>
          </cell>
          <cell r="R522" t="str">
            <v>E</v>
          </cell>
          <cell r="S522">
            <v>2</v>
          </cell>
          <cell r="T522" t="str">
            <v>null</v>
          </cell>
          <cell r="U522">
            <v>2</v>
          </cell>
          <cell r="V522">
            <v>0</v>
          </cell>
          <cell r="W522">
            <v>0</v>
          </cell>
          <cell r="X522">
            <v>0</v>
          </cell>
          <cell r="Y522">
            <v>0</v>
          </cell>
          <cell r="Z522">
            <v>0</v>
          </cell>
          <cell r="AA522">
            <v>533</v>
          </cell>
          <cell r="AB522" t="str">
            <v>Ratios/Misc</v>
          </cell>
          <cell r="AC522">
            <v>534</v>
          </cell>
          <cell r="AD522">
            <v>0</v>
          </cell>
          <cell r="AE522" t="str">
            <v>fd_sales_gen_admin</v>
          </cell>
          <cell r="AF522" t="str">
            <v>fd_sales</v>
          </cell>
          <cell r="AG522">
            <v>0</v>
          </cell>
          <cell r="AH522">
            <v>0</v>
          </cell>
          <cell r="AI522">
            <v>0</v>
          </cell>
          <cell r="AJ522">
            <v>311</v>
          </cell>
          <cell r="AK522">
            <v>35</v>
          </cell>
          <cell r="AL522">
            <v>0</v>
          </cell>
          <cell r="AM522">
            <v>0</v>
          </cell>
          <cell r="AN522">
            <v>318</v>
          </cell>
          <cell r="AO522" t="str">
            <v>SG&amp;A/Sales</v>
          </cell>
          <cell r="AP522">
            <v>0</v>
          </cell>
          <cell r="AQ522">
            <v>0</v>
          </cell>
          <cell r="AR522">
            <v>0</v>
          </cell>
          <cell r="AS522" t="str">
            <v>311/35</v>
          </cell>
          <cell r="AT522">
            <v>0</v>
          </cell>
          <cell r="AU522" t="str">
            <v>311</v>
          </cell>
          <cell r="AV522" t="str">
            <v>35</v>
          </cell>
        </row>
        <row r="523">
          <cell r="A523">
            <v>425</v>
          </cell>
          <cell r="B523" t="str">
            <v>1r_sales_per_store</v>
          </cell>
          <cell r="C523" t="str">
            <v>Sales/store</v>
          </cell>
          <cell r="D523" t="str">
            <v>Multiple</v>
          </cell>
          <cell r="E523">
            <v>0</v>
          </cell>
          <cell r="F523">
            <v>0</v>
          </cell>
          <cell r="G523">
            <v>0</v>
          </cell>
          <cell r="H523">
            <v>0</v>
          </cell>
          <cell r="I523">
            <v>0</v>
          </cell>
          <cell r="J523">
            <v>0</v>
          </cell>
          <cell r="K523">
            <v>0</v>
          </cell>
          <cell r="L523">
            <v>0</v>
          </cell>
          <cell r="M523">
            <v>0</v>
          </cell>
          <cell r="N523" t="str">
            <v>r_sales_per_store</v>
          </cell>
          <cell r="O523">
            <v>0</v>
          </cell>
          <cell r="P523">
            <v>0</v>
          </cell>
          <cell r="Q523">
            <v>1</v>
          </cell>
          <cell r="R523" t="str">
            <v>E</v>
          </cell>
          <cell r="S523">
            <v>2</v>
          </cell>
          <cell r="T523" t="str">
            <v>null</v>
          </cell>
          <cell r="U523">
            <v>1</v>
          </cell>
          <cell r="V523">
            <v>0</v>
          </cell>
          <cell r="W523">
            <v>0</v>
          </cell>
          <cell r="X523">
            <v>0</v>
          </cell>
          <cell r="Y523">
            <v>0</v>
          </cell>
          <cell r="Z523">
            <v>0</v>
          </cell>
          <cell r="AA523">
            <v>528</v>
          </cell>
          <cell r="AB523" t="str">
            <v>Ratios/Misc</v>
          </cell>
          <cell r="AC523">
            <v>535</v>
          </cell>
          <cell r="AD523">
            <v>0</v>
          </cell>
          <cell r="AE523">
            <v>0</v>
          </cell>
          <cell r="AF523">
            <v>0</v>
          </cell>
          <cell r="AG523">
            <v>0</v>
          </cell>
          <cell r="AH523">
            <v>0</v>
          </cell>
          <cell r="AI523">
            <v>0</v>
          </cell>
          <cell r="AJ523">
            <v>0</v>
          </cell>
          <cell r="AK523">
            <v>0</v>
          </cell>
          <cell r="AL523">
            <v>0</v>
          </cell>
          <cell r="AM523">
            <v>0</v>
          </cell>
          <cell r="AN523" t="e">
            <v>#N/A</v>
          </cell>
          <cell r="AO523" t="e">
            <v>#N/A</v>
          </cell>
          <cell r="AP523" t="e">
            <v>#N/A</v>
          </cell>
          <cell r="AQ523" t="e">
            <v>#N/A</v>
          </cell>
          <cell r="AR523" t="e">
            <v>#N/A</v>
          </cell>
          <cell r="AS523" t="e">
            <v>#N/A</v>
          </cell>
          <cell r="AT523" t="e">
            <v>#N/A</v>
          </cell>
          <cell r="AU523" t="e">
            <v>#N/A</v>
          </cell>
          <cell r="AV523" t="e">
            <v>#N/A</v>
          </cell>
        </row>
        <row r="524">
          <cell r="A524">
            <v>320</v>
          </cell>
          <cell r="B524" t="str">
            <v>1r_ev_unique_visitors</v>
          </cell>
          <cell r="C524" t="str">
            <v>EV/unique visitors</v>
          </cell>
          <cell r="D524" t="str">
            <v>Multiple</v>
          </cell>
          <cell r="E524">
            <v>0</v>
          </cell>
          <cell r="F524">
            <v>0</v>
          </cell>
          <cell r="G524">
            <v>0</v>
          </cell>
          <cell r="H524">
            <v>0</v>
          </cell>
          <cell r="I524">
            <v>0</v>
          </cell>
          <cell r="J524">
            <v>0</v>
          </cell>
          <cell r="K524">
            <v>0</v>
          </cell>
          <cell r="L524">
            <v>0</v>
          </cell>
          <cell r="M524">
            <v>0</v>
          </cell>
          <cell r="N524" t="str">
            <v>r_ev_unique_visitors</v>
          </cell>
          <cell r="O524">
            <v>0</v>
          </cell>
          <cell r="P524">
            <v>0</v>
          </cell>
          <cell r="Q524">
            <v>1</v>
          </cell>
          <cell r="R524" t="str">
            <v>E</v>
          </cell>
          <cell r="S524">
            <v>2</v>
          </cell>
          <cell r="T524" t="str">
            <v>null</v>
          </cell>
          <cell r="U524">
            <v>1</v>
          </cell>
          <cell r="V524">
            <v>0</v>
          </cell>
          <cell r="W524">
            <v>0</v>
          </cell>
          <cell r="X524">
            <v>0</v>
          </cell>
          <cell r="Y524">
            <v>0</v>
          </cell>
          <cell r="Z524">
            <v>0</v>
          </cell>
          <cell r="AA524">
            <v>233</v>
          </cell>
          <cell r="AB524" t="str">
            <v>Ratios/Misc</v>
          </cell>
          <cell r="AC524">
            <v>537</v>
          </cell>
          <cell r="AD524">
            <v>0</v>
          </cell>
          <cell r="AE524">
            <v>0</v>
          </cell>
          <cell r="AF524">
            <v>0</v>
          </cell>
          <cell r="AG524">
            <v>0</v>
          </cell>
          <cell r="AH524">
            <v>0</v>
          </cell>
          <cell r="AI524">
            <v>0</v>
          </cell>
          <cell r="AJ524">
            <v>3</v>
          </cell>
          <cell r="AK524">
            <v>102</v>
          </cell>
          <cell r="AL524">
            <v>0</v>
          </cell>
          <cell r="AM524">
            <v>0</v>
          </cell>
          <cell r="AN524">
            <v>320</v>
          </cell>
          <cell r="AO524" t="str">
            <v>EV/Unique visitors</v>
          </cell>
          <cell r="AP524">
            <v>0</v>
          </cell>
          <cell r="AQ524">
            <v>0</v>
          </cell>
          <cell r="AR524">
            <v>0</v>
          </cell>
          <cell r="AS524" t="str">
            <v>3/(102*1000)</v>
          </cell>
          <cell r="AT524">
            <v>0</v>
          </cell>
          <cell r="AU524" t="str">
            <v>3</v>
          </cell>
          <cell r="AV524" t="str">
            <v>(102*1000)</v>
          </cell>
        </row>
        <row r="525">
          <cell r="A525">
            <v>331</v>
          </cell>
          <cell r="B525" t="str">
            <v>1r_ac_cost_of_debt</v>
          </cell>
          <cell r="C525" t="str">
            <v>Average cost of debt</v>
          </cell>
          <cell r="D525" t="str">
            <v>(%)</v>
          </cell>
          <cell r="E525">
            <v>0</v>
          </cell>
          <cell r="F525">
            <v>0</v>
          </cell>
          <cell r="G525">
            <v>0</v>
          </cell>
          <cell r="H525">
            <v>0</v>
          </cell>
          <cell r="I525">
            <v>0</v>
          </cell>
          <cell r="J525">
            <v>0</v>
          </cell>
          <cell r="K525">
            <v>0</v>
          </cell>
          <cell r="L525">
            <v>0</v>
          </cell>
          <cell r="M525">
            <v>0</v>
          </cell>
          <cell r="N525" t="str">
            <v>r_ac_cost_of_debt</v>
          </cell>
          <cell r="O525">
            <v>0</v>
          </cell>
          <cell r="P525">
            <v>0</v>
          </cell>
          <cell r="Q525">
            <v>0.01</v>
          </cell>
          <cell r="R525" t="str">
            <v>E</v>
          </cell>
          <cell r="S525">
            <v>2</v>
          </cell>
          <cell r="T525" t="str">
            <v>null</v>
          </cell>
          <cell r="U525">
            <v>1</v>
          </cell>
          <cell r="V525">
            <v>0</v>
          </cell>
          <cell r="W525">
            <v>0</v>
          </cell>
          <cell r="X525">
            <v>0</v>
          </cell>
          <cell r="Y525">
            <v>0</v>
          </cell>
          <cell r="Z525">
            <v>0</v>
          </cell>
          <cell r="AA525">
            <v>25</v>
          </cell>
          <cell r="AB525" t="str">
            <v>Ratios/Misc</v>
          </cell>
          <cell r="AC525">
            <v>550</v>
          </cell>
          <cell r="AD525">
            <v>0</v>
          </cell>
          <cell r="AE525">
            <v>0</v>
          </cell>
          <cell r="AF525">
            <v>0</v>
          </cell>
          <cell r="AG525">
            <v>0</v>
          </cell>
          <cell r="AH525">
            <v>0</v>
          </cell>
          <cell r="AI525">
            <v>0</v>
          </cell>
          <cell r="AJ525">
            <v>0</v>
          </cell>
          <cell r="AK525">
            <v>0</v>
          </cell>
          <cell r="AL525">
            <v>0</v>
          </cell>
          <cell r="AM525">
            <v>0</v>
          </cell>
          <cell r="AN525">
            <v>331</v>
          </cell>
          <cell r="AO525" t="str">
            <v>Average cost of debt %</v>
          </cell>
          <cell r="AP525">
            <v>0</v>
          </cell>
          <cell r="AQ525">
            <v>0</v>
          </cell>
          <cell r="AR525">
            <v>0</v>
          </cell>
          <cell r="AS525">
            <v>0</v>
          </cell>
          <cell r="AT525">
            <v>0</v>
          </cell>
          <cell r="AU525" t="e">
            <v>#VALUE!</v>
          </cell>
          <cell r="AV525" t="e">
            <v>#VALUE!</v>
          </cell>
        </row>
        <row r="526">
          <cell r="A526">
            <v>332</v>
          </cell>
          <cell r="B526" t="str">
            <v>1r_valn_movt</v>
          </cell>
          <cell r="C526" t="str">
            <v>Valuation movement</v>
          </cell>
          <cell r="D526" t="str">
            <v>(%)</v>
          </cell>
          <cell r="E526">
            <v>0</v>
          </cell>
          <cell r="F526">
            <v>0</v>
          </cell>
          <cell r="G526">
            <v>0</v>
          </cell>
          <cell r="H526">
            <v>0</v>
          </cell>
          <cell r="I526">
            <v>0</v>
          </cell>
          <cell r="J526">
            <v>0</v>
          </cell>
          <cell r="K526">
            <v>0</v>
          </cell>
          <cell r="L526">
            <v>0</v>
          </cell>
          <cell r="M526">
            <v>0</v>
          </cell>
          <cell r="N526" t="str">
            <v>r_valn_movt</v>
          </cell>
          <cell r="O526">
            <v>0</v>
          </cell>
          <cell r="P526">
            <v>0</v>
          </cell>
          <cell r="Q526">
            <v>0.01</v>
          </cell>
          <cell r="R526" t="str">
            <v>E</v>
          </cell>
          <cell r="S526">
            <v>2</v>
          </cell>
          <cell r="T526" t="str">
            <v>null</v>
          </cell>
          <cell r="U526">
            <v>1</v>
          </cell>
          <cell r="V526">
            <v>0</v>
          </cell>
          <cell r="W526">
            <v>0</v>
          </cell>
          <cell r="X526">
            <v>0</v>
          </cell>
          <cell r="Y526">
            <v>0</v>
          </cell>
          <cell r="Z526">
            <v>0</v>
          </cell>
          <cell r="AA526">
            <v>597</v>
          </cell>
          <cell r="AB526" t="str">
            <v>Ratios/Misc</v>
          </cell>
          <cell r="AC526">
            <v>551</v>
          </cell>
          <cell r="AD526">
            <v>0</v>
          </cell>
          <cell r="AE526">
            <v>0</v>
          </cell>
          <cell r="AF526">
            <v>0</v>
          </cell>
          <cell r="AG526">
            <v>0</v>
          </cell>
          <cell r="AH526">
            <v>0</v>
          </cell>
          <cell r="AI526">
            <v>0</v>
          </cell>
          <cell r="AJ526">
            <v>0</v>
          </cell>
          <cell r="AK526">
            <v>0</v>
          </cell>
          <cell r="AL526">
            <v>0</v>
          </cell>
          <cell r="AM526">
            <v>0</v>
          </cell>
          <cell r="AN526">
            <v>332</v>
          </cell>
          <cell r="AO526" t="str">
            <v>Valuation movement %</v>
          </cell>
          <cell r="AP526">
            <v>0</v>
          </cell>
          <cell r="AQ526">
            <v>0</v>
          </cell>
          <cell r="AR526">
            <v>0</v>
          </cell>
          <cell r="AS526">
            <v>0</v>
          </cell>
          <cell r="AT526">
            <v>0</v>
          </cell>
          <cell r="AU526" t="e">
            <v>#VALUE!</v>
          </cell>
          <cell r="AV526" t="e">
            <v>#VALUE!</v>
          </cell>
        </row>
        <row r="527">
          <cell r="A527">
            <v>428</v>
          </cell>
          <cell r="B527" t="str">
            <v>1r_receivables_days</v>
          </cell>
          <cell r="C527" t="str">
            <v>Receivables days</v>
          </cell>
          <cell r="D527" t="str">
            <v>Multiple</v>
          </cell>
          <cell r="E527">
            <v>0</v>
          </cell>
          <cell r="F527">
            <v>0</v>
          </cell>
          <cell r="G527">
            <v>0</v>
          </cell>
          <cell r="H527">
            <v>0</v>
          </cell>
          <cell r="I527">
            <v>0</v>
          </cell>
          <cell r="J527">
            <v>0</v>
          </cell>
          <cell r="K527">
            <v>0</v>
          </cell>
          <cell r="L527">
            <v>0</v>
          </cell>
          <cell r="M527">
            <v>0</v>
          </cell>
          <cell r="N527" t="str">
            <v>r_receivables_days</v>
          </cell>
          <cell r="O527">
            <v>0</v>
          </cell>
          <cell r="P527">
            <v>0</v>
          </cell>
          <cell r="Q527">
            <v>1</v>
          </cell>
          <cell r="R527" t="str">
            <v>E</v>
          </cell>
          <cell r="S527">
            <v>2</v>
          </cell>
          <cell r="T527" t="str">
            <v>null</v>
          </cell>
          <cell r="U527">
            <v>1</v>
          </cell>
          <cell r="V527">
            <v>0</v>
          </cell>
          <cell r="W527">
            <v>0</v>
          </cell>
          <cell r="X527">
            <v>0</v>
          </cell>
          <cell r="Y527">
            <v>0</v>
          </cell>
          <cell r="Z527">
            <v>0</v>
          </cell>
          <cell r="AA527">
            <v>500</v>
          </cell>
          <cell r="AB527" t="str">
            <v>Ratios/Misc</v>
          </cell>
          <cell r="AC527">
            <v>558</v>
          </cell>
          <cell r="AD527">
            <v>0</v>
          </cell>
          <cell r="AE527">
            <v>0</v>
          </cell>
          <cell r="AF527">
            <v>0</v>
          </cell>
          <cell r="AG527">
            <v>0</v>
          </cell>
          <cell r="AH527">
            <v>0</v>
          </cell>
          <cell r="AI527">
            <v>0</v>
          </cell>
          <cell r="AJ527">
            <v>0</v>
          </cell>
          <cell r="AK527">
            <v>0</v>
          </cell>
          <cell r="AL527">
            <v>0</v>
          </cell>
          <cell r="AM527">
            <v>0</v>
          </cell>
          <cell r="AN527" t="e">
            <v>#N/A</v>
          </cell>
          <cell r="AO527" t="e">
            <v>#N/A</v>
          </cell>
          <cell r="AP527" t="e">
            <v>#N/A</v>
          </cell>
          <cell r="AQ527" t="e">
            <v>#N/A</v>
          </cell>
          <cell r="AR527" t="e">
            <v>#N/A</v>
          </cell>
          <cell r="AS527" t="e">
            <v>#N/A</v>
          </cell>
          <cell r="AT527" t="e">
            <v>#N/A</v>
          </cell>
          <cell r="AU527" t="e">
            <v>#N/A</v>
          </cell>
          <cell r="AV527" t="e">
            <v>#N/A</v>
          </cell>
        </row>
        <row r="528">
          <cell r="A528">
            <v>344</v>
          </cell>
          <cell r="B528" t="str">
            <v>1r_net_margin</v>
          </cell>
          <cell r="C528" t="str">
            <v>Net margin</v>
          </cell>
          <cell r="D528" t="str">
            <v>(%)</v>
          </cell>
          <cell r="E528">
            <v>0</v>
          </cell>
          <cell r="F528">
            <v>0</v>
          </cell>
          <cell r="G528">
            <v>0</v>
          </cell>
          <cell r="H528">
            <v>0</v>
          </cell>
          <cell r="I528">
            <v>0</v>
          </cell>
          <cell r="J528">
            <v>0</v>
          </cell>
          <cell r="K528">
            <v>0</v>
          </cell>
          <cell r="L528">
            <v>0</v>
          </cell>
          <cell r="M528">
            <v>0</v>
          </cell>
          <cell r="N528" t="str">
            <v>r_net_margin</v>
          </cell>
          <cell r="O528">
            <v>0</v>
          </cell>
          <cell r="P528">
            <v>0</v>
          </cell>
          <cell r="Q528">
            <v>0.01</v>
          </cell>
          <cell r="R528" t="str">
            <v>E</v>
          </cell>
          <cell r="S528">
            <v>2</v>
          </cell>
          <cell r="T528" t="str">
            <v>null</v>
          </cell>
          <cell r="U528">
            <v>1</v>
          </cell>
          <cell r="V528">
            <v>0</v>
          </cell>
          <cell r="W528">
            <v>0</v>
          </cell>
          <cell r="X528">
            <v>0</v>
          </cell>
          <cell r="Y528">
            <v>0</v>
          </cell>
          <cell r="Z528">
            <v>0</v>
          </cell>
          <cell r="AA528">
            <v>386</v>
          </cell>
          <cell r="AB528" t="str">
            <v>Ratios/Misc</v>
          </cell>
          <cell r="AC528">
            <v>561</v>
          </cell>
          <cell r="AD528">
            <v>0</v>
          </cell>
          <cell r="AE528">
            <v>0</v>
          </cell>
          <cell r="AF528">
            <v>0</v>
          </cell>
          <cell r="AG528">
            <v>0</v>
          </cell>
          <cell r="AH528">
            <v>0</v>
          </cell>
          <cell r="AI528">
            <v>0</v>
          </cell>
          <cell r="AJ528">
            <v>0</v>
          </cell>
          <cell r="AK528">
            <v>0</v>
          </cell>
          <cell r="AL528">
            <v>0</v>
          </cell>
          <cell r="AM528">
            <v>0</v>
          </cell>
          <cell r="AN528" t="e">
            <v>#N/A</v>
          </cell>
          <cell r="AO528" t="e">
            <v>#N/A</v>
          </cell>
          <cell r="AP528" t="e">
            <v>#N/A</v>
          </cell>
          <cell r="AQ528" t="e">
            <v>#N/A</v>
          </cell>
          <cell r="AR528" t="e">
            <v>#N/A</v>
          </cell>
          <cell r="AS528" t="e">
            <v>#N/A</v>
          </cell>
          <cell r="AT528" t="e">
            <v>#N/A</v>
          </cell>
          <cell r="AU528" t="e">
            <v>#N/A</v>
          </cell>
          <cell r="AV528" t="e">
            <v>#N/A</v>
          </cell>
        </row>
        <row r="529">
          <cell r="A529">
            <v>388</v>
          </cell>
          <cell r="B529" t="str">
            <v>1r_crude_steel_prod</v>
          </cell>
          <cell r="C529" t="str">
            <v>Crude steel production</v>
          </cell>
          <cell r="D529" t="str">
            <v>(million tonnes)</v>
          </cell>
          <cell r="E529">
            <v>0</v>
          </cell>
          <cell r="F529">
            <v>0</v>
          </cell>
          <cell r="G529">
            <v>0</v>
          </cell>
          <cell r="H529">
            <v>0</v>
          </cell>
          <cell r="I529">
            <v>0</v>
          </cell>
          <cell r="J529">
            <v>0</v>
          </cell>
          <cell r="K529">
            <v>0</v>
          </cell>
          <cell r="L529">
            <v>0</v>
          </cell>
          <cell r="M529">
            <v>0</v>
          </cell>
          <cell r="N529" t="str">
            <v>r_crude_steel_prod</v>
          </cell>
          <cell r="O529">
            <v>0</v>
          </cell>
          <cell r="P529">
            <v>0</v>
          </cell>
          <cell r="Q529">
            <v>1000000</v>
          </cell>
          <cell r="R529" t="str">
            <v>E</v>
          </cell>
          <cell r="S529">
            <v>2</v>
          </cell>
          <cell r="T529" t="str">
            <v>null</v>
          </cell>
          <cell r="U529">
            <v>1</v>
          </cell>
          <cell r="V529">
            <v>0</v>
          </cell>
          <cell r="W529">
            <v>0</v>
          </cell>
          <cell r="X529">
            <v>0</v>
          </cell>
          <cell r="Y529">
            <v>0</v>
          </cell>
          <cell r="Z529">
            <v>0</v>
          </cell>
          <cell r="AA529">
            <v>94</v>
          </cell>
          <cell r="AB529" t="str">
            <v>Ratios/Misc</v>
          </cell>
          <cell r="AC529">
            <v>566</v>
          </cell>
          <cell r="AD529">
            <v>0</v>
          </cell>
          <cell r="AE529">
            <v>0</v>
          </cell>
          <cell r="AF529">
            <v>0</v>
          </cell>
          <cell r="AG529">
            <v>0</v>
          </cell>
          <cell r="AH529">
            <v>0</v>
          </cell>
          <cell r="AI529">
            <v>0</v>
          </cell>
          <cell r="AJ529">
            <v>0</v>
          </cell>
          <cell r="AK529">
            <v>0</v>
          </cell>
          <cell r="AL529">
            <v>0</v>
          </cell>
          <cell r="AM529">
            <v>0</v>
          </cell>
          <cell r="AN529" t="e">
            <v>#N/A</v>
          </cell>
          <cell r="AO529" t="e">
            <v>#N/A</v>
          </cell>
          <cell r="AP529" t="e">
            <v>#N/A</v>
          </cell>
          <cell r="AQ529" t="e">
            <v>#N/A</v>
          </cell>
          <cell r="AR529" t="e">
            <v>#N/A</v>
          </cell>
          <cell r="AS529" t="e">
            <v>#N/A</v>
          </cell>
          <cell r="AT529" t="e">
            <v>#N/A</v>
          </cell>
          <cell r="AU529" t="e">
            <v>#N/A</v>
          </cell>
          <cell r="AV529" t="e">
            <v>#N/A</v>
          </cell>
        </row>
        <row r="530">
          <cell r="A530">
            <v>389</v>
          </cell>
          <cell r="B530" t="str">
            <v>1r_domestic_steel_sales</v>
          </cell>
          <cell r="C530" t="str">
            <v>Domestic steel sales</v>
          </cell>
          <cell r="D530" t="str">
            <v>(million tonnes)</v>
          </cell>
          <cell r="E530">
            <v>0</v>
          </cell>
          <cell r="F530">
            <v>0</v>
          </cell>
          <cell r="G530">
            <v>0</v>
          </cell>
          <cell r="H530">
            <v>0</v>
          </cell>
          <cell r="I530">
            <v>0</v>
          </cell>
          <cell r="J530">
            <v>0</v>
          </cell>
          <cell r="K530">
            <v>0</v>
          </cell>
          <cell r="L530">
            <v>0</v>
          </cell>
          <cell r="M530">
            <v>0</v>
          </cell>
          <cell r="N530" t="str">
            <v>r_domestic_steel_sales</v>
          </cell>
          <cell r="O530">
            <v>0</v>
          </cell>
          <cell r="P530">
            <v>0</v>
          </cell>
          <cell r="Q530">
            <v>1000000</v>
          </cell>
          <cell r="R530" t="str">
            <v>E</v>
          </cell>
          <cell r="S530">
            <v>2</v>
          </cell>
          <cell r="T530" t="str">
            <v>null</v>
          </cell>
          <cell r="U530">
            <v>1</v>
          </cell>
          <cell r="V530">
            <v>0</v>
          </cell>
          <cell r="W530">
            <v>0</v>
          </cell>
          <cell r="X530">
            <v>0</v>
          </cell>
          <cell r="Y530">
            <v>0</v>
          </cell>
          <cell r="Z530">
            <v>0</v>
          </cell>
          <cell r="AA530">
            <v>158</v>
          </cell>
          <cell r="AB530" t="str">
            <v>Ratios/Misc</v>
          </cell>
          <cell r="AC530">
            <v>567</v>
          </cell>
          <cell r="AD530">
            <v>0</v>
          </cell>
          <cell r="AE530">
            <v>0</v>
          </cell>
          <cell r="AF530">
            <v>0</v>
          </cell>
          <cell r="AG530">
            <v>0</v>
          </cell>
          <cell r="AH530">
            <v>0</v>
          </cell>
          <cell r="AI530">
            <v>0</v>
          </cell>
          <cell r="AJ530">
            <v>0</v>
          </cell>
          <cell r="AK530">
            <v>0</v>
          </cell>
          <cell r="AL530">
            <v>0</v>
          </cell>
          <cell r="AM530">
            <v>0</v>
          </cell>
          <cell r="AN530" t="e">
            <v>#N/A</v>
          </cell>
          <cell r="AO530" t="e">
            <v>#N/A</v>
          </cell>
          <cell r="AP530" t="e">
            <v>#N/A</v>
          </cell>
          <cell r="AQ530" t="e">
            <v>#N/A</v>
          </cell>
          <cell r="AR530" t="e">
            <v>#N/A</v>
          </cell>
          <cell r="AS530" t="e">
            <v>#N/A</v>
          </cell>
          <cell r="AT530" t="e">
            <v>#N/A</v>
          </cell>
          <cell r="AU530" t="e">
            <v>#N/A</v>
          </cell>
          <cell r="AV530" t="e">
            <v>#N/A</v>
          </cell>
        </row>
        <row r="531">
          <cell r="A531">
            <v>390</v>
          </cell>
          <cell r="B531" t="str">
            <v>1r_export_steel_sales</v>
          </cell>
          <cell r="C531" t="str">
            <v>Export steel sales</v>
          </cell>
          <cell r="D531" t="str">
            <v>(million tonnes)</v>
          </cell>
          <cell r="E531">
            <v>0</v>
          </cell>
          <cell r="F531">
            <v>0</v>
          </cell>
          <cell r="G531">
            <v>0</v>
          </cell>
          <cell r="H531">
            <v>0</v>
          </cell>
          <cell r="I531">
            <v>0</v>
          </cell>
          <cell r="J531">
            <v>0</v>
          </cell>
          <cell r="K531">
            <v>0</v>
          </cell>
          <cell r="L531">
            <v>0</v>
          </cell>
          <cell r="M531">
            <v>0</v>
          </cell>
          <cell r="N531" t="str">
            <v>r_export_steel_sales</v>
          </cell>
          <cell r="O531">
            <v>0</v>
          </cell>
          <cell r="P531">
            <v>0</v>
          </cell>
          <cell r="Q531">
            <v>1000000</v>
          </cell>
          <cell r="R531" t="str">
            <v>E</v>
          </cell>
          <cell r="S531">
            <v>2</v>
          </cell>
          <cell r="T531" t="str">
            <v>null</v>
          </cell>
          <cell r="U531">
            <v>1</v>
          </cell>
          <cell r="V531">
            <v>0</v>
          </cell>
          <cell r="W531">
            <v>0</v>
          </cell>
          <cell r="X531">
            <v>0</v>
          </cell>
          <cell r="Y531">
            <v>0</v>
          </cell>
          <cell r="Z531">
            <v>0</v>
          </cell>
          <cell r="AA531">
            <v>239</v>
          </cell>
          <cell r="AB531" t="str">
            <v>Ratios/Misc</v>
          </cell>
          <cell r="AC531">
            <v>568</v>
          </cell>
          <cell r="AD531">
            <v>0</v>
          </cell>
          <cell r="AE531">
            <v>0</v>
          </cell>
          <cell r="AF531">
            <v>0</v>
          </cell>
          <cell r="AG531">
            <v>0</v>
          </cell>
          <cell r="AH531">
            <v>0</v>
          </cell>
          <cell r="AI531">
            <v>0</v>
          </cell>
          <cell r="AJ531">
            <v>0</v>
          </cell>
          <cell r="AK531">
            <v>0</v>
          </cell>
          <cell r="AL531">
            <v>0</v>
          </cell>
          <cell r="AM531">
            <v>0</v>
          </cell>
          <cell r="AN531" t="e">
            <v>#N/A</v>
          </cell>
          <cell r="AO531" t="e">
            <v>#N/A</v>
          </cell>
          <cell r="AP531" t="e">
            <v>#N/A</v>
          </cell>
          <cell r="AQ531" t="e">
            <v>#N/A</v>
          </cell>
          <cell r="AR531" t="e">
            <v>#N/A</v>
          </cell>
          <cell r="AS531" t="e">
            <v>#N/A</v>
          </cell>
          <cell r="AT531" t="e">
            <v>#N/A</v>
          </cell>
          <cell r="AU531" t="e">
            <v>#N/A</v>
          </cell>
          <cell r="AV531" t="e">
            <v>#N/A</v>
          </cell>
        </row>
        <row r="532">
          <cell r="A532">
            <v>391</v>
          </cell>
          <cell r="B532" t="str">
            <v>1r_ev_ins_cap</v>
          </cell>
          <cell r="C532" t="str">
            <v>EV/installed capacity</v>
          </cell>
          <cell r="D532" t="str">
            <v>Multiple</v>
          </cell>
          <cell r="E532">
            <v>0</v>
          </cell>
          <cell r="F532">
            <v>0</v>
          </cell>
          <cell r="G532">
            <v>0</v>
          </cell>
          <cell r="H532">
            <v>0</v>
          </cell>
          <cell r="I532">
            <v>0</v>
          </cell>
          <cell r="J532">
            <v>0</v>
          </cell>
          <cell r="K532">
            <v>0</v>
          </cell>
          <cell r="L532">
            <v>0</v>
          </cell>
          <cell r="M532">
            <v>0</v>
          </cell>
          <cell r="N532" t="str">
            <v>r_ev_ins_cap</v>
          </cell>
          <cell r="O532">
            <v>0</v>
          </cell>
          <cell r="P532">
            <v>0</v>
          </cell>
          <cell r="Q532">
            <v>1</v>
          </cell>
          <cell r="R532" t="str">
            <v>E</v>
          </cell>
          <cell r="S532">
            <v>2</v>
          </cell>
          <cell r="T532" t="str">
            <v>null</v>
          </cell>
          <cell r="U532">
            <v>1</v>
          </cell>
          <cell r="V532">
            <v>0</v>
          </cell>
          <cell r="W532">
            <v>0</v>
          </cell>
          <cell r="X532">
            <v>0</v>
          </cell>
          <cell r="Y532">
            <v>0</v>
          </cell>
          <cell r="Z532">
            <v>0</v>
          </cell>
          <cell r="AA532">
            <v>218</v>
          </cell>
          <cell r="AB532" t="str">
            <v>Ratios/Misc</v>
          </cell>
          <cell r="AC532">
            <v>569</v>
          </cell>
          <cell r="AD532">
            <v>0</v>
          </cell>
          <cell r="AE532">
            <v>0</v>
          </cell>
          <cell r="AF532">
            <v>0</v>
          </cell>
          <cell r="AG532">
            <v>0</v>
          </cell>
          <cell r="AH532">
            <v>0</v>
          </cell>
          <cell r="AI532">
            <v>0</v>
          </cell>
          <cell r="AJ532">
            <v>0</v>
          </cell>
          <cell r="AK532">
            <v>0</v>
          </cell>
          <cell r="AL532">
            <v>0</v>
          </cell>
          <cell r="AM532">
            <v>0</v>
          </cell>
          <cell r="AN532" t="e">
            <v>#N/A</v>
          </cell>
          <cell r="AO532" t="e">
            <v>#N/A</v>
          </cell>
          <cell r="AP532" t="e">
            <v>#N/A</v>
          </cell>
          <cell r="AQ532" t="e">
            <v>#N/A</v>
          </cell>
          <cell r="AR532" t="e">
            <v>#N/A</v>
          </cell>
          <cell r="AS532" t="e">
            <v>#N/A</v>
          </cell>
          <cell r="AT532" t="e">
            <v>#N/A</v>
          </cell>
          <cell r="AU532" t="e">
            <v>#N/A</v>
          </cell>
          <cell r="AV532" t="e">
            <v>#N/A</v>
          </cell>
        </row>
        <row r="533">
          <cell r="A533">
            <v>399</v>
          </cell>
          <cell r="B533" t="str">
            <v>1r_pulp_production</v>
          </cell>
          <cell r="C533" t="str">
            <v>Pulp production</v>
          </cell>
          <cell r="D533" t="str">
            <v>(million tonnes)</v>
          </cell>
          <cell r="E533">
            <v>0</v>
          </cell>
          <cell r="F533">
            <v>0</v>
          </cell>
          <cell r="G533">
            <v>0</v>
          </cell>
          <cell r="H533">
            <v>0</v>
          </cell>
          <cell r="I533">
            <v>0</v>
          </cell>
          <cell r="J533">
            <v>0</v>
          </cell>
          <cell r="K533">
            <v>0</v>
          </cell>
          <cell r="L533">
            <v>0</v>
          </cell>
          <cell r="M533">
            <v>0</v>
          </cell>
          <cell r="N533" t="str">
            <v>r_pulp_production</v>
          </cell>
          <cell r="O533">
            <v>0</v>
          </cell>
          <cell r="P533">
            <v>0</v>
          </cell>
          <cell r="Q533">
            <v>1000000</v>
          </cell>
          <cell r="R533" t="str">
            <v>E</v>
          </cell>
          <cell r="S533">
            <v>2</v>
          </cell>
          <cell r="T533" t="str">
            <v>null</v>
          </cell>
          <cell r="U533">
            <v>1</v>
          </cell>
          <cell r="V533">
            <v>0</v>
          </cell>
          <cell r="W533">
            <v>0</v>
          </cell>
          <cell r="X533">
            <v>0</v>
          </cell>
          <cell r="Y533">
            <v>0</v>
          </cell>
          <cell r="Z533">
            <v>0</v>
          </cell>
          <cell r="AA533">
            <v>494</v>
          </cell>
          <cell r="AB533" t="str">
            <v>Ratios/Misc</v>
          </cell>
          <cell r="AC533">
            <v>570</v>
          </cell>
          <cell r="AD533">
            <v>0</v>
          </cell>
          <cell r="AE533">
            <v>0</v>
          </cell>
          <cell r="AF533">
            <v>0</v>
          </cell>
          <cell r="AG533">
            <v>0</v>
          </cell>
          <cell r="AH533">
            <v>0</v>
          </cell>
          <cell r="AI533">
            <v>0</v>
          </cell>
          <cell r="AJ533">
            <v>0</v>
          </cell>
          <cell r="AK533">
            <v>0</v>
          </cell>
          <cell r="AL533">
            <v>0</v>
          </cell>
          <cell r="AM533">
            <v>0</v>
          </cell>
          <cell r="AN533" t="e">
            <v>#N/A</v>
          </cell>
          <cell r="AO533" t="e">
            <v>#N/A</v>
          </cell>
          <cell r="AP533" t="e">
            <v>#N/A</v>
          </cell>
          <cell r="AQ533" t="e">
            <v>#N/A</v>
          </cell>
          <cell r="AR533" t="e">
            <v>#N/A</v>
          </cell>
          <cell r="AS533" t="e">
            <v>#N/A</v>
          </cell>
          <cell r="AT533" t="e">
            <v>#N/A</v>
          </cell>
          <cell r="AU533" t="e">
            <v>#N/A</v>
          </cell>
          <cell r="AV533" t="e">
            <v>#N/A</v>
          </cell>
        </row>
        <row r="534">
          <cell r="A534">
            <v>400</v>
          </cell>
          <cell r="B534" t="str">
            <v>1r_paper_production</v>
          </cell>
          <cell r="C534" t="str">
            <v>Paper production</v>
          </cell>
          <cell r="D534" t="str">
            <v>(million tonnes)</v>
          </cell>
          <cell r="E534">
            <v>0</v>
          </cell>
          <cell r="F534">
            <v>0</v>
          </cell>
          <cell r="G534">
            <v>0</v>
          </cell>
          <cell r="H534">
            <v>0</v>
          </cell>
          <cell r="I534">
            <v>0</v>
          </cell>
          <cell r="J534">
            <v>0</v>
          </cell>
          <cell r="K534">
            <v>0</v>
          </cell>
          <cell r="L534">
            <v>0</v>
          </cell>
          <cell r="M534">
            <v>0</v>
          </cell>
          <cell r="N534" t="str">
            <v>r_paper_production</v>
          </cell>
          <cell r="O534">
            <v>0</v>
          </cell>
          <cell r="P534">
            <v>0</v>
          </cell>
          <cell r="Q534">
            <v>1000000</v>
          </cell>
          <cell r="R534" t="str">
            <v>E</v>
          </cell>
          <cell r="S534">
            <v>2</v>
          </cell>
          <cell r="T534" t="str">
            <v>null</v>
          </cell>
          <cell r="U534">
            <v>1</v>
          </cell>
          <cell r="V534">
            <v>0</v>
          </cell>
          <cell r="W534">
            <v>0</v>
          </cell>
          <cell r="X534">
            <v>0</v>
          </cell>
          <cell r="Y534">
            <v>0</v>
          </cell>
          <cell r="Z534">
            <v>0</v>
          </cell>
          <cell r="AA534">
            <v>464</v>
          </cell>
          <cell r="AB534" t="str">
            <v>Ratios/Misc</v>
          </cell>
          <cell r="AC534">
            <v>571</v>
          </cell>
          <cell r="AD534">
            <v>0</v>
          </cell>
          <cell r="AE534">
            <v>0</v>
          </cell>
          <cell r="AF534">
            <v>0</v>
          </cell>
          <cell r="AG534">
            <v>0</v>
          </cell>
          <cell r="AH534">
            <v>0</v>
          </cell>
          <cell r="AI534">
            <v>0</v>
          </cell>
          <cell r="AJ534">
            <v>0</v>
          </cell>
          <cell r="AK534">
            <v>0</v>
          </cell>
          <cell r="AL534">
            <v>0</v>
          </cell>
          <cell r="AM534">
            <v>0</v>
          </cell>
          <cell r="AN534" t="e">
            <v>#N/A</v>
          </cell>
          <cell r="AO534" t="e">
            <v>#N/A</v>
          </cell>
          <cell r="AP534" t="e">
            <v>#N/A</v>
          </cell>
          <cell r="AQ534" t="e">
            <v>#N/A</v>
          </cell>
          <cell r="AR534" t="e">
            <v>#N/A</v>
          </cell>
          <cell r="AS534" t="e">
            <v>#N/A</v>
          </cell>
          <cell r="AT534" t="e">
            <v>#N/A</v>
          </cell>
          <cell r="AU534" t="e">
            <v>#N/A</v>
          </cell>
          <cell r="AV534" t="e">
            <v>#N/A</v>
          </cell>
        </row>
        <row r="535">
          <cell r="A535">
            <v>401</v>
          </cell>
          <cell r="B535" t="str">
            <v>1r_ev_tonne_cap</v>
          </cell>
          <cell r="C535" t="str">
            <v>EV/tonne capacity</v>
          </cell>
          <cell r="D535" t="str">
            <v>Multiple</v>
          </cell>
          <cell r="E535">
            <v>0</v>
          </cell>
          <cell r="F535">
            <v>0</v>
          </cell>
          <cell r="G535">
            <v>0</v>
          </cell>
          <cell r="H535">
            <v>0</v>
          </cell>
          <cell r="I535">
            <v>0</v>
          </cell>
          <cell r="J535">
            <v>0</v>
          </cell>
          <cell r="K535">
            <v>0</v>
          </cell>
          <cell r="L535">
            <v>0</v>
          </cell>
          <cell r="M535">
            <v>0</v>
          </cell>
          <cell r="N535" t="str">
            <v>r_ev_tonne_cap</v>
          </cell>
          <cell r="O535">
            <v>0</v>
          </cell>
          <cell r="P535">
            <v>0</v>
          </cell>
          <cell r="Q535">
            <v>1</v>
          </cell>
          <cell r="R535" t="str">
            <v>E</v>
          </cell>
          <cell r="S535">
            <v>2</v>
          </cell>
          <cell r="T535" t="str">
            <v>null</v>
          </cell>
          <cell r="U535">
            <v>1</v>
          </cell>
          <cell r="V535">
            <v>0</v>
          </cell>
          <cell r="W535">
            <v>0</v>
          </cell>
          <cell r="X535">
            <v>0</v>
          </cell>
          <cell r="Y535">
            <v>0</v>
          </cell>
          <cell r="Z535">
            <v>0</v>
          </cell>
          <cell r="AA535">
            <v>231</v>
          </cell>
          <cell r="AB535" t="str">
            <v>Ratios/Misc</v>
          </cell>
          <cell r="AC535">
            <v>572</v>
          </cell>
          <cell r="AD535">
            <v>0</v>
          </cell>
          <cell r="AE535">
            <v>0</v>
          </cell>
          <cell r="AF535">
            <v>0</v>
          </cell>
          <cell r="AG535">
            <v>0</v>
          </cell>
          <cell r="AH535">
            <v>0</v>
          </cell>
          <cell r="AI535">
            <v>0</v>
          </cell>
          <cell r="AJ535">
            <v>0</v>
          </cell>
          <cell r="AK535">
            <v>0</v>
          </cell>
          <cell r="AL535">
            <v>0</v>
          </cell>
          <cell r="AM535">
            <v>0</v>
          </cell>
          <cell r="AN535" t="e">
            <v>#N/A</v>
          </cell>
          <cell r="AO535" t="e">
            <v>#N/A</v>
          </cell>
          <cell r="AP535" t="e">
            <v>#N/A</v>
          </cell>
          <cell r="AQ535" t="e">
            <v>#N/A</v>
          </cell>
          <cell r="AR535" t="e">
            <v>#N/A</v>
          </cell>
          <cell r="AS535" t="e">
            <v>#N/A</v>
          </cell>
          <cell r="AT535" t="e">
            <v>#N/A</v>
          </cell>
          <cell r="AU535" t="e">
            <v>#N/A</v>
          </cell>
          <cell r="AV535" t="e">
            <v>#N/A</v>
          </cell>
        </row>
        <row r="536">
          <cell r="A536">
            <v>392</v>
          </cell>
          <cell r="B536" t="str">
            <v>1r_ev_tonne_sales</v>
          </cell>
          <cell r="C536" t="str">
            <v>EV/tonne sales</v>
          </cell>
          <cell r="D536" t="str">
            <v>Multiple</v>
          </cell>
          <cell r="E536">
            <v>0</v>
          </cell>
          <cell r="F536">
            <v>0</v>
          </cell>
          <cell r="G536">
            <v>0</v>
          </cell>
          <cell r="H536">
            <v>0</v>
          </cell>
          <cell r="I536">
            <v>0</v>
          </cell>
          <cell r="J536">
            <v>0</v>
          </cell>
          <cell r="K536">
            <v>0</v>
          </cell>
          <cell r="L536">
            <v>0</v>
          </cell>
          <cell r="M536">
            <v>0</v>
          </cell>
          <cell r="N536" t="str">
            <v>r_ev_tonne_sales</v>
          </cell>
          <cell r="O536">
            <v>0</v>
          </cell>
          <cell r="P536">
            <v>0</v>
          </cell>
          <cell r="Q536">
            <v>1</v>
          </cell>
          <cell r="R536" t="str">
            <v>E</v>
          </cell>
          <cell r="S536">
            <v>2</v>
          </cell>
          <cell r="T536" t="str">
            <v>null</v>
          </cell>
          <cell r="U536">
            <v>1</v>
          </cell>
          <cell r="V536">
            <v>0</v>
          </cell>
          <cell r="W536">
            <v>0</v>
          </cell>
          <cell r="X536">
            <v>0</v>
          </cell>
          <cell r="Y536">
            <v>0</v>
          </cell>
          <cell r="Z536">
            <v>0</v>
          </cell>
          <cell r="AA536">
            <v>232</v>
          </cell>
          <cell r="AB536" t="str">
            <v>Ratios/Misc</v>
          </cell>
          <cell r="AC536">
            <v>573</v>
          </cell>
          <cell r="AD536">
            <v>0</v>
          </cell>
          <cell r="AE536">
            <v>0</v>
          </cell>
          <cell r="AF536">
            <v>0</v>
          </cell>
          <cell r="AG536">
            <v>0</v>
          </cell>
          <cell r="AH536">
            <v>0</v>
          </cell>
          <cell r="AI536">
            <v>0</v>
          </cell>
          <cell r="AJ536">
            <v>0</v>
          </cell>
          <cell r="AK536">
            <v>0</v>
          </cell>
          <cell r="AL536">
            <v>0</v>
          </cell>
          <cell r="AM536">
            <v>0</v>
          </cell>
          <cell r="AN536" t="e">
            <v>#N/A</v>
          </cell>
          <cell r="AO536" t="e">
            <v>#N/A</v>
          </cell>
          <cell r="AP536" t="e">
            <v>#N/A</v>
          </cell>
          <cell r="AQ536" t="e">
            <v>#N/A</v>
          </cell>
          <cell r="AR536" t="e">
            <v>#N/A</v>
          </cell>
          <cell r="AS536" t="e">
            <v>#N/A</v>
          </cell>
          <cell r="AT536" t="e">
            <v>#N/A</v>
          </cell>
          <cell r="AU536" t="e">
            <v>#N/A</v>
          </cell>
          <cell r="AV536" t="e">
            <v>#N/A</v>
          </cell>
        </row>
        <row r="537">
          <cell r="A537">
            <v>393</v>
          </cell>
          <cell r="B537" t="str">
            <v>1r_employees</v>
          </cell>
          <cell r="C537" t="str">
            <v>Employees</v>
          </cell>
          <cell r="D537" t="str">
            <v>People</v>
          </cell>
          <cell r="E537">
            <v>0</v>
          </cell>
          <cell r="F537">
            <v>0</v>
          </cell>
          <cell r="G537">
            <v>0</v>
          </cell>
          <cell r="H537">
            <v>0</v>
          </cell>
          <cell r="I537">
            <v>0</v>
          </cell>
          <cell r="J537">
            <v>0</v>
          </cell>
          <cell r="K537">
            <v>0</v>
          </cell>
          <cell r="L537">
            <v>0</v>
          </cell>
          <cell r="M537">
            <v>0</v>
          </cell>
          <cell r="N537" t="str">
            <v>r_employees</v>
          </cell>
          <cell r="O537">
            <v>0</v>
          </cell>
          <cell r="P537">
            <v>0</v>
          </cell>
          <cell r="Q537">
            <v>1</v>
          </cell>
          <cell r="R537" t="str">
            <v>E</v>
          </cell>
          <cell r="S537">
            <v>2</v>
          </cell>
          <cell r="T537" t="str">
            <v>null</v>
          </cell>
          <cell r="U537">
            <v>1</v>
          </cell>
          <cell r="V537">
            <v>0</v>
          </cell>
          <cell r="W537">
            <v>0</v>
          </cell>
          <cell r="X537">
            <v>0</v>
          </cell>
          <cell r="Y537">
            <v>0</v>
          </cell>
          <cell r="Z537">
            <v>0</v>
          </cell>
          <cell r="AA537">
            <v>186</v>
          </cell>
          <cell r="AB537" t="str">
            <v>Ratios/Misc</v>
          </cell>
          <cell r="AC537">
            <v>574</v>
          </cell>
          <cell r="AD537">
            <v>0</v>
          </cell>
          <cell r="AE537">
            <v>0</v>
          </cell>
          <cell r="AF537">
            <v>0</v>
          </cell>
          <cell r="AG537">
            <v>0</v>
          </cell>
          <cell r="AH537">
            <v>0</v>
          </cell>
          <cell r="AI537">
            <v>0</v>
          </cell>
          <cell r="AJ537">
            <v>0</v>
          </cell>
          <cell r="AK537">
            <v>0</v>
          </cell>
          <cell r="AL537">
            <v>0</v>
          </cell>
          <cell r="AM537">
            <v>0</v>
          </cell>
          <cell r="AN537" t="e">
            <v>#N/A</v>
          </cell>
          <cell r="AO537" t="e">
            <v>#N/A</v>
          </cell>
          <cell r="AP537" t="e">
            <v>#N/A</v>
          </cell>
          <cell r="AQ537" t="e">
            <v>#N/A</v>
          </cell>
          <cell r="AR537" t="e">
            <v>#N/A</v>
          </cell>
          <cell r="AS537" t="e">
            <v>#N/A</v>
          </cell>
          <cell r="AT537" t="e">
            <v>#N/A</v>
          </cell>
          <cell r="AU537" t="e">
            <v>#N/A</v>
          </cell>
          <cell r="AV537" t="e">
            <v>#N/A</v>
          </cell>
        </row>
        <row r="538">
          <cell r="A538">
            <v>404.2</v>
          </cell>
          <cell r="B538" t="str">
            <v>2r_group_embedded_value_grwth_yoy</v>
          </cell>
          <cell r="C538" t="str">
            <v>Group embedded value growth y-o-y</v>
          </cell>
          <cell r="D538" t="str">
            <v>(%)</v>
          </cell>
          <cell r="E538">
            <v>0</v>
          </cell>
          <cell r="F538">
            <v>0</v>
          </cell>
          <cell r="G538">
            <v>0</v>
          </cell>
          <cell r="H538">
            <v>0</v>
          </cell>
          <cell r="I538">
            <v>0</v>
          </cell>
          <cell r="J538">
            <v>0</v>
          </cell>
          <cell r="K538">
            <v>0</v>
          </cell>
          <cell r="L538">
            <v>0</v>
          </cell>
          <cell r="M538">
            <v>0</v>
          </cell>
          <cell r="N538" t="str">
            <v>r_group_embedded_value_grwth_yoy</v>
          </cell>
          <cell r="O538">
            <v>0</v>
          </cell>
          <cell r="P538">
            <v>0</v>
          </cell>
          <cell r="Q538">
            <v>0.01</v>
          </cell>
          <cell r="R538" t="str">
            <v>E</v>
          </cell>
          <cell r="S538">
            <v>2</v>
          </cell>
          <cell r="T538" t="str">
            <v>null</v>
          </cell>
          <cell r="U538">
            <v>2</v>
          </cell>
          <cell r="V538">
            <v>0</v>
          </cell>
          <cell r="W538">
            <v>0</v>
          </cell>
          <cell r="X538">
            <v>0</v>
          </cell>
          <cell r="Y538">
            <v>0</v>
          </cell>
          <cell r="Z538">
            <v>0</v>
          </cell>
          <cell r="AA538">
            <v>287</v>
          </cell>
          <cell r="AB538" t="str">
            <v>Ratios/Misc</v>
          </cell>
          <cell r="AC538">
            <v>577</v>
          </cell>
          <cell r="AD538">
            <v>0</v>
          </cell>
          <cell r="AE538" t="str">
            <v>b_group_embedded_value</v>
          </cell>
          <cell r="AF538">
            <v>0</v>
          </cell>
          <cell r="AG538">
            <v>0</v>
          </cell>
          <cell r="AH538">
            <v>0</v>
          </cell>
          <cell r="AI538">
            <v>0</v>
          </cell>
          <cell r="AJ538">
            <v>0</v>
          </cell>
          <cell r="AK538">
            <v>0</v>
          </cell>
          <cell r="AL538">
            <v>0</v>
          </cell>
          <cell r="AM538">
            <v>0</v>
          </cell>
          <cell r="AN538" t="e">
            <v>#N/A</v>
          </cell>
          <cell r="AO538" t="e">
            <v>#N/A</v>
          </cell>
          <cell r="AP538" t="e">
            <v>#N/A</v>
          </cell>
          <cell r="AQ538" t="e">
            <v>#N/A</v>
          </cell>
          <cell r="AR538" t="e">
            <v>#N/A</v>
          </cell>
          <cell r="AS538" t="e">
            <v>#N/A</v>
          </cell>
          <cell r="AT538" t="e">
            <v>#N/A</v>
          </cell>
          <cell r="AU538" t="e">
            <v>#N/A</v>
          </cell>
          <cell r="AV538" t="e">
            <v>#N/A</v>
          </cell>
          <cell r="AW538" t="str">
            <v>ADD NEW</v>
          </cell>
        </row>
        <row r="539">
          <cell r="A539">
            <v>404.4</v>
          </cell>
          <cell r="B539" t="str">
            <v>2r_group_embedded_value_pershare</v>
          </cell>
          <cell r="C539" t="str">
            <v>Group embedded value per share</v>
          </cell>
          <cell r="D539" t="str">
            <v>(unit)</v>
          </cell>
          <cell r="E539">
            <v>0</v>
          </cell>
          <cell r="F539">
            <v>0</v>
          </cell>
          <cell r="G539">
            <v>0</v>
          </cell>
          <cell r="H539">
            <v>0</v>
          </cell>
          <cell r="I539">
            <v>0</v>
          </cell>
          <cell r="J539">
            <v>0</v>
          </cell>
          <cell r="K539">
            <v>0</v>
          </cell>
          <cell r="L539">
            <v>0</v>
          </cell>
          <cell r="M539">
            <v>0</v>
          </cell>
          <cell r="N539" t="str">
            <v>r_group_embedded_value_pershare</v>
          </cell>
          <cell r="O539">
            <v>0</v>
          </cell>
          <cell r="P539">
            <v>0</v>
          </cell>
          <cell r="Q539">
            <v>1</v>
          </cell>
          <cell r="R539" t="str">
            <v>S</v>
          </cell>
          <cell r="S539">
            <v>2</v>
          </cell>
          <cell r="T539" t="str">
            <v>null</v>
          </cell>
          <cell r="U539">
            <v>2</v>
          </cell>
          <cell r="V539">
            <v>0</v>
          </cell>
          <cell r="W539">
            <v>0</v>
          </cell>
          <cell r="X539">
            <v>0</v>
          </cell>
          <cell r="Y539">
            <v>0</v>
          </cell>
          <cell r="Z539">
            <v>0</v>
          </cell>
          <cell r="AA539">
            <v>288</v>
          </cell>
          <cell r="AB539" t="str">
            <v>Ratios/Misc</v>
          </cell>
          <cell r="AC539">
            <v>578</v>
          </cell>
          <cell r="AD539">
            <v>0</v>
          </cell>
          <cell r="AE539" t="str">
            <v>b_group_embedded_value</v>
          </cell>
          <cell r="AF539" t="str">
            <v>num_shares_issue</v>
          </cell>
          <cell r="AG539">
            <v>0</v>
          </cell>
          <cell r="AH539">
            <v>0</v>
          </cell>
          <cell r="AI539">
            <v>0</v>
          </cell>
          <cell r="AJ539">
            <v>0</v>
          </cell>
          <cell r="AK539">
            <v>0</v>
          </cell>
          <cell r="AL539">
            <v>0</v>
          </cell>
          <cell r="AM539">
            <v>0</v>
          </cell>
          <cell r="AN539" t="e">
            <v>#N/A</v>
          </cell>
          <cell r="AO539" t="e">
            <v>#N/A</v>
          </cell>
          <cell r="AP539" t="e">
            <v>#N/A</v>
          </cell>
          <cell r="AQ539" t="e">
            <v>#N/A</v>
          </cell>
          <cell r="AR539" t="e">
            <v>#N/A</v>
          </cell>
          <cell r="AS539" t="e">
            <v>#N/A</v>
          </cell>
          <cell r="AT539" t="e">
            <v>#N/A</v>
          </cell>
          <cell r="AU539" t="e">
            <v>#N/A</v>
          </cell>
          <cell r="AV539" t="e">
            <v>#N/A</v>
          </cell>
        </row>
        <row r="540">
          <cell r="A540">
            <v>412</v>
          </cell>
          <cell r="B540" t="str">
            <v>2r_pe_operating</v>
          </cell>
          <cell r="C540" t="str">
            <v>Operating PE ratio</v>
          </cell>
          <cell r="D540" t="str">
            <v>Multiple</v>
          </cell>
          <cell r="E540">
            <v>0</v>
          </cell>
          <cell r="F540">
            <v>0</v>
          </cell>
          <cell r="G540">
            <v>0</v>
          </cell>
          <cell r="H540">
            <v>0</v>
          </cell>
          <cell r="I540">
            <v>0</v>
          </cell>
          <cell r="J540">
            <v>0</v>
          </cell>
          <cell r="K540">
            <v>0</v>
          </cell>
          <cell r="L540">
            <v>0</v>
          </cell>
          <cell r="M540">
            <v>0</v>
          </cell>
          <cell r="N540" t="str">
            <v>r_pe_operating</v>
          </cell>
          <cell r="O540">
            <v>0</v>
          </cell>
          <cell r="P540">
            <v>0</v>
          </cell>
          <cell r="Q540">
            <v>1</v>
          </cell>
          <cell r="R540" t="str">
            <v>S</v>
          </cell>
          <cell r="S540">
            <v>2</v>
          </cell>
          <cell r="T540" t="str">
            <v>null</v>
          </cell>
          <cell r="U540">
            <v>2</v>
          </cell>
          <cell r="V540">
            <v>0</v>
          </cell>
          <cell r="W540">
            <v>0</v>
          </cell>
          <cell r="X540">
            <v>0</v>
          </cell>
          <cell r="Y540">
            <v>0</v>
          </cell>
          <cell r="Z540">
            <v>0</v>
          </cell>
          <cell r="AA540">
            <v>431</v>
          </cell>
          <cell r="AB540" t="str">
            <v>Ratios/Misc</v>
          </cell>
          <cell r="AC540">
            <v>579</v>
          </cell>
          <cell r="AD540">
            <v>0</v>
          </cell>
          <cell r="AE540" t="str">
            <v>&lt;price&gt;</v>
          </cell>
          <cell r="AF540" t="str">
            <v>r_pe_operating</v>
          </cell>
          <cell r="AG540">
            <v>0</v>
          </cell>
          <cell r="AH540">
            <v>0</v>
          </cell>
          <cell r="AI540">
            <v>0</v>
          </cell>
          <cell r="AJ540">
            <v>0</v>
          </cell>
          <cell r="AK540">
            <v>0</v>
          </cell>
          <cell r="AL540">
            <v>0</v>
          </cell>
          <cell r="AM540">
            <v>0</v>
          </cell>
          <cell r="AN540" t="e">
            <v>#N/A</v>
          </cell>
          <cell r="AO540" t="e">
            <v>#N/A</v>
          </cell>
          <cell r="AP540" t="e">
            <v>#N/A</v>
          </cell>
          <cell r="AQ540" t="e">
            <v>#N/A</v>
          </cell>
          <cell r="AR540" t="e">
            <v>#N/A</v>
          </cell>
          <cell r="AS540" t="e">
            <v>#N/A</v>
          </cell>
          <cell r="AT540" t="e">
            <v>#N/A</v>
          </cell>
          <cell r="AU540" t="e">
            <v>#N/A</v>
          </cell>
          <cell r="AV540" t="e">
            <v>#N/A</v>
          </cell>
          <cell r="AW540" t="str">
            <v>ADD NEW</v>
          </cell>
        </row>
        <row r="541">
          <cell r="A541">
            <v>416</v>
          </cell>
          <cell r="B541" t="str">
            <v>1r_ev_capacity</v>
          </cell>
          <cell r="C541" t="str">
            <v>EV/capacity</v>
          </cell>
          <cell r="D541" t="str">
            <v>Multiple</v>
          </cell>
          <cell r="E541">
            <v>0</v>
          </cell>
          <cell r="F541">
            <v>0</v>
          </cell>
          <cell r="G541">
            <v>0</v>
          </cell>
          <cell r="H541">
            <v>0</v>
          </cell>
          <cell r="I541">
            <v>0</v>
          </cell>
          <cell r="J541">
            <v>0</v>
          </cell>
          <cell r="K541">
            <v>0</v>
          </cell>
          <cell r="L541">
            <v>0</v>
          </cell>
          <cell r="M541">
            <v>0</v>
          </cell>
          <cell r="N541" t="str">
            <v>r_ev_capacity</v>
          </cell>
          <cell r="O541">
            <v>0</v>
          </cell>
          <cell r="P541">
            <v>0</v>
          </cell>
          <cell r="Q541">
            <v>1</v>
          </cell>
          <cell r="R541" t="str">
            <v>E</v>
          </cell>
          <cell r="S541">
            <v>2</v>
          </cell>
          <cell r="T541" t="str">
            <v>null</v>
          </cell>
          <cell r="U541">
            <v>1</v>
          </cell>
          <cell r="V541">
            <v>0</v>
          </cell>
          <cell r="W541">
            <v>0</v>
          </cell>
          <cell r="X541">
            <v>0</v>
          </cell>
          <cell r="Y541">
            <v>0</v>
          </cell>
          <cell r="Z541">
            <v>0</v>
          </cell>
          <cell r="AA541">
            <v>206</v>
          </cell>
          <cell r="AB541" t="str">
            <v>Ratios/Misc</v>
          </cell>
          <cell r="AC541">
            <v>586</v>
          </cell>
          <cell r="AD541">
            <v>0</v>
          </cell>
          <cell r="AE541">
            <v>0</v>
          </cell>
          <cell r="AF541">
            <v>0</v>
          </cell>
          <cell r="AG541">
            <v>0</v>
          </cell>
          <cell r="AH541">
            <v>0</v>
          </cell>
          <cell r="AI541">
            <v>0</v>
          </cell>
          <cell r="AJ541">
            <v>0</v>
          </cell>
          <cell r="AK541">
            <v>0</v>
          </cell>
          <cell r="AL541">
            <v>0</v>
          </cell>
          <cell r="AM541">
            <v>0</v>
          </cell>
          <cell r="AN541" t="e">
            <v>#N/A</v>
          </cell>
          <cell r="AO541" t="e">
            <v>#N/A</v>
          </cell>
          <cell r="AP541" t="e">
            <v>#N/A</v>
          </cell>
          <cell r="AQ541" t="e">
            <v>#N/A</v>
          </cell>
          <cell r="AR541" t="e">
            <v>#N/A</v>
          </cell>
          <cell r="AS541" t="e">
            <v>#N/A</v>
          </cell>
          <cell r="AT541" t="e">
            <v>#N/A</v>
          </cell>
          <cell r="AU541" t="e">
            <v>#N/A</v>
          </cell>
          <cell r="AV541" t="e">
            <v>#N/A</v>
          </cell>
        </row>
        <row r="542">
          <cell r="A542">
            <v>405</v>
          </cell>
          <cell r="B542" t="str">
            <v>1r_lines_per_subscriber</v>
          </cell>
          <cell r="C542" t="str">
            <v>Lines per subscriber</v>
          </cell>
          <cell r="D542" t="str">
            <v>Multiple</v>
          </cell>
          <cell r="E542">
            <v>0</v>
          </cell>
          <cell r="F542">
            <v>0</v>
          </cell>
          <cell r="G542">
            <v>0</v>
          </cell>
          <cell r="H542">
            <v>0</v>
          </cell>
          <cell r="I542">
            <v>0</v>
          </cell>
          <cell r="J542">
            <v>0</v>
          </cell>
          <cell r="K542">
            <v>0</v>
          </cell>
          <cell r="L542">
            <v>0</v>
          </cell>
          <cell r="M542">
            <v>0</v>
          </cell>
          <cell r="N542" t="str">
            <v>r_lines_per_subscriber</v>
          </cell>
          <cell r="O542">
            <v>0</v>
          </cell>
          <cell r="P542">
            <v>0</v>
          </cell>
          <cell r="Q542">
            <v>1</v>
          </cell>
          <cell r="R542" t="str">
            <v>E</v>
          </cell>
          <cell r="S542">
            <v>2</v>
          </cell>
          <cell r="T542" t="str">
            <v>null</v>
          </cell>
          <cell r="U542">
            <v>1</v>
          </cell>
          <cell r="V542">
            <v>0</v>
          </cell>
          <cell r="W542">
            <v>0</v>
          </cell>
          <cell r="X542">
            <v>0</v>
          </cell>
          <cell r="Y542">
            <v>0</v>
          </cell>
          <cell r="Z542">
            <v>0</v>
          </cell>
          <cell r="AA542">
            <v>316</v>
          </cell>
          <cell r="AB542" t="str">
            <v>Ratios/Misc</v>
          </cell>
          <cell r="AC542">
            <v>587</v>
          </cell>
          <cell r="AD542">
            <v>0</v>
          </cell>
          <cell r="AE542">
            <v>0</v>
          </cell>
          <cell r="AF542">
            <v>0</v>
          </cell>
          <cell r="AG542">
            <v>0</v>
          </cell>
          <cell r="AH542">
            <v>0</v>
          </cell>
          <cell r="AI542">
            <v>0</v>
          </cell>
          <cell r="AJ542">
            <v>0</v>
          </cell>
          <cell r="AK542">
            <v>0</v>
          </cell>
          <cell r="AL542">
            <v>0</v>
          </cell>
          <cell r="AM542">
            <v>0</v>
          </cell>
          <cell r="AN542" t="e">
            <v>#N/A</v>
          </cell>
          <cell r="AO542" t="e">
            <v>#N/A</v>
          </cell>
          <cell r="AP542" t="e">
            <v>#N/A</v>
          </cell>
          <cell r="AQ542" t="e">
            <v>#N/A</v>
          </cell>
          <cell r="AR542" t="e">
            <v>#N/A</v>
          </cell>
          <cell r="AS542" t="e">
            <v>#N/A</v>
          </cell>
          <cell r="AT542" t="e">
            <v>#N/A</v>
          </cell>
          <cell r="AU542" t="e">
            <v>#N/A</v>
          </cell>
          <cell r="AV542" t="e">
            <v>#N/A</v>
          </cell>
        </row>
        <row r="543">
          <cell r="A543">
            <v>406</v>
          </cell>
          <cell r="B543" t="str">
            <v>1r_ev_lines</v>
          </cell>
          <cell r="C543" t="str">
            <v>EV/lines</v>
          </cell>
          <cell r="D543" t="str">
            <v>Multiple</v>
          </cell>
          <cell r="E543">
            <v>0</v>
          </cell>
          <cell r="F543">
            <v>0</v>
          </cell>
          <cell r="G543">
            <v>0</v>
          </cell>
          <cell r="H543">
            <v>0</v>
          </cell>
          <cell r="I543">
            <v>0</v>
          </cell>
          <cell r="J543">
            <v>0</v>
          </cell>
          <cell r="K543">
            <v>0</v>
          </cell>
          <cell r="L543">
            <v>0</v>
          </cell>
          <cell r="M543">
            <v>0</v>
          </cell>
          <cell r="N543" t="str">
            <v>r_ev_lines</v>
          </cell>
          <cell r="O543">
            <v>0</v>
          </cell>
          <cell r="P543">
            <v>0</v>
          </cell>
          <cell r="Q543">
            <v>1</v>
          </cell>
          <cell r="R543" t="str">
            <v>E</v>
          </cell>
          <cell r="S543">
            <v>2</v>
          </cell>
          <cell r="T543" t="str">
            <v>null</v>
          </cell>
          <cell r="U543">
            <v>1</v>
          </cell>
          <cell r="V543">
            <v>0</v>
          </cell>
          <cell r="W543">
            <v>0</v>
          </cell>
          <cell r="X543">
            <v>0</v>
          </cell>
          <cell r="Y543">
            <v>0</v>
          </cell>
          <cell r="Z543">
            <v>0</v>
          </cell>
          <cell r="AA543">
            <v>220</v>
          </cell>
          <cell r="AB543" t="str">
            <v>Ratios/Misc</v>
          </cell>
          <cell r="AC543">
            <v>591</v>
          </cell>
          <cell r="AD543">
            <v>0</v>
          </cell>
          <cell r="AE543">
            <v>0</v>
          </cell>
          <cell r="AF543">
            <v>0</v>
          </cell>
          <cell r="AG543">
            <v>0</v>
          </cell>
          <cell r="AH543">
            <v>0</v>
          </cell>
          <cell r="AI543">
            <v>0</v>
          </cell>
          <cell r="AJ543">
            <v>0</v>
          </cell>
          <cell r="AK543">
            <v>0</v>
          </cell>
          <cell r="AL543">
            <v>0</v>
          </cell>
          <cell r="AM543">
            <v>0</v>
          </cell>
          <cell r="AN543" t="e">
            <v>#N/A</v>
          </cell>
          <cell r="AO543" t="e">
            <v>#N/A</v>
          </cell>
          <cell r="AP543" t="e">
            <v>#N/A</v>
          </cell>
          <cell r="AQ543" t="e">
            <v>#N/A</v>
          </cell>
          <cell r="AR543" t="e">
            <v>#N/A</v>
          </cell>
          <cell r="AS543" t="e">
            <v>#N/A</v>
          </cell>
          <cell r="AT543" t="e">
            <v>#N/A</v>
          </cell>
          <cell r="AU543" t="e">
            <v>#N/A</v>
          </cell>
          <cell r="AV543" t="e">
            <v>#N/A</v>
          </cell>
        </row>
        <row r="544">
          <cell r="A544">
            <v>407</v>
          </cell>
          <cell r="B544" t="str">
            <v>1r_ev_subscriber</v>
          </cell>
          <cell r="C544" t="str">
            <v>EV/subscriber</v>
          </cell>
          <cell r="D544" t="str">
            <v>Multiple</v>
          </cell>
          <cell r="E544">
            <v>0</v>
          </cell>
          <cell r="F544">
            <v>0</v>
          </cell>
          <cell r="G544">
            <v>0</v>
          </cell>
          <cell r="H544">
            <v>0</v>
          </cell>
          <cell r="I544">
            <v>0</v>
          </cell>
          <cell r="J544">
            <v>0</v>
          </cell>
          <cell r="K544">
            <v>0</v>
          </cell>
          <cell r="L544">
            <v>0</v>
          </cell>
          <cell r="M544">
            <v>0</v>
          </cell>
          <cell r="N544" t="str">
            <v>r_ev_subscriber</v>
          </cell>
          <cell r="O544">
            <v>0</v>
          </cell>
          <cell r="P544">
            <v>0</v>
          </cell>
          <cell r="Q544">
            <v>1</v>
          </cell>
          <cell r="R544" t="str">
            <v>E</v>
          </cell>
          <cell r="S544">
            <v>2</v>
          </cell>
          <cell r="T544" t="str">
            <v>null</v>
          </cell>
          <cell r="U544">
            <v>1</v>
          </cell>
          <cell r="V544">
            <v>0</v>
          </cell>
          <cell r="W544">
            <v>0</v>
          </cell>
          <cell r="X544">
            <v>0</v>
          </cell>
          <cell r="Y544">
            <v>0</v>
          </cell>
          <cell r="Z544">
            <v>0</v>
          </cell>
          <cell r="AA544">
            <v>230</v>
          </cell>
          <cell r="AB544" t="str">
            <v>Ratios/Misc</v>
          </cell>
          <cell r="AC544">
            <v>593</v>
          </cell>
          <cell r="AD544">
            <v>0</v>
          </cell>
          <cell r="AE544">
            <v>0</v>
          </cell>
          <cell r="AF544">
            <v>0</v>
          </cell>
          <cell r="AG544">
            <v>0</v>
          </cell>
          <cell r="AH544">
            <v>0</v>
          </cell>
          <cell r="AI544">
            <v>0</v>
          </cell>
          <cell r="AJ544">
            <v>0</v>
          </cell>
          <cell r="AK544">
            <v>0</v>
          </cell>
          <cell r="AL544">
            <v>0</v>
          </cell>
          <cell r="AM544">
            <v>0</v>
          </cell>
          <cell r="AN544" t="e">
            <v>#N/A</v>
          </cell>
          <cell r="AO544" t="e">
            <v>#N/A</v>
          </cell>
          <cell r="AP544" t="e">
            <v>#N/A</v>
          </cell>
          <cell r="AQ544" t="e">
            <v>#N/A</v>
          </cell>
          <cell r="AR544" t="e">
            <v>#N/A</v>
          </cell>
          <cell r="AS544" t="e">
            <v>#N/A</v>
          </cell>
          <cell r="AT544" t="e">
            <v>#N/A</v>
          </cell>
          <cell r="AU544" t="e">
            <v>#N/A</v>
          </cell>
          <cell r="AV544" t="e">
            <v>#N/A</v>
          </cell>
        </row>
      </sheetData>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 val="Master"/>
      <sheetName val="charts_and_tables"/>
      <sheetName val="proj_Bharat"/>
      <sheetName val="branded_staples"/>
      <sheetName val="det_price_cut"/>
      <sheetName val="hll_model"/>
      <sheetName val="EquityTemplate"/>
      <sheetName val="Operating Statistics"/>
      <sheetName val="res 2002"/>
      <sheetName val="Inc Mod cigs"/>
      <sheetName val="Sheet1"/>
      <sheetName val="Comparative Table"/>
      <sheetName val="Financial Summary"/>
      <sheetName val="QTR2005"/>
      <sheetName val="Price Hikes"/>
      <sheetName val="PS &amp; RM"/>
      <sheetName val="VALUE2_5"/>
      <sheetName val="Database"/>
      <sheetName val="bp"/>
      <sheetName val="acctmod"/>
      <sheetName val="fp"/>
      <sheetName val="quant"/>
      <sheetName val="Financials(O)"/>
      <sheetName val="#REF"/>
      <sheetName val="Financials"/>
      <sheetName val="Introduction"/>
      <sheetName val="Cover"/>
      <sheetName val="Sheet2"/>
      <sheetName val="bonny"/>
      <sheetName val="Ratios"/>
      <sheetName val="Internet"/>
      <sheetName val="Bajaj Allianz"/>
      <sheetName val="charts_and_tables1"/>
      <sheetName val="proj_Bharat1"/>
      <sheetName val="branded_staples1"/>
      <sheetName val="det_price_cut1"/>
      <sheetName val="hll_model1"/>
      <sheetName val="Operating_Statistics"/>
      <sheetName val="res_2002"/>
      <sheetName val="Inc_Mod_cigs"/>
      <sheetName val="earnings model"/>
      <sheetName val="SharePrice"/>
      <sheetName val="charts_and_tables2"/>
      <sheetName val="proj_Bharat2"/>
      <sheetName val="branded_staples2"/>
      <sheetName val="det_price_cut2"/>
      <sheetName val="hll_model2"/>
      <sheetName val="Operating_Statistics1"/>
      <sheetName val="res_20021"/>
      <sheetName val="Inc_Mod_cigs1"/>
      <sheetName val="Comparative_Table"/>
      <sheetName val="Financial_Summary"/>
      <sheetName val="Price_Hikes"/>
      <sheetName val="PS_&amp;_RM"/>
      <sheetName val="Bajaj_Allianz"/>
      <sheetName val="Sheet3"/>
      <sheetName val="I2Z"/>
      <sheetName val="A2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3">
          <cell r="A3" t="str">
            <v>Date</v>
          </cell>
        </row>
        <row r="129">
          <cell r="B129">
            <v>1</v>
          </cell>
        </row>
      </sheetData>
      <sheetData sheetId="17" refreshError="1">
        <row r="3">
          <cell r="A3" t="str">
            <v>Date</v>
          </cell>
          <cell r="B3" t="str">
            <v>Event</v>
          </cell>
        </row>
        <row r="4">
          <cell r="A4">
            <v>33604</v>
          </cell>
          <cell r="B4" t="str">
            <v>BBLIL buys Kothari General Foods coffee division</v>
          </cell>
        </row>
        <row r="5">
          <cell r="A5">
            <v>33848</v>
          </cell>
          <cell r="B5" t="str">
            <v>BBLIL ties up with Nissin, Japan</v>
          </cell>
        </row>
        <row r="6">
          <cell r="A6">
            <v>33909</v>
          </cell>
          <cell r="B6" t="str">
            <v>Tea Estates and Doom Dooma merged with BBLIL</v>
          </cell>
        </row>
        <row r="7">
          <cell r="A7">
            <v>34029</v>
          </cell>
          <cell r="B7" t="str">
            <v>HLL acquires TOMCO</v>
          </cell>
        </row>
        <row r="8">
          <cell r="B8" t="str">
            <v>BBLIL acquires Milkfood from Jagatjit Industries</v>
          </cell>
        </row>
        <row r="9">
          <cell r="A9">
            <v>34060</v>
          </cell>
          <cell r="B9" t="str">
            <v>BBLIL acquires Kissan and Dipy's of UB group</v>
          </cell>
        </row>
        <row r="10">
          <cell r="A10">
            <v>34151</v>
          </cell>
          <cell r="B10" t="str">
            <v>BBLIL acquires Dollops from Cadbury</v>
          </cell>
        </row>
        <row r="11">
          <cell r="A11">
            <v>34213</v>
          </cell>
          <cell r="B11" t="str">
            <v>Lipton merges with Brooke Bond</v>
          </cell>
        </row>
        <row r="12">
          <cell r="A12">
            <v>34820</v>
          </cell>
          <cell r="B12" t="str">
            <v>BBLIL buys Pepsi's tomato plant at Zahura</v>
          </cell>
        </row>
        <row r="13">
          <cell r="A13">
            <v>34881</v>
          </cell>
          <cell r="B13" t="str">
            <v>BBLIL acquires brand name, marketing and distribution rights from Kwality</v>
          </cell>
        </row>
        <row r="14">
          <cell r="A14">
            <v>35004</v>
          </cell>
          <cell r="B14" t="str">
            <v>HLL and Lakme form a joint venture for marketing Lakme brands</v>
          </cell>
        </row>
        <row r="15">
          <cell r="B15" t="str">
            <v>HLL swaps it fertliser business for Stepan chemical's dtergents business</v>
          </cell>
        </row>
        <row r="16">
          <cell r="B16" t="str">
            <v>HLL forms a joint venture with Kimberley Cark</v>
          </cell>
        </row>
        <row r="17">
          <cell r="A17">
            <v>35156</v>
          </cell>
          <cell r="B17" t="str">
            <v>BBLIL merges with HLL</v>
          </cell>
        </row>
        <row r="18">
          <cell r="A18" t="str">
            <v>CY98</v>
          </cell>
          <cell r="B18" t="str">
            <v>acquires Yankee Doodle</v>
          </cell>
        </row>
        <row r="19">
          <cell r="A19">
            <v>35916</v>
          </cell>
          <cell r="B19" t="str">
            <v>HLL acquires Lakme brands, plants</v>
          </cell>
        </row>
        <row r="20">
          <cell r="A20">
            <v>36069</v>
          </cell>
          <cell r="B20" t="str">
            <v>Ponds merged with HLL</v>
          </cell>
        </row>
        <row r="21">
          <cell r="A21">
            <v>36069</v>
          </cell>
          <cell r="B21" t="str">
            <v>Ice-cream manufacturing plant of Kwality Calcutta acquired</v>
          </cell>
        </row>
        <row r="22">
          <cell r="A22">
            <v>36434</v>
          </cell>
          <cell r="B22" t="str">
            <v>Buys Cococare from recon industries for an estimated Rs400mn</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 val="Template"/>
      <sheetName val="acctmod"/>
      <sheetName val="prices"/>
      <sheetName val="Financials"/>
      <sheetName val="board"/>
      <sheetName val="Income-Segment"/>
      <sheetName val="org_2000"/>
      <sheetName val="mkt_share"/>
      <sheetName val="ACC"/>
      <sheetName val="Mico"/>
      <sheetName val="Tax-FY10"/>
      <sheetName val="Operating Statistics"/>
      <sheetName val="Qtrly Flash"/>
      <sheetName val="SF QoQ"/>
      <sheetName val="BS"/>
      <sheetName val="org_20001"/>
      <sheetName val="mkt_share1"/>
      <sheetName val="MODEL"/>
      <sheetName val="org_20002"/>
      <sheetName val="mkt_share2"/>
      <sheetName val="Operating_Statistics"/>
      <sheetName val="Qtrly_Flash"/>
      <sheetName val="SF_QoQ"/>
      <sheetName val="org_20003"/>
      <sheetName val="mkt_share3"/>
      <sheetName val="Operating_Statistics1"/>
      <sheetName val="Qtrly_Flash1"/>
      <sheetName val="SF_QoQ1"/>
      <sheetName val="m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5">
          <cell r="B5">
            <v>-127.619</v>
          </cell>
        </row>
        <row r="74">
          <cell r="A74" t="str">
            <v>Other income (Rsmn)</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Old"/>
      <sheetName val="bp"/>
      <sheetName val="acctmod"/>
      <sheetName val="fp"/>
      <sheetName val="quant"/>
      <sheetName val="Operating Statistics"/>
      <sheetName val="Input"/>
      <sheetName val="RBS"/>
      <sheetName val="update"/>
      <sheetName val="Template"/>
      <sheetName val="Inc Mod cigs"/>
      <sheetName val="bs_related"/>
      <sheetName val="sensity"/>
      <sheetName val="STORY"/>
      <sheetName val="Operating_Statistics"/>
      <sheetName val="Uploader"/>
      <sheetName val="Last page"/>
      <sheetName val="Summary &amp; Ratios"/>
      <sheetName val="Assumptions"/>
      <sheetName val="Annual Data"/>
      <sheetName val="QTR IS"/>
      <sheetName val="Qtr BS"/>
      <sheetName val="Qtr Temp"/>
      <sheetName val="Last Page IT"/>
      <sheetName val="EquiBase"/>
      <sheetName val="EquiTables"/>
      <sheetName val="Schedule VI"/>
      <sheetName val="Qtrly_Template (2)"/>
      <sheetName val="Valuation"/>
      <sheetName val="Sheet9"/>
      <sheetName val="Assumptions in short"/>
      <sheetName val="Quant_data"/>
      <sheetName val="Quant_Template"/>
      <sheetName val="Qtrly_Template"/>
      <sheetName val="RIM"/>
      <sheetName val="RI Model"/>
      <sheetName val="QTR IS GAAP"/>
      <sheetName val="Qtr BS GAAP"/>
      <sheetName val="client data"/>
      <sheetName val="Page 2"/>
      <sheetName val="changes in estimates"/>
      <sheetName val="AR data"/>
      <sheetName val="AR notes"/>
      <sheetName val="Biz Model"/>
      <sheetName val="ALM"/>
      <sheetName val="POrfolio Diversification"/>
      <sheetName val="Sheet4"/>
      <sheetName val="Sheet5"/>
      <sheetName val="LCR"/>
      <sheetName val="Sheet6"/>
      <sheetName val="Sheet7"/>
      <sheetName val="Sheet8"/>
      <sheetName val="sales"/>
      <sheetName val="shareholding"/>
      <sheetName val="pl"/>
      <sheetName val="internet"/>
      <sheetName val="bs(s)"/>
      <sheetName val="CYT_EVAL"/>
      <sheetName val="CYT_QTR"/>
    </sheetNames>
    <sheetDataSet>
      <sheetData sheetId="0" refreshError="1">
        <row r="88">
          <cell r="A88" t="str">
            <v>Tobacco prices</v>
          </cell>
          <cell r="B88" t="str">
            <v>Karnataka</v>
          </cell>
          <cell r="C88" t="str">
            <v>% growth</v>
          </cell>
          <cell r="D88" t="str">
            <v>AP</v>
          </cell>
          <cell r="E88" t="str">
            <v>% growth</v>
          </cell>
        </row>
        <row r="89">
          <cell r="A89">
            <v>1984</v>
          </cell>
          <cell r="B89">
            <v>13.45</v>
          </cell>
        </row>
        <row r="90">
          <cell r="A90">
            <v>1985</v>
          </cell>
          <cell r="B90">
            <v>11.08</v>
          </cell>
          <cell r="C90">
            <v>-0.17620817843866166</v>
          </cell>
          <cell r="D90">
            <v>10.29</v>
          </cell>
        </row>
        <row r="91">
          <cell r="A91">
            <v>1986</v>
          </cell>
          <cell r="B91">
            <v>11.79</v>
          </cell>
          <cell r="C91">
            <v>6.4079422382671503E-2</v>
          </cell>
          <cell r="D91">
            <v>12.49</v>
          </cell>
          <cell r="E91">
            <v>0.21379980563654044</v>
          </cell>
        </row>
        <row r="92">
          <cell r="A92">
            <v>1987</v>
          </cell>
          <cell r="B92">
            <v>10.25</v>
          </cell>
          <cell r="C92">
            <v>-0.13061916878710766</v>
          </cell>
          <cell r="D92">
            <v>8.2100000000000009</v>
          </cell>
          <cell r="E92">
            <v>-0.34267413931144908</v>
          </cell>
        </row>
        <row r="93">
          <cell r="A93">
            <v>1988</v>
          </cell>
          <cell r="B93">
            <v>21.61</v>
          </cell>
          <cell r="C93">
            <v>1.1082926829268294</v>
          </cell>
          <cell r="D93">
            <v>16.329999999999998</v>
          </cell>
          <cell r="E93">
            <v>0.98903775883069378</v>
          </cell>
        </row>
        <row r="94">
          <cell r="A94">
            <v>1989</v>
          </cell>
          <cell r="B94">
            <v>19.53</v>
          </cell>
          <cell r="C94">
            <v>-9.6251735307727793E-2</v>
          </cell>
          <cell r="D94">
            <v>16.66</v>
          </cell>
          <cell r="E94">
            <v>2.0208205756276909E-2</v>
          </cell>
        </row>
        <row r="95">
          <cell r="A95">
            <v>1990</v>
          </cell>
          <cell r="B95">
            <v>26.44</v>
          </cell>
          <cell r="C95">
            <v>0.35381464413722474</v>
          </cell>
          <cell r="D95">
            <v>14.69</v>
          </cell>
          <cell r="E95">
            <v>-0.11824729891956787</v>
          </cell>
        </row>
        <row r="96">
          <cell r="A96">
            <v>1991</v>
          </cell>
          <cell r="B96">
            <v>42.13</v>
          </cell>
          <cell r="C96">
            <v>0.59341906202723149</v>
          </cell>
          <cell r="D96">
            <v>33</v>
          </cell>
          <cell r="E96">
            <v>1.24642614023145</v>
          </cell>
        </row>
        <row r="97">
          <cell r="A97">
            <v>1992</v>
          </cell>
          <cell r="B97">
            <v>26.52</v>
          </cell>
          <cell r="C97">
            <v>-0.37051981960598157</v>
          </cell>
          <cell r="D97">
            <v>27.63</v>
          </cell>
          <cell r="E97">
            <v>-0.16272727272727272</v>
          </cell>
        </row>
        <row r="98">
          <cell r="A98">
            <v>1993</v>
          </cell>
          <cell r="B98">
            <v>20.77</v>
          </cell>
          <cell r="C98">
            <v>-0.21681749622926094</v>
          </cell>
          <cell r="D98">
            <v>20.74</v>
          </cell>
          <cell r="E98">
            <v>-0.24936663047412233</v>
          </cell>
        </row>
        <row r="99">
          <cell r="A99">
            <v>1994</v>
          </cell>
          <cell r="B99">
            <v>25.3</v>
          </cell>
          <cell r="C99">
            <v>0.21810303322099189</v>
          </cell>
          <cell r="D99">
            <v>20.95</v>
          </cell>
          <cell r="E99">
            <v>1.0125361620057838E-2</v>
          </cell>
        </row>
        <row r="100">
          <cell r="A100">
            <v>1995</v>
          </cell>
          <cell r="B100">
            <v>45.06</v>
          </cell>
          <cell r="C100">
            <v>0.78102766798418966</v>
          </cell>
          <cell r="D100">
            <v>25.62</v>
          </cell>
          <cell r="E100">
            <v>0.22291169451073989</v>
          </cell>
        </row>
        <row r="101">
          <cell r="A101">
            <v>1996</v>
          </cell>
          <cell r="B101">
            <v>53.59</v>
          </cell>
          <cell r="C101">
            <v>0.18930315135375064</v>
          </cell>
          <cell r="D101">
            <v>33.03</v>
          </cell>
          <cell r="E101">
            <v>0.28922716627634659</v>
          </cell>
        </row>
        <row r="102">
          <cell r="A102" t="str">
            <v>1997F</v>
          </cell>
          <cell r="B102">
            <v>48.95</v>
          </cell>
          <cell r="C102">
            <v>-8.6583317783168523E-2</v>
          </cell>
          <cell r="D102">
            <v>38.43</v>
          </cell>
          <cell r="E102">
            <v>0.1634877384196185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upreme Industries"/>
      <sheetName val="Supreme"/>
      <sheetName val="Astral"/>
      <sheetName val="Prince Pipes"/>
      <sheetName val="Finolex Ind"/>
      <sheetName val="Industry"/>
      <sheetName val="Sheet1"/>
    </sheetNames>
    <sheetDataSet>
      <sheetData sheetId="0">
        <row r="4">
          <cell r="B4">
            <v>3315.6</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61CF0-A6C0-446C-A321-CDCEE55FD462}">
  <sheetPr>
    <pageSetUpPr fitToPage="1"/>
  </sheetPr>
  <dimension ref="A1:KD360"/>
  <sheetViews>
    <sheetView tabSelected="1" zoomScaleNormal="100" workbookViewId="0">
      <pane xSplit="2" ySplit="2" topLeftCell="C3" activePane="bottomRight" state="frozen"/>
      <selection pane="topRight" activeCell="B1" sqref="B1"/>
      <selection pane="bottomLeft" activeCell="A3" sqref="A3"/>
      <selection pane="bottomRight" activeCell="R40" sqref="R40"/>
    </sheetView>
  </sheetViews>
  <sheetFormatPr defaultColWidth="9.140625" defaultRowHeight="13.5" outlineLevelCol="1" x14ac:dyDescent="0.25"/>
  <cols>
    <col min="1" max="1" width="9.140625" style="7"/>
    <col min="2" max="2" width="36.5703125" style="7" bestFit="1" customWidth="1"/>
    <col min="3" max="3" width="9.140625" style="7" customWidth="1"/>
    <col min="4" max="7" width="9.140625" style="7" hidden="1" customWidth="1" outlineLevel="1"/>
    <col min="8" max="8" width="9.140625" style="7" customWidth="1" collapsed="1"/>
    <col min="9" max="12" width="9.140625" style="7" hidden="1" customWidth="1" outlineLevel="1"/>
    <col min="13" max="13" width="9.140625" style="7" customWidth="1" collapsed="1"/>
    <col min="14" max="17" width="9.140625" style="7" hidden="1" customWidth="1" outlineLevel="1"/>
    <col min="18" max="18" width="9.140625" style="7" customWidth="1" collapsed="1"/>
    <col min="19" max="22" width="9.140625" style="7" hidden="1" customWidth="1" outlineLevel="1"/>
    <col min="23" max="23" width="11.7109375" style="7" bestFit="1" customWidth="1" collapsed="1"/>
    <col min="24" max="27" width="9.140625" style="7" hidden="1" customWidth="1" outlineLevel="1"/>
    <col min="28" max="28" width="9.140625" style="7" customWidth="1" collapsed="1"/>
    <col min="29" max="32" width="9.140625" style="7" hidden="1" customWidth="1" outlineLevel="1"/>
    <col min="33" max="33" width="9.140625" style="7" customWidth="1" collapsed="1"/>
    <col min="34" max="36" width="9.140625" style="7" hidden="1" customWidth="1" outlineLevel="1"/>
    <col min="37" max="37" width="9.140625" style="7" customWidth="1" collapsed="1"/>
    <col min="38" max="41" width="9.140625" style="7" hidden="1" customWidth="1" outlineLevel="1"/>
    <col min="42" max="42" width="9.140625" style="7" customWidth="1" collapsed="1"/>
    <col min="43" max="46" width="9.140625" style="7" hidden="1" customWidth="1" outlineLevel="1"/>
    <col min="47" max="47" width="12" style="7" bestFit="1" customWidth="1" collapsed="1"/>
    <col min="48" max="49" width="9.140625" style="7" hidden="1" customWidth="1" outlineLevel="1"/>
    <col min="50" max="50" width="10" style="7" hidden="1" customWidth="1" outlineLevel="1"/>
    <col min="51" max="51" width="10.42578125" style="7" hidden="1" customWidth="1" outlineLevel="1"/>
    <col min="52" max="52" width="13.7109375" style="7" bestFit="1" customWidth="1" collapsed="1"/>
    <col min="53" max="56" width="11.7109375" style="7" hidden="1" customWidth="1" outlineLevel="1"/>
    <col min="57" max="57" width="13.7109375" style="7" bestFit="1" customWidth="1" collapsed="1"/>
    <col min="58" max="61" width="11.7109375" style="7" customWidth="1" outlineLevel="1"/>
    <col min="62" max="62" width="13.7109375" style="7" bestFit="1" customWidth="1"/>
    <col min="63" max="66" width="11.7109375" style="7" hidden="1" customWidth="1" outlineLevel="1"/>
    <col min="67" max="67" width="13.7109375" style="7" bestFit="1" customWidth="1" collapsed="1"/>
    <col min="68" max="71" width="11.7109375" style="7" hidden="1" customWidth="1" outlineLevel="1"/>
    <col min="72" max="72" width="13.7109375" style="7" bestFit="1" customWidth="1" collapsed="1"/>
    <col min="73" max="76" width="11.7109375" style="7" hidden="1" customWidth="1" outlineLevel="1"/>
    <col min="77" max="77" width="13.7109375" style="7" bestFit="1" customWidth="1" collapsed="1"/>
    <col min="78" max="81" width="11.7109375" style="7" hidden="1" customWidth="1" outlineLevel="1"/>
    <col min="82" max="82" width="13.7109375" style="7" bestFit="1" customWidth="1" collapsed="1"/>
    <col min="83" max="86" width="11.7109375" style="7" hidden="1" customWidth="1" outlineLevel="1"/>
    <col min="87" max="87" width="14.28515625" style="7" bestFit="1" customWidth="1" collapsed="1"/>
    <col min="88" max="89" width="13.7109375" style="7" bestFit="1" customWidth="1"/>
    <col min="90" max="92" width="13.7109375" style="7" hidden="1" customWidth="1"/>
    <col min="93" max="94" width="13.5703125" style="7" customWidth="1"/>
    <col min="95" max="95" width="14.140625" style="7" bestFit="1" customWidth="1"/>
    <col min="96" max="96" width="14.85546875" style="7" customWidth="1"/>
    <col min="97" max="97" width="15.7109375" style="7" bestFit="1" customWidth="1"/>
    <col min="98" max="113" width="9.28515625" style="7" bestFit="1" customWidth="1"/>
    <col min="114" max="114" width="9.140625" style="7"/>
    <col min="115" max="116" width="9.28515625" style="7" bestFit="1" customWidth="1"/>
    <col min="117" max="117" width="9.140625" style="7"/>
    <col min="118" max="119" width="9.28515625" style="7" bestFit="1" customWidth="1"/>
    <col min="120" max="120" width="9.140625" style="7"/>
    <col min="121" max="124" width="9.28515625" style="7" bestFit="1" customWidth="1"/>
    <col min="125" max="125" width="9.140625" style="7"/>
    <col min="126" max="128" width="9.28515625" style="7" bestFit="1" customWidth="1"/>
    <col min="129" max="129" width="9.140625" style="7"/>
    <col min="130" max="130" width="11.28515625" style="7" bestFit="1" customWidth="1"/>
    <col min="131" max="136" width="9.28515625" style="7" bestFit="1" customWidth="1"/>
    <col min="137" max="139" width="9.140625" style="7"/>
    <col min="140" max="144" width="9.28515625" style="7" bestFit="1" customWidth="1"/>
    <col min="145" max="145" width="9.140625" style="7"/>
    <col min="146" max="149" width="9.28515625" style="7" bestFit="1" customWidth="1"/>
    <col min="150" max="151" width="9.140625" style="7"/>
    <col min="152" max="157" width="9.28515625" style="7" bestFit="1" customWidth="1"/>
    <col min="158" max="159" width="9.140625" style="7"/>
    <col min="160" max="164" width="9.28515625" style="7" bestFit="1" customWidth="1"/>
    <col min="165" max="166" width="9.140625" style="7"/>
    <col min="167" max="168" width="9.28515625" style="7" bestFit="1" customWidth="1"/>
    <col min="169" max="170" width="9.140625" style="7"/>
    <col min="171" max="174" width="9.28515625" style="7" bestFit="1" customWidth="1"/>
    <col min="175" max="176" width="9.140625" style="7"/>
    <col min="177" max="181" width="9.28515625" style="7" bestFit="1" customWidth="1"/>
    <col min="182" max="182" width="9.140625" style="7"/>
    <col min="183" max="185" width="9.28515625" style="7" bestFit="1" customWidth="1"/>
    <col min="186" max="187" width="9.140625" style="7"/>
    <col min="188" max="189" width="9.28515625" style="7" bestFit="1" customWidth="1"/>
    <col min="190" max="190" width="10.42578125" style="7" bestFit="1" customWidth="1"/>
    <col min="191" max="193" width="9.28515625" style="7" bestFit="1" customWidth="1"/>
    <col min="194" max="195" width="9.140625" style="7"/>
    <col min="196" max="200" width="9.28515625" style="7" bestFit="1" customWidth="1"/>
    <col min="201" max="203" width="9.140625" style="7"/>
    <col min="204" max="207" width="9.28515625" style="7" bestFit="1" customWidth="1"/>
    <col min="208" max="210" width="9.140625" style="7"/>
    <col min="211" max="214" width="9.28515625" style="7" bestFit="1" customWidth="1"/>
    <col min="215" max="215" width="12" style="7" bestFit="1" customWidth="1"/>
    <col min="216" max="216" width="9.140625" style="7"/>
    <col min="217" max="223" width="9.28515625" style="7" bestFit="1" customWidth="1"/>
    <col min="224" max="225" width="9.140625" style="7"/>
    <col min="226" max="231" width="9.28515625" style="7" bestFit="1" customWidth="1"/>
    <col min="232" max="233" width="9.140625" style="7"/>
    <col min="234" max="237" width="9.28515625" style="7" bestFit="1" customWidth="1"/>
    <col min="238" max="238" width="9.140625" style="7"/>
    <col min="239" max="239" width="11.7109375" style="7" hidden="1" customWidth="1" outlineLevel="1"/>
    <col min="240" max="240" width="13.7109375" style="7" bestFit="1" customWidth="1" collapsed="1"/>
    <col min="241" max="241" width="13.7109375" style="7" bestFit="1" customWidth="1"/>
    <col min="242" max="242" width="13.5703125" style="7" customWidth="1"/>
    <col min="243" max="244" width="9.140625" style="7"/>
    <col min="245" max="246" width="9.28515625" style="7" bestFit="1" customWidth="1"/>
    <col min="247" max="248" width="9.140625" style="7"/>
    <col min="249" max="250" width="9.28515625" style="7" bestFit="1" customWidth="1"/>
    <col min="251" max="252" width="9.140625" style="7"/>
    <col min="253" max="255" width="9.28515625" style="7" bestFit="1" customWidth="1"/>
    <col min="256" max="257" width="9.140625" style="7"/>
    <col min="258" max="261" width="9.28515625" style="7" bestFit="1" customWidth="1"/>
    <col min="262" max="262" width="9.140625" style="7"/>
    <col min="263" max="263" width="17.42578125" style="7" bestFit="1" customWidth="1"/>
    <col min="264" max="264" width="11.85546875" style="7" bestFit="1" customWidth="1"/>
    <col min="265" max="265" width="9.28515625" style="7" bestFit="1" customWidth="1"/>
    <col min="266" max="267" width="9.140625" style="7"/>
    <col min="268" max="268" width="11.85546875" style="7" bestFit="1" customWidth="1"/>
    <col min="269" max="269" width="9.28515625" style="7" bestFit="1" customWidth="1"/>
    <col min="270" max="270" width="11.85546875" style="7" bestFit="1" customWidth="1"/>
    <col min="271" max="272" width="9.140625" style="7"/>
    <col min="273" max="273" width="9.28515625" style="7" bestFit="1" customWidth="1"/>
    <col min="274" max="274" width="11.85546875" style="7" bestFit="1" customWidth="1"/>
    <col min="275" max="276" width="9.140625" style="7"/>
    <col min="277" max="277" width="11.85546875" style="7" bestFit="1" customWidth="1"/>
    <col min="278" max="278" width="9.28515625" style="7" bestFit="1" customWidth="1"/>
    <col min="279" max="279" width="11.85546875" style="7" bestFit="1" customWidth="1"/>
    <col min="280" max="281" width="9.140625" style="7"/>
    <col min="282" max="282" width="9.28515625" style="7" bestFit="1" customWidth="1"/>
    <col min="283" max="283" width="11.85546875" style="7" bestFit="1" customWidth="1"/>
    <col min="284" max="284" width="9.140625" style="7"/>
    <col min="285" max="285" width="9.28515625" style="7" bestFit="1" customWidth="1"/>
    <col min="286" max="286" width="11.85546875" style="7" bestFit="1" customWidth="1"/>
    <col min="287" max="287" width="9.140625" style="7"/>
    <col min="288" max="288" width="9.28515625" style="7" bestFit="1" customWidth="1"/>
    <col min="289" max="289" width="11.85546875" style="7" bestFit="1" customWidth="1"/>
    <col min="290" max="290" width="9.28515625" style="7" bestFit="1" customWidth="1"/>
    <col min="291" max="16384" width="9.140625" style="7"/>
  </cols>
  <sheetData>
    <row r="1" spans="1:290" x14ac:dyDescent="0.25">
      <c r="B1" s="1" t="s">
        <v>0</v>
      </c>
      <c r="C1" s="2"/>
      <c r="D1" s="2"/>
      <c r="E1" s="2"/>
      <c r="F1" s="2"/>
      <c r="G1" s="2"/>
      <c r="H1" s="2"/>
      <c r="I1" s="2"/>
      <c r="J1" s="2"/>
      <c r="K1" s="2"/>
      <c r="L1" s="2"/>
      <c r="M1" s="2"/>
      <c r="N1" s="2"/>
      <c r="O1" s="2"/>
      <c r="P1" s="2"/>
      <c r="Q1" s="2"/>
      <c r="R1" s="2"/>
      <c r="S1" s="2"/>
      <c r="T1" s="2"/>
      <c r="U1" s="2"/>
      <c r="V1" s="2"/>
      <c r="W1" s="2"/>
      <c r="X1" s="2"/>
      <c r="Y1" s="2"/>
      <c r="Z1" s="2"/>
      <c r="AA1" s="2"/>
      <c r="AB1" s="2"/>
      <c r="AC1" s="2" t="s">
        <v>1</v>
      </c>
      <c r="AD1" s="2" t="s">
        <v>2</v>
      </c>
      <c r="AE1" s="2" t="s">
        <v>3</v>
      </c>
      <c r="AF1" s="2" t="s">
        <v>4</v>
      </c>
      <c r="AG1" s="2"/>
      <c r="AH1" s="2" t="s">
        <v>1</v>
      </c>
      <c r="AI1" s="2" t="s">
        <v>2</v>
      </c>
      <c r="AJ1" s="2" t="s">
        <v>3</v>
      </c>
      <c r="AK1" s="2"/>
      <c r="AL1" s="2" t="s">
        <v>4</v>
      </c>
      <c r="AM1" s="2" t="s">
        <v>1</v>
      </c>
      <c r="AN1" s="2" t="s">
        <v>2</v>
      </c>
      <c r="AO1" s="2" t="s">
        <v>5</v>
      </c>
      <c r="AP1" s="2"/>
      <c r="AQ1" s="2" t="s">
        <v>4</v>
      </c>
      <c r="AR1" s="2" t="s">
        <v>1</v>
      </c>
      <c r="AS1" s="2" t="s">
        <v>6</v>
      </c>
      <c r="AT1" s="2" t="s">
        <v>3</v>
      </c>
      <c r="AU1" s="2"/>
      <c r="AV1" s="2" t="s">
        <v>4</v>
      </c>
      <c r="AW1" s="2" t="s">
        <v>1</v>
      </c>
      <c r="AX1" s="2"/>
      <c r="AY1" s="2"/>
      <c r="AZ1" s="3"/>
      <c r="BA1" s="2"/>
      <c r="BB1" s="2"/>
      <c r="BC1" s="2"/>
      <c r="BD1" s="2"/>
      <c r="BE1" s="3"/>
      <c r="BF1" s="2"/>
      <c r="BG1" s="2"/>
      <c r="BH1" s="2"/>
      <c r="BI1" s="2"/>
      <c r="BJ1" s="3"/>
      <c r="BK1" s="2"/>
      <c r="BL1" s="2"/>
      <c r="BM1" s="2"/>
      <c r="BN1" s="2"/>
      <c r="BO1" s="3"/>
      <c r="BP1" s="2"/>
      <c r="BQ1" s="2"/>
      <c r="BR1" s="2"/>
      <c r="BS1" s="2"/>
      <c r="BT1" s="3"/>
      <c r="BU1" s="2"/>
      <c r="BV1" s="2"/>
      <c r="BW1" s="2"/>
      <c r="BX1" s="2"/>
      <c r="BY1" s="3"/>
      <c r="BZ1" s="2"/>
      <c r="CA1" s="2"/>
      <c r="CB1" s="2"/>
      <c r="CC1" s="2"/>
      <c r="CD1" s="3"/>
      <c r="CE1" s="2"/>
      <c r="CF1" s="2"/>
      <c r="CG1" s="2"/>
      <c r="CH1" s="2"/>
      <c r="CI1" s="3"/>
      <c r="CJ1" s="3"/>
      <c r="CK1" s="3"/>
      <c r="CL1" s="3"/>
      <c r="CM1" s="3"/>
      <c r="CN1" s="3"/>
      <c r="CO1" s="4"/>
      <c r="CP1" s="4"/>
      <c r="CQ1" s="5" t="s">
        <v>7</v>
      </c>
      <c r="CR1" s="6"/>
      <c r="CS1" s="6"/>
      <c r="CT1" s="2"/>
      <c r="CU1" s="2"/>
      <c r="CV1" s="2"/>
      <c r="CW1" s="2"/>
      <c r="CX1" s="2"/>
      <c r="CY1" s="2"/>
      <c r="CZ1" s="2"/>
      <c r="DC1" s="2"/>
      <c r="DD1" s="2"/>
      <c r="DK1" s="2" t="s">
        <v>8</v>
      </c>
      <c r="DL1" s="3"/>
      <c r="DM1" s="6"/>
      <c r="DN1" s="2" t="s">
        <v>9</v>
      </c>
      <c r="DO1" s="3"/>
      <c r="DV1" s="3" t="s">
        <v>10</v>
      </c>
      <c r="DW1" s="3"/>
      <c r="DX1" s="3"/>
      <c r="DZ1" s="7" t="s">
        <v>11</v>
      </c>
      <c r="EA1" s="2" t="s">
        <v>1</v>
      </c>
      <c r="EB1" s="2"/>
      <c r="EC1" s="2"/>
      <c r="ED1" s="3"/>
      <c r="EE1" s="3"/>
      <c r="EF1" s="3"/>
      <c r="EJ1" s="7" t="s">
        <v>12</v>
      </c>
      <c r="EP1" s="2" t="s">
        <v>13</v>
      </c>
      <c r="EQ1" s="3"/>
      <c r="ER1" s="3"/>
      <c r="ES1" s="3"/>
      <c r="EV1" s="2"/>
      <c r="EW1" s="2"/>
      <c r="EX1" s="2"/>
      <c r="EY1" s="2"/>
      <c r="EZ1" s="3"/>
      <c r="FA1" s="3"/>
      <c r="FD1" s="2" t="s">
        <v>14</v>
      </c>
      <c r="FE1" s="2"/>
      <c r="FF1" s="2"/>
      <c r="FG1" s="3"/>
      <c r="FH1" s="3"/>
      <c r="FK1" s="3"/>
      <c r="FL1" s="3"/>
      <c r="FO1" s="2"/>
      <c r="FP1" s="2"/>
      <c r="FQ1" s="3"/>
      <c r="FR1" s="3"/>
      <c r="FU1" s="2" t="s">
        <v>15</v>
      </c>
      <c r="FV1" s="3"/>
      <c r="FW1" s="3"/>
      <c r="FX1" s="3"/>
      <c r="FY1" s="3"/>
      <c r="GA1" s="7" t="s">
        <v>16</v>
      </c>
      <c r="GF1" s="3"/>
      <c r="GG1" s="3"/>
      <c r="GH1" s="3"/>
      <c r="GI1" s="3"/>
      <c r="GJ1" s="3"/>
      <c r="GK1" s="3"/>
      <c r="GM1" s="7" t="s">
        <v>17</v>
      </c>
      <c r="GN1" s="3"/>
      <c r="GO1" s="3"/>
      <c r="GP1" s="3"/>
      <c r="GQ1" s="3"/>
      <c r="GR1" s="3"/>
      <c r="GV1" s="3" t="s">
        <v>18</v>
      </c>
      <c r="GW1" s="3"/>
      <c r="GX1" s="3"/>
      <c r="GY1" s="3"/>
      <c r="HC1" s="3" t="s">
        <v>19</v>
      </c>
      <c r="HD1" s="3"/>
      <c r="HE1" s="3"/>
      <c r="HF1" s="3"/>
      <c r="HI1" s="3" t="s">
        <v>20</v>
      </c>
      <c r="HJ1" s="3"/>
      <c r="HK1" s="3"/>
      <c r="HL1" s="3"/>
      <c r="HM1" s="3"/>
      <c r="HN1" s="3"/>
      <c r="HO1" s="3"/>
      <c r="HQ1" s="7" t="s">
        <v>21</v>
      </c>
      <c r="HR1" s="3"/>
      <c r="HS1" s="3"/>
      <c r="HT1" s="3"/>
      <c r="HU1" s="3"/>
      <c r="HV1" s="3"/>
      <c r="HW1" s="3"/>
      <c r="HZ1" s="7" t="s">
        <v>22</v>
      </c>
      <c r="IE1" s="3"/>
      <c r="IF1" s="3"/>
      <c r="IG1" s="3"/>
      <c r="IH1" s="3"/>
      <c r="IK1" s="7" t="s">
        <v>23</v>
      </c>
      <c r="IO1" s="7" t="s">
        <v>24</v>
      </c>
      <c r="IR1" s="7" t="s">
        <v>25</v>
      </c>
      <c r="IS1" s="3" t="s">
        <v>26</v>
      </c>
      <c r="IT1" s="3" t="s">
        <v>27</v>
      </c>
      <c r="IU1" s="3" t="s">
        <v>28</v>
      </c>
      <c r="IX1" s="3" t="s">
        <v>29</v>
      </c>
      <c r="JH1" s="3" t="s">
        <v>30</v>
      </c>
      <c r="JI1" s="3"/>
      <c r="JJ1" s="3"/>
      <c r="JM1" s="7" t="s">
        <v>31</v>
      </c>
      <c r="JQ1" s="7" t="s">
        <v>32</v>
      </c>
      <c r="JV1" s="3" t="s">
        <v>33</v>
      </c>
      <c r="JW1" s="3"/>
      <c r="JY1" s="3" t="s">
        <v>34</v>
      </c>
      <c r="JZ1" s="3"/>
      <c r="KB1" s="3" t="s">
        <v>35</v>
      </c>
      <c r="KC1" s="3"/>
      <c r="KD1" s="3"/>
    </row>
    <row r="2" spans="1:290" x14ac:dyDescent="0.25">
      <c r="B2" s="1" t="s">
        <v>36</v>
      </c>
      <c r="C2" s="2"/>
      <c r="D2" s="2" t="s">
        <v>37</v>
      </c>
      <c r="E2" s="2" t="s">
        <v>38</v>
      </c>
      <c r="F2" s="2" t="s">
        <v>39</v>
      </c>
      <c r="G2" s="2" t="s">
        <v>40</v>
      </c>
      <c r="H2" s="2" t="s">
        <v>41</v>
      </c>
      <c r="I2" s="2" t="s">
        <v>42</v>
      </c>
      <c r="J2" s="2" t="s">
        <v>43</v>
      </c>
      <c r="K2" s="2" t="s">
        <v>44</v>
      </c>
      <c r="L2" s="2" t="s">
        <v>45</v>
      </c>
      <c r="M2" s="2" t="s">
        <v>46</v>
      </c>
      <c r="N2" s="2" t="s">
        <v>47</v>
      </c>
      <c r="O2" s="2" t="s">
        <v>48</v>
      </c>
      <c r="P2" s="2" t="s">
        <v>49</v>
      </c>
      <c r="Q2" s="2" t="s">
        <v>50</v>
      </c>
      <c r="R2" s="2" t="s">
        <v>51</v>
      </c>
      <c r="S2" s="2" t="s">
        <v>52</v>
      </c>
      <c r="T2" s="2" t="s">
        <v>53</v>
      </c>
      <c r="U2" s="2" t="s">
        <v>54</v>
      </c>
      <c r="V2" s="2" t="s">
        <v>55</v>
      </c>
      <c r="W2" s="2" t="s">
        <v>56</v>
      </c>
      <c r="X2" s="2" t="s">
        <v>57</v>
      </c>
      <c r="Y2" s="2" t="s">
        <v>58</v>
      </c>
      <c r="Z2" s="2" t="s">
        <v>59</v>
      </c>
      <c r="AA2" s="2" t="s">
        <v>60</v>
      </c>
      <c r="AB2" s="2" t="s">
        <v>61</v>
      </c>
      <c r="AC2" s="2" t="s">
        <v>62</v>
      </c>
      <c r="AD2" s="2" t="s">
        <v>63</v>
      </c>
      <c r="AE2" s="2" t="s">
        <v>64</v>
      </c>
      <c r="AF2" s="2" t="s">
        <v>65</v>
      </c>
      <c r="AG2" s="2" t="s">
        <v>66</v>
      </c>
      <c r="AH2" s="2" t="s">
        <v>67</v>
      </c>
      <c r="AI2" s="2" t="s">
        <v>68</v>
      </c>
      <c r="AJ2" s="2" t="s">
        <v>69</v>
      </c>
      <c r="AK2" s="2" t="s">
        <v>70</v>
      </c>
      <c r="AL2" s="2" t="s">
        <v>71</v>
      </c>
      <c r="AM2" s="2" t="s">
        <v>72</v>
      </c>
      <c r="AN2" s="2" t="s">
        <v>73</v>
      </c>
      <c r="AO2" s="2" t="s">
        <v>74</v>
      </c>
      <c r="AP2" s="2" t="s">
        <v>75</v>
      </c>
      <c r="AQ2" s="2" t="s">
        <v>9</v>
      </c>
      <c r="AR2" s="2" t="s">
        <v>8</v>
      </c>
      <c r="AS2" s="2" t="s">
        <v>76</v>
      </c>
      <c r="AT2" s="2" t="s">
        <v>77</v>
      </c>
      <c r="AU2" s="2" t="s">
        <v>78</v>
      </c>
      <c r="AV2" s="2" t="s">
        <v>10</v>
      </c>
      <c r="AW2" s="2" t="s">
        <v>79</v>
      </c>
      <c r="AX2" s="2" t="s">
        <v>80</v>
      </c>
      <c r="AY2" s="2" t="s">
        <v>81</v>
      </c>
      <c r="AZ2" s="2" t="s">
        <v>82</v>
      </c>
      <c r="BA2" s="2" t="s">
        <v>83</v>
      </c>
      <c r="BB2" s="2" t="s">
        <v>84</v>
      </c>
      <c r="BC2" s="2" t="s">
        <v>85</v>
      </c>
      <c r="BD2" s="2" t="s">
        <v>86</v>
      </c>
      <c r="BE2" s="2" t="s">
        <v>87</v>
      </c>
      <c r="BF2" s="2" t="s">
        <v>88</v>
      </c>
      <c r="BG2" s="2" t="s">
        <v>89</v>
      </c>
      <c r="BH2" s="2" t="s">
        <v>90</v>
      </c>
      <c r="BI2" s="2" t="s">
        <v>91</v>
      </c>
      <c r="BJ2" s="2" t="s">
        <v>92</v>
      </c>
      <c r="BK2" s="2" t="s">
        <v>93</v>
      </c>
      <c r="BL2" s="2" t="s">
        <v>94</v>
      </c>
      <c r="BM2" s="2" t="s">
        <v>95</v>
      </c>
      <c r="BN2" s="2" t="s">
        <v>96</v>
      </c>
      <c r="BO2" s="2" t="s">
        <v>97</v>
      </c>
      <c r="BP2" s="2" t="s">
        <v>98</v>
      </c>
      <c r="BQ2" s="2" t="s">
        <v>99</v>
      </c>
      <c r="BR2" s="2" t="s">
        <v>100</v>
      </c>
      <c r="BS2" s="2" t="s">
        <v>101</v>
      </c>
      <c r="BT2" s="2" t="s">
        <v>102</v>
      </c>
      <c r="BU2" s="2" t="s">
        <v>103</v>
      </c>
      <c r="BV2" s="2" t="s">
        <v>104</v>
      </c>
      <c r="BW2" s="2" t="s">
        <v>105</v>
      </c>
      <c r="BX2" s="2" t="s">
        <v>106</v>
      </c>
      <c r="BY2" s="2" t="s">
        <v>107</v>
      </c>
      <c r="BZ2" s="2" t="s">
        <v>108</v>
      </c>
      <c r="CA2" s="2" t="s">
        <v>109</v>
      </c>
      <c r="CB2" s="2" t="s">
        <v>110</v>
      </c>
      <c r="CC2" s="2" t="s">
        <v>111</v>
      </c>
      <c r="CD2" s="2" t="s">
        <v>112</v>
      </c>
      <c r="CE2" s="2" t="s">
        <v>113</v>
      </c>
      <c r="CF2" s="2" t="s">
        <v>114</v>
      </c>
      <c r="CG2" s="2" t="s">
        <v>115</v>
      </c>
      <c r="CH2" s="2" t="s">
        <v>116</v>
      </c>
      <c r="CI2" s="2" t="s">
        <v>117</v>
      </c>
      <c r="CJ2" s="2" t="s">
        <v>118</v>
      </c>
      <c r="CK2" s="2" t="s">
        <v>119</v>
      </c>
      <c r="CL2" s="2" t="s">
        <v>120</v>
      </c>
      <c r="CM2" s="2" t="s">
        <v>121</v>
      </c>
      <c r="CN2" s="2" t="s">
        <v>122</v>
      </c>
      <c r="CO2" s="4"/>
      <c r="CP2" s="4"/>
      <c r="CQ2" s="8" t="s">
        <v>123</v>
      </c>
      <c r="CR2" s="6"/>
      <c r="CS2" s="6"/>
      <c r="CT2" s="2" t="str">
        <f t="shared" ref="CT2:CT9" si="0">AB2</f>
        <v>CY14</v>
      </c>
      <c r="CU2" s="2" t="str">
        <f t="shared" ref="CU2:CU9" si="1">AG2</f>
        <v>CY15</v>
      </c>
      <c r="CV2" s="2" t="str">
        <f t="shared" ref="CV2:CV9" si="2">AK2</f>
        <v>FY16</v>
      </c>
      <c r="CW2" s="2" t="str">
        <f t="shared" ref="CW2:CW9" si="3">AP2</f>
        <v>FY17</v>
      </c>
      <c r="CX2" s="2" t="str">
        <f t="shared" ref="CX2:CX9" si="4">AU2</f>
        <v>FY18</v>
      </c>
      <c r="CY2" s="2" t="str">
        <f t="shared" ref="CY2:CY9" si="5">AZ2</f>
        <v>FY19</v>
      </c>
      <c r="CZ2" s="2" t="str">
        <f t="shared" ref="CZ2:CZ9" si="6">BE2</f>
        <v>FY20</v>
      </c>
      <c r="DA2" s="2" t="str">
        <f t="shared" ref="DA2:DA9" si="7">BJ2</f>
        <v>FY21</v>
      </c>
      <c r="DB2" s="2" t="str">
        <f t="shared" ref="DB2:DB9" si="8">BO2</f>
        <v>FY22</v>
      </c>
      <c r="DC2" s="2" t="str">
        <f t="shared" ref="DC2:DC9" si="9">BT2</f>
        <v>FY23</v>
      </c>
      <c r="DD2" s="2" t="str">
        <f t="shared" ref="DD2:DD9" si="10">BY2</f>
        <v>FY24</v>
      </c>
      <c r="DE2" s="2" t="str">
        <f t="shared" ref="DE2:DE9" si="11">CD2</f>
        <v>FY25</v>
      </c>
      <c r="DF2" s="2" t="str">
        <f t="shared" ref="DF2:DH9" si="12">CI2</f>
        <v>FY26</v>
      </c>
      <c r="DG2" s="2" t="str">
        <f t="shared" si="12"/>
        <v>FY27E</v>
      </c>
      <c r="DH2" s="2" t="str">
        <f t="shared" si="12"/>
        <v>FY28E</v>
      </c>
      <c r="DI2" s="2" t="s">
        <v>124</v>
      </c>
      <c r="DK2" s="2" t="s">
        <v>125</v>
      </c>
      <c r="DL2" s="2" t="s">
        <v>126</v>
      </c>
      <c r="DM2" s="6"/>
      <c r="DN2" s="2" t="s">
        <v>125</v>
      </c>
      <c r="DO2" s="2" t="s">
        <v>126</v>
      </c>
      <c r="DQ2" s="2" t="s">
        <v>127</v>
      </c>
      <c r="DR2" s="2" t="s">
        <v>125</v>
      </c>
      <c r="DS2" s="2" t="s">
        <v>126</v>
      </c>
      <c r="DT2" s="2" t="s">
        <v>124</v>
      </c>
      <c r="DV2" s="2" t="s">
        <v>126</v>
      </c>
      <c r="DW2" s="2" t="s">
        <v>124</v>
      </c>
      <c r="DX2" s="2" t="s">
        <v>128</v>
      </c>
      <c r="EA2" s="2" t="s">
        <v>79</v>
      </c>
      <c r="EB2" s="2" t="s">
        <v>80</v>
      </c>
      <c r="EC2" s="2" t="s">
        <v>81</v>
      </c>
      <c r="ED2" s="2" t="s">
        <v>126</v>
      </c>
      <c r="EE2" s="2" t="s">
        <v>124</v>
      </c>
      <c r="EF2" s="2" t="s">
        <v>128</v>
      </c>
      <c r="EJ2" s="2" t="s">
        <v>80</v>
      </c>
      <c r="EK2" s="2" t="s">
        <v>81</v>
      </c>
      <c r="EL2" s="2" t="s">
        <v>126</v>
      </c>
      <c r="EM2" s="2" t="s">
        <v>124</v>
      </c>
      <c r="EN2" s="2" t="s">
        <v>128</v>
      </c>
      <c r="EP2" s="2" t="s">
        <v>81</v>
      </c>
      <c r="EQ2" s="2" t="s">
        <v>126</v>
      </c>
      <c r="ER2" s="2" t="s">
        <v>124</v>
      </c>
      <c r="ES2" s="2" t="s">
        <v>128</v>
      </c>
      <c r="EV2" s="2" t="s">
        <v>129</v>
      </c>
      <c r="EW2" s="2" t="s">
        <v>130</v>
      </c>
      <c r="EX2" s="2" t="s">
        <v>131</v>
      </c>
      <c r="EY2" s="2" t="s">
        <v>132</v>
      </c>
      <c r="EZ2" s="2" t="s">
        <v>124</v>
      </c>
      <c r="FA2" s="2" t="s">
        <v>128</v>
      </c>
      <c r="FD2" s="2" t="s">
        <v>130</v>
      </c>
      <c r="FE2" s="2" t="s">
        <v>131</v>
      </c>
      <c r="FF2" s="2" t="s">
        <v>132</v>
      </c>
      <c r="FG2" s="2" t="s">
        <v>124</v>
      </c>
      <c r="FH2" s="2" t="s">
        <v>128</v>
      </c>
      <c r="FK2" s="2" t="s">
        <v>124</v>
      </c>
      <c r="FL2" s="2" t="s">
        <v>128</v>
      </c>
      <c r="FO2" s="2" t="s">
        <v>131</v>
      </c>
      <c r="FP2" s="2" t="s">
        <v>132</v>
      </c>
      <c r="FQ2" s="2" t="s">
        <v>124</v>
      </c>
      <c r="FR2" s="2" t="s">
        <v>128</v>
      </c>
      <c r="FU2" s="2" t="s">
        <v>132</v>
      </c>
      <c r="FV2" s="2" t="s">
        <v>124</v>
      </c>
      <c r="FW2" s="2" t="s">
        <v>128</v>
      </c>
      <c r="FX2" s="3" t="s">
        <v>133</v>
      </c>
      <c r="FY2" s="3" t="s">
        <v>134</v>
      </c>
      <c r="GA2" s="2" t="s">
        <v>128</v>
      </c>
      <c r="GB2" s="3" t="s">
        <v>133</v>
      </c>
      <c r="GC2" s="3" t="s">
        <v>134</v>
      </c>
      <c r="GF2" s="2" t="s">
        <v>89</v>
      </c>
      <c r="GG2" s="2"/>
      <c r="GH2" s="2"/>
      <c r="GI2" s="2" t="s">
        <v>128</v>
      </c>
      <c r="GJ2" s="3" t="s">
        <v>133</v>
      </c>
      <c r="GK2" s="3" t="s">
        <v>134</v>
      </c>
      <c r="GN2" s="2" t="s">
        <v>90</v>
      </c>
      <c r="GO2" s="2"/>
      <c r="GP2" s="2" t="s">
        <v>128</v>
      </c>
      <c r="GQ2" s="3" t="s">
        <v>133</v>
      </c>
      <c r="GR2" s="3" t="s">
        <v>134</v>
      </c>
      <c r="GV2" s="2" t="s">
        <v>91</v>
      </c>
      <c r="GW2" s="2" t="s">
        <v>128</v>
      </c>
      <c r="GX2" s="3" t="s">
        <v>133</v>
      </c>
      <c r="GY2" s="3" t="s">
        <v>134</v>
      </c>
      <c r="HC2" s="3" t="s">
        <v>96</v>
      </c>
      <c r="HD2" s="3" t="s">
        <v>133</v>
      </c>
      <c r="HE2" s="3" t="s">
        <v>134</v>
      </c>
      <c r="HF2" s="3" t="s">
        <v>26</v>
      </c>
      <c r="HI2" s="2" t="s">
        <v>98</v>
      </c>
      <c r="HJ2" s="2" t="s">
        <v>99</v>
      </c>
      <c r="HK2" s="2" t="s">
        <v>100</v>
      </c>
      <c r="HL2" s="2" t="s">
        <v>101</v>
      </c>
      <c r="HM2" s="3" t="s">
        <v>134</v>
      </c>
      <c r="HN2" s="3" t="s">
        <v>26</v>
      </c>
      <c r="HO2" s="3" t="s">
        <v>27</v>
      </c>
      <c r="HR2" s="2" t="s">
        <v>99</v>
      </c>
      <c r="HS2" s="2" t="s">
        <v>100</v>
      </c>
      <c r="HT2" s="2" t="s">
        <v>101</v>
      </c>
      <c r="HU2" s="3" t="s">
        <v>134</v>
      </c>
      <c r="HV2" s="3" t="s">
        <v>26</v>
      </c>
      <c r="HW2" s="3" t="s">
        <v>27</v>
      </c>
      <c r="HZ2" s="2" t="s">
        <v>100</v>
      </c>
      <c r="IA2" s="3" t="s">
        <v>134</v>
      </c>
      <c r="IB2" s="3" t="s">
        <v>26</v>
      </c>
      <c r="IC2" s="3" t="s">
        <v>27</v>
      </c>
      <c r="IE2" s="2" t="s">
        <v>101</v>
      </c>
      <c r="IF2" s="3" t="s">
        <v>134</v>
      </c>
      <c r="IG2" s="3" t="s">
        <v>26</v>
      </c>
      <c r="IH2" s="3" t="s">
        <v>27</v>
      </c>
      <c r="IK2" s="3" t="s">
        <v>26</v>
      </c>
      <c r="IL2" s="3" t="s">
        <v>27</v>
      </c>
      <c r="IO2" s="3" t="s">
        <v>26</v>
      </c>
      <c r="IP2" s="3" t="s">
        <v>27</v>
      </c>
      <c r="IS2" s="9"/>
      <c r="IT2" s="9"/>
      <c r="IU2" s="9"/>
      <c r="IX2" s="3" t="s">
        <v>106</v>
      </c>
      <c r="IY2" s="3" t="s">
        <v>26</v>
      </c>
      <c r="IZ2" s="3" t="s">
        <v>27</v>
      </c>
      <c r="JA2" s="3" t="s">
        <v>28</v>
      </c>
      <c r="JC2" s="10" t="s">
        <v>135</v>
      </c>
      <c r="JD2" s="3" t="s">
        <v>27</v>
      </c>
      <c r="JE2" s="3" t="s">
        <v>28</v>
      </c>
      <c r="JH2" s="3" t="s">
        <v>27</v>
      </c>
      <c r="JI2" s="3" t="s">
        <v>28</v>
      </c>
      <c r="JJ2" s="3" t="s">
        <v>118</v>
      </c>
      <c r="JM2" s="3" t="s">
        <v>28</v>
      </c>
      <c r="JN2" s="3" t="s">
        <v>118</v>
      </c>
      <c r="JQ2" s="3" t="s">
        <v>27</v>
      </c>
      <c r="JR2" s="3" t="s">
        <v>28</v>
      </c>
      <c r="JS2" s="3" t="s">
        <v>118</v>
      </c>
      <c r="JV2" s="3" t="s">
        <v>28</v>
      </c>
      <c r="JW2" s="3" t="s">
        <v>118</v>
      </c>
      <c r="JY2" s="3" t="s">
        <v>28</v>
      </c>
      <c r="JZ2" s="3" t="s">
        <v>118</v>
      </c>
      <c r="KB2" s="3" t="s">
        <v>28</v>
      </c>
      <c r="KC2" s="3" t="s">
        <v>118</v>
      </c>
      <c r="KD2" s="3" t="s">
        <v>119</v>
      </c>
    </row>
    <row r="3" spans="1:290" x14ac:dyDescent="0.25">
      <c r="A3" s="7" t="s">
        <v>259</v>
      </c>
      <c r="B3" s="11" t="s">
        <v>136</v>
      </c>
      <c r="C3" s="12"/>
      <c r="D3" s="12"/>
      <c r="E3" s="12"/>
      <c r="F3" s="12"/>
      <c r="G3" s="12"/>
      <c r="H3" s="13"/>
      <c r="I3" s="12"/>
      <c r="J3" s="12"/>
      <c r="K3" s="12"/>
      <c r="L3" s="12"/>
      <c r="M3" s="13"/>
      <c r="N3" s="12"/>
      <c r="O3" s="12"/>
      <c r="P3" s="12"/>
      <c r="Q3" s="12"/>
      <c r="R3" s="13"/>
      <c r="S3" s="12"/>
      <c r="T3" s="12"/>
      <c r="U3" s="12"/>
      <c r="V3" s="12"/>
      <c r="W3" s="13"/>
      <c r="X3" s="14"/>
      <c r="Y3" s="14"/>
      <c r="Z3" s="14"/>
      <c r="AA3" s="14"/>
      <c r="AB3" s="13"/>
      <c r="AC3" s="14"/>
      <c r="AD3" s="14"/>
      <c r="AE3" s="14"/>
      <c r="AF3" s="14"/>
      <c r="AG3" s="13"/>
      <c r="AH3" s="14"/>
      <c r="AI3" s="14"/>
      <c r="AJ3" s="14"/>
      <c r="AK3" s="13"/>
      <c r="AL3" s="14">
        <v>1330.1259</v>
      </c>
      <c r="AM3" s="14">
        <v>984.70129999999995</v>
      </c>
      <c r="AN3" s="14">
        <v>1239.4100000000001</v>
      </c>
      <c r="AO3" s="14">
        <f>AO6</f>
        <v>1282.6300000000001</v>
      </c>
      <c r="AP3" s="13"/>
      <c r="AQ3" s="14">
        <v>1161.6600000000001</v>
      </c>
      <c r="AR3" s="14">
        <v>1055.06</v>
      </c>
      <c r="AS3" s="14">
        <v>1278.3</v>
      </c>
      <c r="AT3" s="14">
        <v>1471.26</v>
      </c>
      <c r="AU3" s="13">
        <v>4966.29</v>
      </c>
      <c r="AV3" s="14">
        <v>1345.71</v>
      </c>
      <c r="AW3" s="14">
        <f>1316.17-80.85</f>
        <v>1235.3200000000002</v>
      </c>
      <c r="AX3" s="14">
        <v>1414.55</v>
      </c>
      <c r="AY3" s="14">
        <v>1530.91</v>
      </c>
      <c r="AZ3" s="13">
        <f>5611.99-55.88</f>
        <v>5556.11</v>
      </c>
      <c r="BA3" s="14">
        <v>1436.83</v>
      </c>
      <c r="BB3" s="14">
        <f>1270.9+9.7</f>
        <v>1280.6000000000001</v>
      </c>
      <c r="BC3" s="14"/>
      <c r="BD3" s="14"/>
      <c r="BE3" s="13"/>
      <c r="BF3" s="14"/>
      <c r="BG3" s="14"/>
      <c r="BH3" s="14"/>
      <c r="BI3" s="14"/>
      <c r="BJ3" s="13"/>
      <c r="BK3" s="14"/>
      <c r="BL3" s="14"/>
      <c r="BM3" s="14"/>
      <c r="BN3" s="14"/>
      <c r="BO3" s="13"/>
      <c r="BP3" s="14"/>
      <c r="BQ3" s="14"/>
      <c r="BR3" s="14"/>
      <c r="BS3" s="14"/>
      <c r="BT3" s="13"/>
      <c r="BU3" s="14"/>
      <c r="BV3" s="14"/>
      <c r="BW3" s="14"/>
      <c r="BX3" s="14"/>
      <c r="BY3" s="13"/>
      <c r="BZ3" s="14"/>
      <c r="CA3" s="14"/>
      <c r="CB3" s="14"/>
      <c r="CC3" s="14"/>
      <c r="CD3" s="13"/>
      <c r="CE3" s="14"/>
      <c r="CF3" s="14"/>
      <c r="CG3" s="14"/>
      <c r="CH3" s="14"/>
      <c r="CI3" s="13"/>
      <c r="CJ3" s="13"/>
      <c r="CK3" s="13"/>
      <c r="CL3" s="13"/>
      <c r="CM3" s="13"/>
      <c r="CN3" s="13"/>
      <c r="CO3" s="15"/>
      <c r="CP3" s="15"/>
      <c r="CQ3" s="5" t="s">
        <v>7</v>
      </c>
      <c r="CR3" s="6"/>
      <c r="CS3" s="6"/>
      <c r="CT3" s="13">
        <f t="shared" si="0"/>
        <v>0</v>
      </c>
      <c r="CU3" s="13">
        <f t="shared" si="1"/>
        <v>0</v>
      </c>
      <c r="CV3" s="13">
        <f t="shared" si="2"/>
        <v>0</v>
      </c>
      <c r="CW3" s="13">
        <f t="shared" si="3"/>
        <v>0</v>
      </c>
      <c r="CX3" s="13">
        <f t="shared" si="4"/>
        <v>4966.29</v>
      </c>
      <c r="CY3" s="13">
        <f t="shared" si="5"/>
        <v>5556.11</v>
      </c>
      <c r="CZ3" s="13">
        <f t="shared" si="6"/>
        <v>0</v>
      </c>
      <c r="DA3" s="13">
        <f t="shared" si="7"/>
        <v>0</v>
      </c>
      <c r="DB3" s="13">
        <f t="shared" si="8"/>
        <v>0</v>
      </c>
      <c r="DC3" s="13">
        <f t="shared" si="9"/>
        <v>0</v>
      </c>
      <c r="DD3" s="13">
        <f t="shared" si="10"/>
        <v>0</v>
      </c>
      <c r="DE3" s="13">
        <f t="shared" si="11"/>
        <v>0</v>
      </c>
      <c r="DF3" s="13">
        <f t="shared" si="12"/>
        <v>0</v>
      </c>
      <c r="DG3" s="13">
        <f t="shared" si="12"/>
        <v>0</v>
      </c>
      <c r="DH3" s="13">
        <f t="shared" si="12"/>
        <v>0</v>
      </c>
      <c r="DI3" s="13"/>
      <c r="DK3" s="13"/>
      <c r="DL3" s="13"/>
      <c r="DM3" s="6"/>
      <c r="DN3" s="13"/>
      <c r="DO3" s="13"/>
      <c r="DQ3" s="14">
        <v>1526.3297</v>
      </c>
      <c r="DR3" s="13"/>
      <c r="DS3" s="13"/>
      <c r="DT3" s="13"/>
      <c r="DV3" s="13"/>
      <c r="DW3" s="13"/>
      <c r="DX3" s="13"/>
      <c r="EA3" s="14">
        <v>1202.7683999999999</v>
      </c>
      <c r="EB3" s="14">
        <v>1470.0449999999998</v>
      </c>
      <c r="EC3" s="14">
        <v>1691.9489999999998</v>
      </c>
      <c r="ED3" s="13"/>
      <c r="EE3" s="13"/>
      <c r="EF3" s="13"/>
      <c r="EJ3" s="14">
        <v>1406.13</v>
      </c>
      <c r="EK3" s="14"/>
      <c r="EL3" s="13"/>
      <c r="EM3" s="13"/>
      <c r="EN3" s="13"/>
      <c r="EP3" s="14"/>
      <c r="EQ3" s="13"/>
      <c r="ER3" s="13"/>
      <c r="ES3" s="13"/>
      <c r="EV3" s="14"/>
      <c r="EW3" s="14"/>
      <c r="EX3" s="14"/>
      <c r="EY3" s="14"/>
      <c r="EZ3" s="13"/>
      <c r="FA3" s="13"/>
      <c r="FD3" s="14"/>
      <c r="FE3" s="14"/>
      <c r="FF3" s="14"/>
      <c r="FG3" s="13"/>
      <c r="FH3" s="13"/>
      <c r="FK3" s="13"/>
      <c r="FL3" s="13"/>
      <c r="FO3" s="14"/>
      <c r="FP3" s="14"/>
      <c r="FQ3" s="13"/>
      <c r="FR3" s="13"/>
      <c r="FU3" s="14"/>
      <c r="FV3" s="13"/>
      <c r="FW3" s="13"/>
      <c r="FX3" s="13"/>
      <c r="FY3" s="13"/>
      <c r="GA3" s="13"/>
      <c r="GB3" s="13"/>
      <c r="GC3" s="13"/>
      <c r="GF3" s="14"/>
      <c r="GG3" s="14"/>
      <c r="GH3" s="14"/>
      <c r="GI3" s="13"/>
      <c r="GJ3" s="13"/>
      <c r="GK3" s="13"/>
      <c r="GN3" s="14"/>
      <c r="GO3" s="14"/>
      <c r="GP3" s="13"/>
      <c r="GQ3" s="13"/>
      <c r="GR3" s="13"/>
      <c r="GV3" s="14"/>
      <c r="GW3" s="13"/>
      <c r="GX3" s="13"/>
      <c r="GY3" s="13"/>
      <c r="HC3" s="13"/>
      <c r="HD3" s="13"/>
      <c r="HE3" s="13"/>
      <c r="HF3" s="9"/>
      <c r="HI3" s="14"/>
      <c r="HJ3" s="14"/>
      <c r="HK3" s="14"/>
      <c r="HL3" s="14"/>
      <c r="HM3" s="13"/>
      <c r="HN3" s="9"/>
      <c r="HO3" s="9"/>
      <c r="HR3" s="14"/>
      <c r="HS3" s="14"/>
      <c r="HT3" s="14"/>
      <c r="HU3" s="13"/>
      <c r="HV3" s="9"/>
      <c r="HW3" s="9"/>
      <c r="HZ3" s="14"/>
      <c r="IA3" s="13"/>
      <c r="IB3" s="9"/>
      <c r="IC3" s="9"/>
      <c r="IE3" s="14"/>
      <c r="IF3" s="13"/>
      <c r="IG3" s="9"/>
      <c r="IH3" s="9"/>
      <c r="IK3" s="9"/>
      <c r="IL3" s="9"/>
      <c r="IO3" s="9"/>
      <c r="IP3" s="9"/>
      <c r="IS3" s="16"/>
      <c r="IT3" s="16"/>
      <c r="IU3" s="16"/>
      <c r="IX3" s="9"/>
      <c r="IY3" s="9"/>
      <c r="IZ3" s="9"/>
      <c r="JA3" s="9"/>
      <c r="JD3" s="9"/>
      <c r="JE3" s="9"/>
      <c r="JH3" s="9"/>
      <c r="JI3" s="9"/>
      <c r="JJ3" s="9"/>
      <c r="JM3" s="9"/>
      <c r="JN3" s="9"/>
      <c r="JQ3" s="9"/>
      <c r="JR3" s="9"/>
      <c r="JS3" s="9"/>
      <c r="JV3" s="9"/>
      <c r="JW3" s="9"/>
      <c r="JY3" s="9"/>
      <c r="JZ3" s="9"/>
      <c r="KB3" s="9"/>
      <c r="KC3" s="9"/>
      <c r="KD3" s="9"/>
    </row>
    <row r="4" spans="1:290" x14ac:dyDescent="0.25">
      <c r="A4" s="7" t="s">
        <v>259</v>
      </c>
      <c r="B4" s="17" t="s">
        <v>137</v>
      </c>
      <c r="C4" s="18"/>
      <c r="D4" s="18"/>
      <c r="E4" s="18"/>
      <c r="F4" s="19"/>
      <c r="G4" s="19"/>
      <c r="H4" s="18"/>
      <c r="I4" s="19" t="e">
        <f t="shared" ref="I4:AU4" si="13">I3/D3-1</f>
        <v>#DIV/0!</v>
      </c>
      <c r="J4" s="19" t="e">
        <f t="shared" si="13"/>
        <v>#DIV/0!</v>
      </c>
      <c r="K4" s="19" t="e">
        <f t="shared" si="13"/>
        <v>#DIV/0!</v>
      </c>
      <c r="L4" s="19" t="e">
        <f t="shared" si="13"/>
        <v>#DIV/0!</v>
      </c>
      <c r="M4" s="19" t="e">
        <f t="shared" si="13"/>
        <v>#DIV/0!</v>
      </c>
      <c r="N4" s="19" t="e">
        <f t="shared" si="13"/>
        <v>#DIV/0!</v>
      </c>
      <c r="O4" s="19" t="e">
        <f t="shared" si="13"/>
        <v>#DIV/0!</v>
      </c>
      <c r="P4" s="19" t="e">
        <f t="shared" si="13"/>
        <v>#DIV/0!</v>
      </c>
      <c r="Q4" s="19" t="e">
        <f t="shared" si="13"/>
        <v>#DIV/0!</v>
      </c>
      <c r="R4" s="19" t="e">
        <f t="shared" si="13"/>
        <v>#DIV/0!</v>
      </c>
      <c r="S4" s="19" t="e">
        <f t="shared" si="13"/>
        <v>#DIV/0!</v>
      </c>
      <c r="T4" s="19" t="e">
        <f t="shared" si="13"/>
        <v>#DIV/0!</v>
      </c>
      <c r="U4" s="19" t="e">
        <f t="shared" si="13"/>
        <v>#DIV/0!</v>
      </c>
      <c r="V4" s="19" t="e">
        <f t="shared" si="13"/>
        <v>#DIV/0!</v>
      </c>
      <c r="W4" s="19" t="e">
        <f t="shared" si="13"/>
        <v>#DIV/0!</v>
      </c>
      <c r="X4" s="19" t="e">
        <f t="shared" si="13"/>
        <v>#DIV/0!</v>
      </c>
      <c r="Y4" s="19" t="e">
        <f t="shared" si="13"/>
        <v>#DIV/0!</v>
      </c>
      <c r="Z4" s="19" t="e">
        <f t="shared" si="13"/>
        <v>#DIV/0!</v>
      </c>
      <c r="AA4" s="19" t="e">
        <f t="shared" si="13"/>
        <v>#DIV/0!</v>
      </c>
      <c r="AB4" s="19" t="e">
        <f t="shared" si="13"/>
        <v>#DIV/0!</v>
      </c>
      <c r="AC4" s="19" t="e">
        <f t="shared" si="13"/>
        <v>#DIV/0!</v>
      </c>
      <c r="AD4" s="19" t="e">
        <f t="shared" si="13"/>
        <v>#DIV/0!</v>
      </c>
      <c r="AE4" s="19" t="e">
        <f t="shared" si="13"/>
        <v>#DIV/0!</v>
      </c>
      <c r="AF4" s="19" t="e">
        <f t="shared" si="13"/>
        <v>#DIV/0!</v>
      </c>
      <c r="AG4" s="19" t="e">
        <f t="shared" si="13"/>
        <v>#DIV/0!</v>
      </c>
      <c r="AH4" s="19" t="e">
        <f t="shared" si="13"/>
        <v>#DIV/0!</v>
      </c>
      <c r="AI4" s="19" t="e">
        <f t="shared" si="13"/>
        <v>#DIV/0!</v>
      </c>
      <c r="AJ4" s="19" t="e">
        <f t="shared" si="13"/>
        <v>#DIV/0!</v>
      </c>
      <c r="AK4" s="19" t="e">
        <f t="shared" si="13"/>
        <v>#DIV/0!</v>
      </c>
      <c r="AL4" s="19" t="e">
        <f t="shared" si="13"/>
        <v>#DIV/0!</v>
      </c>
      <c r="AM4" s="19" t="e">
        <f t="shared" si="13"/>
        <v>#DIV/0!</v>
      </c>
      <c r="AN4" s="19" t="e">
        <f t="shared" si="13"/>
        <v>#DIV/0!</v>
      </c>
      <c r="AO4" s="19" t="e">
        <f t="shared" si="13"/>
        <v>#DIV/0!</v>
      </c>
      <c r="AP4" s="19" t="e">
        <f t="shared" si="13"/>
        <v>#DIV/0!</v>
      </c>
      <c r="AQ4" s="19">
        <f t="shared" si="13"/>
        <v>-0.12665410093886598</v>
      </c>
      <c r="AR4" s="19">
        <f t="shared" si="13"/>
        <v>7.1451819957991214E-2</v>
      </c>
      <c r="AS4" s="19">
        <f t="shared" si="13"/>
        <v>3.1377833001186017E-2</v>
      </c>
      <c r="AT4" s="19">
        <f t="shared" si="13"/>
        <v>0.14706501485229562</v>
      </c>
      <c r="AU4" s="19" t="e">
        <f t="shared" si="13"/>
        <v>#DIV/0!</v>
      </c>
      <c r="AV4" s="19">
        <f>AV3/AQ3-1</f>
        <v>0.15843706420122916</v>
      </c>
      <c r="AW4" s="19">
        <f>AW3/AR3-1</f>
        <v>0.17085284249237032</v>
      </c>
      <c r="AX4" s="19">
        <f>AX3/AS3-1</f>
        <v>0.10658687319095672</v>
      </c>
      <c r="AY4" s="19">
        <f>AY3/AT3-1</f>
        <v>4.0543479738455623E-2</v>
      </c>
      <c r="AZ4" s="19">
        <f>AZ3/AU3-1</f>
        <v>0.1187647116861883</v>
      </c>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P4" s="20"/>
      <c r="CQ4" s="20"/>
      <c r="CR4" s="6"/>
      <c r="CS4" s="6"/>
      <c r="CT4" s="19" t="e">
        <f t="shared" si="0"/>
        <v>#DIV/0!</v>
      </c>
      <c r="CU4" s="19" t="e">
        <f t="shared" si="1"/>
        <v>#DIV/0!</v>
      </c>
      <c r="CV4" s="19" t="e">
        <f t="shared" si="2"/>
        <v>#DIV/0!</v>
      </c>
      <c r="CW4" s="19" t="e">
        <f t="shared" si="3"/>
        <v>#DIV/0!</v>
      </c>
      <c r="CX4" s="19" t="e">
        <f t="shared" si="4"/>
        <v>#DIV/0!</v>
      </c>
      <c r="CY4" s="19">
        <f t="shared" si="5"/>
        <v>0.1187647116861883</v>
      </c>
      <c r="CZ4" s="19">
        <f t="shared" si="6"/>
        <v>0</v>
      </c>
      <c r="DA4" s="19">
        <f t="shared" si="7"/>
        <v>0</v>
      </c>
      <c r="DB4" s="19">
        <f t="shared" si="8"/>
        <v>0</v>
      </c>
      <c r="DC4" s="19">
        <f t="shared" si="9"/>
        <v>0</v>
      </c>
      <c r="DD4" s="19">
        <f t="shared" si="10"/>
        <v>0</v>
      </c>
      <c r="DE4" s="19">
        <f t="shared" si="11"/>
        <v>0</v>
      </c>
      <c r="DF4" s="19">
        <f t="shared" si="12"/>
        <v>0</v>
      </c>
      <c r="DG4" s="19">
        <f t="shared" si="12"/>
        <v>0</v>
      </c>
      <c r="DH4" s="19">
        <f t="shared" si="12"/>
        <v>0</v>
      </c>
      <c r="DI4" s="19" t="e">
        <v>#DIV/0!</v>
      </c>
      <c r="DK4" s="19" t="e">
        <v>#DIV/0!</v>
      </c>
      <c r="DL4" s="19" t="e">
        <v>#DIV/0!</v>
      </c>
      <c r="DM4" s="21"/>
      <c r="DN4" s="19" t="e">
        <v>#DIV/0!</v>
      </c>
      <c r="DO4" s="19" t="e">
        <v>#DIV/0!</v>
      </c>
      <c r="DQ4" s="19"/>
      <c r="DR4" s="19" t="e">
        <v>#DIV/0!</v>
      </c>
      <c r="DS4" s="19" t="e">
        <v>#DIV/0!</v>
      </c>
      <c r="DT4" s="19" t="e">
        <v>#DIV/0!</v>
      </c>
      <c r="DV4" s="19">
        <v>-1</v>
      </c>
      <c r="DW4" s="19" t="e">
        <v>#DIV/0!</v>
      </c>
      <c r="DX4" s="19" t="e">
        <v>#DIV/0!</v>
      </c>
      <c r="EA4" s="19">
        <v>0.1399999999999999</v>
      </c>
      <c r="EB4" s="19">
        <v>0.14999999999999991</v>
      </c>
      <c r="EC4" s="19">
        <v>0.14999999999999991</v>
      </c>
      <c r="ED4" s="19"/>
      <c r="EE4" s="19"/>
      <c r="EF4" s="19"/>
      <c r="EJ4" s="19">
        <v>0.10000000000000009</v>
      </c>
      <c r="EK4" s="19">
        <v>-1</v>
      </c>
      <c r="EL4" s="19"/>
      <c r="EM4" s="19"/>
      <c r="EN4" s="19"/>
      <c r="EP4" s="19">
        <v>-1</v>
      </c>
      <c r="EQ4" s="19"/>
      <c r="ER4" s="19"/>
      <c r="ES4" s="19"/>
      <c r="EV4" s="19"/>
      <c r="EW4" s="19"/>
      <c r="EX4" s="19"/>
      <c r="EY4" s="19"/>
      <c r="EZ4" s="19"/>
      <c r="FA4" s="19"/>
      <c r="FD4" s="19"/>
      <c r="FE4" s="19"/>
      <c r="FF4" s="19"/>
      <c r="FG4" s="19"/>
      <c r="FH4" s="19"/>
      <c r="FK4" s="19"/>
      <c r="FL4" s="19"/>
      <c r="FO4" s="19"/>
      <c r="FP4" s="19"/>
      <c r="FQ4" s="19"/>
      <c r="FR4" s="19"/>
      <c r="FU4" s="19"/>
      <c r="FV4" s="19"/>
      <c r="FW4" s="19"/>
      <c r="FX4" s="19"/>
      <c r="FY4" s="19"/>
      <c r="GA4" s="19"/>
      <c r="GB4" s="19"/>
      <c r="GC4" s="19"/>
      <c r="GF4" s="22"/>
      <c r="GG4" s="19"/>
      <c r="GH4" s="19"/>
      <c r="GI4" s="19"/>
      <c r="GJ4" s="19"/>
      <c r="GK4" s="19"/>
      <c r="GN4" s="19"/>
      <c r="GO4" s="19"/>
      <c r="GP4" s="19"/>
      <c r="GQ4" s="19"/>
      <c r="GR4" s="19"/>
      <c r="GV4" s="19"/>
      <c r="GW4" s="19"/>
      <c r="GX4" s="19"/>
      <c r="GY4" s="19"/>
      <c r="HC4" s="19"/>
      <c r="HD4" s="19"/>
      <c r="HE4" s="19"/>
      <c r="HF4" s="16"/>
      <c r="HI4" s="19"/>
      <c r="HJ4" s="19"/>
      <c r="HK4" s="19"/>
      <c r="HL4" s="19"/>
      <c r="HM4" s="19"/>
      <c r="HN4" s="16"/>
      <c r="HO4" s="16"/>
      <c r="HR4" s="19"/>
      <c r="HS4" s="19"/>
      <c r="HT4" s="19"/>
      <c r="HU4" s="19"/>
      <c r="HV4" s="16"/>
      <c r="HW4" s="16"/>
      <c r="HZ4" s="19"/>
      <c r="IA4" s="19"/>
      <c r="IB4" s="16"/>
      <c r="IC4" s="16"/>
      <c r="IE4" s="19"/>
      <c r="IF4" s="19"/>
      <c r="IG4" s="16"/>
      <c r="IH4" s="16"/>
      <c r="IK4" s="16"/>
      <c r="IL4" s="16"/>
      <c r="IO4" s="16"/>
      <c r="IP4" s="16"/>
      <c r="IS4" s="9"/>
      <c r="IT4" s="9"/>
      <c r="IU4" s="9"/>
      <c r="IX4" s="16"/>
      <c r="IY4" s="16"/>
      <c r="IZ4" s="16"/>
      <c r="JA4" s="16"/>
      <c r="JD4" s="16"/>
      <c r="JE4" s="16"/>
      <c r="JH4" s="16"/>
      <c r="JI4" s="16"/>
      <c r="JJ4" s="16"/>
      <c r="JM4" s="16"/>
      <c r="JN4" s="16"/>
      <c r="JQ4" s="16"/>
      <c r="JR4" s="16"/>
      <c r="JS4" s="16"/>
      <c r="JV4" s="16"/>
      <c r="JW4" s="16"/>
      <c r="JY4" s="16"/>
      <c r="JZ4" s="16"/>
      <c r="KB4" s="16"/>
      <c r="KC4" s="16"/>
      <c r="KD4" s="16"/>
    </row>
    <row r="5" spans="1:290" x14ac:dyDescent="0.25">
      <c r="A5" s="7" t="s">
        <v>259</v>
      </c>
      <c r="B5" s="11" t="s">
        <v>138</v>
      </c>
      <c r="C5" s="12"/>
      <c r="D5" s="12"/>
      <c r="E5" s="12"/>
      <c r="F5" s="12"/>
      <c r="G5" s="12"/>
      <c r="H5" s="13"/>
      <c r="I5" s="12"/>
      <c r="J5" s="12"/>
      <c r="K5" s="12"/>
      <c r="L5" s="12"/>
      <c r="M5" s="13"/>
      <c r="N5" s="12"/>
      <c r="O5" s="12"/>
      <c r="P5" s="12"/>
      <c r="Q5" s="12"/>
      <c r="R5" s="13"/>
      <c r="S5" s="12"/>
      <c r="T5" s="12"/>
      <c r="U5" s="12"/>
      <c r="V5" s="12"/>
      <c r="W5" s="13"/>
      <c r="X5" s="23"/>
      <c r="Y5" s="23"/>
      <c r="Z5" s="23"/>
      <c r="AA5" s="23"/>
      <c r="AB5" s="13"/>
      <c r="AC5" s="23"/>
      <c r="AD5" s="23"/>
      <c r="AE5" s="23"/>
      <c r="AF5" s="23"/>
      <c r="AG5" s="13"/>
      <c r="AH5" s="23"/>
      <c r="AI5" s="23"/>
      <c r="AJ5" s="23"/>
      <c r="AK5" s="13"/>
      <c r="AL5" s="12">
        <v>145.4821</v>
      </c>
      <c r="AM5" s="12">
        <v>106.4935</v>
      </c>
      <c r="AN5" s="12">
        <v>136.71360000000001</v>
      </c>
      <c r="AO5" s="12"/>
      <c r="AP5" s="13"/>
      <c r="AQ5" s="12"/>
      <c r="AR5" s="12"/>
      <c r="AS5" s="12"/>
      <c r="AT5" s="12"/>
      <c r="AU5" s="13"/>
      <c r="AV5" s="12"/>
      <c r="AW5" s="12"/>
      <c r="AX5" s="12"/>
      <c r="AY5" s="12"/>
      <c r="AZ5" s="13"/>
      <c r="BA5" s="12"/>
      <c r="BB5" s="12"/>
      <c r="BC5" s="12"/>
      <c r="BD5" s="12"/>
      <c r="BE5" s="13"/>
      <c r="BF5" s="12"/>
      <c r="BG5" s="12"/>
      <c r="BH5" s="12"/>
      <c r="BI5" s="12">
        <f>(BI6/AY6)^(1/2)-1</f>
        <v>0.16690498484903737</v>
      </c>
      <c r="BJ5" s="13"/>
      <c r="BK5" s="12"/>
      <c r="BL5" s="12"/>
      <c r="BM5" s="12"/>
      <c r="BN5" s="12"/>
      <c r="BO5" s="13"/>
      <c r="BP5" s="12"/>
      <c r="BQ5" s="12"/>
      <c r="BR5" s="12"/>
      <c r="BS5" s="12"/>
      <c r="BT5" s="13"/>
      <c r="BU5" s="12"/>
      <c r="BV5" s="12"/>
      <c r="BW5" s="12"/>
      <c r="BX5" s="12"/>
      <c r="BY5" s="13"/>
      <c r="BZ5" s="12"/>
      <c r="CA5" s="12"/>
      <c r="CB5" s="12"/>
      <c r="CC5" s="12"/>
      <c r="CD5" s="13"/>
      <c r="CE5" s="12"/>
      <c r="CF5" s="12"/>
      <c r="CG5" s="12"/>
      <c r="CH5" s="12"/>
      <c r="CI5" s="13"/>
      <c r="CJ5" s="13"/>
      <c r="CK5" s="13"/>
      <c r="CL5" s="13"/>
      <c r="CM5" s="13"/>
      <c r="CN5" s="13"/>
      <c r="CO5" s="15"/>
      <c r="CP5" s="15"/>
      <c r="CQ5" s="6"/>
      <c r="CR5" s="6"/>
      <c r="CS5" s="6"/>
      <c r="CT5" s="13">
        <f t="shared" si="0"/>
        <v>0</v>
      </c>
      <c r="CU5" s="13">
        <f t="shared" si="1"/>
        <v>0</v>
      </c>
      <c r="CV5" s="13">
        <f t="shared" si="2"/>
        <v>0</v>
      </c>
      <c r="CW5" s="13">
        <f t="shared" si="3"/>
        <v>0</v>
      </c>
      <c r="CX5" s="13">
        <f t="shared" si="4"/>
        <v>0</v>
      </c>
      <c r="CY5" s="13">
        <f t="shared" si="5"/>
        <v>0</v>
      </c>
      <c r="CZ5" s="13">
        <f t="shared" si="6"/>
        <v>0</v>
      </c>
      <c r="DA5" s="13">
        <f t="shared" si="7"/>
        <v>0</v>
      </c>
      <c r="DB5" s="13">
        <f t="shared" si="8"/>
        <v>0</v>
      </c>
      <c r="DC5" s="13">
        <f t="shared" si="9"/>
        <v>0</v>
      </c>
      <c r="DD5" s="13">
        <f t="shared" si="10"/>
        <v>0</v>
      </c>
      <c r="DE5" s="13">
        <f t="shared" si="11"/>
        <v>0</v>
      </c>
      <c r="DF5" s="13">
        <f t="shared" si="12"/>
        <v>0</v>
      </c>
      <c r="DG5" s="13">
        <f t="shared" si="12"/>
        <v>0</v>
      </c>
      <c r="DH5" s="13">
        <f t="shared" si="12"/>
        <v>0</v>
      </c>
      <c r="DI5" s="13"/>
      <c r="DK5" s="13"/>
      <c r="DL5" s="13"/>
      <c r="DM5" s="4"/>
      <c r="DN5" s="13"/>
      <c r="DO5" s="13"/>
      <c r="DQ5" s="12"/>
      <c r="DR5" s="13"/>
      <c r="DS5" s="13"/>
      <c r="DT5" s="13"/>
      <c r="DV5" s="13"/>
      <c r="DW5" s="13"/>
      <c r="DX5" s="13"/>
      <c r="EA5" s="12"/>
      <c r="EB5" s="12"/>
      <c r="EC5" s="12"/>
      <c r="ED5" s="13"/>
      <c r="EE5" s="13"/>
      <c r="EF5" s="13"/>
      <c r="EJ5" s="12"/>
      <c r="EK5" s="12"/>
      <c r="EL5" s="13"/>
      <c r="EM5" s="13"/>
      <c r="EN5" s="13"/>
      <c r="EP5" s="12"/>
      <c r="EQ5" s="13"/>
      <c r="ER5" s="13"/>
      <c r="ES5" s="13"/>
      <c r="EV5" s="12"/>
      <c r="EW5" s="12"/>
      <c r="EX5" s="12"/>
      <c r="EY5" s="12"/>
      <c r="EZ5" s="13"/>
      <c r="FA5" s="13"/>
      <c r="FD5" s="12"/>
      <c r="FE5" s="12"/>
      <c r="FF5" s="12"/>
      <c r="FG5" s="13"/>
      <c r="FH5" s="13"/>
      <c r="FK5" s="13"/>
      <c r="FL5" s="13"/>
      <c r="FO5" s="12"/>
      <c r="FP5" s="12"/>
      <c r="FQ5" s="13"/>
      <c r="FR5" s="13"/>
      <c r="FU5" s="12"/>
      <c r="FV5" s="13"/>
      <c r="FW5" s="13"/>
      <c r="FX5" s="13"/>
      <c r="FY5" s="13"/>
      <c r="GA5" s="13"/>
      <c r="GB5" s="13"/>
      <c r="GC5" s="13"/>
      <c r="GF5" s="24"/>
      <c r="GG5" s="24"/>
      <c r="GH5" s="12"/>
      <c r="GI5" s="13"/>
      <c r="GJ5" s="13"/>
      <c r="GK5" s="13"/>
      <c r="GN5" s="24"/>
      <c r="GO5" s="12"/>
      <c r="GP5" s="13"/>
      <c r="GQ5" s="13"/>
      <c r="GR5" s="13"/>
      <c r="GV5" s="12"/>
      <c r="GW5" s="13"/>
      <c r="GX5" s="13"/>
      <c r="GY5" s="13"/>
      <c r="HC5" s="13"/>
      <c r="HD5" s="13"/>
      <c r="HE5" s="13"/>
      <c r="HF5" s="9"/>
      <c r="HI5" s="25"/>
      <c r="HJ5" s="25"/>
      <c r="HK5" s="25"/>
      <c r="HL5" s="25"/>
      <c r="HM5" s="13"/>
      <c r="HN5" s="9"/>
      <c r="HO5" s="9"/>
      <c r="HR5" s="25"/>
      <c r="HS5" s="25"/>
      <c r="HT5" s="25"/>
      <c r="HU5" s="13"/>
      <c r="HV5" s="9"/>
      <c r="HW5" s="9"/>
      <c r="HZ5" s="25"/>
      <c r="IA5" s="13"/>
      <c r="IB5" s="9"/>
      <c r="IC5" s="9"/>
      <c r="IE5" s="25"/>
      <c r="IF5" s="13"/>
      <c r="IG5" s="9"/>
      <c r="IH5" s="9"/>
      <c r="IK5" s="9"/>
      <c r="IL5" s="9"/>
      <c r="IO5" s="9"/>
      <c r="IP5" s="9"/>
      <c r="IS5" s="26">
        <v>11024.586587</v>
      </c>
      <c r="IT5" s="26">
        <v>12725.122452319998</v>
      </c>
      <c r="IU5" s="26">
        <v>14695.927605938399</v>
      </c>
      <c r="IX5" s="9"/>
      <c r="IY5" s="9"/>
      <c r="IZ5" s="9"/>
      <c r="JA5" s="9"/>
      <c r="JD5" s="9"/>
      <c r="JE5" s="9"/>
      <c r="JH5" s="9"/>
      <c r="JI5" s="9"/>
      <c r="JJ5" s="9"/>
      <c r="JM5" s="9"/>
      <c r="JN5" s="9"/>
      <c r="JQ5" s="9"/>
      <c r="JR5" s="9"/>
      <c r="JS5" s="9"/>
      <c r="JV5" s="9"/>
      <c r="JW5" s="9"/>
      <c r="JY5" s="9"/>
      <c r="JZ5" s="9"/>
      <c r="KB5" s="9"/>
      <c r="KC5" s="9"/>
      <c r="KD5" s="9"/>
    </row>
    <row r="6" spans="1:290" x14ac:dyDescent="0.25">
      <c r="A6" s="7" t="s">
        <v>259</v>
      </c>
      <c r="B6" s="11" t="s">
        <v>139</v>
      </c>
      <c r="C6" s="12"/>
      <c r="D6" s="12">
        <f>D3-D5</f>
        <v>0</v>
      </c>
      <c r="E6" s="12">
        <f>E3-E5</f>
        <v>0</v>
      </c>
      <c r="F6" s="12">
        <f>F3-F5</f>
        <v>0</v>
      </c>
      <c r="G6" s="12">
        <f>G3-G5</f>
        <v>0</v>
      </c>
      <c r="H6" s="13">
        <f>H3-H5</f>
        <v>0</v>
      </c>
      <c r="I6" s="27">
        <v>434.9</v>
      </c>
      <c r="J6" s="27">
        <v>575.22659999999996</v>
      </c>
      <c r="K6" s="27">
        <v>653.72619999999995</v>
      </c>
      <c r="L6" s="27">
        <v>732.7278</v>
      </c>
      <c r="M6" s="26">
        <f>I6+J6+K6+L6</f>
        <v>2396.5805999999998</v>
      </c>
      <c r="N6" s="27">
        <v>472.9171</v>
      </c>
      <c r="O6" s="27">
        <v>712.83999999999992</v>
      </c>
      <c r="P6" s="27">
        <v>758.57820000000004</v>
      </c>
      <c r="Q6" s="27">
        <v>914.00069999999994</v>
      </c>
      <c r="R6" s="26">
        <f>N6+O6+P6+Q6</f>
        <v>2858.3359999999998</v>
      </c>
      <c r="S6" s="27">
        <v>610.54189999999994</v>
      </c>
      <c r="T6" s="27">
        <v>805.97879999999998</v>
      </c>
      <c r="U6" s="27">
        <v>903.75120000000004</v>
      </c>
      <c r="V6" s="27">
        <v>1022.7585999999999</v>
      </c>
      <c r="W6" s="26">
        <f>S6+T6+U6+V6</f>
        <v>3343.0304999999998</v>
      </c>
      <c r="X6" s="27">
        <v>696.00379999999996</v>
      </c>
      <c r="Y6" s="27">
        <v>923.51029999999992</v>
      </c>
      <c r="Z6" s="27">
        <v>990.69889999999998</v>
      </c>
      <c r="AA6" s="27">
        <v>1234.798</v>
      </c>
      <c r="AB6" s="26">
        <f>X6+Y6+Z6+AA6</f>
        <v>3845.0109999999995</v>
      </c>
      <c r="AC6" s="27">
        <v>751.76639999999998</v>
      </c>
      <c r="AD6" s="27">
        <v>1007.6605999999999</v>
      </c>
      <c r="AE6" s="27">
        <v>1074.0463</v>
      </c>
      <c r="AF6" s="27">
        <v>1246.6909000000001</v>
      </c>
      <c r="AG6" s="26">
        <f>AC6+AD6+AE6+AF6</f>
        <v>4080.1641999999997</v>
      </c>
      <c r="AH6" s="27">
        <v>769.56769999999995</v>
      </c>
      <c r="AI6" s="27">
        <v>997.47790000000009</v>
      </c>
      <c r="AJ6" s="27">
        <v>1191.4229</v>
      </c>
      <c r="AK6" s="26">
        <f>AH6+AI6+AJ6</f>
        <v>2958.4684999999999</v>
      </c>
      <c r="AL6" s="27">
        <f>AL3-AL5</f>
        <v>1184.6438000000001</v>
      </c>
      <c r="AM6" s="27">
        <f>AM3-AM5</f>
        <v>878.20779999999991</v>
      </c>
      <c r="AN6" s="27">
        <f>AN3-AN5</f>
        <v>1102.6964</v>
      </c>
      <c r="AO6" s="27">
        <v>1282.6300000000001</v>
      </c>
      <c r="AP6" s="26">
        <v>4462.26</v>
      </c>
      <c r="AQ6" s="27">
        <f t="shared" ref="AQ6:AY6" si="14">AQ3-AQ5</f>
        <v>1161.6600000000001</v>
      </c>
      <c r="AR6" s="27">
        <f t="shared" si="14"/>
        <v>1055.06</v>
      </c>
      <c r="AS6" s="27">
        <f t="shared" si="14"/>
        <v>1278.3</v>
      </c>
      <c r="AT6" s="27">
        <f t="shared" si="14"/>
        <v>1471.26</v>
      </c>
      <c r="AU6" s="26">
        <f t="shared" si="14"/>
        <v>4966.29</v>
      </c>
      <c r="AV6" s="27">
        <f t="shared" si="14"/>
        <v>1345.71</v>
      </c>
      <c r="AW6" s="27">
        <f t="shared" si="14"/>
        <v>1235.3200000000002</v>
      </c>
      <c r="AX6" s="27">
        <f t="shared" si="14"/>
        <v>1414.55</v>
      </c>
      <c r="AY6" s="27">
        <f t="shared" si="14"/>
        <v>1530.91</v>
      </c>
      <c r="AZ6" s="26">
        <f>5611.99-55.88</f>
        <v>5556.11</v>
      </c>
      <c r="BA6" s="27">
        <v>1436.8330000000001</v>
      </c>
      <c r="BB6" s="14">
        <f>1270.9+9.7</f>
        <v>1280.6000000000001</v>
      </c>
      <c r="BC6" s="27">
        <v>1373.32</v>
      </c>
      <c r="BD6" s="27">
        <v>1430.49</v>
      </c>
      <c r="BE6" s="26">
        <v>5511.54</v>
      </c>
      <c r="BF6" s="27">
        <v>1053.8800000000001</v>
      </c>
      <c r="BG6" s="14">
        <v>1374.78</v>
      </c>
      <c r="BH6" s="27">
        <v>1843.8</v>
      </c>
      <c r="BI6" s="27">
        <v>2084.59</v>
      </c>
      <c r="BJ6" s="26">
        <v>6357.06</v>
      </c>
      <c r="BK6" s="27">
        <v>1342.08</v>
      </c>
      <c r="BL6" s="14">
        <v>1928.54</v>
      </c>
      <c r="BM6" s="27">
        <v>1945.11</v>
      </c>
      <c r="BN6" s="27">
        <v>2557.09</v>
      </c>
      <c r="BO6" s="26">
        <v>7772.82</v>
      </c>
      <c r="BP6" s="27">
        <v>2205.98</v>
      </c>
      <c r="BQ6" s="14">
        <v>2086.6</v>
      </c>
      <c r="BR6" s="27">
        <v>2310.71</v>
      </c>
      <c r="BS6" s="27">
        <v>2598.3000000000002</v>
      </c>
      <c r="BT6" s="26">
        <v>9201.49</v>
      </c>
      <c r="BU6" s="27">
        <v>2368.58</v>
      </c>
      <c r="BV6" s="14">
        <v>2308.69</v>
      </c>
      <c r="BW6" s="27">
        <v>2449.1</v>
      </c>
      <c r="BX6" s="27">
        <v>3007.89</v>
      </c>
      <c r="BY6" s="26">
        <v>10134.26</v>
      </c>
      <c r="BZ6" s="27">
        <v>2636.35</v>
      </c>
      <c r="CA6" s="14">
        <v>2272.9499999999998</v>
      </c>
      <c r="CB6" s="27">
        <v>2509.88</v>
      </c>
      <c r="CC6" s="27">
        <v>3027.07</v>
      </c>
      <c r="CD6" s="26">
        <v>10446.25</v>
      </c>
      <c r="CE6" s="27">
        <v>2609.21</v>
      </c>
      <c r="CF6" s="14">
        <v>2393.87</v>
      </c>
      <c r="CG6" s="27">
        <v>2686.94</v>
      </c>
      <c r="CH6" s="27">
        <v>3527.66</v>
      </c>
      <c r="CI6" s="26">
        <v>11217.68</v>
      </c>
      <c r="CJ6" s="26">
        <f>CJ279</f>
        <v>12593.943858000001</v>
      </c>
      <c r="CK6" s="26">
        <f t="shared" ref="CK6:CN6" si="15">CK279</f>
        <v>14426.20904994</v>
      </c>
      <c r="CL6" s="26">
        <f t="shared" si="15"/>
        <v>17205.234656328001</v>
      </c>
      <c r="CM6" s="26">
        <f t="shared" si="15"/>
        <v>18932.922002613701</v>
      </c>
      <c r="CN6" s="26">
        <f t="shared" si="15"/>
        <v>20774.460485080253</v>
      </c>
      <c r="CO6" s="220"/>
      <c r="CP6" s="28"/>
      <c r="CQ6" s="6"/>
      <c r="CR6" s="30"/>
      <c r="CS6" s="30"/>
      <c r="CT6" s="26">
        <f t="shared" si="0"/>
        <v>3845.0109999999995</v>
      </c>
      <c r="CU6" s="26">
        <f t="shared" si="1"/>
        <v>4080.1641999999997</v>
      </c>
      <c r="CV6" s="26">
        <f t="shared" si="2"/>
        <v>2958.4684999999999</v>
      </c>
      <c r="CW6" s="26">
        <f t="shared" si="3"/>
        <v>4462.26</v>
      </c>
      <c r="CX6" s="26">
        <f t="shared" si="4"/>
        <v>4966.29</v>
      </c>
      <c r="CY6" s="26">
        <f t="shared" si="5"/>
        <v>5556.11</v>
      </c>
      <c r="CZ6" s="26">
        <f t="shared" si="6"/>
        <v>5511.54</v>
      </c>
      <c r="DA6" s="26">
        <f t="shared" si="7"/>
        <v>6357.06</v>
      </c>
      <c r="DB6" s="26">
        <f t="shared" si="8"/>
        <v>7772.82</v>
      </c>
      <c r="DC6" s="26">
        <f t="shared" si="9"/>
        <v>9201.49</v>
      </c>
      <c r="DD6" s="26">
        <f t="shared" si="10"/>
        <v>10134.26</v>
      </c>
      <c r="DE6" s="26">
        <f t="shared" si="11"/>
        <v>10446.25</v>
      </c>
      <c r="DF6" s="26">
        <f t="shared" si="12"/>
        <v>11217.68</v>
      </c>
      <c r="DG6" s="26">
        <f t="shared" si="12"/>
        <v>12593.943858000001</v>
      </c>
      <c r="DH6" s="26">
        <f t="shared" si="12"/>
        <v>14426.20904994</v>
      </c>
      <c r="DI6" s="26">
        <v>7025.5976711580006</v>
      </c>
      <c r="DK6" s="26">
        <v>5086.9764000000005</v>
      </c>
      <c r="DL6" s="26">
        <v>5799.1530960000009</v>
      </c>
      <c r="DM6" s="31"/>
      <c r="DN6" s="26">
        <v>5086.9764000000005</v>
      </c>
      <c r="DO6" s="26">
        <v>5799.1530960000009</v>
      </c>
      <c r="DQ6" s="27">
        <v>1526.3297</v>
      </c>
      <c r="DR6" s="26">
        <v>5086.9764000000005</v>
      </c>
      <c r="DS6" s="26">
        <v>5977.1972700000006</v>
      </c>
      <c r="DT6" s="26">
        <v>7025.5976711580006</v>
      </c>
      <c r="DV6" s="26">
        <v>5700</v>
      </c>
      <c r="DW6" s="26">
        <v>6585.78</v>
      </c>
      <c r="DX6" s="26">
        <v>7376.0736000000006</v>
      </c>
      <c r="EA6" s="27">
        <v>1202.7683999999999</v>
      </c>
      <c r="EB6" s="27">
        <v>1470.0449999999998</v>
      </c>
      <c r="EC6" s="27">
        <v>1691.9489999999998</v>
      </c>
      <c r="ED6" s="26">
        <v>5700</v>
      </c>
      <c r="EE6" s="26">
        <v>6585.78</v>
      </c>
      <c r="EF6" s="26">
        <v>7376.0736000000006</v>
      </c>
      <c r="EJ6" s="27">
        <v>1406.13</v>
      </c>
      <c r="EK6" s="27">
        <v>1712.8399999999997</v>
      </c>
      <c r="EL6" s="26">
        <v>5700</v>
      </c>
      <c r="EM6" s="26">
        <v>6585.78</v>
      </c>
      <c r="EN6" s="26">
        <v>7376.0736000000006</v>
      </c>
      <c r="EP6" s="27">
        <v>1588.5599999999997</v>
      </c>
      <c r="EQ6" s="26">
        <v>5580</v>
      </c>
      <c r="ER6" s="26">
        <v>6447.1319999999996</v>
      </c>
      <c r="ES6" s="26">
        <v>7220.78784</v>
      </c>
      <c r="EV6" s="27">
        <v>1434.66</v>
      </c>
      <c r="EW6" s="27">
        <v>1358.8520000000003</v>
      </c>
      <c r="EX6" s="27">
        <v>1626.7324999999998</v>
      </c>
      <c r="EY6" s="27">
        <v>1779.7555</v>
      </c>
      <c r="EZ6" s="26">
        <v>6200</v>
      </c>
      <c r="FA6" s="26">
        <v>7037</v>
      </c>
      <c r="FD6" s="27">
        <v>1358.8520000000003</v>
      </c>
      <c r="FE6" s="27">
        <v>1626.7324999999998</v>
      </c>
      <c r="FF6" s="27">
        <v>1777.5824999999993</v>
      </c>
      <c r="FG6" s="26">
        <v>6200</v>
      </c>
      <c r="FH6" s="26">
        <v>7037</v>
      </c>
      <c r="FK6" s="26">
        <v>6100</v>
      </c>
      <c r="FL6" s="26">
        <v>6923.5</v>
      </c>
      <c r="FO6" s="27">
        <v>1527.7139999999999</v>
      </c>
      <c r="FP6" s="27">
        <v>1854.8529999999992</v>
      </c>
      <c r="FQ6" s="26">
        <v>6100</v>
      </c>
      <c r="FR6" s="26">
        <v>6923.5</v>
      </c>
      <c r="FU6" s="27">
        <v>1440.1232900877701</v>
      </c>
      <c r="FV6" s="26">
        <v>5530.87629008777</v>
      </c>
      <c r="FW6" s="26">
        <v>4457.3074127710215</v>
      </c>
      <c r="FX6" s="26">
        <v>5372.3627748120007</v>
      </c>
      <c r="FY6" s="26">
        <v>5950.9177774490418</v>
      </c>
      <c r="GA6" s="26">
        <v>4423.1948903856592</v>
      </c>
      <c r="GB6" s="26">
        <v>4995.0281952631522</v>
      </c>
      <c r="GC6" s="26">
        <v>5633.4922498911183</v>
      </c>
      <c r="GF6" s="27">
        <v>1216</v>
      </c>
      <c r="GG6" s="27"/>
      <c r="GH6" s="27"/>
      <c r="GI6" s="26">
        <v>4786.1286944256035</v>
      </c>
      <c r="GJ6" s="26">
        <v>5622.9647916841568</v>
      </c>
      <c r="GK6" s="26">
        <v>6341.581507179485</v>
      </c>
      <c r="GN6" s="27">
        <v>1785.316</v>
      </c>
      <c r="GO6" s="27">
        <v>1181.4114074379938</v>
      </c>
      <c r="GP6" s="26">
        <v>5395.3874074379937</v>
      </c>
      <c r="GQ6" s="26">
        <v>6329.8206480889849</v>
      </c>
      <c r="GR6" s="26">
        <v>7128.2919124797791</v>
      </c>
      <c r="GV6" s="27">
        <v>1832.0661940583734</v>
      </c>
      <c r="GW6" s="26">
        <v>6104.5261940583732</v>
      </c>
      <c r="GX6" s="26">
        <v>6704.8393680696745</v>
      </c>
      <c r="GY6" s="26">
        <v>7791.278846050126</v>
      </c>
      <c r="HC6" s="26">
        <v>2333.9898996478005</v>
      </c>
      <c r="HD6" s="26">
        <v>7549.7198996478</v>
      </c>
      <c r="HE6" s="26">
        <v>8850.027175213294</v>
      </c>
      <c r="HF6" s="26">
        <v>9889.4108076629745</v>
      </c>
      <c r="HG6" s="7">
        <f>HF6*1.1</f>
        <v>10878.351888429273</v>
      </c>
      <c r="HI6" s="27">
        <v>2237.7447293241421</v>
      </c>
      <c r="HJ6" s="27">
        <v>2093.2684300510077</v>
      </c>
      <c r="HK6" s="27">
        <v>2148.5113340594994</v>
      </c>
      <c r="HL6" s="27">
        <v>2621.4130730281327</v>
      </c>
      <c r="HM6" s="26">
        <v>9100.9375664627823</v>
      </c>
      <c r="HN6" s="26">
        <v>10176.408903909063</v>
      </c>
      <c r="HO6" s="26">
        <v>11175.331726275968</v>
      </c>
      <c r="HR6" s="27">
        <v>1662.8218499999998</v>
      </c>
      <c r="HS6" s="27">
        <v>1706.7049500000001</v>
      </c>
      <c r="HT6" s="27">
        <v>2164.9275664627839</v>
      </c>
      <c r="HU6" s="26">
        <v>7740.4343664627831</v>
      </c>
      <c r="HV6" s="26">
        <v>8207.0568606000015</v>
      </c>
      <c r="HW6" s="26">
        <v>9039.2476496760009</v>
      </c>
      <c r="HZ6" s="27">
        <v>2123.5032743128536</v>
      </c>
      <c r="IA6" s="26">
        <v>8930.2808316776154</v>
      </c>
      <c r="IB6" s="26">
        <v>9075.7379280000005</v>
      </c>
      <c r="IC6" s="26">
        <v>9977.4337393680016</v>
      </c>
      <c r="IE6" s="27">
        <v>2776.0502785350282</v>
      </c>
      <c r="IF6" s="26">
        <v>9379.3402785350281</v>
      </c>
      <c r="IG6" s="26">
        <v>9546.7479120000007</v>
      </c>
      <c r="IH6" s="26">
        <v>10490.495725272003</v>
      </c>
      <c r="IK6" s="26">
        <v>9546.7479120000007</v>
      </c>
      <c r="IL6" s="26">
        <v>10490.495725272003</v>
      </c>
      <c r="IO6" s="26">
        <v>11008.329446000002</v>
      </c>
      <c r="IP6" s="26">
        <v>12395.454269480002</v>
      </c>
      <c r="IS6" s="19">
        <v>0.19813058395977179</v>
      </c>
      <c r="IT6" s="19">
        <v>0.1542493999117609</v>
      </c>
      <c r="IU6" s="19">
        <v>0.15487514253814449</v>
      </c>
      <c r="IX6" s="26">
        <v>2950.7972020000002</v>
      </c>
      <c r="IY6" s="26">
        <v>10077.167202000001</v>
      </c>
      <c r="IZ6" s="26">
        <v>11636.691703799997</v>
      </c>
      <c r="JA6" s="26">
        <v>13445.320591164</v>
      </c>
      <c r="JD6" s="26">
        <v>12301.185995429241</v>
      </c>
      <c r="JE6" s="26">
        <v>14692.675292734299</v>
      </c>
      <c r="JH6" s="26">
        <v>12205.41854328117</v>
      </c>
      <c r="JI6" s="26">
        <v>14583.728392023364</v>
      </c>
      <c r="JJ6" s="26">
        <v>16865.073121141369</v>
      </c>
      <c r="JM6" s="26">
        <v>13555.045787881249</v>
      </c>
      <c r="JN6" s="26">
        <v>15662.806902879</v>
      </c>
      <c r="JQ6" s="26">
        <v>10887.631003642788</v>
      </c>
      <c r="JR6" s="26">
        <v>12182.97751745417</v>
      </c>
      <c r="JS6" s="26">
        <v>13602.832097352439</v>
      </c>
      <c r="JV6" s="26">
        <v>12029.644600978196</v>
      </c>
      <c r="JW6" s="26">
        <v>13431.090563672169</v>
      </c>
      <c r="JY6" s="26">
        <v>12327.8320458445</v>
      </c>
      <c r="JZ6" s="26">
        <v>13765.060501922429</v>
      </c>
      <c r="KB6" s="26">
        <v>11956.973939613927</v>
      </c>
      <c r="KC6" s="26">
        <v>13449.016317173426</v>
      </c>
      <c r="KD6" s="26">
        <v>15134.598544412478</v>
      </c>
    </row>
    <row r="7" spans="1:290" x14ac:dyDescent="0.25">
      <c r="A7" s="7" t="s">
        <v>259</v>
      </c>
      <c r="B7" s="17" t="s">
        <v>137</v>
      </c>
      <c r="C7" s="18"/>
      <c r="D7" s="18"/>
      <c r="E7" s="18"/>
      <c r="F7" s="19"/>
      <c r="G7" s="19"/>
      <c r="H7" s="18"/>
      <c r="I7" s="19" t="e">
        <f t="shared" ref="I7:AJ7" si="16">I6/D6-1</f>
        <v>#DIV/0!</v>
      </c>
      <c r="J7" s="19" t="e">
        <f t="shared" si="16"/>
        <v>#DIV/0!</v>
      </c>
      <c r="K7" s="19" t="e">
        <f t="shared" si="16"/>
        <v>#DIV/0!</v>
      </c>
      <c r="L7" s="19" t="e">
        <f t="shared" si="16"/>
        <v>#DIV/0!</v>
      </c>
      <c r="M7" s="19" t="e">
        <f t="shared" si="16"/>
        <v>#DIV/0!</v>
      </c>
      <c r="N7" s="19">
        <f t="shared" si="16"/>
        <v>8.7415727753506589E-2</v>
      </c>
      <c r="O7" s="19">
        <f t="shared" si="16"/>
        <v>0.23923337342188278</v>
      </c>
      <c r="P7" s="19">
        <f t="shared" si="16"/>
        <v>0.16039130755352948</v>
      </c>
      <c r="Q7" s="19">
        <f t="shared" si="16"/>
        <v>0.247394598649048</v>
      </c>
      <c r="R7" s="19">
        <f t="shared" si="16"/>
        <v>0.19267259361108069</v>
      </c>
      <c r="S7" s="19">
        <f t="shared" si="16"/>
        <v>0.29101252629689212</v>
      </c>
      <c r="T7" s="19">
        <f t="shared" si="16"/>
        <v>0.13065877335727527</v>
      </c>
      <c r="U7" s="19">
        <f t="shared" si="16"/>
        <v>0.19137512783784194</v>
      </c>
      <c r="V7" s="19">
        <f t="shared" si="16"/>
        <v>0.11899104672458116</v>
      </c>
      <c r="W7" s="19">
        <f t="shared" si="16"/>
        <v>0.16957226162354599</v>
      </c>
      <c r="X7" s="19">
        <f t="shared" si="16"/>
        <v>0.13997712523907047</v>
      </c>
      <c r="Y7" s="19">
        <f t="shared" si="16"/>
        <v>0.14582455518681137</v>
      </c>
      <c r="Z7" s="19">
        <f t="shared" si="16"/>
        <v>9.6207562435325134E-2</v>
      </c>
      <c r="AA7" s="19">
        <f t="shared" si="16"/>
        <v>0.20732106285882135</v>
      </c>
      <c r="AB7" s="19">
        <f t="shared" si="16"/>
        <v>0.15015731983300773</v>
      </c>
      <c r="AC7" s="19">
        <f t="shared" si="16"/>
        <v>8.0118240733743074E-2</v>
      </c>
      <c r="AD7" s="19">
        <f t="shared" si="16"/>
        <v>9.1120044898254093E-2</v>
      </c>
      <c r="AE7" s="19">
        <f t="shared" si="16"/>
        <v>8.4129900618644005E-2</v>
      </c>
      <c r="AF7" s="19">
        <f t="shared" si="16"/>
        <v>9.6314538896240531E-3</v>
      </c>
      <c r="AG7" s="19">
        <f t="shared" si="16"/>
        <v>6.1158004489453965E-2</v>
      </c>
      <c r="AH7" s="19">
        <f t="shared" si="16"/>
        <v>2.3679297185934312E-2</v>
      </c>
      <c r="AI7" s="19">
        <f t="shared" si="16"/>
        <v>-1.0105287435074661E-2</v>
      </c>
      <c r="AJ7" s="19">
        <f t="shared" si="16"/>
        <v>0.1092844880150885</v>
      </c>
      <c r="AK7" s="19">
        <f>AK6/AG6-1</f>
        <v>-0.27491435271158937</v>
      </c>
      <c r="AL7" s="19">
        <f>AL6/AF6-1</f>
        <v>-4.9769433626250081E-2</v>
      </c>
      <c r="AM7" s="19">
        <f>AM6/AH6-1</f>
        <v>0.14117029599864961</v>
      </c>
      <c r="AN7" s="19">
        <f>AN6/AI6-1</f>
        <v>0.10548454256480255</v>
      </c>
      <c r="AO7" s="19">
        <f>AO6/AJ6-1</f>
        <v>7.6553086229918854E-2</v>
      </c>
      <c r="AP7" s="19">
        <f>53%+10%</f>
        <v>0.63</v>
      </c>
      <c r="AQ7" s="19">
        <f t="shared" ref="AQ7:BP7" si="17">AQ6/AL6-1</f>
        <v>-1.9401443708226829E-2</v>
      </c>
      <c r="AR7" s="19">
        <f t="shared" si="17"/>
        <v>0.20137853478413659</v>
      </c>
      <c r="AS7" s="19">
        <f t="shared" si="17"/>
        <v>0.15924927296398161</v>
      </c>
      <c r="AT7" s="19">
        <f t="shared" si="17"/>
        <v>0.14706501485229562</v>
      </c>
      <c r="AU7" s="19">
        <f t="shared" si="17"/>
        <v>0.1129539739952401</v>
      </c>
      <c r="AV7" s="19">
        <f t="shared" si="17"/>
        <v>0.15843706420122916</v>
      </c>
      <c r="AW7" s="19">
        <f t="shared" si="17"/>
        <v>0.17085284249237032</v>
      </c>
      <c r="AX7" s="19">
        <f t="shared" si="17"/>
        <v>0.10658687319095672</v>
      </c>
      <c r="AY7" s="19">
        <f t="shared" si="17"/>
        <v>4.0543479738455623E-2</v>
      </c>
      <c r="AZ7" s="19">
        <f t="shared" si="17"/>
        <v>0.1187647116861883</v>
      </c>
      <c r="BA7" s="19">
        <f t="shared" si="17"/>
        <v>6.7713697602009404E-2</v>
      </c>
      <c r="BB7" s="19">
        <f t="shared" si="17"/>
        <v>3.6654470096816993E-2</v>
      </c>
      <c r="BC7" s="19">
        <f t="shared" si="17"/>
        <v>-2.9147078576225671E-2</v>
      </c>
      <c r="BD7" s="19">
        <f t="shared" si="17"/>
        <v>-6.5594972924600481E-2</v>
      </c>
      <c r="BE7" s="19">
        <f t="shared" si="17"/>
        <v>-8.0217994244173862E-3</v>
      </c>
      <c r="BF7" s="19">
        <f t="shared" si="17"/>
        <v>-0.26652575490679842</v>
      </c>
      <c r="BG7" s="19">
        <f t="shared" si="17"/>
        <v>7.3543651413399802E-2</v>
      </c>
      <c r="BH7" s="19">
        <f t="shared" si="17"/>
        <v>0.34258585034806166</v>
      </c>
      <c r="BI7" s="19">
        <f t="shared" si="17"/>
        <v>0.4572559053191565</v>
      </c>
      <c r="BJ7" s="19">
        <f t="shared" si="17"/>
        <v>0.15340902905540021</v>
      </c>
      <c r="BK7" s="19">
        <f t="shared" si="17"/>
        <v>0.27346566971571695</v>
      </c>
      <c r="BL7" s="19">
        <f t="shared" si="17"/>
        <v>0.40279899329347235</v>
      </c>
      <c r="BM7" s="19">
        <f t="shared" si="17"/>
        <v>5.494630654083954E-2</v>
      </c>
      <c r="BN7" s="19">
        <f t="shared" si="17"/>
        <v>0.22666327671148756</v>
      </c>
      <c r="BO7" s="19">
        <f t="shared" si="17"/>
        <v>0.22270672291908511</v>
      </c>
      <c r="BP7" s="19">
        <f t="shared" si="17"/>
        <v>0.6437023128278494</v>
      </c>
      <c r="BQ7" s="19"/>
      <c r="BR7" s="19"/>
      <c r="BS7" s="19"/>
      <c r="BT7" s="19">
        <f>BT6/BO6-1</f>
        <v>0.18380330433484882</v>
      </c>
      <c r="BU7" s="19"/>
      <c r="BV7" s="19"/>
      <c r="BW7" s="19"/>
      <c r="BX7" s="19"/>
      <c r="BY7" s="19">
        <f>BY6/BT6-1</f>
        <v>0.10137162568236247</v>
      </c>
      <c r="BZ7" s="19"/>
      <c r="CA7" s="19"/>
      <c r="CB7" s="19"/>
      <c r="CC7" s="19"/>
      <c r="CD7" s="19">
        <f>CD6/BY6-1</f>
        <v>3.0785671573454687E-2</v>
      </c>
      <c r="CE7" s="19"/>
      <c r="CF7" s="19"/>
      <c r="CG7" s="19"/>
      <c r="CH7" s="19"/>
      <c r="CI7" s="19">
        <f>CI6/CD6-1</f>
        <v>7.3847552949623196E-2</v>
      </c>
      <c r="CJ7" s="19">
        <f>CJ6/CI6-1</f>
        <v>0.1226870313647741</v>
      </c>
      <c r="CK7" s="19">
        <f>CK6/CJ6-1</f>
        <v>0.14548780053327759</v>
      </c>
      <c r="CL7" s="19">
        <f t="shared" ref="CL7:CN7" si="18">CL6/CK6-1</f>
        <v>0.19263727544552389</v>
      </c>
      <c r="CM7" s="19">
        <f t="shared" si="18"/>
        <v>0.10041637796844949</v>
      </c>
      <c r="CN7" s="19">
        <f t="shared" si="18"/>
        <v>9.7266469603177308E-2</v>
      </c>
      <c r="CO7" s="20"/>
      <c r="CP7" s="20"/>
      <c r="CQ7" s="6"/>
      <c r="CR7" s="30"/>
      <c r="CS7" s="30"/>
      <c r="CT7" s="19">
        <f t="shared" si="0"/>
        <v>0.15015731983300773</v>
      </c>
      <c r="CU7" s="19">
        <f t="shared" si="1"/>
        <v>6.1158004489453965E-2</v>
      </c>
      <c r="CV7" s="19">
        <f t="shared" si="2"/>
        <v>-0.27491435271158937</v>
      </c>
      <c r="CW7" s="19">
        <f t="shared" si="3"/>
        <v>0.63</v>
      </c>
      <c r="CX7" s="19">
        <f t="shared" si="4"/>
        <v>0.1129539739952401</v>
      </c>
      <c r="CY7" s="19">
        <f t="shared" si="5"/>
        <v>0.1187647116861883</v>
      </c>
      <c r="CZ7" s="19">
        <f t="shared" si="6"/>
        <v>-8.0217994244173862E-3</v>
      </c>
      <c r="DA7" s="19">
        <f t="shared" si="7"/>
        <v>0.15340902905540021</v>
      </c>
      <c r="DB7" s="19">
        <f t="shared" si="8"/>
        <v>0.22270672291908511</v>
      </c>
      <c r="DC7" s="19">
        <f t="shared" si="9"/>
        <v>0.18380330433484882</v>
      </c>
      <c r="DD7" s="19">
        <f t="shared" si="10"/>
        <v>0.10137162568236247</v>
      </c>
      <c r="DE7" s="19">
        <f t="shared" si="11"/>
        <v>3.0785671573454687E-2</v>
      </c>
      <c r="DF7" s="19">
        <f t="shared" si="12"/>
        <v>7.3847552949623196E-2</v>
      </c>
      <c r="DG7" s="19">
        <f t="shared" si="12"/>
        <v>0.1226870313647741</v>
      </c>
      <c r="DH7" s="19">
        <f t="shared" si="12"/>
        <v>0.14548780053327759</v>
      </c>
      <c r="DI7" s="19">
        <v>0.1754</v>
      </c>
      <c r="DK7" s="19">
        <v>0.14000000000000001</v>
      </c>
      <c r="DL7" s="19">
        <v>0.14000000000000001</v>
      </c>
      <c r="DM7" s="32"/>
      <c r="DN7" s="19">
        <v>0.14000000000000001</v>
      </c>
      <c r="DO7" s="19">
        <v>0.14000000000000001</v>
      </c>
      <c r="DQ7" s="19">
        <v>0.18999999999999995</v>
      </c>
      <c r="DR7" s="19">
        <v>0.14000000000000001</v>
      </c>
      <c r="DS7" s="19">
        <v>0.17499999999999999</v>
      </c>
      <c r="DT7" s="19">
        <v>0.1754</v>
      </c>
      <c r="DV7" s="19">
        <v>0.14773804993264594</v>
      </c>
      <c r="DW7" s="19">
        <v>0.15540000000000001</v>
      </c>
      <c r="DX7" s="19">
        <v>0.12</v>
      </c>
      <c r="EA7" s="19">
        <v>0.1399999999999999</v>
      </c>
      <c r="EB7" s="19">
        <v>0.14999999999999991</v>
      </c>
      <c r="EC7" s="19">
        <v>0.14999999999999991</v>
      </c>
      <c r="ED7" s="19">
        <v>0.14773804993264594</v>
      </c>
      <c r="EE7" s="19">
        <v>0.15540000000000001</v>
      </c>
      <c r="EF7" s="19">
        <v>0.12</v>
      </c>
      <c r="EJ7" s="19">
        <v>0.10000000000000009</v>
      </c>
      <c r="EK7" s="19">
        <v>0.16419939371694992</v>
      </c>
      <c r="EL7" s="19">
        <v>0.14773804993264594</v>
      </c>
      <c r="EM7" s="19">
        <v>0.15540000000000001</v>
      </c>
      <c r="EN7" s="19">
        <v>0.12</v>
      </c>
      <c r="EP7" s="19">
        <v>7.9727580441254275E-2</v>
      </c>
      <c r="EQ7" s="19">
        <v>0.12357514361827437</v>
      </c>
      <c r="ER7" s="19">
        <v>0.15540000000000001</v>
      </c>
      <c r="ES7" s="19">
        <v>0.12</v>
      </c>
      <c r="EV7" s="19">
        <v>6.6098936620817339E-2</v>
      </c>
      <c r="EW7" s="19">
        <v>0.10000000000000009</v>
      </c>
      <c r="EX7" s="19">
        <v>0.14999999999999991</v>
      </c>
      <c r="EY7" s="19">
        <v>0.16254743910484604</v>
      </c>
      <c r="EZ7" s="19">
        <v>0.11588863431429552</v>
      </c>
      <c r="FA7" s="19">
        <v>0.13500000000000001</v>
      </c>
      <c r="FD7" s="19">
        <v>0.10000000000000009</v>
      </c>
      <c r="FE7" s="19">
        <v>0.14999999999999991</v>
      </c>
      <c r="FF7" s="19">
        <v>0.16112802189547337</v>
      </c>
      <c r="FG7" s="19">
        <v>0.11588863431429552</v>
      </c>
      <c r="FH7" s="19">
        <v>0.13500000000000001</v>
      </c>
      <c r="FK7" s="19">
        <v>9.7890430535032769E-2</v>
      </c>
      <c r="FL7" s="19">
        <v>0.13500000000000001</v>
      </c>
      <c r="FO7" s="19">
        <v>8.0000000000000071E-2</v>
      </c>
      <c r="FP7" s="19">
        <v>0.21160159643610599</v>
      </c>
      <c r="FQ7" s="19">
        <v>9.7890430535032769E-2</v>
      </c>
      <c r="FR7" s="19">
        <v>0.13500000000000001</v>
      </c>
      <c r="FU7" s="19">
        <v>-5.930244750653535E-2</v>
      </c>
      <c r="FV7" s="19">
        <v>-4.5416145310711586E-3</v>
      </c>
      <c r="FW7" s="19">
        <v>-0.19410466280736716</v>
      </c>
      <c r="FX7" s="19">
        <v>0.20529330317652628</v>
      </c>
      <c r="FY7" s="19">
        <v>0.10769097823206608</v>
      </c>
      <c r="GA7" s="19">
        <v>-0.19746660817382089</v>
      </c>
      <c r="GB7" s="19">
        <v>0.12928060351137605</v>
      </c>
      <c r="GC7" s="19">
        <v>0.12781991005244575</v>
      </c>
      <c r="GF7" s="19">
        <v>-5.0445103857566842E-2</v>
      </c>
      <c r="GG7" s="19"/>
      <c r="GH7" s="19"/>
      <c r="GI7" s="19">
        <v>-0.13161680865500325</v>
      </c>
      <c r="GJ7" s="19">
        <v>0.17484613362637225</v>
      </c>
      <c r="GK7" s="19">
        <v>0.12780032280445641</v>
      </c>
      <c r="GN7" s="19">
        <v>0.30000000000000004</v>
      </c>
      <c r="GO7" s="19">
        <v>-0.174121170062011</v>
      </c>
      <c r="GP7" s="19">
        <v>-2.1074435196334673E-2</v>
      </c>
      <c r="GQ7" s="19">
        <v>0.17319112977184847</v>
      </c>
      <c r="GR7" s="19">
        <v>0.12614437419042157</v>
      </c>
      <c r="GV7" s="19">
        <v>0.28072632039257406</v>
      </c>
      <c r="GW7" s="19">
        <v>0.10758992841535631</v>
      </c>
      <c r="GX7" s="19">
        <v>9.8339028276362317E-2</v>
      </c>
      <c r="GY7" s="19">
        <v>0.16203810685672515</v>
      </c>
      <c r="HC7" s="19"/>
      <c r="HD7" s="19">
        <v>0.18761186769478333</v>
      </c>
      <c r="HE7" s="19">
        <v>0.17223251893439828</v>
      </c>
      <c r="HF7" s="19">
        <v>0.11744411761364226</v>
      </c>
      <c r="HI7" s="19"/>
      <c r="HJ7" s="19"/>
      <c r="HK7" s="19"/>
      <c r="HL7" s="19"/>
      <c r="HM7" s="19">
        <v>0.17086688826742202</v>
      </c>
      <c r="HN7" s="19">
        <v>0.11817148833208391</v>
      </c>
      <c r="HO7" s="19">
        <v>9.8160641125887738E-2</v>
      </c>
      <c r="HR7" s="19"/>
      <c r="HS7" s="19"/>
      <c r="HT7" s="19"/>
      <c r="HU7" s="19">
        <v>-4.1665230298935096E-3</v>
      </c>
      <c r="HV7" s="19">
        <v>6.0283760838922396E-2</v>
      </c>
      <c r="HW7" s="19">
        <v>0.10139941799003926</v>
      </c>
      <c r="HZ7" s="19"/>
      <c r="IA7" s="19">
        <v>0.14891131296976079</v>
      </c>
      <c r="IB7" s="19">
        <v>1.6288076384610273E-2</v>
      </c>
      <c r="IC7" s="19">
        <v>9.935234121141101E-2</v>
      </c>
      <c r="IE7" s="19"/>
      <c r="IF7" s="19">
        <v>0.20668435375256711</v>
      </c>
      <c r="IG7" s="19">
        <v>1.7848551016758751E-2</v>
      </c>
      <c r="IH7" s="19">
        <v>9.8855424063909458E-2</v>
      </c>
      <c r="IK7" s="19">
        <v>3.7510681523519329E-2</v>
      </c>
      <c r="IL7" s="19">
        <v>9.8855424063909458E-2</v>
      </c>
      <c r="IO7" s="19">
        <v>0.19636378956016931</v>
      </c>
      <c r="IP7" s="19">
        <v>0.12600684148165886</v>
      </c>
      <c r="IS7" s="13"/>
      <c r="IT7" s="13"/>
      <c r="IU7" s="13"/>
      <c r="IX7" s="19"/>
      <c r="IY7" s="19">
        <v>9.5166891666458531E-2</v>
      </c>
      <c r="IZ7" s="19">
        <v>0.15475822426470009</v>
      </c>
      <c r="JA7" s="19">
        <v>0.15542466307441916</v>
      </c>
      <c r="JD7" s="19">
        <v>0.21382182768443281</v>
      </c>
      <c r="JE7" s="19">
        <v>0.19441127857051055</v>
      </c>
      <c r="JH7" s="19">
        <v>0.20437195644094097</v>
      </c>
      <c r="JI7" s="19">
        <v>0.19485688592394923</v>
      </c>
      <c r="JJ7" s="19">
        <v>0.15643082946921849</v>
      </c>
      <c r="JM7" s="19">
        <v>0.17900849750405512</v>
      </c>
      <c r="JN7" s="19">
        <v>0.15549642162641564</v>
      </c>
      <c r="JQ7" s="19">
        <v>7.4339024619734184E-2</v>
      </c>
      <c r="JR7" s="19">
        <v>0.11897413802671908</v>
      </c>
      <c r="JS7" s="19">
        <v>0.11654413527925245</v>
      </c>
      <c r="JV7" s="19">
        <v>0.15157540753650323</v>
      </c>
      <c r="JW7" s="19">
        <v>0.11649936545756434</v>
      </c>
      <c r="JY7" s="19">
        <v>0.18012033465066413</v>
      </c>
      <c r="JZ7" s="19">
        <v>0.11658403932931538</v>
      </c>
      <c r="KB7" s="19">
        <v>0.14461878086527946</v>
      </c>
      <c r="KC7" s="19">
        <v>0.12478427945855963</v>
      </c>
      <c r="KD7" s="19">
        <v>0.12533126494066971</v>
      </c>
    </row>
    <row r="8" spans="1:290" x14ac:dyDescent="0.25">
      <c r="A8" s="7" t="s">
        <v>259</v>
      </c>
      <c r="B8" s="11" t="s">
        <v>140</v>
      </c>
      <c r="C8" s="12"/>
      <c r="D8" s="12">
        <v>0</v>
      </c>
      <c r="E8" s="12">
        <v>0</v>
      </c>
      <c r="F8" s="12">
        <v>0</v>
      </c>
      <c r="G8" s="12">
        <v>0</v>
      </c>
      <c r="H8" s="13">
        <v>0</v>
      </c>
      <c r="I8" s="12">
        <v>2.8600000000000003</v>
      </c>
      <c r="J8" s="12">
        <v>5.9043000000000001</v>
      </c>
      <c r="K8" s="12">
        <v>8.7797000000000001</v>
      </c>
      <c r="L8" s="12">
        <v>15.7058</v>
      </c>
      <c r="M8" s="26">
        <f>I8+J8+K8+L8</f>
        <v>33.2498</v>
      </c>
      <c r="N8" s="12">
        <v>7.5167000000000002</v>
      </c>
      <c r="O8" s="12">
        <v>8.4593000000000007</v>
      </c>
      <c r="P8" s="12">
        <v>9.9726999999999997</v>
      </c>
      <c r="Q8" s="12">
        <v>12.3087</v>
      </c>
      <c r="R8" s="26">
        <f>N8+O8+P8+Q8</f>
        <v>38.257400000000004</v>
      </c>
      <c r="S8" s="12">
        <v>7.0969999999999995</v>
      </c>
      <c r="T8" s="12">
        <v>9.0081000000000007</v>
      </c>
      <c r="U8" s="12">
        <v>13.927600000000002</v>
      </c>
      <c r="V8" s="12">
        <v>14.926599999999999</v>
      </c>
      <c r="W8" s="26">
        <f>S8+T8+U8+V8</f>
        <v>44.959299999999999</v>
      </c>
      <c r="X8" s="23">
        <v>9.1364999999999998</v>
      </c>
      <c r="Y8" s="23">
        <v>12.541700000000001</v>
      </c>
      <c r="Z8" s="23">
        <v>14.531200000000002</v>
      </c>
      <c r="AA8" s="23">
        <v>20.863700000000001</v>
      </c>
      <c r="AB8" s="26">
        <f>X8+Y8+Z8+AA8</f>
        <v>57.073100000000004</v>
      </c>
      <c r="AC8" s="23">
        <v>7.7846999999999991</v>
      </c>
      <c r="AD8" s="23">
        <v>12.177200000000001</v>
      </c>
      <c r="AE8" s="23">
        <v>8.032</v>
      </c>
      <c r="AF8" s="12">
        <v>7.7103999999999999</v>
      </c>
      <c r="AG8" s="26">
        <f>AC8+AD8+AE8+AF8</f>
        <v>35.704300000000003</v>
      </c>
      <c r="AH8" s="27">
        <v>3.2290000000000001</v>
      </c>
      <c r="AI8" s="27">
        <v>4.1562999999999999</v>
      </c>
      <c r="AJ8" s="27">
        <v>8.8841999999999999</v>
      </c>
      <c r="AK8" s="26">
        <f>AH8+AI8+AJ8</f>
        <v>16.269500000000001</v>
      </c>
      <c r="AL8" s="27">
        <v>4.6914999999999996</v>
      </c>
      <c r="AM8" s="27">
        <v>4.6696</v>
      </c>
      <c r="AN8" s="27">
        <v>4.7241</v>
      </c>
      <c r="AO8" s="27"/>
      <c r="AP8" s="13">
        <v>0</v>
      </c>
      <c r="AQ8" s="27"/>
      <c r="AR8" s="27"/>
      <c r="AS8" s="27"/>
      <c r="AT8" s="27"/>
      <c r="AU8" s="13"/>
      <c r="AV8" s="27"/>
      <c r="AW8" s="27"/>
      <c r="AX8" s="27"/>
      <c r="AY8" s="27"/>
      <c r="AZ8" s="13"/>
      <c r="BA8" s="27"/>
      <c r="BB8" s="27"/>
      <c r="BC8" s="27"/>
      <c r="BD8" s="27"/>
      <c r="BE8" s="13"/>
      <c r="BF8" s="27"/>
      <c r="BG8" s="27"/>
      <c r="BH8" s="27"/>
      <c r="BI8" s="27"/>
      <c r="BJ8" s="13"/>
      <c r="BK8" s="27"/>
      <c r="BL8" s="27"/>
      <c r="BM8" s="27"/>
      <c r="BN8" s="27"/>
      <c r="BO8" s="13"/>
      <c r="BP8" s="27"/>
      <c r="BQ8" s="27"/>
      <c r="BR8" s="27"/>
      <c r="BS8" s="27"/>
      <c r="BT8" s="13"/>
      <c r="BU8" s="27"/>
      <c r="BV8" s="27"/>
      <c r="BW8" s="27"/>
      <c r="BX8" s="27"/>
      <c r="BY8" s="13"/>
      <c r="BZ8" s="27"/>
      <c r="CA8" s="27"/>
      <c r="CB8" s="27"/>
      <c r="CC8" s="27"/>
      <c r="CD8" s="13"/>
      <c r="CE8" s="27"/>
      <c r="CF8" s="27"/>
      <c r="CG8" s="27"/>
      <c r="CH8" s="27"/>
      <c r="CI8" s="13"/>
      <c r="CJ8" s="13"/>
      <c r="CK8" s="13"/>
      <c r="CL8" s="13"/>
      <c r="CM8" s="13"/>
      <c r="CN8" s="13"/>
      <c r="CO8" s="15"/>
      <c r="CP8" s="15"/>
      <c r="CQ8" s="6"/>
      <c r="CR8" s="30"/>
      <c r="CS8" s="30"/>
      <c r="CT8" s="26">
        <f t="shared" si="0"/>
        <v>57.073100000000004</v>
      </c>
      <c r="CU8" s="26">
        <f t="shared" si="1"/>
        <v>35.704300000000003</v>
      </c>
      <c r="CV8" s="26">
        <f t="shared" si="2"/>
        <v>16.269500000000001</v>
      </c>
      <c r="CW8" s="26">
        <f t="shared" si="3"/>
        <v>0</v>
      </c>
      <c r="CX8" s="26">
        <f t="shared" si="4"/>
        <v>0</v>
      </c>
      <c r="CY8" s="26">
        <f t="shared" si="5"/>
        <v>0</v>
      </c>
      <c r="CZ8" s="26">
        <f t="shared" si="6"/>
        <v>0</v>
      </c>
      <c r="DA8" s="26">
        <f t="shared" si="7"/>
        <v>0</v>
      </c>
      <c r="DB8" s="26">
        <f t="shared" si="8"/>
        <v>0</v>
      </c>
      <c r="DC8" s="26">
        <f t="shared" si="9"/>
        <v>0</v>
      </c>
      <c r="DD8" s="26">
        <f t="shared" si="10"/>
        <v>0</v>
      </c>
      <c r="DE8" s="26">
        <f t="shared" si="11"/>
        <v>0</v>
      </c>
      <c r="DF8" s="26">
        <f t="shared" si="12"/>
        <v>0</v>
      </c>
      <c r="DG8" s="26">
        <f t="shared" si="12"/>
        <v>0</v>
      </c>
      <c r="DH8" s="26">
        <f t="shared" si="12"/>
        <v>0</v>
      </c>
      <c r="DI8" s="13">
        <v>0</v>
      </c>
      <c r="DK8" s="13">
        <v>0</v>
      </c>
      <c r="DL8" s="13">
        <v>0</v>
      </c>
      <c r="DM8" s="32"/>
      <c r="DN8" s="13">
        <v>0</v>
      </c>
      <c r="DO8" s="13">
        <v>0</v>
      </c>
      <c r="DQ8" s="27"/>
      <c r="DR8" s="13">
        <v>0</v>
      </c>
      <c r="DS8" s="13">
        <v>0</v>
      </c>
      <c r="DT8" s="13">
        <v>0</v>
      </c>
      <c r="DV8" s="13"/>
      <c r="DW8" s="13"/>
      <c r="DX8" s="13"/>
      <c r="EA8" s="27"/>
      <c r="EB8" s="27"/>
      <c r="EC8" s="27"/>
      <c r="ED8" s="13"/>
      <c r="EE8" s="13"/>
      <c r="EF8" s="13"/>
      <c r="EJ8" s="27"/>
      <c r="EK8" s="27"/>
      <c r="EL8" s="13"/>
      <c r="EM8" s="13"/>
      <c r="EN8" s="13"/>
      <c r="EP8" s="27"/>
      <c r="EQ8" s="13"/>
      <c r="ER8" s="13"/>
      <c r="ES8" s="13"/>
      <c r="EV8" s="27"/>
      <c r="EW8" s="27"/>
      <c r="EX8" s="27"/>
      <c r="EY8" s="27"/>
      <c r="EZ8" s="13"/>
      <c r="FA8" s="13"/>
      <c r="FD8" s="27"/>
      <c r="FE8" s="27"/>
      <c r="FF8" s="27"/>
      <c r="FG8" s="13"/>
      <c r="FH8" s="13"/>
      <c r="FK8" s="13"/>
      <c r="FL8" s="13"/>
      <c r="FO8" s="27"/>
      <c r="FP8" s="27"/>
      <c r="FQ8" s="13"/>
      <c r="FR8" s="13"/>
      <c r="FU8" s="27"/>
      <c r="FV8" s="13"/>
      <c r="FW8" s="13"/>
      <c r="FX8" s="13"/>
      <c r="FY8" s="13"/>
      <c r="GA8" s="13"/>
      <c r="GB8" s="13"/>
      <c r="GC8" s="13"/>
      <c r="GF8" s="27"/>
      <c r="GG8" s="27"/>
      <c r="GH8" s="27"/>
      <c r="GI8" s="13"/>
      <c r="GJ8" s="13"/>
      <c r="GK8" s="13"/>
      <c r="GN8" s="27"/>
      <c r="GO8" s="27"/>
      <c r="GP8" s="13"/>
      <c r="GQ8" s="13"/>
      <c r="GR8" s="13"/>
      <c r="GV8" s="27"/>
      <c r="GW8" s="13"/>
      <c r="GX8" s="13"/>
      <c r="GY8" s="13"/>
      <c r="HC8" s="13"/>
      <c r="HD8" s="13"/>
      <c r="HE8" s="13"/>
      <c r="HF8" s="13"/>
      <c r="HI8" s="24"/>
      <c r="HJ8" s="24"/>
      <c r="HK8" s="24"/>
      <c r="HL8" s="24"/>
      <c r="HM8" s="13"/>
      <c r="HN8" s="13"/>
      <c r="HO8" s="13"/>
      <c r="HR8" s="24"/>
      <c r="HS8" s="24"/>
      <c r="HT8" s="24"/>
      <c r="HU8" s="13"/>
      <c r="HV8" s="13"/>
      <c r="HW8" s="13"/>
      <c r="HZ8" s="24"/>
      <c r="IA8" s="13"/>
      <c r="IB8" s="13"/>
      <c r="IC8" s="13"/>
      <c r="IE8" s="24"/>
      <c r="IF8" s="13"/>
      <c r="IG8" s="13"/>
      <c r="IH8" s="13"/>
      <c r="IK8" s="13"/>
      <c r="IL8" s="13"/>
      <c r="IO8" s="13"/>
      <c r="IP8" s="13"/>
      <c r="IS8" s="33">
        <v>11024.586587</v>
      </c>
      <c r="IT8" s="33">
        <v>12725.122452319998</v>
      </c>
      <c r="IU8" s="33">
        <v>14695.927605938399</v>
      </c>
      <c r="IX8" s="13"/>
      <c r="IY8" s="13"/>
      <c r="IZ8" s="13"/>
      <c r="JA8" s="13"/>
      <c r="JD8" s="13"/>
      <c r="JE8" s="13"/>
      <c r="JH8" s="13"/>
      <c r="JI8" s="13"/>
      <c r="JJ8" s="13"/>
      <c r="JM8" s="13"/>
      <c r="JN8" s="13"/>
      <c r="JQ8" s="13"/>
      <c r="JR8" s="13"/>
      <c r="JS8" s="13"/>
      <c r="JV8" s="13"/>
      <c r="JW8" s="13"/>
      <c r="JY8" s="13"/>
      <c r="JZ8" s="13"/>
      <c r="KB8" s="13"/>
      <c r="KC8" s="13"/>
      <c r="KD8" s="13"/>
    </row>
    <row r="9" spans="1:290" x14ac:dyDescent="0.25">
      <c r="A9" s="7" t="s">
        <v>259</v>
      </c>
      <c r="B9" s="34" t="s">
        <v>141</v>
      </c>
      <c r="C9" s="35"/>
      <c r="D9" s="35">
        <f t="shared" ref="D9:BJ9" si="19">D6+D8</f>
        <v>0</v>
      </c>
      <c r="E9" s="35">
        <f t="shared" si="19"/>
        <v>0</v>
      </c>
      <c r="F9" s="35">
        <f t="shared" si="19"/>
        <v>0</v>
      </c>
      <c r="G9" s="35">
        <f t="shared" si="19"/>
        <v>0</v>
      </c>
      <c r="H9" s="36">
        <f>H6+H8</f>
        <v>0</v>
      </c>
      <c r="I9" s="37">
        <f t="shared" si="19"/>
        <v>437.76</v>
      </c>
      <c r="J9" s="37">
        <f t="shared" si="19"/>
        <v>581.1309</v>
      </c>
      <c r="K9" s="37">
        <f t="shared" si="19"/>
        <v>662.5059</v>
      </c>
      <c r="L9" s="37">
        <f t="shared" si="19"/>
        <v>748.43359999999996</v>
      </c>
      <c r="M9" s="33">
        <f>M6+M8</f>
        <v>2429.8303999999998</v>
      </c>
      <c r="N9" s="37">
        <f t="shared" si="19"/>
        <v>480.43380000000002</v>
      </c>
      <c r="O9" s="37">
        <f t="shared" si="19"/>
        <v>721.2992999999999</v>
      </c>
      <c r="P9" s="37">
        <f t="shared" si="19"/>
        <v>768.55090000000007</v>
      </c>
      <c r="Q9" s="37">
        <f t="shared" si="19"/>
        <v>926.30939999999998</v>
      </c>
      <c r="R9" s="33">
        <f>R6+R8</f>
        <v>2896.5933999999997</v>
      </c>
      <c r="S9" s="37">
        <f t="shared" si="19"/>
        <v>617.63889999999992</v>
      </c>
      <c r="T9" s="37">
        <f t="shared" si="19"/>
        <v>814.98689999999999</v>
      </c>
      <c r="U9" s="37">
        <f t="shared" si="19"/>
        <v>917.67880000000002</v>
      </c>
      <c r="V9" s="37">
        <f t="shared" si="19"/>
        <v>1037.6851999999999</v>
      </c>
      <c r="W9" s="33">
        <f>W6+W8</f>
        <v>3387.9897999999998</v>
      </c>
      <c r="X9" s="37">
        <f t="shared" si="19"/>
        <v>705.14029999999991</v>
      </c>
      <c r="Y9" s="37">
        <f t="shared" si="19"/>
        <v>936.05199999999991</v>
      </c>
      <c r="Z9" s="37">
        <f t="shared" si="19"/>
        <v>1005.2301</v>
      </c>
      <c r="AA9" s="37">
        <f t="shared" si="19"/>
        <v>1255.6617000000001</v>
      </c>
      <c r="AB9" s="33">
        <f>AB6+AB8</f>
        <v>3902.0840999999996</v>
      </c>
      <c r="AC9" s="37">
        <f t="shared" si="19"/>
        <v>759.55110000000002</v>
      </c>
      <c r="AD9" s="37">
        <f t="shared" si="19"/>
        <v>1019.8377999999999</v>
      </c>
      <c r="AE9" s="37">
        <f t="shared" si="19"/>
        <v>1082.0782999999999</v>
      </c>
      <c r="AF9" s="37">
        <f t="shared" si="19"/>
        <v>1254.4013</v>
      </c>
      <c r="AG9" s="33">
        <f>AG6+AG8</f>
        <v>4115.8684999999996</v>
      </c>
      <c r="AH9" s="37">
        <f t="shared" si="19"/>
        <v>772.79669999999999</v>
      </c>
      <c r="AI9" s="37">
        <f t="shared" si="19"/>
        <v>1001.6342000000001</v>
      </c>
      <c r="AJ9" s="37">
        <f t="shared" si="19"/>
        <v>1200.3071</v>
      </c>
      <c r="AK9" s="33">
        <f>AK6+AK8</f>
        <v>2974.7379999999998</v>
      </c>
      <c r="AL9" s="37">
        <f>AL6+AL8</f>
        <v>1189.3353</v>
      </c>
      <c r="AM9" s="37">
        <f>AM6+AM8</f>
        <v>882.87739999999985</v>
      </c>
      <c r="AN9" s="37">
        <f>AN6+AN8</f>
        <v>1107.4204999999999</v>
      </c>
      <c r="AO9" s="37">
        <f>AO6+AO8</f>
        <v>1282.6300000000001</v>
      </c>
      <c r="AP9" s="33">
        <f t="shared" si="19"/>
        <v>4462.26</v>
      </c>
      <c r="AQ9" s="37">
        <f>AQ6+AQ8</f>
        <v>1161.6600000000001</v>
      </c>
      <c r="AR9" s="37">
        <f>AR6+AR8</f>
        <v>1055.06</v>
      </c>
      <c r="AS9" s="37">
        <f>AS6+AS8</f>
        <v>1278.3</v>
      </c>
      <c r="AT9" s="37">
        <f>AT6+AT8</f>
        <v>1471.26</v>
      </c>
      <c r="AU9" s="33">
        <f t="shared" si="19"/>
        <v>4966.29</v>
      </c>
      <c r="AV9" s="37">
        <f t="shared" si="19"/>
        <v>1345.71</v>
      </c>
      <c r="AW9" s="37">
        <f t="shared" si="19"/>
        <v>1235.3200000000002</v>
      </c>
      <c r="AX9" s="37">
        <f t="shared" si="19"/>
        <v>1414.55</v>
      </c>
      <c r="AY9" s="37">
        <f t="shared" si="19"/>
        <v>1530.91</v>
      </c>
      <c r="AZ9" s="33">
        <f t="shared" si="19"/>
        <v>5556.11</v>
      </c>
      <c r="BA9" s="37">
        <f>BA6+BA8</f>
        <v>1436.8330000000001</v>
      </c>
      <c r="BB9" s="37">
        <f>BB6+BB8</f>
        <v>1280.6000000000001</v>
      </c>
      <c r="BC9" s="37">
        <f>BC6+BC8</f>
        <v>1373.32</v>
      </c>
      <c r="BD9" s="37">
        <f>BD6+BD8</f>
        <v>1430.49</v>
      </c>
      <c r="BE9" s="33">
        <f t="shared" si="19"/>
        <v>5511.54</v>
      </c>
      <c r="BF9" s="37">
        <f>BF6+BF8</f>
        <v>1053.8800000000001</v>
      </c>
      <c r="BG9" s="37">
        <f>BG6+BG8</f>
        <v>1374.78</v>
      </c>
      <c r="BH9" s="37">
        <f>BH6+BH8</f>
        <v>1843.8</v>
      </c>
      <c r="BI9" s="37">
        <f>BI6+BI8</f>
        <v>2084.59</v>
      </c>
      <c r="BJ9" s="33">
        <f t="shared" si="19"/>
        <v>6357.06</v>
      </c>
      <c r="BK9" s="37">
        <f>BK6+BK8</f>
        <v>1342.08</v>
      </c>
      <c r="BL9" s="37">
        <f>BL6+BL8</f>
        <v>1928.54</v>
      </c>
      <c r="BM9" s="37">
        <f>BM6+BM8</f>
        <v>1945.11</v>
      </c>
      <c r="BN9" s="37">
        <f>BN6+BN8</f>
        <v>2557.09</v>
      </c>
      <c r="BO9" s="33">
        <f t="shared" ref="BO9:CN9" si="20">BO6+BO8</f>
        <v>7772.82</v>
      </c>
      <c r="BP9" s="37">
        <f t="shared" si="20"/>
        <v>2205.98</v>
      </c>
      <c r="BQ9" s="37">
        <f t="shared" si="20"/>
        <v>2086.6</v>
      </c>
      <c r="BR9" s="37">
        <f t="shared" si="20"/>
        <v>2310.71</v>
      </c>
      <c r="BS9" s="37">
        <f t="shared" si="20"/>
        <v>2598.3000000000002</v>
      </c>
      <c r="BT9" s="33">
        <f t="shared" si="20"/>
        <v>9201.49</v>
      </c>
      <c r="BU9" s="37">
        <f t="shared" si="20"/>
        <v>2368.58</v>
      </c>
      <c r="BV9" s="37">
        <f t="shared" si="20"/>
        <v>2308.69</v>
      </c>
      <c r="BW9" s="37">
        <f t="shared" si="20"/>
        <v>2449.1</v>
      </c>
      <c r="BX9" s="37">
        <f t="shared" si="20"/>
        <v>3007.89</v>
      </c>
      <c r="BY9" s="33">
        <f t="shared" si="20"/>
        <v>10134.26</v>
      </c>
      <c r="BZ9" s="37">
        <f t="shared" si="20"/>
        <v>2636.35</v>
      </c>
      <c r="CA9" s="37">
        <f t="shared" si="20"/>
        <v>2272.9499999999998</v>
      </c>
      <c r="CB9" s="37">
        <f t="shared" si="20"/>
        <v>2509.88</v>
      </c>
      <c r="CC9" s="37">
        <f t="shared" si="20"/>
        <v>3027.07</v>
      </c>
      <c r="CD9" s="33">
        <f>CD6+CD8</f>
        <v>10446.25</v>
      </c>
      <c r="CE9" s="37">
        <f t="shared" ref="CE9:CH9" si="21">CE6+CE8</f>
        <v>2609.21</v>
      </c>
      <c r="CF9" s="37">
        <f t="shared" si="21"/>
        <v>2393.87</v>
      </c>
      <c r="CG9" s="37">
        <f t="shared" si="21"/>
        <v>2686.94</v>
      </c>
      <c r="CH9" s="37">
        <f t="shared" si="21"/>
        <v>3527.66</v>
      </c>
      <c r="CI9" s="33">
        <f t="shared" si="20"/>
        <v>11217.68</v>
      </c>
      <c r="CJ9" s="33">
        <f t="shared" si="20"/>
        <v>12593.943858000001</v>
      </c>
      <c r="CK9" s="33">
        <f t="shared" si="20"/>
        <v>14426.20904994</v>
      </c>
      <c r="CL9" s="33">
        <f t="shared" si="20"/>
        <v>17205.234656328001</v>
      </c>
      <c r="CM9" s="33">
        <f t="shared" si="20"/>
        <v>18932.922002613701</v>
      </c>
      <c r="CN9" s="33">
        <f t="shared" si="20"/>
        <v>20774.460485080253</v>
      </c>
      <c r="CO9" s="38"/>
      <c r="CP9" s="38"/>
      <c r="CQ9" s="6"/>
      <c r="CR9" s="39"/>
      <c r="CS9" s="39"/>
      <c r="CT9" s="33">
        <f t="shared" si="0"/>
        <v>3902.0840999999996</v>
      </c>
      <c r="CU9" s="33">
        <f t="shared" si="1"/>
        <v>4115.8684999999996</v>
      </c>
      <c r="CV9" s="33">
        <f t="shared" si="2"/>
        <v>2974.7379999999998</v>
      </c>
      <c r="CW9" s="33">
        <f t="shared" si="3"/>
        <v>4462.26</v>
      </c>
      <c r="CX9" s="33">
        <f t="shared" si="4"/>
        <v>4966.29</v>
      </c>
      <c r="CY9" s="33">
        <f t="shared" si="5"/>
        <v>5556.11</v>
      </c>
      <c r="CZ9" s="33">
        <f t="shared" si="6"/>
        <v>5511.54</v>
      </c>
      <c r="DA9" s="33">
        <f t="shared" si="7"/>
        <v>6357.06</v>
      </c>
      <c r="DB9" s="33">
        <f t="shared" si="8"/>
        <v>7772.82</v>
      </c>
      <c r="DC9" s="33">
        <f t="shared" si="9"/>
        <v>9201.49</v>
      </c>
      <c r="DD9" s="33">
        <f t="shared" si="10"/>
        <v>10134.26</v>
      </c>
      <c r="DE9" s="33">
        <f t="shared" si="11"/>
        <v>10446.25</v>
      </c>
      <c r="DF9" s="33">
        <f t="shared" si="12"/>
        <v>11217.68</v>
      </c>
      <c r="DG9" s="33">
        <f t="shared" si="12"/>
        <v>12593.943858000001</v>
      </c>
      <c r="DH9" s="33">
        <f t="shared" si="12"/>
        <v>14426.20904994</v>
      </c>
      <c r="DI9" s="33">
        <v>7025.5976711580006</v>
      </c>
      <c r="DK9" s="33">
        <v>5086.9764000000005</v>
      </c>
      <c r="DL9" s="33">
        <v>5799.1530960000009</v>
      </c>
      <c r="DM9" s="6"/>
      <c r="DN9" s="33">
        <v>5086.9764000000005</v>
      </c>
      <c r="DO9" s="33">
        <v>5799.1530960000009</v>
      </c>
      <c r="DQ9" s="37">
        <v>1526.3297</v>
      </c>
      <c r="DR9" s="33">
        <v>5086.9764000000005</v>
      </c>
      <c r="DS9" s="33">
        <v>5977.1972700000006</v>
      </c>
      <c r="DT9" s="33">
        <v>7025.5976711580006</v>
      </c>
      <c r="DV9" s="33">
        <v>5700</v>
      </c>
      <c r="DW9" s="33">
        <v>6585.78</v>
      </c>
      <c r="DX9" s="33">
        <v>7376.0736000000006</v>
      </c>
      <c r="EA9" s="37">
        <v>1202.7683999999999</v>
      </c>
      <c r="EB9" s="37">
        <v>1470.0449999999998</v>
      </c>
      <c r="EC9" s="37">
        <v>1691.9489999999998</v>
      </c>
      <c r="ED9" s="33">
        <v>5700</v>
      </c>
      <c r="EE9" s="33">
        <v>6585.78</v>
      </c>
      <c r="EF9" s="33">
        <v>7376.0736000000006</v>
      </c>
      <c r="EJ9" s="37">
        <v>1406.13</v>
      </c>
      <c r="EK9" s="37">
        <v>1712.8399999999997</v>
      </c>
      <c r="EL9" s="33">
        <v>5700</v>
      </c>
      <c r="EM9" s="33">
        <v>6585.78</v>
      </c>
      <c r="EN9" s="33">
        <v>7376.0736000000006</v>
      </c>
      <c r="EP9" s="37">
        <v>1588.5599999999997</v>
      </c>
      <c r="EQ9" s="33">
        <v>5580</v>
      </c>
      <c r="ER9" s="33">
        <v>6447.1319999999996</v>
      </c>
      <c r="ES9" s="33">
        <v>7220.78784</v>
      </c>
      <c r="EV9" s="37">
        <v>1434.66</v>
      </c>
      <c r="EW9" s="37">
        <v>1358.8520000000003</v>
      </c>
      <c r="EX9" s="37">
        <v>1626.7324999999998</v>
      </c>
      <c r="EY9" s="37">
        <v>1779.7555</v>
      </c>
      <c r="EZ9" s="33">
        <v>6200</v>
      </c>
      <c r="FA9" s="33">
        <v>7037</v>
      </c>
      <c r="FD9" s="37">
        <v>1358.8520000000003</v>
      </c>
      <c r="FE9" s="37">
        <v>1626.7324999999998</v>
      </c>
      <c r="FF9" s="37">
        <v>1777.5824999999993</v>
      </c>
      <c r="FG9" s="33">
        <v>6200</v>
      </c>
      <c r="FH9" s="33">
        <v>7037</v>
      </c>
      <c r="FK9" s="33">
        <v>6100</v>
      </c>
      <c r="FL9" s="33">
        <v>6923.5</v>
      </c>
      <c r="FO9" s="37">
        <v>1527.7139999999999</v>
      </c>
      <c r="FP9" s="37">
        <v>1854.8529999999992</v>
      </c>
      <c r="FQ9" s="33">
        <v>6100</v>
      </c>
      <c r="FR9" s="33">
        <v>6923.5</v>
      </c>
      <c r="FU9" s="37">
        <v>1440.1232900877701</v>
      </c>
      <c r="FV9" s="33">
        <v>5530.87629008777</v>
      </c>
      <c r="FW9" s="33">
        <v>4457.3074127710215</v>
      </c>
      <c r="FX9" s="33">
        <v>5372.3627748120007</v>
      </c>
      <c r="FY9" s="33">
        <v>5950.9177774490418</v>
      </c>
      <c r="GA9" s="33">
        <v>4423.1948903856592</v>
      </c>
      <c r="GB9" s="33">
        <v>4995.0281952631522</v>
      </c>
      <c r="GC9" s="33">
        <v>5633.4922498911183</v>
      </c>
      <c r="GF9" s="37">
        <v>1216</v>
      </c>
      <c r="GG9" s="37"/>
      <c r="GH9" s="37"/>
      <c r="GI9" s="33">
        <v>4786.1286944256035</v>
      </c>
      <c r="GJ9" s="33">
        <v>5622.9647916841568</v>
      </c>
      <c r="GK9" s="33">
        <v>6341.581507179485</v>
      </c>
      <c r="GN9" s="37">
        <v>1785.316</v>
      </c>
      <c r="GO9" s="37">
        <v>1181.4114074379938</v>
      </c>
      <c r="GP9" s="33">
        <v>5395.3874074379937</v>
      </c>
      <c r="GQ9" s="33">
        <v>6329.8206480889849</v>
      </c>
      <c r="GR9" s="33">
        <v>7128.2919124797791</v>
      </c>
      <c r="GV9" s="37">
        <v>1832.0661940583734</v>
      </c>
      <c r="GW9" s="33">
        <v>6104.5261940583732</v>
      </c>
      <c r="GX9" s="33">
        <v>6704.8393680696745</v>
      </c>
      <c r="GY9" s="33">
        <v>7791.278846050126</v>
      </c>
      <c r="HC9" s="37">
        <v>2333.9898996478005</v>
      </c>
      <c r="HD9" s="33">
        <v>7549.7198996478</v>
      </c>
      <c r="HE9" s="33">
        <v>8850.027175213294</v>
      </c>
      <c r="HF9" s="33">
        <v>9889.4108076629745</v>
      </c>
      <c r="HI9" s="37">
        <v>2237.7447293241421</v>
      </c>
      <c r="HJ9" s="37">
        <v>2093.2684300510077</v>
      </c>
      <c r="HK9" s="37">
        <v>2148.5113340594994</v>
      </c>
      <c r="HL9" s="37">
        <v>2621.4130730281327</v>
      </c>
      <c r="HM9" s="33">
        <v>9100.9375664627823</v>
      </c>
      <c r="HN9" s="33">
        <v>10176.408903909063</v>
      </c>
      <c r="HO9" s="33">
        <v>11175.331726275968</v>
      </c>
      <c r="HR9" s="37">
        <v>1662.8218499999998</v>
      </c>
      <c r="HS9" s="37">
        <v>1706.7049500000001</v>
      </c>
      <c r="HT9" s="37">
        <v>2164.9275664627839</v>
      </c>
      <c r="HU9" s="33">
        <v>7740.4343664627831</v>
      </c>
      <c r="HV9" s="33">
        <v>8207.0568606000015</v>
      </c>
      <c r="HW9" s="33">
        <v>9039.2476496760009</v>
      </c>
      <c r="HZ9" s="37">
        <v>2123.5032743128536</v>
      </c>
      <c r="IA9" s="33">
        <v>8930.2808316776154</v>
      </c>
      <c r="IB9" s="33">
        <v>9075.7379280000005</v>
      </c>
      <c r="IC9" s="33">
        <v>9977.4337393680016</v>
      </c>
      <c r="IE9" s="37">
        <v>2776.0502785350282</v>
      </c>
      <c r="IF9" s="33">
        <v>9379.3402785350281</v>
      </c>
      <c r="IG9" s="33">
        <v>9546.7479120000007</v>
      </c>
      <c r="IH9" s="33">
        <v>10490.495725272003</v>
      </c>
      <c r="IK9" s="33">
        <v>9546.7479120000007</v>
      </c>
      <c r="IL9" s="33">
        <v>10490.495725272003</v>
      </c>
      <c r="IO9" s="33">
        <v>11008.329446000002</v>
      </c>
      <c r="IP9" s="33">
        <v>12395.454269480002</v>
      </c>
      <c r="IS9" s="19">
        <v>0.19813058395977179</v>
      </c>
      <c r="IT9" s="19">
        <v>0.1542493999117609</v>
      </c>
      <c r="IU9" s="19">
        <v>0.15487514253814449</v>
      </c>
      <c r="IX9" s="37">
        <v>2950.7972020000002</v>
      </c>
      <c r="IY9" s="33">
        <v>10077.167202000001</v>
      </c>
      <c r="IZ9" s="33">
        <v>11636.691703799997</v>
      </c>
      <c r="JA9" s="33">
        <v>13445.320591164</v>
      </c>
      <c r="JD9" s="33">
        <v>12301.185995429241</v>
      </c>
      <c r="JE9" s="33">
        <v>14692.675292734299</v>
      </c>
      <c r="JH9" s="33">
        <v>12205.41854328117</v>
      </c>
      <c r="JI9" s="33">
        <v>14583.728392023364</v>
      </c>
      <c r="JJ9" s="33">
        <v>16865.073121141369</v>
      </c>
      <c r="JM9" s="33">
        <v>13555.045787881249</v>
      </c>
      <c r="JN9" s="33">
        <v>15662.806902879</v>
      </c>
      <c r="JQ9" s="33">
        <v>10887.631003642788</v>
      </c>
      <c r="JR9" s="33">
        <v>12182.97751745417</v>
      </c>
      <c r="JS9" s="33">
        <v>13602.832097352439</v>
      </c>
      <c r="JV9" s="33">
        <v>12029.644600978196</v>
      </c>
      <c r="JW9" s="33">
        <v>13431.090563672169</v>
      </c>
      <c r="JY9" s="33">
        <v>12327.8320458445</v>
      </c>
      <c r="JZ9" s="33">
        <v>13765.060501922429</v>
      </c>
      <c r="KB9" s="33">
        <v>11956.973939613927</v>
      </c>
      <c r="KC9" s="33">
        <v>13449.016317173426</v>
      </c>
      <c r="KD9" s="33">
        <v>15134.598544412478</v>
      </c>
    </row>
    <row r="10" spans="1:290" x14ac:dyDescent="0.25">
      <c r="A10" s="7" t="s">
        <v>259</v>
      </c>
      <c r="B10" s="17" t="s">
        <v>137</v>
      </c>
      <c r="C10" s="18"/>
      <c r="D10" s="18"/>
      <c r="E10" s="18"/>
      <c r="F10" s="19"/>
      <c r="G10" s="19"/>
      <c r="H10" s="18"/>
      <c r="I10" s="19" t="e">
        <f t="shared" ref="I10:AJ10" si="22">I9/D9-1</f>
        <v>#DIV/0!</v>
      </c>
      <c r="J10" s="19" t="e">
        <f t="shared" si="22"/>
        <v>#DIV/0!</v>
      </c>
      <c r="K10" s="19" t="e">
        <f t="shared" si="22"/>
        <v>#DIV/0!</v>
      </c>
      <c r="L10" s="19" t="e">
        <f t="shared" si="22"/>
        <v>#DIV/0!</v>
      </c>
      <c r="M10" s="19" t="e">
        <f t="shared" si="22"/>
        <v>#DIV/0!</v>
      </c>
      <c r="N10" s="19">
        <f t="shared" si="22"/>
        <v>9.7482182017543995E-2</v>
      </c>
      <c r="O10" s="19">
        <f t="shared" si="22"/>
        <v>0.2411993580103895</v>
      </c>
      <c r="P10" s="19">
        <f t="shared" si="22"/>
        <v>0.16006649903042391</v>
      </c>
      <c r="Q10" s="19">
        <f t="shared" si="22"/>
        <v>0.23766410273403027</v>
      </c>
      <c r="R10" s="19">
        <f t="shared" si="22"/>
        <v>0.19209694635477437</v>
      </c>
      <c r="S10" s="19">
        <f t="shared" si="22"/>
        <v>0.28558586011225673</v>
      </c>
      <c r="T10" s="19">
        <f t="shared" si="22"/>
        <v>0.12988727425633173</v>
      </c>
      <c r="U10" s="19">
        <f t="shared" si="22"/>
        <v>0.19403776639907644</v>
      </c>
      <c r="V10" s="19">
        <f t="shared" si="22"/>
        <v>0.12023606799196895</v>
      </c>
      <c r="W10" s="19">
        <f t="shared" si="22"/>
        <v>0.16964631625550219</v>
      </c>
      <c r="X10" s="19">
        <f t="shared" si="22"/>
        <v>0.14167080473720173</v>
      </c>
      <c r="Y10" s="19">
        <f t="shared" si="22"/>
        <v>0.14854852268177554</v>
      </c>
      <c r="Z10" s="19">
        <f t="shared" si="22"/>
        <v>9.5405167908422905E-2</v>
      </c>
      <c r="AA10" s="19">
        <f t="shared" si="22"/>
        <v>0.21006033429020698</v>
      </c>
      <c r="AB10" s="19">
        <f t="shared" si="22"/>
        <v>0.15174021480229949</v>
      </c>
      <c r="AC10" s="19">
        <f t="shared" si="22"/>
        <v>7.716308371539693E-2</v>
      </c>
      <c r="AD10" s="19">
        <f t="shared" si="22"/>
        <v>8.9509770824697688E-2</v>
      </c>
      <c r="AE10" s="19">
        <f t="shared" si="22"/>
        <v>7.6448367393694205E-2</v>
      </c>
      <c r="AF10" s="19">
        <f t="shared" si="22"/>
        <v>-1.0037735482416599E-3</v>
      </c>
      <c r="AG10" s="19">
        <f t="shared" si="22"/>
        <v>5.4787235364814446E-2</v>
      </c>
      <c r="AH10" s="19">
        <f t="shared" si="22"/>
        <v>1.7438721371083377E-2</v>
      </c>
      <c r="AI10" s="19">
        <f t="shared" si="22"/>
        <v>-1.7849505087965789E-2</v>
      </c>
      <c r="AJ10" s="19">
        <f t="shared" si="22"/>
        <v>0.10926085478287484</v>
      </c>
      <c r="AK10" s="19">
        <f>AK9/AG9-1</f>
        <v>-0.27725144765922427</v>
      </c>
      <c r="AL10" s="19">
        <f>AL9/AF9-1</f>
        <v>-5.1870163080985354E-2</v>
      </c>
      <c r="AM10" s="19">
        <f>AM9/AH9-1</f>
        <v>0.14244457824418744</v>
      </c>
      <c r="AN10" s="19">
        <f>AN9/AI9-1</f>
        <v>0.10561370608152143</v>
      </c>
      <c r="AO10" s="19">
        <f>AO9/AJ9-1</f>
        <v>6.8584864656719979E-2</v>
      </c>
      <c r="AP10" s="19">
        <f>53%+10%</f>
        <v>0.63</v>
      </c>
      <c r="AQ10" s="19">
        <f t="shared" ref="AQ10:BN10" si="23">AQ9/AL9-1</f>
        <v>-2.3269552328935239E-2</v>
      </c>
      <c r="AR10" s="19">
        <f t="shared" si="23"/>
        <v>0.19502436012066915</v>
      </c>
      <c r="AS10" s="19">
        <f t="shared" si="23"/>
        <v>0.15430407871264795</v>
      </c>
      <c r="AT10" s="19">
        <f t="shared" si="23"/>
        <v>0.14706501485229562</v>
      </c>
      <c r="AU10" s="19">
        <f t="shared" si="23"/>
        <v>0.1129539739952401</v>
      </c>
      <c r="AV10" s="19">
        <f t="shared" si="23"/>
        <v>0.15843706420122916</v>
      </c>
      <c r="AW10" s="19">
        <f t="shared" si="23"/>
        <v>0.17085284249237032</v>
      </c>
      <c r="AX10" s="19">
        <f t="shared" si="23"/>
        <v>0.10658687319095672</v>
      </c>
      <c r="AY10" s="19">
        <f t="shared" si="23"/>
        <v>4.0543479738455623E-2</v>
      </c>
      <c r="AZ10" s="19">
        <f t="shared" si="23"/>
        <v>0.1187647116861883</v>
      </c>
      <c r="BA10" s="19">
        <f t="shared" si="23"/>
        <v>6.7713697602009404E-2</v>
      </c>
      <c r="BB10" s="19">
        <f t="shared" si="23"/>
        <v>3.6654470096816993E-2</v>
      </c>
      <c r="BC10" s="19">
        <f t="shared" si="23"/>
        <v>-2.9147078576225671E-2</v>
      </c>
      <c r="BD10" s="19">
        <f t="shared" si="23"/>
        <v>-6.5594972924600481E-2</v>
      </c>
      <c r="BE10" s="19">
        <f t="shared" si="23"/>
        <v>-8.0217994244173862E-3</v>
      </c>
      <c r="BF10" s="19">
        <f t="shared" si="23"/>
        <v>-0.26652575490679842</v>
      </c>
      <c r="BG10" s="19">
        <f t="shared" si="23"/>
        <v>7.3543651413399802E-2</v>
      </c>
      <c r="BH10" s="19">
        <f t="shared" si="23"/>
        <v>0.34258585034806166</v>
      </c>
      <c r="BI10" s="19">
        <f t="shared" si="23"/>
        <v>0.4572559053191565</v>
      </c>
      <c r="BJ10" s="19">
        <f>BJ9/BE9-1</f>
        <v>0.15340902905540021</v>
      </c>
      <c r="BK10" s="19">
        <f t="shared" si="23"/>
        <v>0.27346566971571695</v>
      </c>
      <c r="BL10" s="19">
        <f t="shared" si="23"/>
        <v>0.40279899329347235</v>
      </c>
      <c r="BM10" s="19">
        <f t="shared" si="23"/>
        <v>5.494630654083954E-2</v>
      </c>
      <c r="BN10" s="19">
        <f t="shared" si="23"/>
        <v>0.22666327671148756</v>
      </c>
      <c r="BO10" s="19">
        <f>BO9/BJ9-1</f>
        <v>0.22270672291908511</v>
      </c>
      <c r="BP10" s="19">
        <f>BP9/BK9-1</f>
        <v>0.6437023128278494</v>
      </c>
      <c r="BQ10" s="19">
        <f>BQ9/BL9-1</f>
        <v>8.1958372654961753E-2</v>
      </c>
      <c r="BR10" s="19">
        <f>BR9/BM9-1</f>
        <v>0.18795852162602644</v>
      </c>
      <c r="BS10" s="19">
        <f t="shared" ref="BS10:CA10" si="24">BS9/BN9-1</f>
        <v>1.6115975581618258E-2</v>
      </c>
      <c r="BT10" s="19">
        <f>BT9/BO9-1</f>
        <v>0.18380330433484882</v>
      </c>
      <c r="BU10" s="19">
        <f t="shared" si="24"/>
        <v>7.3708737159901672E-2</v>
      </c>
      <c r="BV10" s="19">
        <f t="shared" si="24"/>
        <v>0.10643630786926117</v>
      </c>
      <c r="BW10" s="19">
        <f t="shared" si="24"/>
        <v>5.9890682950261898E-2</v>
      </c>
      <c r="BX10" s="19">
        <f t="shared" si="24"/>
        <v>0.15763768617942486</v>
      </c>
      <c r="BY10" s="19">
        <f>BY9/BT9-1</f>
        <v>0.10137162568236247</v>
      </c>
      <c r="BZ10" s="19">
        <f t="shared" si="24"/>
        <v>0.11305085747578714</v>
      </c>
      <c r="CA10" s="19">
        <f t="shared" si="24"/>
        <v>-1.5480640536408186E-2</v>
      </c>
      <c r="CB10" s="19"/>
      <c r="CC10" s="19"/>
      <c r="CD10" s="19">
        <f>CD9/BY9-1</f>
        <v>3.0785671573454687E-2</v>
      </c>
      <c r="CE10" s="19"/>
      <c r="CF10" s="19"/>
      <c r="CG10" s="19"/>
      <c r="CH10" s="19"/>
      <c r="CI10" s="19">
        <f>CI9/CD9-1</f>
        <v>7.3847552949623196E-2</v>
      </c>
      <c r="CJ10" s="19">
        <f>CJ9/CI9-1</f>
        <v>0.1226870313647741</v>
      </c>
      <c r="CK10" s="19">
        <f>CK9/CJ9-1</f>
        <v>0.14548780053327759</v>
      </c>
      <c r="CL10" s="19">
        <f t="shared" ref="CL10:CN10" si="25">CL9/CK9-1</f>
        <v>0.19263727544552389</v>
      </c>
      <c r="CM10" s="19">
        <f t="shared" si="25"/>
        <v>0.10041637796844949</v>
      </c>
      <c r="CN10" s="19">
        <f t="shared" si="25"/>
        <v>9.7266469603177308E-2</v>
      </c>
      <c r="CO10" s="20"/>
      <c r="CP10" s="20"/>
      <c r="CQ10" s="6"/>
      <c r="CR10" s="30"/>
      <c r="CS10" s="40"/>
      <c r="CT10" s="33"/>
      <c r="CU10" s="33"/>
      <c r="CV10" s="33"/>
      <c r="CW10" s="33"/>
      <c r="CX10" s="33"/>
      <c r="CY10" s="33"/>
      <c r="CZ10" s="33"/>
      <c r="DA10" s="33"/>
      <c r="DB10" s="33"/>
      <c r="DC10" s="33"/>
      <c r="DD10" s="33"/>
      <c r="DE10" s="33"/>
      <c r="DF10" s="33"/>
      <c r="DG10" s="33"/>
      <c r="DH10" s="33"/>
      <c r="DI10" s="33"/>
      <c r="DK10" s="33"/>
      <c r="DL10" s="33"/>
      <c r="DM10" s="6"/>
      <c r="DN10" s="33"/>
      <c r="DO10" s="33"/>
      <c r="DQ10" s="19">
        <v>0.18999999999999995</v>
      </c>
      <c r="DR10" s="19">
        <v>0.14000000000000001</v>
      </c>
      <c r="DS10" s="19">
        <v>0.17499999999999999</v>
      </c>
      <c r="DT10" s="19">
        <v>0.1754</v>
      </c>
      <c r="DV10" s="19">
        <v>0.14773804993264594</v>
      </c>
      <c r="DW10" s="19">
        <v>0.15539999999999998</v>
      </c>
      <c r="DX10" s="19">
        <v>0.12000000000000011</v>
      </c>
      <c r="EA10" s="19">
        <v>0.1399999999999999</v>
      </c>
      <c r="EB10" s="19">
        <v>0.14999999999999991</v>
      </c>
      <c r="EC10" s="19">
        <v>0.14999999999999991</v>
      </c>
      <c r="ED10" s="19">
        <v>0.14773804993264594</v>
      </c>
      <c r="EE10" s="19">
        <v>0.15539999999999998</v>
      </c>
      <c r="EF10" s="19">
        <v>0.12000000000000011</v>
      </c>
      <c r="EJ10" s="19">
        <v>0.10000000000000009</v>
      </c>
      <c r="EK10" s="19">
        <v>0.16419939371694992</v>
      </c>
      <c r="EL10" s="19">
        <v>0.14773804993264594</v>
      </c>
      <c r="EM10" s="19">
        <v>0.15539999999999998</v>
      </c>
      <c r="EN10" s="19">
        <v>0.12000000000000011</v>
      </c>
      <c r="EP10" s="19">
        <v>7.9727580441254275E-2</v>
      </c>
      <c r="EQ10" s="19">
        <v>0.12357514361827437</v>
      </c>
      <c r="ER10" s="19">
        <v>0.15539999999999998</v>
      </c>
      <c r="ES10" s="19">
        <v>0.12000000000000011</v>
      </c>
      <c r="EV10" s="19">
        <v>6.6098936620817339E-2</v>
      </c>
      <c r="EW10" s="19">
        <v>0.10000000000000009</v>
      </c>
      <c r="EX10" s="19">
        <v>0.14999999999999991</v>
      </c>
      <c r="EY10" s="19">
        <v>0.16254743910484604</v>
      </c>
      <c r="EZ10" s="19">
        <v>0.11588863431429552</v>
      </c>
      <c r="FA10" s="19">
        <v>0.13500000000000001</v>
      </c>
      <c r="FD10" s="19">
        <v>0.10000000000000009</v>
      </c>
      <c r="FE10" s="19">
        <v>0.14999999999999991</v>
      </c>
      <c r="FF10" s="19">
        <v>0.16112802189547337</v>
      </c>
      <c r="FG10" s="19">
        <v>0.11588863431429552</v>
      </c>
      <c r="FH10" s="19">
        <v>0.13500000000000001</v>
      </c>
      <c r="FK10" s="19">
        <v>9.7890430535032769E-2</v>
      </c>
      <c r="FL10" s="19">
        <v>0.13500000000000001</v>
      </c>
      <c r="FO10" s="19">
        <v>8.0000000000000071E-2</v>
      </c>
      <c r="FP10" s="19">
        <v>0.21160159643610599</v>
      </c>
      <c r="FQ10" s="19">
        <v>9.7890430535032769E-2</v>
      </c>
      <c r="FR10" s="19">
        <v>0.13500000000000001</v>
      </c>
      <c r="FU10" s="19">
        <v>-5.930244750653535E-2</v>
      </c>
      <c r="FV10" s="19">
        <v>-4.5416145310711586E-3</v>
      </c>
      <c r="FW10" s="19">
        <v>-0.19410466280736716</v>
      </c>
      <c r="FX10" s="19">
        <v>0.20529330317652628</v>
      </c>
      <c r="FY10" s="19">
        <v>0.10769097823206608</v>
      </c>
      <c r="GA10" s="19">
        <v>-0.19746660817382089</v>
      </c>
      <c r="GB10" s="19">
        <v>0.12928060351137605</v>
      </c>
      <c r="GC10" s="19">
        <v>0.12781991005244575</v>
      </c>
      <c r="GF10" s="19">
        <v>-5.0445103857566842E-2</v>
      </c>
      <c r="GG10" s="19"/>
      <c r="GH10" s="19"/>
      <c r="GI10" s="19">
        <v>-0.13161680865500325</v>
      </c>
      <c r="GJ10" s="19">
        <v>0.17484613362637225</v>
      </c>
      <c r="GK10" s="19">
        <v>0.12780032280445641</v>
      </c>
      <c r="GN10" s="19">
        <v>0.30000000000000004</v>
      </c>
      <c r="GO10" s="19">
        <v>-0.174121170062011</v>
      </c>
      <c r="GP10" s="19">
        <v>-2.1074435196334673E-2</v>
      </c>
      <c r="GQ10" s="19">
        <v>0.17319112977184847</v>
      </c>
      <c r="GR10" s="19">
        <v>0.12614437419042157</v>
      </c>
      <c r="GV10" s="19">
        <v>0.28072632039257406</v>
      </c>
      <c r="GW10" s="19">
        <v>0.10758992841535631</v>
      </c>
      <c r="GX10" s="19">
        <v>9.8339028276362317E-2</v>
      </c>
      <c r="GY10" s="19">
        <v>0.16203810685672515</v>
      </c>
      <c r="HC10" s="19">
        <v>0.11963978511256435</v>
      </c>
      <c r="HD10" s="19">
        <v>0.18761186769478333</v>
      </c>
      <c r="HE10" s="19">
        <v>0.17223251893439828</v>
      </c>
      <c r="HF10" s="19">
        <v>0.11744411761364226</v>
      </c>
      <c r="HI10" s="19">
        <v>0.66737059588410697</v>
      </c>
      <c r="HJ10" s="19">
        <v>8.5416133474549572E-2</v>
      </c>
      <c r="HK10" s="19">
        <v>0.10457060734842738</v>
      </c>
      <c r="HL10" s="19">
        <v>2.5154794327979291E-2</v>
      </c>
      <c r="HM10" s="19">
        <v>0.17086688826742202</v>
      </c>
      <c r="HN10" s="19">
        <v>0.11817148833208391</v>
      </c>
      <c r="HO10" s="19">
        <v>9.8160641125887738E-2</v>
      </c>
      <c r="HR10" s="19">
        <v>-0.13778202681821494</v>
      </c>
      <c r="HS10" s="19">
        <v>-0.12256635871493127</v>
      </c>
      <c r="HT10" s="19">
        <v>-0.15336278094913214</v>
      </c>
      <c r="HU10" s="19">
        <v>-4.1665230298935096E-3</v>
      </c>
      <c r="HV10" s="19">
        <v>6.0283760838922396E-2</v>
      </c>
      <c r="HW10" s="19">
        <v>0.10139941799003926</v>
      </c>
      <c r="HZ10" s="19">
        <v>9.171372020752222E-2</v>
      </c>
      <c r="IA10" s="19">
        <v>0.14891131296976079</v>
      </c>
      <c r="IB10" s="19">
        <v>1.6288076384610273E-2</v>
      </c>
      <c r="IC10" s="19">
        <v>9.935234121141101E-2</v>
      </c>
      <c r="IE10" s="19">
        <v>8.562869454537303E-2</v>
      </c>
      <c r="IF10" s="19">
        <v>0.20668435375256711</v>
      </c>
      <c r="IG10" s="19">
        <v>1.7848551016758751E-2</v>
      </c>
      <c r="IH10" s="19">
        <v>9.8855424063909458E-2</v>
      </c>
      <c r="IK10" s="19">
        <v>3.7510681523519329E-2</v>
      </c>
      <c r="IL10" s="19">
        <v>9.8855424063909458E-2</v>
      </c>
      <c r="IO10" s="19">
        <v>0.19636378956016931</v>
      </c>
      <c r="IP10" s="19">
        <v>0.12600684148165886</v>
      </c>
      <c r="IS10" s="13"/>
      <c r="IT10" s="13"/>
      <c r="IU10" s="13"/>
      <c r="IX10" s="19">
        <v>0.1356645506677443</v>
      </c>
      <c r="IY10" s="19">
        <v>9.5166891666458531E-2</v>
      </c>
      <c r="IZ10" s="19">
        <v>0.15475822426470009</v>
      </c>
      <c r="JA10" s="19">
        <v>0.15542466307441916</v>
      </c>
      <c r="JD10" s="19">
        <v>0.21382182768443281</v>
      </c>
      <c r="JE10" s="19">
        <v>0.19441127857051055</v>
      </c>
      <c r="JH10" s="19">
        <v>0.20437195644094097</v>
      </c>
      <c r="JI10" s="19">
        <v>0.19485688592394923</v>
      </c>
      <c r="JJ10" s="19">
        <v>0.15643082946921849</v>
      </c>
      <c r="JM10" s="19">
        <v>0.17900849750405512</v>
      </c>
      <c r="JN10" s="19">
        <v>0.15549642162641564</v>
      </c>
      <c r="JQ10" s="19">
        <v>7.4339024619734184E-2</v>
      </c>
      <c r="JR10" s="19">
        <v>0.11897413802671908</v>
      </c>
      <c r="JS10" s="19">
        <v>0.11654413527925245</v>
      </c>
      <c r="JV10" s="19">
        <v>0.15157540753650323</v>
      </c>
      <c r="JW10" s="19">
        <v>0.11649936545756434</v>
      </c>
      <c r="JY10" s="19">
        <v>0.18012033465066413</v>
      </c>
      <c r="JZ10" s="19">
        <v>0.11658403932931538</v>
      </c>
      <c r="KB10" s="19">
        <v>0.14461878086527946</v>
      </c>
      <c r="KC10" s="19">
        <v>0.12478427945855963</v>
      </c>
      <c r="KD10" s="19">
        <v>0.12533126494066971</v>
      </c>
    </row>
    <row r="11" spans="1:290" x14ac:dyDescent="0.25">
      <c r="A11" s="7" t="s">
        <v>259</v>
      </c>
      <c r="B11" s="11"/>
      <c r="C11" s="12"/>
      <c r="D11" s="12"/>
      <c r="E11" s="12"/>
      <c r="F11" s="12"/>
      <c r="G11" s="12"/>
      <c r="H11" s="13"/>
      <c r="I11" s="12"/>
      <c r="J11" s="12"/>
      <c r="K11" s="12"/>
      <c r="L11" s="12"/>
      <c r="M11" s="13"/>
      <c r="N11" s="12"/>
      <c r="O11" s="12"/>
      <c r="P11" s="12"/>
      <c r="Q11" s="12"/>
      <c r="R11" s="13"/>
      <c r="S11" s="12"/>
      <c r="T11" s="12"/>
      <c r="U11" s="23"/>
      <c r="V11" s="23"/>
      <c r="W11" s="13"/>
      <c r="X11" s="23"/>
      <c r="Y11" s="23"/>
      <c r="Z11" s="23"/>
      <c r="AA11" s="23"/>
      <c r="AB11" s="13"/>
      <c r="AC11" s="23"/>
      <c r="AD11" s="23"/>
      <c r="AE11" s="23"/>
      <c r="AF11" s="23"/>
      <c r="AG11" s="13"/>
      <c r="AH11" s="23"/>
      <c r="AI11" s="23"/>
      <c r="AJ11" s="23"/>
      <c r="AK11" s="13"/>
      <c r="AL11" s="23"/>
      <c r="AM11" s="23"/>
      <c r="AN11" s="23"/>
      <c r="AO11" s="23"/>
      <c r="AP11" s="13"/>
      <c r="AQ11" s="23"/>
      <c r="AR11" s="23"/>
      <c r="AS11" s="23"/>
      <c r="AT11" s="23"/>
      <c r="AU11" s="13"/>
      <c r="AV11" s="23"/>
      <c r="AW11" s="23"/>
      <c r="AX11" s="23"/>
      <c r="AY11" s="23"/>
      <c r="AZ11" s="13"/>
      <c r="BA11" s="23"/>
      <c r="BB11" s="23"/>
      <c r="BC11" s="23"/>
      <c r="BD11" s="23"/>
      <c r="BE11" s="13"/>
      <c r="BF11" s="23"/>
      <c r="BG11" s="23"/>
      <c r="BH11" s="23"/>
      <c r="BI11" s="23"/>
      <c r="BJ11" s="13"/>
      <c r="BK11" s="23"/>
      <c r="BL11" s="23"/>
      <c r="BM11" s="23"/>
      <c r="BN11" s="23"/>
      <c r="BO11" s="13"/>
      <c r="BP11" s="23"/>
      <c r="BQ11" s="23"/>
      <c r="BR11" s="23"/>
      <c r="BS11" s="23"/>
      <c r="BT11" s="13"/>
      <c r="BU11" s="23"/>
      <c r="BV11" s="23"/>
      <c r="BW11" s="23"/>
      <c r="BX11" s="23"/>
      <c r="BY11" s="13"/>
      <c r="BZ11" s="23"/>
      <c r="CA11" s="23"/>
      <c r="CB11" s="23"/>
      <c r="CC11" s="23"/>
      <c r="CD11" s="13"/>
      <c r="CE11" s="23"/>
      <c r="CF11" s="23"/>
      <c r="CG11" s="23"/>
      <c r="CH11" s="23"/>
      <c r="CI11" s="13"/>
      <c r="CJ11" s="13"/>
      <c r="CK11" s="13"/>
      <c r="CL11" s="13"/>
      <c r="CM11" s="13"/>
      <c r="CN11" s="13"/>
      <c r="CO11" s="15"/>
      <c r="CP11" s="15"/>
      <c r="CQ11" s="6"/>
      <c r="CR11" s="30"/>
      <c r="CS11" s="30"/>
      <c r="CT11" s="13">
        <f t="shared" ref="CT11:CT53" si="26">AB11</f>
        <v>0</v>
      </c>
      <c r="CU11" s="13">
        <f t="shared" ref="CU11:CU53" si="27">AG11</f>
        <v>0</v>
      </c>
      <c r="CV11" s="13">
        <f t="shared" ref="CV11:CV53" si="28">AK11</f>
        <v>0</v>
      </c>
      <c r="CW11" s="13">
        <f t="shared" ref="CW11:CW53" si="29">AP11</f>
        <v>0</v>
      </c>
      <c r="CX11" s="13">
        <f t="shared" ref="CX11:CX53" si="30">AU11</f>
        <v>0</v>
      </c>
      <c r="CY11" s="13">
        <f t="shared" ref="CY11:CY53" si="31">AZ11</f>
        <v>0</v>
      </c>
      <c r="CZ11" s="13">
        <f t="shared" ref="CZ11:CZ53" si="32">BE11</f>
        <v>0</v>
      </c>
      <c r="DA11" s="13">
        <f t="shared" ref="DA11:DA53" si="33">BJ11</f>
        <v>0</v>
      </c>
      <c r="DB11" s="13">
        <f t="shared" ref="DB11:DB54" si="34">BO11</f>
        <v>0</v>
      </c>
      <c r="DC11" s="13">
        <f t="shared" ref="DC11:DC53" si="35">BT11</f>
        <v>0</v>
      </c>
      <c r="DD11" s="13">
        <f t="shared" ref="DD11:DD53" si="36">BY11</f>
        <v>0</v>
      </c>
      <c r="DE11" s="13">
        <f t="shared" ref="DE11:DE53" si="37">CD11</f>
        <v>0</v>
      </c>
      <c r="DF11" s="13">
        <f t="shared" ref="DF11:DH47" si="38">CI11</f>
        <v>0</v>
      </c>
      <c r="DG11" s="13">
        <f t="shared" si="38"/>
        <v>0</v>
      </c>
      <c r="DH11" s="13">
        <f t="shared" si="38"/>
        <v>0</v>
      </c>
      <c r="DI11" s="13"/>
      <c r="DK11" s="13"/>
      <c r="DL11" s="13"/>
      <c r="DM11" s="41"/>
      <c r="DN11" s="13"/>
      <c r="DO11" s="13"/>
      <c r="DQ11" s="23"/>
      <c r="DR11" s="13"/>
      <c r="DS11" s="13"/>
      <c r="DT11" s="13"/>
      <c r="DV11" s="13"/>
      <c r="DW11" s="13"/>
      <c r="DX11" s="13"/>
      <c r="EA11" s="23"/>
      <c r="EB11" s="23"/>
      <c r="EC11" s="23"/>
      <c r="ED11" s="13"/>
      <c r="EE11" s="13"/>
      <c r="EF11" s="13"/>
      <c r="EJ11" s="23"/>
      <c r="EK11" s="23"/>
      <c r="EL11" s="13"/>
      <c r="EM11" s="13"/>
      <c r="EN11" s="13"/>
      <c r="EP11" s="23"/>
      <c r="EQ11" s="13"/>
      <c r="ER11" s="13"/>
      <c r="ES11" s="13"/>
      <c r="EV11" s="23"/>
      <c r="EW11" s="23"/>
      <c r="EX11" s="23"/>
      <c r="EY11" s="23"/>
      <c r="EZ11" s="13"/>
      <c r="FA11" s="13"/>
      <c r="FD11" s="23"/>
      <c r="FE11" s="23"/>
      <c r="FF11" s="23"/>
      <c r="FG11" s="13"/>
      <c r="FH11" s="13"/>
      <c r="FK11" s="13"/>
      <c r="FL11" s="13"/>
      <c r="FO11" s="23"/>
      <c r="FP11" s="23"/>
      <c r="FQ11" s="13"/>
      <c r="FR11" s="13"/>
      <c r="FU11" s="23"/>
      <c r="FV11" s="13"/>
      <c r="FW11" s="13"/>
      <c r="FX11" s="13"/>
      <c r="FY11" s="13"/>
      <c r="GA11" s="13"/>
      <c r="GB11" s="13"/>
      <c r="GC11" s="13"/>
      <c r="GF11" s="23"/>
      <c r="GG11" s="23"/>
      <c r="GH11" s="23"/>
      <c r="GI11" s="13"/>
      <c r="GJ11" s="13"/>
      <c r="GK11" s="13"/>
      <c r="GN11" s="23"/>
      <c r="GO11" s="23"/>
      <c r="GP11" s="13"/>
      <c r="GQ11" s="13"/>
      <c r="GR11" s="13"/>
      <c r="GV11" s="23"/>
      <c r="GW11" s="13"/>
      <c r="GX11" s="13"/>
      <c r="GY11" s="13"/>
      <c r="HC11" s="13"/>
      <c r="HD11" s="13"/>
      <c r="HE11" s="13"/>
      <c r="HF11" s="13"/>
      <c r="HI11" s="23"/>
      <c r="HJ11" s="23"/>
      <c r="HK11" s="23"/>
      <c r="HL11" s="23"/>
      <c r="HM11" s="13"/>
      <c r="HN11" s="13"/>
      <c r="HO11" s="13"/>
      <c r="HR11" s="23"/>
      <c r="HS11" s="23"/>
      <c r="HT11" s="23"/>
      <c r="HU11" s="13"/>
      <c r="HV11" s="13"/>
      <c r="HW11" s="13"/>
      <c r="HZ11" s="23"/>
      <c r="IA11" s="13"/>
      <c r="IB11" s="13"/>
      <c r="IC11" s="13"/>
      <c r="IE11" s="23"/>
      <c r="IF11" s="13"/>
      <c r="IG11" s="13"/>
      <c r="IH11" s="13"/>
      <c r="IK11" s="13"/>
      <c r="IL11" s="13"/>
      <c r="IO11" s="13"/>
      <c r="IP11" s="13"/>
      <c r="IS11" s="13"/>
      <c r="IT11" s="13"/>
      <c r="IU11" s="13"/>
      <c r="IX11" s="13"/>
      <c r="IY11" s="13"/>
      <c r="IZ11" s="13"/>
      <c r="JA11" s="13"/>
      <c r="JD11" s="13"/>
      <c r="JE11" s="13"/>
      <c r="JH11" s="13"/>
      <c r="JI11" s="13"/>
      <c r="JJ11" s="13"/>
      <c r="JM11" s="13"/>
      <c r="JN11" s="13"/>
      <c r="JQ11" s="13"/>
      <c r="JR11" s="13"/>
      <c r="JS11" s="13"/>
      <c r="JV11" s="13"/>
      <c r="JW11" s="13"/>
      <c r="JY11" s="13"/>
      <c r="JZ11" s="13"/>
      <c r="KB11" s="13"/>
      <c r="KC11" s="13"/>
      <c r="KD11" s="13"/>
    </row>
    <row r="12" spans="1:290" x14ac:dyDescent="0.25">
      <c r="A12" s="7" t="s">
        <v>259</v>
      </c>
      <c r="B12" s="11"/>
      <c r="C12" s="12"/>
      <c r="D12" s="12"/>
      <c r="E12" s="12"/>
      <c r="F12" s="12"/>
      <c r="G12" s="12"/>
      <c r="H12" s="13"/>
      <c r="I12" s="12"/>
      <c r="J12" s="12"/>
      <c r="K12" s="12"/>
      <c r="L12" s="12"/>
      <c r="M12" s="13"/>
      <c r="N12" s="12"/>
      <c r="O12" s="12"/>
      <c r="P12" s="12"/>
      <c r="Q12" s="12"/>
      <c r="R12" s="13"/>
      <c r="S12" s="12"/>
      <c r="T12" s="12"/>
      <c r="U12" s="23"/>
      <c r="V12" s="23"/>
      <c r="W12" s="13"/>
      <c r="X12" s="23"/>
      <c r="Y12" s="23"/>
      <c r="Z12" s="23"/>
      <c r="AA12" s="23"/>
      <c r="AB12" s="13"/>
      <c r="AC12" s="23"/>
      <c r="AD12" s="23"/>
      <c r="AE12" s="23"/>
      <c r="AF12" s="23"/>
      <c r="AG12" s="13"/>
      <c r="AH12" s="23"/>
      <c r="AI12" s="23"/>
      <c r="AJ12" s="23"/>
      <c r="AK12" s="13"/>
      <c r="AL12" s="23"/>
      <c r="AM12" s="23"/>
      <c r="AN12" s="23"/>
      <c r="AO12" s="23"/>
      <c r="AP12" s="13"/>
      <c r="AQ12" s="23"/>
      <c r="AR12" s="23"/>
      <c r="AS12" s="23"/>
      <c r="AT12" s="23"/>
      <c r="AU12" s="13"/>
      <c r="AV12" s="42"/>
      <c r="AW12" s="42"/>
      <c r="AX12" s="42"/>
      <c r="AY12" s="42"/>
      <c r="AZ12" s="42"/>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2"/>
      <c r="CF12" s="12"/>
      <c r="CG12" s="12"/>
      <c r="CH12" s="12"/>
      <c r="CI12" s="13"/>
      <c r="CJ12" s="13"/>
      <c r="CK12" s="13"/>
      <c r="CL12" s="13"/>
      <c r="CM12" s="13"/>
      <c r="CN12" s="13"/>
      <c r="CO12" s="15"/>
      <c r="CP12" s="15"/>
      <c r="CQ12" s="6"/>
      <c r="CR12" s="30"/>
      <c r="CS12" s="30"/>
      <c r="CT12" s="13">
        <f t="shared" si="26"/>
        <v>0</v>
      </c>
      <c r="CU12" s="13">
        <f t="shared" si="27"/>
        <v>0</v>
      </c>
      <c r="CV12" s="13">
        <f t="shared" si="28"/>
        <v>0</v>
      </c>
      <c r="CW12" s="13">
        <f t="shared" si="29"/>
        <v>0</v>
      </c>
      <c r="CX12" s="13">
        <f t="shared" si="30"/>
        <v>0</v>
      </c>
      <c r="CY12" s="13">
        <f t="shared" si="31"/>
        <v>0</v>
      </c>
      <c r="CZ12" s="13">
        <f t="shared" si="32"/>
        <v>0</v>
      </c>
      <c r="DA12" s="13">
        <f t="shared" si="33"/>
        <v>0</v>
      </c>
      <c r="DB12" s="13">
        <f t="shared" si="34"/>
        <v>0</v>
      </c>
      <c r="DC12" s="13">
        <f t="shared" si="35"/>
        <v>0</v>
      </c>
      <c r="DD12" s="13">
        <f t="shared" si="36"/>
        <v>0</v>
      </c>
      <c r="DE12" s="13">
        <f t="shared" si="37"/>
        <v>0</v>
      </c>
      <c r="DF12" s="13">
        <f t="shared" si="38"/>
        <v>0</v>
      </c>
      <c r="DG12" s="13">
        <f t="shared" si="38"/>
        <v>0</v>
      </c>
      <c r="DH12" s="13">
        <f t="shared" si="38"/>
        <v>0</v>
      </c>
      <c r="DI12" s="13"/>
      <c r="DK12" s="13"/>
      <c r="DL12" s="13"/>
      <c r="DM12" s="6"/>
      <c r="DN12" s="13"/>
      <c r="DO12" s="13"/>
      <c r="DQ12" s="23"/>
      <c r="DR12" s="13"/>
      <c r="DS12" s="13"/>
      <c r="DT12" s="13"/>
      <c r="DV12" s="13"/>
      <c r="DW12" s="13"/>
      <c r="DX12" s="13"/>
      <c r="EA12" s="23"/>
      <c r="EB12" s="23"/>
      <c r="EC12" s="23"/>
      <c r="ED12" s="13"/>
      <c r="EE12" s="13"/>
      <c r="EF12" s="13"/>
      <c r="EJ12" s="23"/>
      <c r="EK12" s="23"/>
      <c r="EL12" s="13"/>
      <c r="EM12" s="13"/>
      <c r="EN12" s="13"/>
      <c r="EP12" s="23"/>
      <c r="EQ12" s="13"/>
      <c r="ER12" s="13"/>
      <c r="ES12" s="13"/>
      <c r="EV12" s="23"/>
      <c r="EW12" s="23"/>
      <c r="EX12" s="23"/>
      <c r="EY12" s="23"/>
      <c r="EZ12" s="13"/>
      <c r="FA12" s="13"/>
      <c r="FD12" s="23"/>
      <c r="FE12" s="23"/>
      <c r="FF12" s="23"/>
      <c r="FG12" s="13"/>
      <c r="FH12" s="13"/>
      <c r="FK12" s="13"/>
      <c r="FL12" s="13"/>
      <c r="FO12" s="23"/>
      <c r="FP12" s="23"/>
      <c r="FQ12" s="13"/>
      <c r="FR12" s="13"/>
      <c r="FU12" s="23"/>
      <c r="FV12" s="13"/>
      <c r="FW12" s="13"/>
      <c r="FX12" s="13"/>
      <c r="FY12" s="13"/>
      <c r="GA12" s="13"/>
      <c r="GB12" s="13"/>
      <c r="GC12" s="13"/>
      <c r="GF12" s="23"/>
      <c r="GG12" s="23"/>
      <c r="GH12" s="23"/>
      <c r="GI12" s="13"/>
      <c r="GJ12" s="13"/>
      <c r="GK12" s="13"/>
      <c r="GN12" s="23"/>
      <c r="GO12" s="23"/>
      <c r="GP12" s="13"/>
      <c r="GQ12" s="13"/>
      <c r="GR12" s="13"/>
      <c r="GV12" s="23"/>
      <c r="GW12" s="13"/>
      <c r="GX12" s="13"/>
      <c r="GY12" s="13"/>
      <c r="HC12" s="13"/>
      <c r="HD12" s="13"/>
      <c r="HE12" s="13"/>
      <c r="HF12" s="13"/>
      <c r="HI12" s="23"/>
      <c r="HJ12" s="23"/>
      <c r="HK12" s="23"/>
      <c r="HL12" s="23"/>
      <c r="HM12" s="13"/>
      <c r="HN12" s="13"/>
      <c r="HO12" s="13"/>
      <c r="HR12" s="23"/>
      <c r="HS12" s="23"/>
      <c r="HT12" s="23"/>
      <c r="HU12" s="13"/>
      <c r="HV12" s="13"/>
      <c r="HW12" s="13"/>
      <c r="HZ12" s="23"/>
      <c r="IA12" s="13"/>
      <c r="IB12" s="13"/>
      <c r="IC12" s="13"/>
      <c r="IE12" s="23"/>
      <c r="IF12" s="13"/>
      <c r="IG12" s="13"/>
      <c r="IH12" s="13"/>
      <c r="IK12" s="13"/>
      <c r="IL12" s="13"/>
      <c r="IO12" s="13"/>
      <c r="IP12" s="13"/>
      <c r="IS12" s="43"/>
      <c r="IT12" s="43"/>
      <c r="IU12" s="43"/>
      <c r="IX12" s="13"/>
      <c r="IY12" s="13"/>
      <c r="IZ12" s="13"/>
      <c r="JA12" s="13"/>
      <c r="JD12" s="13"/>
      <c r="JE12" s="13"/>
      <c r="JH12" s="13"/>
      <c r="JI12" s="13"/>
      <c r="JJ12" s="13"/>
      <c r="JM12" s="13"/>
      <c r="JN12" s="13"/>
      <c r="JQ12" s="13"/>
      <c r="JR12" s="13"/>
      <c r="JS12" s="13"/>
      <c r="JV12" s="13"/>
      <c r="JW12" s="13"/>
      <c r="JY12" s="13"/>
      <c r="JZ12" s="13"/>
      <c r="KB12" s="13"/>
      <c r="KC12" s="13"/>
      <c r="KD12" s="13"/>
    </row>
    <row r="13" spans="1:290" x14ac:dyDescent="0.25">
      <c r="A13" s="7" t="s">
        <v>259</v>
      </c>
      <c r="B13" s="11" t="s">
        <v>142</v>
      </c>
      <c r="C13" s="12"/>
      <c r="D13" s="12"/>
      <c r="E13" s="12"/>
      <c r="F13" s="12"/>
      <c r="G13" s="12"/>
      <c r="H13" s="13"/>
      <c r="I13" s="12">
        <v>326.75</v>
      </c>
      <c r="J13" s="12">
        <v>372.78149999999999</v>
      </c>
      <c r="K13" s="12">
        <v>452.14439999999996</v>
      </c>
      <c r="L13" s="12">
        <v>447.92579999999998</v>
      </c>
      <c r="M13" s="26">
        <f>I13+J13+K13+L13</f>
        <v>1599.6016999999999</v>
      </c>
      <c r="N13" s="12">
        <v>358.84530000000001</v>
      </c>
      <c r="O13" s="12">
        <v>481.82909999999993</v>
      </c>
      <c r="P13" s="12">
        <v>503.92780000000005</v>
      </c>
      <c r="Q13" s="12">
        <v>532.63879999999995</v>
      </c>
      <c r="R13" s="26">
        <f>N13+O13+P13+Q13</f>
        <v>1877.2409999999998</v>
      </c>
      <c r="S13" s="12">
        <v>478.51579999999996</v>
      </c>
      <c r="T13" s="12">
        <v>498.86620000000005</v>
      </c>
      <c r="U13" s="12">
        <v>602.31729999999993</v>
      </c>
      <c r="V13" s="12">
        <v>683.76570000000004</v>
      </c>
      <c r="W13" s="26">
        <f>S13+T13+U13+V13</f>
        <v>2263.4650000000001</v>
      </c>
      <c r="X13" s="44">
        <v>604.6407999999999</v>
      </c>
      <c r="Y13" s="44">
        <v>646.65070000000003</v>
      </c>
      <c r="Z13" s="44">
        <v>738.3922</v>
      </c>
      <c r="AA13" s="44">
        <v>737.02299999999991</v>
      </c>
      <c r="AB13" s="26">
        <f>X13+Y13+Z13+AA13</f>
        <v>2726.7066999999997</v>
      </c>
      <c r="AC13" s="44">
        <v>645.53729999999996</v>
      </c>
      <c r="AD13" s="44">
        <v>760.38630000000001</v>
      </c>
      <c r="AE13" s="44">
        <v>780.80359999999996</v>
      </c>
      <c r="AF13" s="44">
        <v>720.83210000000008</v>
      </c>
      <c r="AG13" s="26">
        <f>AC13+AD13+AE13+AF13</f>
        <v>2907.5593000000003</v>
      </c>
      <c r="AH13" s="44">
        <v>669.95680000000004</v>
      </c>
      <c r="AI13" s="44">
        <v>641.85670000000005</v>
      </c>
      <c r="AJ13" s="44">
        <v>695.00800000000004</v>
      </c>
      <c r="AK13" s="26">
        <f>AH13+AI13+AJ13</f>
        <v>2006.8215000000002</v>
      </c>
      <c r="AL13" s="44">
        <v>732.42309999999998</v>
      </c>
      <c r="AM13" s="44">
        <v>620.68230000000005</v>
      </c>
      <c r="AN13" s="44">
        <v>683.86270000000002</v>
      </c>
      <c r="AO13" s="44">
        <v>795.57</v>
      </c>
      <c r="AP13" s="43">
        <v>2865.8</v>
      </c>
      <c r="AQ13" s="44">
        <v>756.57</v>
      </c>
      <c r="AR13" s="44">
        <v>734.87</v>
      </c>
      <c r="AS13" s="44">
        <v>809.45</v>
      </c>
      <c r="AT13" s="44">
        <v>826.5</v>
      </c>
      <c r="AU13" s="43">
        <v>3171.13</v>
      </c>
      <c r="AV13" s="44">
        <v>881.36</v>
      </c>
      <c r="AW13" s="44">
        <f>959.57-21.99</f>
        <v>937.58</v>
      </c>
      <c r="AX13" s="44">
        <f>956.56</f>
        <v>956.56</v>
      </c>
      <c r="AY13" s="44">
        <v>947.17</v>
      </c>
      <c r="AZ13" s="43">
        <v>3744.67</v>
      </c>
      <c r="BA13" s="44">
        <v>995.71</v>
      </c>
      <c r="BB13" s="44">
        <v>877.66</v>
      </c>
      <c r="BC13" s="44">
        <v>953.27</v>
      </c>
      <c r="BD13" s="44">
        <v>879.37</v>
      </c>
      <c r="BE13" s="43">
        <v>3706</v>
      </c>
      <c r="BF13" s="44">
        <v>573.22</v>
      </c>
      <c r="BG13" s="44">
        <v>903.12</v>
      </c>
      <c r="BH13" s="44">
        <v>1078.1199999999999</v>
      </c>
      <c r="BI13" s="44">
        <v>1209.9000000000001</v>
      </c>
      <c r="BJ13" s="43">
        <v>3764.36</v>
      </c>
      <c r="BK13" s="44">
        <v>997.38</v>
      </c>
      <c r="BL13" s="44">
        <v>1326.41</v>
      </c>
      <c r="BM13" s="44">
        <v>1317.5</v>
      </c>
      <c r="BN13" s="44">
        <v>1787.64</v>
      </c>
      <c r="BO13" s="43">
        <v>5428.93</v>
      </c>
      <c r="BP13" s="44">
        <v>1558.13</v>
      </c>
      <c r="BQ13" s="44">
        <v>1597.76</v>
      </c>
      <c r="BR13" s="44">
        <v>1617.5</v>
      </c>
      <c r="BS13" s="44">
        <v>1651.21</v>
      </c>
      <c r="BT13" s="43">
        <v>6424.6</v>
      </c>
      <c r="BU13" s="44">
        <v>1688.72</v>
      </c>
      <c r="BV13" s="44">
        <v>1602.11</v>
      </c>
      <c r="BW13" s="44">
        <v>1705.22</v>
      </c>
      <c r="BX13" s="44">
        <v>1763.19</v>
      </c>
      <c r="BY13" s="43">
        <v>6759</v>
      </c>
      <c r="BZ13" s="44">
        <v>1776.47</v>
      </c>
      <c r="CA13" s="44">
        <v>1643.87</v>
      </c>
      <c r="CB13" s="44">
        <v>1826.92</v>
      </c>
      <c r="CC13" s="44">
        <f>1783</f>
        <v>1783</v>
      </c>
      <c r="CD13" s="43">
        <v>7030.96</v>
      </c>
      <c r="CE13" s="44">
        <v>1920.07</v>
      </c>
      <c r="CF13" s="44">
        <v>1711.34</v>
      </c>
      <c r="CG13" s="44">
        <v>1821.59</v>
      </c>
      <c r="CH13" s="44">
        <v>2101.0300000000002</v>
      </c>
      <c r="CI13" s="43">
        <v>7554.03</v>
      </c>
      <c r="CJ13" s="43"/>
      <c r="CK13" s="43"/>
      <c r="CL13" s="43"/>
      <c r="CM13" s="43"/>
      <c r="CN13" s="43"/>
      <c r="CO13" s="45"/>
      <c r="CP13" s="45"/>
      <c r="CQ13" s="6"/>
      <c r="CR13" s="30"/>
      <c r="CS13" s="30"/>
      <c r="CT13" s="26">
        <f t="shared" si="26"/>
        <v>2726.7066999999997</v>
      </c>
      <c r="CU13" s="26">
        <f t="shared" si="27"/>
        <v>2907.5593000000003</v>
      </c>
      <c r="CV13" s="26">
        <f t="shared" si="28"/>
        <v>2006.8215000000002</v>
      </c>
      <c r="CW13" s="26">
        <f t="shared" si="29"/>
        <v>2865.8</v>
      </c>
      <c r="CX13" s="26">
        <f t="shared" si="30"/>
        <v>3171.13</v>
      </c>
      <c r="CY13" s="26">
        <f t="shared" si="31"/>
        <v>3744.67</v>
      </c>
      <c r="CZ13" s="26">
        <f t="shared" si="32"/>
        <v>3706</v>
      </c>
      <c r="DA13" s="26">
        <f t="shared" si="33"/>
        <v>3764.36</v>
      </c>
      <c r="DB13" s="26">
        <f t="shared" si="34"/>
        <v>5428.93</v>
      </c>
      <c r="DC13" s="26">
        <f t="shared" si="35"/>
        <v>6424.6</v>
      </c>
      <c r="DD13" s="26">
        <f t="shared" si="36"/>
        <v>6759</v>
      </c>
      <c r="DE13" s="26">
        <f t="shared" si="37"/>
        <v>7030.96</v>
      </c>
      <c r="DF13" s="26">
        <f t="shared" si="38"/>
        <v>7554.03</v>
      </c>
      <c r="DG13" s="26">
        <f t="shared" si="38"/>
        <v>0</v>
      </c>
      <c r="DH13" s="26">
        <f t="shared" si="38"/>
        <v>0</v>
      </c>
      <c r="DI13" s="43"/>
      <c r="DK13" s="43"/>
      <c r="DL13" s="43"/>
      <c r="DM13" s="31"/>
      <c r="DN13" s="43"/>
      <c r="DO13" s="43"/>
      <c r="DQ13" s="44"/>
      <c r="DR13" s="43"/>
      <c r="DS13" s="43"/>
      <c r="DT13" s="43"/>
      <c r="DV13" s="43"/>
      <c r="DW13" s="43"/>
      <c r="DX13" s="43"/>
      <c r="EA13" s="44"/>
      <c r="EB13" s="44"/>
      <c r="EC13" s="44"/>
      <c r="ED13" s="43"/>
      <c r="EE13" s="43"/>
      <c r="EF13" s="43"/>
      <c r="EJ13" s="44"/>
      <c r="EK13" s="44"/>
      <c r="EL13" s="43"/>
      <c r="EM13" s="43"/>
      <c r="EN13" s="43"/>
      <c r="EP13" s="44"/>
      <c r="EQ13" s="43"/>
      <c r="ER13" s="43"/>
      <c r="ES13" s="43"/>
      <c r="EV13" s="44"/>
      <c r="EW13" s="44"/>
      <c r="EX13" s="44"/>
      <c r="EY13" s="44"/>
      <c r="EZ13" s="43"/>
      <c r="FA13" s="43"/>
      <c r="FD13" s="44"/>
      <c r="FE13" s="44"/>
      <c r="FF13" s="44"/>
      <c r="FG13" s="43"/>
      <c r="FH13" s="43"/>
      <c r="FK13" s="43"/>
      <c r="FL13" s="43"/>
      <c r="FO13" s="44"/>
      <c r="FP13" s="44"/>
      <c r="FQ13" s="43"/>
      <c r="FR13" s="43"/>
      <c r="FU13" s="44"/>
      <c r="FV13" s="43"/>
      <c r="FW13" s="43"/>
      <c r="FX13" s="43"/>
      <c r="FY13" s="43"/>
      <c r="GA13" s="43"/>
      <c r="GB13" s="43"/>
      <c r="GC13" s="43"/>
      <c r="GF13" s="44"/>
      <c r="GG13" s="44"/>
      <c r="GH13" s="44"/>
      <c r="GI13" s="43"/>
      <c r="GJ13" s="43"/>
      <c r="GK13" s="43"/>
      <c r="GN13" s="44"/>
      <c r="GO13" s="44"/>
      <c r="GP13" s="43"/>
      <c r="GQ13" s="43"/>
      <c r="GR13" s="43"/>
      <c r="GV13" s="44"/>
      <c r="GW13" s="43"/>
      <c r="GX13" s="43"/>
      <c r="GY13" s="43"/>
      <c r="HC13" s="43"/>
      <c r="HD13" s="43"/>
      <c r="HE13" s="43"/>
      <c r="HF13" s="43"/>
      <c r="HI13" s="44"/>
      <c r="HJ13" s="44"/>
      <c r="HK13" s="44"/>
      <c r="HL13" s="44"/>
      <c r="HM13" s="43"/>
      <c r="HN13" s="43"/>
      <c r="HO13" s="43"/>
      <c r="HR13" s="44"/>
      <c r="HS13" s="44"/>
      <c r="HT13" s="44"/>
      <c r="HU13" s="43"/>
      <c r="HV13" s="43"/>
      <c r="HW13" s="43"/>
      <c r="HZ13" s="44"/>
      <c r="IA13" s="43"/>
      <c r="IB13" s="43"/>
      <c r="IC13" s="43"/>
      <c r="IE13" s="44"/>
      <c r="IF13" s="43"/>
      <c r="IG13" s="43"/>
      <c r="IH13" s="43"/>
      <c r="IK13" s="43"/>
      <c r="IL13" s="43"/>
      <c r="IO13" s="43"/>
      <c r="IP13" s="43"/>
      <c r="IS13" s="46"/>
      <c r="IT13" s="46"/>
      <c r="IU13" s="46"/>
      <c r="IX13" s="26"/>
      <c r="IY13" s="43"/>
      <c r="IZ13" s="43"/>
      <c r="JA13" s="43"/>
      <c r="JD13" s="43"/>
      <c r="JE13" s="43"/>
      <c r="JH13" s="43"/>
      <c r="JI13" s="43"/>
      <c r="JJ13" s="43"/>
      <c r="JM13" s="43"/>
      <c r="JN13" s="43"/>
      <c r="JQ13" s="43"/>
      <c r="JR13" s="43"/>
      <c r="JS13" s="43"/>
      <c r="JV13" s="43"/>
      <c r="JW13" s="43"/>
      <c r="JY13" s="43"/>
      <c r="JZ13" s="43"/>
      <c r="KB13" s="43"/>
      <c r="KC13" s="43"/>
      <c r="KD13" s="43"/>
    </row>
    <row r="14" spans="1:290" x14ac:dyDescent="0.25">
      <c r="A14" s="7" t="s">
        <v>260</v>
      </c>
      <c r="B14" s="47" t="s">
        <v>143</v>
      </c>
      <c r="C14" s="46"/>
      <c r="D14" s="46" t="e">
        <f t="shared" ref="D14:AK14" si="39">D13/D$6</f>
        <v>#DIV/0!</v>
      </c>
      <c r="E14" s="46" t="e">
        <f t="shared" si="39"/>
        <v>#DIV/0!</v>
      </c>
      <c r="F14" s="46" t="e">
        <f t="shared" si="39"/>
        <v>#DIV/0!</v>
      </c>
      <c r="G14" s="46" t="e">
        <f t="shared" si="39"/>
        <v>#DIV/0!</v>
      </c>
      <c r="H14" s="46" t="e">
        <f>H13/H$6</f>
        <v>#DIV/0!</v>
      </c>
      <c r="I14" s="46">
        <f t="shared" si="39"/>
        <v>0.75132214302138423</v>
      </c>
      <c r="J14" s="46">
        <f t="shared" si="39"/>
        <v>0.64806026007837614</v>
      </c>
      <c r="K14" s="46">
        <f t="shared" si="39"/>
        <v>0.69164185250644683</v>
      </c>
      <c r="L14" s="46">
        <f t="shared" si="39"/>
        <v>0.61131268664843885</v>
      </c>
      <c r="M14" s="46">
        <f>M13/M$6</f>
        <v>0.66745166008604095</v>
      </c>
      <c r="N14" s="46">
        <f t="shared" si="39"/>
        <v>0.75879112850856945</v>
      </c>
      <c r="O14" s="46">
        <f t="shared" si="39"/>
        <v>0.67592881993154141</v>
      </c>
      <c r="P14" s="46">
        <f t="shared" si="39"/>
        <v>0.66430567079307057</v>
      </c>
      <c r="Q14" s="46">
        <f t="shared" si="39"/>
        <v>0.58275535237555065</v>
      </c>
      <c r="R14" s="46">
        <f>R13/R$6</f>
        <v>0.65676008698767396</v>
      </c>
      <c r="S14" s="46">
        <f t="shared" si="39"/>
        <v>0.78375587326602814</v>
      </c>
      <c r="T14" s="46">
        <f t="shared" si="39"/>
        <v>0.61895697504698644</v>
      </c>
      <c r="U14" s="46">
        <f t="shared" si="39"/>
        <v>0.66646362405936488</v>
      </c>
      <c r="V14" s="46">
        <f t="shared" si="39"/>
        <v>0.66855042822421651</v>
      </c>
      <c r="W14" s="46">
        <f>W13/W$6</f>
        <v>0.67706980238439352</v>
      </c>
      <c r="X14" s="46">
        <f t="shared" si="39"/>
        <v>0.86873203853197345</v>
      </c>
      <c r="Y14" s="46">
        <f t="shared" si="39"/>
        <v>0.70020951580074431</v>
      </c>
      <c r="Z14" s="46">
        <f t="shared" si="39"/>
        <v>0.74532453806095877</v>
      </c>
      <c r="AA14" s="46">
        <f t="shared" si="39"/>
        <v>0.59687738399317125</v>
      </c>
      <c r="AB14" s="46">
        <f>AB13/AB$6</f>
        <v>0.70915446015629091</v>
      </c>
      <c r="AC14" s="46">
        <f t="shared" si="39"/>
        <v>0.85869400388205697</v>
      </c>
      <c r="AD14" s="46">
        <f t="shared" si="39"/>
        <v>0.75460556858132599</v>
      </c>
      <c r="AE14" s="46">
        <f t="shared" si="39"/>
        <v>0.7269738744037384</v>
      </c>
      <c r="AF14" s="46">
        <f t="shared" si="39"/>
        <v>0.57819632757406025</v>
      </c>
      <c r="AG14" s="46">
        <f>AG13/AG$6</f>
        <v>0.71260840433823736</v>
      </c>
      <c r="AH14" s="46">
        <f t="shared" si="39"/>
        <v>0.87056252490846497</v>
      </c>
      <c r="AI14" s="46">
        <f t="shared" si="39"/>
        <v>0.64347961994947456</v>
      </c>
      <c r="AJ14" s="46">
        <f t="shared" si="39"/>
        <v>0.58334282478538901</v>
      </c>
      <c r="AK14" s="46">
        <f t="shared" si="39"/>
        <v>0.67833120413484216</v>
      </c>
      <c r="AL14" s="46">
        <f>AL13/AL$6</f>
        <v>0.61826440994330945</v>
      </c>
      <c r="AM14" s="46">
        <f>AM13/AM$6</f>
        <v>0.70676017680553527</v>
      </c>
      <c r="AN14" s="46">
        <f>AN13/AN$6</f>
        <v>0.62017315010731877</v>
      </c>
      <c r="AO14" s="46">
        <f>AO13/AO$6</f>
        <v>0.6202646125538932</v>
      </c>
      <c r="AP14" s="46">
        <v>0.65700000000000003</v>
      </c>
      <c r="AQ14" s="46">
        <f>AQ13/AQ$6</f>
        <v>0.65128350808326019</v>
      </c>
      <c r="AR14" s="46">
        <f>AR13/AR$6</f>
        <v>0.69651962921540012</v>
      </c>
      <c r="AS14" s="46">
        <f>AS13/AS$6</f>
        <v>0.63322381287647667</v>
      </c>
      <c r="AT14" s="46">
        <f>AT13/AT$6</f>
        <v>0.56176338648505364</v>
      </c>
      <c r="AU14" s="46"/>
      <c r="AV14" s="46">
        <f t="shared" ref="AV14:CD14" si="40">AV13/AV$6</f>
        <v>0.65494051467255199</v>
      </c>
      <c r="AW14" s="46">
        <f t="shared" si="40"/>
        <v>0.75897743094906578</v>
      </c>
      <c r="AX14" s="46">
        <f t="shared" si="40"/>
        <v>0.6762291894948923</v>
      </c>
      <c r="AY14" s="46">
        <f t="shared" si="40"/>
        <v>0.61869737607044173</v>
      </c>
      <c r="AZ14" s="46">
        <f t="shared" si="40"/>
        <v>0.67397333746092147</v>
      </c>
      <c r="BA14" s="46">
        <f t="shared" si="40"/>
        <v>0.69298937315610099</v>
      </c>
      <c r="BB14" s="46">
        <f t="shared" si="40"/>
        <v>0.68535061689832877</v>
      </c>
      <c r="BC14" s="46">
        <f t="shared" si="40"/>
        <v>0.69413537995514518</v>
      </c>
      <c r="BD14" s="46">
        <f t="shared" si="40"/>
        <v>0.61473341302630569</v>
      </c>
      <c r="BE14" s="46">
        <f t="shared" si="40"/>
        <v>0.67240734894421528</v>
      </c>
      <c r="BF14" s="46">
        <f t="shared" si="40"/>
        <v>0.54391391809314149</v>
      </c>
      <c r="BG14" s="46">
        <f t="shared" si="40"/>
        <v>0.65691965259896135</v>
      </c>
      <c r="BH14" s="46">
        <f t="shared" si="40"/>
        <v>0.58472719383881111</v>
      </c>
      <c r="BI14" s="46">
        <f t="shared" si="40"/>
        <v>0.58040190157297122</v>
      </c>
      <c r="BJ14" s="46">
        <f t="shared" si="40"/>
        <v>0.59215423481924034</v>
      </c>
      <c r="BK14" s="46">
        <f t="shared" si="40"/>
        <v>0.74315987124463523</v>
      </c>
      <c r="BL14" s="46">
        <f t="shared" si="40"/>
        <v>0.68777935640432664</v>
      </c>
      <c r="BM14" s="46">
        <f t="shared" si="40"/>
        <v>0.67733958490779445</v>
      </c>
      <c r="BN14" s="46">
        <f t="shared" si="40"/>
        <v>0.69909154546769958</v>
      </c>
      <c r="BO14" s="46">
        <f t="shared" si="40"/>
        <v>0.69845049801745063</v>
      </c>
      <c r="BP14" s="46">
        <f t="shared" si="40"/>
        <v>0.70632100019039157</v>
      </c>
      <c r="BQ14" s="46">
        <f t="shared" si="40"/>
        <v>0.76572414454135918</v>
      </c>
      <c r="BR14" s="46">
        <f t="shared" si="40"/>
        <v>0.70000129830225344</v>
      </c>
      <c r="BS14" s="46">
        <f t="shared" si="40"/>
        <v>0.63549628603317554</v>
      </c>
      <c r="BT14" s="46">
        <f t="shared" si="40"/>
        <v>0.69821300680650644</v>
      </c>
      <c r="BU14" s="46">
        <f t="shared" si="40"/>
        <v>0.71296726308589964</v>
      </c>
      <c r="BV14" s="46">
        <f t="shared" si="40"/>
        <v>0.693947649965998</v>
      </c>
      <c r="BW14" s="46">
        <f t="shared" si="40"/>
        <v>0.69626393368992689</v>
      </c>
      <c r="BX14" s="46">
        <f t="shared" si="40"/>
        <v>0.58618832470602322</v>
      </c>
      <c r="BY14" s="46">
        <f t="shared" si="40"/>
        <v>0.66694558852841745</v>
      </c>
      <c r="BZ14" s="46">
        <f t="shared" si="40"/>
        <v>0.67383693363931196</v>
      </c>
      <c r="CA14" s="46">
        <f t="shared" si="40"/>
        <v>0.72323192327151942</v>
      </c>
      <c r="CB14" s="46">
        <f t="shared" si="40"/>
        <v>0.72789137329274711</v>
      </c>
      <c r="CC14" s="46">
        <f t="shared" si="40"/>
        <v>0.58901842375630553</v>
      </c>
      <c r="CD14" s="46">
        <f t="shared" si="40"/>
        <v>0.67306066770372142</v>
      </c>
      <c r="CE14" s="46">
        <f>CE13/CE$6</f>
        <v>0.73588174198320566</v>
      </c>
      <c r="CF14" s="46">
        <f>CF13/CF$6</f>
        <v>0.71488426689836959</v>
      </c>
      <c r="CG14" s="46">
        <f t="shared" ref="CG14:CI14" si="41">CG13/CG$6</f>
        <v>0.67794219446656789</v>
      </c>
      <c r="CH14" s="46">
        <f t="shared" si="41"/>
        <v>0.59558744323432533</v>
      </c>
      <c r="CI14" s="46">
        <f t="shared" si="41"/>
        <v>0.67340394805342996</v>
      </c>
      <c r="CJ14" s="46"/>
      <c r="CK14" s="46"/>
      <c r="CL14" s="46"/>
      <c r="CM14" s="46"/>
      <c r="CN14" s="46"/>
      <c r="CO14" s="20"/>
      <c r="CP14" s="20"/>
      <c r="CQ14" s="6"/>
      <c r="CR14" s="30"/>
      <c r="CS14" s="30"/>
      <c r="CT14" s="46">
        <f t="shared" si="26"/>
        <v>0.70915446015629091</v>
      </c>
      <c r="CU14" s="46">
        <f t="shared" si="27"/>
        <v>0.71260840433823736</v>
      </c>
      <c r="CV14" s="46">
        <f t="shared" si="28"/>
        <v>0.67833120413484216</v>
      </c>
      <c r="CW14" s="46">
        <f t="shared" si="29"/>
        <v>0.65700000000000003</v>
      </c>
      <c r="CX14" s="46">
        <f t="shared" si="30"/>
        <v>0</v>
      </c>
      <c r="CY14" s="46">
        <f t="shared" si="31"/>
        <v>0.67397333746092147</v>
      </c>
      <c r="CZ14" s="46">
        <f t="shared" si="32"/>
        <v>0.67240734894421528</v>
      </c>
      <c r="DA14" s="46">
        <f t="shared" si="33"/>
        <v>0.59215423481924034</v>
      </c>
      <c r="DB14" s="46">
        <f t="shared" si="34"/>
        <v>0.69845049801745063</v>
      </c>
      <c r="DC14" s="46">
        <f t="shared" si="35"/>
        <v>0.69821300680650644</v>
      </c>
      <c r="DD14" s="46">
        <f t="shared" si="36"/>
        <v>0.66694558852841745</v>
      </c>
      <c r="DE14" s="46">
        <f t="shared" si="37"/>
        <v>0.67306066770372142</v>
      </c>
      <c r="DF14" s="46">
        <f t="shared" si="38"/>
        <v>0.67340394805342996</v>
      </c>
      <c r="DG14" s="46">
        <f t="shared" si="38"/>
        <v>0</v>
      </c>
      <c r="DH14" s="46">
        <f t="shared" si="38"/>
        <v>0</v>
      </c>
      <c r="DI14" s="46"/>
      <c r="DK14" s="46"/>
      <c r="DL14" s="46"/>
      <c r="DM14" s="31"/>
      <c r="DN14" s="46"/>
      <c r="DO14" s="46"/>
      <c r="DQ14" s="46"/>
      <c r="DR14" s="46"/>
      <c r="DS14" s="46"/>
      <c r="DT14" s="46"/>
      <c r="DV14" s="46"/>
      <c r="DW14" s="46"/>
      <c r="DX14" s="46"/>
      <c r="EA14" s="46">
        <v>0</v>
      </c>
      <c r="EB14" s="46">
        <v>0</v>
      </c>
      <c r="EC14" s="46">
        <v>0</v>
      </c>
      <c r="ED14" s="46"/>
      <c r="EE14" s="46"/>
      <c r="EF14" s="46"/>
      <c r="EJ14" s="46">
        <v>0</v>
      </c>
      <c r="EK14" s="46">
        <v>0</v>
      </c>
      <c r="EL14" s="46"/>
      <c r="EM14" s="46"/>
      <c r="EN14" s="46"/>
      <c r="EP14" s="46">
        <v>0</v>
      </c>
      <c r="EQ14" s="46"/>
      <c r="ER14" s="46"/>
      <c r="ES14" s="46"/>
      <c r="EV14" s="46"/>
      <c r="EW14" s="46"/>
      <c r="EX14" s="46"/>
      <c r="EY14" s="46"/>
      <c r="EZ14" s="46"/>
      <c r="FA14" s="46"/>
      <c r="FD14" s="46"/>
      <c r="FE14" s="46"/>
      <c r="FF14" s="46"/>
      <c r="FG14" s="46"/>
      <c r="FH14" s="46"/>
      <c r="FK14" s="46"/>
      <c r="FL14" s="46"/>
      <c r="FO14" s="46"/>
      <c r="FP14" s="46"/>
      <c r="FQ14" s="46"/>
      <c r="FR14" s="46"/>
      <c r="FU14" s="46"/>
      <c r="FV14" s="46"/>
      <c r="FW14" s="46"/>
      <c r="FX14" s="46"/>
      <c r="FY14" s="46"/>
      <c r="GA14" s="46"/>
      <c r="GB14" s="46"/>
      <c r="GC14" s="46"/>
      <c r="GF14" s="46"/>
      <c r="GG14" s="46"/>
      <c r="GH14" s="46"/>
      <c r="GI14" s="46"/>
      <c r="GJ14" s="46"/>
      <c r="GK14" s="46"/>
      <c r="GN14" s="46"/>
      <c r="GO14" s="46"/>
      <c r="GP14" s="46"/>
      <c r="GQ14" s="46"/>
      <c r="GR14" s="46"/>
      <c r="GV14" s="46"/>
      <c r="GW14" s="46"/>
      <c r="GX14" s="46"/>
      <c r="GY14" s="46"/>
      <c r="HC14" s="46"/>
      <c r="HD14" s="46"/>
      <c r="HE14" s="46"/>
      <c r="HF14" s="46"/>
      <c r="HI14" s="46"/>
      <c r="HJ14" s="46"/>
      <c r="HK14" s="46"/>
      <c r="HL14" s="46"/>
      <c r="HM14" s="46"/>
      <c r="HN14" s="46"/>
      <c r="HO14" s="46"/>
      <c r="HR14" s="46"/>
      <c r="HS14" s="46"/>
      <c r="HT14" s="46"/>
      <c r="HU14" s="46"/>
      <c r="HV14" s="46"/>
      <c r="HW14" s="46"/>
      <c r="HZ14" s="46"/>
      <c r="IA14" s="46"/>
      <c r="IB14" s="46"/>
      <c r="IC14" s="46"/>
      <c r="IE14" s="46"/>
      <c r="IF14" s="46"/>
      <c r="IG14" s="46"/>
      <c r="IH14" s="46"/>
      <c r="IK14" s="46"/>
      <c r="IL14" s="46"/>
      <c r="IO14" s="46"/>
      <c r="IP14" s="46"/>
      <c r="IS14" s="43"/>
      <c r="IT14" s="43"/>
      <c r="IU14" s="43"/>
      <c r="IX14" s="46"/>
      <c r="IY14" s="46"/>
      <c r="IZ14" s="46"/>
      <c r="JA14" s="46"/>
      <c r="JD14" s="46"/>
      <c r="JE14" s="46"/>
      <c r="JH14" s="46"/>
      <c r="JI14" s="46"/>
      <c r="JJ14" s="46"/>
      <c r="JM14" s="46"/>
      <c r="JN14" s="46"/>
      <c r="JQ14" s="46"/>
      <c r="JR14" s="46"/>
      <c r="JS14" s="46"/>
      <c r="JV14" s="46"/>
      <c r="JW14" s="46"/>
      <c r="JY14" s="46"/>
      <c r="JZ14" s="46"/>
      <c r="KB14" s="46"/>
      <c r="KC14" s="46"/>
      <c r="KD14" s="46"/>
    </row>
    <row r="15" spans="1:290" x14ac:dyDescent="0.25">
      <c r="A15" s="7" t="s">
        <v>259</v>
      </c>
      <c r="B15" s="11" t="s">
        <v>144</v>
      </c>
      <c r="C15" s="12"/>
      <c r="D15" s="12"/>
      <c r="E15" s="12"/>
      <c r="F15" s="12"/>
      <c r="G15" s="12"/>
      <c r="H15" s="13"/>
      <c r="I15" s="44">
        <v>-51.07</v>
      </c>
      <c r="J15" s="44">
        <v>-15.101800000000001</v>
      </c>
      <c r="K15" s="44">
        <v>-9.4694000000000003</v>
      </c>
      <c r="L15" s="44">
        <v>57.026800000000001</v>
      </c>
      <c r="M15" s="48">
        <f>I15+J15+K15+L15</f>
        <v>-18.614399999999996</v>
      </c>
      <c r="N15" s="44">
        <v>-53.989400000000003</v>
      </c>
      <c r="O15" s="44">
        <v>-4.4396000000000004</v>
      </c>
      <c r="P15" s="44">
        <v>1.4216</v>
      </c>
      <c r="Q15" s="44">
        <v>71.9619</v>
      </c>
      <c r="R15" s="48">
        <f>N15+O15+P15+Q15</f>
        <v>14.954499999999996</v>
      </c>
      <c r="S15" s="44">
        <v>-86.183999999999997</v>
      </c>
      <c r="T15" s="44">
        <v>38.7759</v>
      </c>
      <c r="U15" s="44">
        <v>-1.8623999999999998</v>
      </c>
      <c r="V15" s="44">
        <v>9.8385999999999996</v>
      </c>
      <c r="W15" s="48">
        <f>S15+T15+U15+V15</f>
        <v>-39.431899999999999</v>
      </c>
      <c r="X15" s="44">
        <v>-147.38040000000001</v>
      </c>
      <c r="Y15" s="44">
        <v>-9.8467000000000002</v>
      </c>
      <c r="Z15" s="44">
        <v>-38.686</v>
      </c>
      <c r="AA15" s="44">
        <v>136.57589999999999</v>
      </c>
      <c r="AB15" s="48">
        <f>X15+Y15+Z15+AA15</f>
        <v>-59.337200000000024</v>
      </c>
      <c r="AC15" s="44">
        <v>-101.7914</v>
      </c>
      <c r="AD15" s="44">
        <v>7.3721000000000005</v>
      </c>
      <c r="AE15" s="44">
        <v>-41.342799999999997</v>
      </c>
      <c r="AF15" s="44">
        <v>135.67090000000002</v>
      </c>
      <c r="AG15" s="48">
        <f>AC15+AD15+AE15+AF15</f>
        <v>-9.1199999999957981E-2</v>
      </c>
      <c r="AH15" s="44">
        <v>-139.14760000000001</v>
      </c>
      <c r="AI15" s="44">
        <v>-4.6481000000000003</v>
      </c>
      <c r="AJ15" s="44">
        <v>73.615600000000001</v>
      </c>
      <c r="AK15" s="26">
        <f>AH15+AI15+AJ15</f>
        <v>-70.18010000000001</v>
      </c>
      <c r="AL15" s="44">
        <v>-6.9383999999999997</v>
      </c>
      <c r="AM15" s="44">
        <v>-96.338800000000006</v>
      </c>
      <c r="AN15" s="44">
        <v>-14.4719</v>
      </c>
      <c r="AO15" s="44">
        <v>-4.2300000000000004</v>
      </c>
      <c r="AP15" s="43">
        <v>-121.98</v>
      </c>
      <c r="AQ15" s="44">
        <v>15.38</v>
      </c>
      <c r="AR15" s="44">
        <v>-67.180000000000007</v>
      </c>
      <c r="AS15" s="44">
        <v>12.39</v>
      </c>
      <c r="AT15" s="44">
        <v>76.91</v>
      </c>
      <c r="AU15" s="43">
        <v>37.49</v>
      </c>
      <c r="AV15" s="44">
        <v>29.51</v>
      </c>
      <c r="AW15" s="44">
        <v>-113.04</v>
      </c>
      <c r="AX15" s="44">
        <v>9.5500000000000007</v>
      </c>
      <c r="AY15" s="44">
        <v>64.84</v>
      </c>
      <c r="AZ15" s="43">
        <v>-9.14</v>
      </c>
      <c r="BA15" s="44">
        <v>-4.91</v>
      </c>
      <c r="BB15" s="44">
        <v>-53.49</v>
      </c>
      <c r="BC15" s="44">
        <v>-73.48</v>
      </c>
      <c r="BD15" s="44">
        <v>-43.26</v>
      </c>
      <c r="BE15" s="43">
        <v>-175.14</v>
      </c>
      <c r="BF15" s="44">
        <v>173.49</v>
      </c>
      <c r="BG15" s="44">
        <v>-93.81</v>
      </c>
      <c r="BH15" s="44">
        <v>33.520000000000003</v>
      </c>
      <c r="BI15" s="44">
        <v>37.33</v>
      </c>
      <c r="BJ15" s="43">
        <v>150.53</v>
      </c>
      <c r="BK15" s="44">
        <v>-160.4</v>
      </c>
      <c r="BL15" s="44">
        <v>-36.520000000000003</v>
      </c>
      <c r="BM15" s="44">
        <v>-33.9</v>
      </c>
      <c r="BN15" s="44">
        <v>18.55</v>
      </c>
      <c r="BO15" s="43">
        <v>-212.27</v>
      </c>
      <c r="BP15" s="44">
        <v>31.75</v>
      </c>
      <c r="BQ15" s="44">
        <v>-33.01</v>
      </c>
      <c r="BR15" s="44">
        <v>1.62</v>
      </c>
      <c r="BS15" s="44">
        <v>45.47</v>
      </c>
      <c r="BT15" s="43">
        <v>45.83</v>
      </c>
      <c r="BU15" s="44">
        <v>-63.69</v>
      </c>
      <c r="BV15" s="44">
        <v>-98.06</v>
      </c>
      <c r="BW15" s="44">
        <v>-87.12</v>
      </c>
      <c r="BX15" s="44">
        <v>243.03</v>
      </c>
      <c r="BY15" s="43">
        <v>-5.84</v>
      </c>
      <c r="BZ15" s="44">
        <v>2.3199999999999998</v>
      </c>
      <c r="CA15" s="44">
        <v>-178.67</v>
      </c>
      <c r="CB15" s="44">
        <v>-128.24</v>
      </c>
      <c r="CC15" s="44">
        <v>284</v>
      </c>
      <c r="CD15" s="43">
        <v>135.52000000000001</v>
      </c>
      <c r="CE15" s="44">
        <v>-166.77</v>
      </c>
      <c r="CF15" s="44">
        <v>-167.45</v>
      </c>
      <c r="CG15" s="44">
        <v>-37.75</v>
      </c>
      <c r="CH15" s="44">
        <v>204.8</v>
      </c>
      <c r="CI15" s="43">
        <v>-167.17</v>
      </c>
      <c r="CJ15" s="43"/>
      <c r="CK15" s="43"/>
      <c r="CL15" s="43"/>
      <c r="CM15" s="43"/>
      <c r="CN15" s="43"/>
      <c r="CO15" s="45"/>
      <c r="CP15" s="45"/>
      <c r="CQ15" s="30"/>
      <c r="CS15" s="30"/>
      <c r="CT15" s="26">
        <f t="shared" si="26"/>
        <v>-59.337200000000024</v>
      </c>
      <c r="CU15" s="26">
        <f t="shared" si="27"/>
        <v>-9.1199999999957981E-2</v>
      </c>
      <c r="CV15" s="26">
        <f t="shared" si="28"/>
        <v>-70.18010000000001</v>
      </c>
      <c r="CW15" s="26">
        <f t="shared" si="29"/>
        <v>-121.98</v>
      </c>
      <c r="CX15" s="26">
        <f t="shared" si="30"/>
        <v>37.49</v>
      </c>
      <c r="CY15" s="26">
        <f t="shared" si="31"/>
        <v>-9.14</v>
      </c>
      <c r="CZ15" s="26">
        <f t="shared" si="32"/>
        <v>-175.14</v>
      </c>
      <c r="DA15" s="26">
        <f t="shared" si="33"/>
        <v>150.53</v>
      </c>
      <c r="DB15" s="26">
        <f t="shared" si="34"/>
        <v>-212.27</v>
      </c>
      <c r="DC15" s="26">
        <f t="shared" si="35"/>
        <v>45.83</v>
      </c>
      <c r="DD15" s="26">
        <f t="shared" si="36"/>
        <v>-5.84</v>
      </c>
      <c r="DE15" s="26">
        <f t="shared" si="37"/>
        <v>135.52000000000001</v>
      </c>
      <c r="DF15" s="26">
        <f t="shared" si="38"/>
        <v>-167.17</v>
      </c>
      <c r="DG15" s="26">
        <f t="shared" si="38"/>
        <v>0</v>
      </c>
      <c r="DH15" s="26">
        <f t="shared" si="38"/>
        <v>0</v>
      </c>
      <c r="DI15" s="43"/>
      <c r="DK15" s="43"/>
      <c r="DL15" s="43"/>
      <c r="DM15" s="49"/>
      <c r="DN15" s="43"/>
      <c r="DO15" s="43"/>
      <c r="DQ15" s="44"/>
      <c r="DR15" s="43"/>
      <c r="DS15" s="43"/>
      <c r="DT15" s="43"/>
      <c r="DV15" s="43"/>
      <c r="DW15" s="43"/>
      <c r="DX15" s="43"/>
      <c r="EA15" s="44"/>
      <c r="EB15" s="44"/>
      <c r="EC15" s="44"/>
      <c r="ED15" s="43"/>
      <c r="EE15" s="43"/>
      <c r="EF15" s="43"/>
      <c r="EJ15" s="44"/>
      <c r="EK15" s="44"/>
      <c r="EL15" s="43"/>
      <c r="EM15" s="43"/>
      <c r="EN15" s="43"/>
      <c r="EP15" s="44"/>
      <c r="EQ15" s="43"/>
      <c r="ER15" s="43"/>
      <c r="ES15" s="43"/>
      <c r="EV15" s="44"/>
      <c r="EW15" s="44"/>
      <c r="EX15" s="44"/>
      <c r="EY15" s="44"/>
      <c r="EZ15" s="43"/>
      <c r="FA15" s="43"/>
      <c r="FD15" s="44"/>
      <c r="FE15" s="44"/>
      <c r="FF15" s="44"/>
      <c r="FG15" s="43"/>
      <c r="FH15" s="43"/>
      <c r="FK15" s="43"/>
      <c r="FL15" s="43"/>
      <c r="FO15" s="44"/>
      <c r="FP15" s="44"/>
      <c r="FQ15" s="43"/>
      <c r="FR15" s="43"/>
      <c r="FU15" s="44"/>
      <c r="FV15" s="43"/>
      <c r="FW15" s="43"/>
      <c r="FX15" s="43"/>
      <c r="FY15" s="43"/>
      <c r="GA15" s="43"/>
      <c r="GB15" s="43"/>
      <c r="GC15" s="43"/>
      <c r="GF15" s="44"/>
      <c r="GG15" s="44"/>
      <c r="GH15" s="44"/>
      <c r="GI15" s="43"/>
      <c r="GJ15" s="43"/>
      <c r="GK15" s="43"/>
      <c r="GN15" s="44"/>
      <c r="GO15" s="44"/>
      <c r="GP15" s="43"/>
      <c r="GQ15" s="43"/>
      <c r="GR15" s="43"/>
      <c r="GV15" s="44"/>
      <c r="GW15" s="43"/>
      <c r="GX15" s="43"/>
      <c r="GY15" s="43"/>
      <c r="HC15" s="43"/>
      <c r="HD15" s="43"/>
      <c r="HE15" s="43"/>
      <c r="HF15" s="43"/>
      <c r="HI15" s="44"/>
      <c r="HJ15" s="44"/>
      <c r="HK15" s="44"/>
      <c r="HL15" s="44"/>
      <c r="HM15" s="43"/>
      <c r="HN15" s="43"/>
      <c r="HO15" s="43"/>
      <c r="HR15" s="44"/>
      <c r="HS15" s="44"/>
      <c r="HT15" s="44"/>
      <c r="HU15" s="43"/>
      <c r="HV15" s="43"/>
      <c r="HW15" s="43"/>
      <c r="HZ15" s="44"/>
      <c r="IA15" s="43"/>
      <c r="IB15" s="43"/>
      <c r="IC15" s="43"/>
      <c r="IE15" s="44"/>
      <c r="IF15" s="43"/>
      <c r="IG15" s="43"/>
      <c r="IH15" s="43"/>
      <c r="IK15" s="43"/>
      <c r="IL15" s="43"/>
      <c r="IO15" s="43"/>
      <c r="IP15" s="43"/>
      <c r="IS15" s="46"/>
      <c r="IT15" s="46"/>
      <c r="IU15" s="46"/>
      <c r="IX15" s="26"/>
      <c r="IY15" s="43"/>
      <c r="IZ15" s="43"/>
      <c r="JA15" s="43"/>
      <c r="JD15" s="43"/>
      <c r="JE15" s="43"/>
      <c r="JH15" s="43"/>
      <c r="JI15" s="43"/>
      <c r="JJ15" s="43"/>
      <c r="JM15" s="43"/>
      <c r="JN15" s="43"/>
      <c r="JQ15" s="43"/>
      <c r="JR15" s="43"/>
      <c r="JS15" s="43"/>
      <c r="JV15" s="43"/>
      <c r="JW15" s="43"/>
      <c r="JY15" s="43"/>
      <c r="JZ15" s="43"/>
      <c r="KB15" s="43"/>
      <c r="KC15" s="43"/>
      <c r="KD15" s="43"/>
    </row>
    <row r="16" spans="1:290" x14ac:dyDescent="0.25">
      <c r="A16" s="7" t="s">
        <v>260</v>
      </c>
      <c r="B16" s="47" t="s">
        <v>143</v>
      </c>
      <c r="C16" s="46"/>
      <c r="D16" s="46" t="e">
        <f t="shared" ref="D16:AH16" si="42">D15/D$6</f>
        <v>#DIV/0!</v>
      </c>
      <c r="E16" s="46" t="e">
        <f t="shared" si="42"/>
        <v>#DIV/0!</v>
      </c>
      <c r="F16" s="46" t="e">
        <f t="shared" si="42"/>
        <v>#DIV/0!</v>
      </c>
      <c r="G16" s="46" t="e">
        <f t="shared" si="42"/>
        <v>#DIV/0!</v>
      </c>
      <c r="H16" s="46" t="e">
        <f>H15/H$6</f>
        <v>#DIV/0!</v>
      </c>
      <c r="I16" s="46">
        <f t="shared" si="42"/>
        <v>-0.11742929409059555</v>
      </c>
      <c r="J16" s="46">
        <f t="shared" si="42"/>
        <v>-2.6253653777485259E-2</v>
      </c>
      <c r="K16" s="46">
        <f t="shared" si="42"/>
        <v>-1.4485269215154603E-2</v>
      </c>
      <c r="L16" s="46">
        <f t="shared" si="42"/>
        <v>7.7828082952496144E-2</v>
      </c>
      <c r="M16" s="46">
        <f>M15/M$6</f>
        <v>-7.7670661274651049E-3</v>
      </c>
      <c r="N16" s="46">
        <f t="shared" si="42"/>
        <v>-0.11416250332246392</v>
      </c>
      <c r="O16" s="46">
        <f t="shared" si="42"/>
        <v>-6.2280455642219866E-3</v>
      </c>
      <c r="P16" s="46">
        <f t="shared" si="42"/>
        <v>1.8740322355691212E-3</v>
      </c>
      <c r="Q16" s="46">
        <f t="shared" si="42"/>
        <v>7.873287186760361E-2</v>
      </c>
      <c r="R16" s="46">
        <f>R15/R$6</f>
        <v>5.2318901626680686E-3</v>
      </c>
      <c r="S16" s="46">
        <f t="shared" si="42"/>
        <v>-0.14115984504912768</v>
      </c>
      <c r="T16" s="46">
        <f t="shared" si="42"/>
        <v>4.8110322504760675E-2</v>
      </c>
      <c r="U16" s="46">
        <f t="shared" si="42"/>
        <v>-2.0607441517090097E-3</v>
      </c>
      <c r="V16" s="46">
        <f t="shared" si="42"/>
        <v>9.6196697832704615E-3</v>
      </c>
      <c r="W16" s="46">
        <f>W15/W$6</f>
        <v>-1.1795255831497799E-2</v>
      </c>
      <c r="X16" s="46">
        <f t="shared" si="42"/>
        <v>-0.2117522921570256</v>
      </c>
      <c r="Y16" s="46">
        <f t="shared" si="42"/>
        <v>-1.0662252494639205E-2</v>
      </c>
      <c r="Z16" s="46">
        <f t="shared" si="42"/>
        <v>-3.9049200518946774E-2</v>
      </c>
      <c r="AA16" s="46">
        <f t="shared" si="42"/>
        <v>0.11060586427901567</v>
      </c>
      <c r="AB16" s="46">
        <f>AB15/AB$6</f>
        <v>-1.5432257541005743E-2</v>
      </c>
      <c r="AC16" s="46">
        <f t="shared" si="42"/>
        <v>-0.13540296560208065</v>
      </c>
      <c r="AD16" s="46">
        <f t="shared" si="42"/>
        <v>7.3160546318869679E-3</v>
      </c>
      <c r="AE16" s="46">
        <f t="shared" si="42"/>
        <v>-3.8492567778502657E-2</v>
      </c>
      <c r="AF16" s="46">
        <f t="shared" si="42"/>
        <v>0.1088248097423347</v>
      </c>
      <c r="AG16" s="46">
        <f>AG15/AG$6</f>
        <v>-2.2352041616354066E-5</v>
      </c>
      <c r="AH16" s="46">
        <f t="shared" si="42"/>
        <v>-0.18081268223705338</v>
      </c>
      <c r="AI16" s="46"/>
      <c r="AJ16" s="46"/>
      <c r="AK16" s="46">
        <f t="shared" ref="AK16:AP16" si="43">AK15/AK$6</f>
        <v>-2.3721766853356731E-2</v>
      </c>
      <c r="AL16" s="46">
        <f t="shared" si="43"/>
        <v>-5.8569504183451594E-3</v>
      </c>
      <c r="AM16" s="46">
        <f t="shared" si="43"/>
        <v>-0.10969932173228251</v>
      </c>
      <c r="AN16" s="46">
        <f t="shared" si="43"/>
        <v>-1.3124101974033832E-2</v>
      </c>
      <c r="AO16" s="46">
        <f t="shared" si="43"/>
        <v>-3.2979113228288749E-3</v>
      </c>
      <c r="AP16" s="46">
        <f t="shared" si="43"/>
        <v>-2.7335923948851031E-2</v>
      </c>
      <c r="AQ16" s="46">
        <f>AQ15/AQ$6</f>
        <v>1.3239674259249695E-2</v>
      </c>
      <c r="AR16" s="46">
        <f>AR15/AR$6</f>
        <v>-6.3674103842435506E-2</v>
      </c>
      <c r="AS16" s="46">
        <f>AS15/AS$6</f>
        <v>9.6925604318235156E-3</v>
      </c>
      <c r="AT16" s="46">
        <f>AT15/AT$6</f>
        <v>5.2274920816171168E-2</v>
      </c>
      <c r="AU16" s="46"/>
      <c r="AV16" s="46">
        <f t="shared" ref="AV16:CD16" si="44">AV15/AV$6</f>
        <v>2.1928944572010316E-2</v>
      </c>
      <c r="AW16" s="46">
        <f t="shared" si="44"/>
        <v>-9.1506654146294067E-2</v>
      </c>
      <c r="AX16" s="46">
        <f t="shared" si="44"/>
        <v>6.7512636527517593E-3</v>
      </c>
      <c r="AY16" s="46">
        <f t="shared" si="44"/>
        <v>4.2353894089136528E-2</v>
      </c>
      <c r="AZ16" s="46">
        <f t="shared" si="44"/>
        <v>-1.6450358254246227E-3</v>
      </c>
      <c r="BA16" s="46">
        <f t="shared" si="44"/>
        <v>-3.4172377722393624E-3</v>
      </c>
      <c r="BB16" s="46">
        <f t="shared" si="44"/>
        <v>-4.1769483054818049E-2</v>
      </c>
      <c r="BC16" s="46">
        <f t="shared" si="44"/>
        <v>-5.3505373838580964E-2</v>
      </c>
      <c r="BD16" s="46">
        <f t="shared" si="44"/>
        <v>-3.0241385818845289E-2</v>
      </c>
      <c r="BE16" s="46">
        <f t="shared" si="44"/>
        <v>-3.1776962518642697E-2</v>
      </c>
      <c r="BF16" s="46">
        <f t="shared" si="44"/>
        <v>0.16462026037119976</v>
      </c>
      <c r="BG16" s="46">
        <f t="shared" si="44"/>
        <v>-6.8236372365032952E-2</v>
      </c>
      <c r="BH16" s="46">
        <f t="shared" si="44"/>
        <v>1.8179845970278774E-2</v>
      </c>
      <c r="BI16" s="46">
        <f t="shared" si="44"/>
        <v>1.7907598136803878E-2</v>
      </c>
      <c r="BJ16" s="46">
        <f t="shared" si="44"/>
        <v>2.3679185032074574E-2</v>
      </c>
      <c r="BK16" s="46">
        <f t="shared" si="44"/>
        <v>-0.11951597520267049</v>
      </c>
      <c r="BL16" s="46">
        <f t="shared" si="44"/>
        <v>-1.8936604892820477E-2</v>
      </c>
      <c r="BM16" s="46">
        <f t="shared" si="44"/>
        <v>-1.7428320249240403E-2</v>
      </c>
      <c r="BN16" s="46">
        <f t="shared" si="44"/>
        <v>7.2543398941765837E-3</v>
      </c>
      <c r="BO16" s="46">
        <f t="shared" si="44"/>
        <v>-2.7309264848536314E-2</v>
      </c>
      <c r="BP16" s="46">
        <f t="shared" si="44"/>
        <v>1.4392696216647476E-2</v>
      </c>
      <c r="BQ16" s="46">
        <f t="shared" si="44"/>
        <v>-1.581999424901754E-2</v>
      </c>
      <c r="BR16" s="46">
        <f t="shared" si="44"/>
        <v>7.0108321684677006E-4</v>
      </c>
      <c r="BS16" s="46">
        <f t="shared" si="44"/>
        <v>1.7499903783242888E-2</v>
      </c>
      <c r="BT16" s="46">
        <f t="shared" si="44"/>
        <v>4.9807150798403298E-3</v>
      </c>
      <c r="BU16" s="46">
        <f t="shared" si="44"/>
        <v>-2.6889528747181854E-2</v>
      </c>
      <c r="BV16" s="46">
        <f t="shared" si="44"/>
        <v>-4.2474303609406197E-2</v>
      </c>
      <c r="BW16" s="46">
        <f t="shared" si="44"/>
        <v>-3.557225103099098E-2</v>
      </c>
      <c r="BX16" s="46">
        <f t="shared" si="44"/>
        <v>8.0797502568245513E-2</v>
      </c>
      <c r="BY16" s="46">
        <f t="shared" si="44"/>
        <v>-5.7626309173042722E-4</v>
      </c>
      <c r="BZ16" s="46">
        <f t="shared" si="44"/>
        <v>8.8000455174768138E-4</v>
      </c>
      <c r="CA16" s="46">
        <f t="shared" si="44"/>
        <v>-7.8607096504542562E-2</v>
      </c>
      <c r="CB16" s="46">
        <f t="shared" si="44"/>
        <v>-5.1094076210814861E-2</v>
      </c>
      <c r="CC16" s="46">
        <f t="shared" si="44"/>
        <v>9.3820096661127755E-2</v>
      </c>
      <c r="CD16" s="46">
        <f t="shared" si="44"/>
        <v>1.2973076462845519E-2</v>
      </c>
      <c r="CE16" s="46">
        <f>CE15/CE$6</f>
        <v>-6.3915897915460998E-2</v>
      </c>
      <c r="CF16" s="46">
        <f>CF15/CF$6</f>
        <v>-6.9949496004377845E-2</v>
      </c>
      <c r="CG16" s="46">
        <f t="shared" ref="CG16:CI16" si="45">CG15/CG$6</f>
        <v>-1.4049439138946162E-2</v>
      </c>
      <c r="CH16" s="46">
        <f t="shared" si="45"/>
        <v>5.8055481537336369E-2</v>
      </c>
      <c r="CI16" s="46">
        <f t="shared" si="45"/>
        <v>-1.4902368404162E-2</v>
      </c>
      <c r="CJ16" s="46"/>
      <c r="CK16" s="46"/>
      <c r="CL16" s="46"/>
      <c r="CM16" s="46"/>
      <c r="CN16" s="46"/>
      <c r="CO16" s="20"/>
      <c r="CP16" s="20"/>
      <c r="CQ16" s="50"/>
      <c r="CS16" s="30"/>
      <c r="CT16" s="46">
        <f t="shared" si="26"/>
        <v>-1.5432257541005743E-2</v>
      </c>
      <c r="CU16" s="46">
        <f t="shared" si="27"/>
        <v>-2.2352041616354066E-5</v>
      </c>
      <c r="CV16" s="46">
        <f t="shared" si="28"/>
        <v>-2.3721766853356731E-2</v>
      </c>
      <c r="CW16" s="46">
        <f t="shared" si="29"/>
        <v>-2.7335923948851031E-2</v>
      </c>
      <c r="CX16" s="46">
        <f t="shared" si="30"/>
        <v>0</v>
      </c>
      <c r="CY16" s="46">
        <f t="shared" si="31"/>
        <v>-1.6450358254246227E-3</v>
      </c>
      <c r="CZ16" s="46">
        <f t="shared" si="32"/>
        <v>-3.1776962518642697E-2</v>
      </c>
      <c r="DA16" s="46">
        <f t="shared" si="33"/>
        <v>2.3679185032074574E-2</v>
      </c>
      <c r="DB16" s="46">
        <f t="shared" si="34"/>
        <v>-2.7309264848536314E-2</v>
      </c>
      <c r="DC16" s="46">
        <f t="shared" si="35"/>
        <v>4.9807150798403298E-3</v>
      </c>
      <c r="DD16" s="46">
        <f t="shared" si="36"/>
        <v>-5.7626309173042722E-4</v>
      </c>
      <c r="DE16" s="46">
        <f t="shared" si="37"/>
        <v>1.2973076462845519E-2</v>
      </c>
      <c r="DF16" s="46">
        <f t="shared" si="38"/>
        <v>-1.4902368404162E-2</v>
      </c>
      <c r="DG16" s="46">
        <f t="shared" si="38"/>
        <v>0</v>
      </c>
      <c r="DH16" s="46">
        <f t="shared" si="38"/>
        <v>0</v>
      </c>
      <c r="DI16" s="46"/>
      <c r="DK16" s="46"/>
      <c r="DL16" s="46"/>
      <c r="DM16" s="6"/>
      <c r="DN16" s="46"/>
      <c r="DO16" s="46"/>
      <c r="DQ16" s="46"/>
      <c r="DR16" s="46"/>
      <c r="DS16" s="46"/>
      <c r="DT16" s="46"/>
      <c r="DV16" s="46"/>
      <c r="DW16" s="46"/>
      <c r="DX16" s="46"/>
      <c r="EA16" s="46">
        <v>0</v>
      </c>
      <c r="EB16" s="46">
        <v>0</v>
      </c>
      <c r="EC16" s="46">
        <v>0</v>
      </c>
      <c r="ED16" s="46"/>
      <c r="EE16" s="46"/>
      <c r="EF16" s="46"/>
      <c r="EJ16" s="46">
        <v>0</v>
      </c>
      <c r="EK16" s="46">
        <v>0</v>
      </c>
      <c r="EL16" s="46"/>
      <c r="EM16" s="46"/>
      <c r="EN16" s="46"/>
      <c r="EP16" s="46">
        <v>0</v>
      </c>
      <c r="EQ16" s="46"/>
      <c r="ER16" s="46"/>
      <c r="ES16" s="46"/>
      <c r="EV16" s="46"/>
      <c r="EW16" s="46"/>
      <c r="EX16" s="46"/>
      <c r="EY16" s="46"/>
      <c r="EZ16" s="46"/>
      <c r="FA16" s="46"/>
      <c r="FD16" s="46"/>
      <c r="FE16" s="46"/>
      <c r="FF16" s="46"/>
      <c r="FG16" s="46"/>
      <c r="FH16" s="46"/>
      <c r="FK16" s="46"/>
      <c r="FL16" s="46"/>
      <c r="FO16" s="46"/>
      <c r="FP16" s="46"/>
      <c r="FQ16" s="46"/>
      <c r="FR16" s="46"/>
      <c r="FU16" s="46"/>
      <c r="FV16" s="46"/>
      <c r="FW16" s="46"/>
      <c r="FX16" s="46"/>
      <c r="FY16" s="46"/>
      <c r="GA16" s="46"/>
      <c r="GB16" s="46"/>
      <c r="GC16" s="46"/>
      <c r="GF16" s="46"/>
      <c r="GG16" s="46"/>
      <c r="GH16" s="46"/>
      <c r="GI16" s="46"/>
      <c r="GJ16" s="46"/>
      <c r="GK16" s="46"/>
      <c r="GN16" s="46"/>
      <c r="GO16" s="46"/>
      <c r="GP16" s="46"/>
      <c r="GQ16" s="46"/>
      <c r="GR16" s="46"/>
      <c r="GV16" s="46"/>
      <c r="GW16" s="46"/>
      <c r="GX16" s="46"/>
      <c r="GY16" s="46"/>
      <c r="HC16" s="46"/>
      <c r="HD16" s="46"/>
      <c r="HE16" s="46"/>
      <c r="HF16" s="46"/>
      <c r="HI16" s="46"/>
      <c r="HJ16" s="46"/>
      <c r="HK16" s="46"/>
      <c r="HL16" s="46"/>
      <c r="HM16" s="46"/>
      <c r="HN16" s="46"/>
      <c r="HO16" s="46"/>
      <c r="HR16" s="46"/>
      <c r="HS16" s="46"/>
      <c r="HT16" s="46"/>
      <c r="HU16" s="46"/>
      <c r="HV16" s="46"/>
      <c r="HW16" s="46"/>
      <c r="HZ16" s="46"/>
      <c r="IA16" s="46"/>
      <c r="IB16" s="46"/>
      <c r="IC16" s="46"/>
      <c r="IE16" s="46"/>
      <c r="IF16" s="46"/>
      <c r="IG16" s="46"/>
      <c r="IH16" s="46"/>
      <c r="IK16" s="46"/>
      <c r="IL16" s="46"/>
      <c r="IO16" s="46"/>
      <c r="IP16" s="46"/>
      <c r="IS16" s="43"/>
      <c r="IT16" s="43"/>
      <c r="IU16" s="43"/>
      <c r="IX16" s="46"/>
      <c r="IY16" s="46"/>
      <c r="IZ16" s="46"/>
      <c r="JA16" s="46"/>
      <c r="JD16" s="46"/>
      <c r="JE16" s="46"/>
      <c r="JH16" s="46"/>
      <c r="JI16" s="46"/>
      <c r="JJ16" s="46"/>
      <c r="JM16" s="46"/>
      <c r="JN16" s="46"/>
      <c r="JQ16" s="46"/>
      <c r="JR16" s="46"/>
      <c r="JS16" s="46"/>
      <c r="JV16" s="46"/>
      <c r="JW16" s="46"/>
      <c r="JY16" s="46"/>
      <c r="JZ16" s="46"/>
      <c r="KB16" s="46"/>
      <c r="KC16" s="46"/>
      <c r="KD16" s="46"/>
    </row>
    <row r="17" spans="1:290" x14ac:dyDescent="0.25">
      <c r="A17" s="7" t="s">
        <v>259</v>
      </c>
      <c r="B17" s="11" t="s">
        <v>145</v>
      </c>
      <c r="C17" s="12"/>
      <c r="D17" s="12"/>
      <c r="E17" s="12"/>
      <c r="F17" s="12"/>
      <c r="G17" s="12"/>
      <c r="H17" s="13"/>
      <c r="I17" s="12">
        <v>0</v>
      </c>
      <c r="J17" s="12">
        <v>0</v>
      </c>
      <c r="K17" s="12">
        <v>0</v>
      </c>
      <c r="L17" s="12">
        <v>0</v>
      </c>
      <c r="M17" s="26">
        <f>I17+J17+K17+L17</f>
        <v>0</v>
      </c>
      <c r="N17" s="12">
        <v>0</v>
      </c>
      <c r="O17" s="12">
        <v>0</v>
      </c>
      <c r="P17" s="12">
        <v>0</v>
      </c>
      <c r="Q17" s="12">
        <v>0</v>
      </c>
      <c r="R17" s="26">
        <f>N17+O17+P17+Q17</f>
        <v>0</v>
      </c>
      <c r="S17" s="12">
        <v>0</v>
      </c>
      <c r="T17" s="12">
        <v>0</v>
      </c>
      <c r="U17" s="12">
        <v>0</v>
      </c>
      <c r="V17" s="12">
        <v>0</v>
      </c>
      <c r="W17" s="26">
        <f>S17+T17+U17+V17</f>
        <v>0</v>
      </c>
      <c r="X17" s="23">
        <v>0</v>
      </c>
      <c r="Y17" s="23">
        <v>0</v>
      </c>
      <c r="Z17" s="23">
        <v>0</v>
      </c>
      <c r="AA17" s="23">
        <v>0</v>
      </c>
      <c r="AB17" s="26">
        <f>X17+Y17+Z17+AA17</f>
        <v>0</v>
      </c>
      <c r="AC17" s="23">
        <v>0</v>
      </c>
      <c r="AD17" s="23">
        <v>0</v>
      </c>
      <c r="AE17" s="23">
        <v>0</v>
      </c>
      <c r="AF17" s="23">
        <v>0</v>
      </c>
      <c r="AG17" s="26">
        <f>AC17+AD17+AE17+AF17</f>
        <v>0</v>
      </c>
      <c r="AH17" s="23">
        <v>0</v>
      </c>
      <c r="AI17" s="23">
        <v>0</v>
      </c>
      <c r="AJ17" s="23">
        <v>0</v>
      </c>
      <c r="AK17" s="26">
        <f>AH17+AI17+AJ17</f>
        <v>0</v>
      </c>
      <c r="AL17" s="12">
        <v>32.728499999999997</v>
      </c>
      <c r="AM17" s="12">
        <v>21.202400000000001</v>
      </c>
      <c r="AN17" s="12">
        <v>27.022099999999998</v>
      </c>
      <c r="AO17" s="12">
        <v>26.73</v>
      </c>
      <c r="AP17" s="43">
        <v>74.39</v>
      </c>
      <c r="AQ17" s="12">
        <v>22.04</v>
      </c>
      <c r="AR17" s="12">
        <v>29.9</v>
      </c>
      <c r="AS17" s="12">
        <v>26.91</v>
      </c>
      <c r="AT17" s="12">
        <v>42.02</v>
      </c>
      <c r="AU17" s="43">
        <v>77.13</v>
      </c>
      <c r="AV17" s="12">
        <v>11.41</v>
      </c>
      <c r="AW17" s="12">
        <v>16.7</v>
      </c>
      <c r="AX17" s="12">
        <v>7.25</v>
      </c>
      <c r="AY17" s="12">
        <v>48.98</v>
      </c>
      <c r="AZ17" s="43">
        <v>84.34</v>
      </c>
      <c r="BA17" s="12">
        <v>11.85</v>
      </c>
      <c r="BB17" s="12">
        <v>14.26</v>
      </c>
      <c r="BC17" s="12">
        <v>9.2799999999999994</v>
      </c>
      <c r="BD17" s="12">
        <v>12.03</v>
      </c>
      <c r="BE17" s="43">
        <v>47.29</v>
      </c>
      <c r="BF17" s="12">
        <v>7.67</v>
      </c>
      <c r="BG17" s="12">
        <v>39.33</v>
      </c>
      <c r="BH17" s="12">
        <v>49.39</v>
      </c>
      <c r="BI17" s="12">
        <v>27.18</v>
      </c>
      <c r="BJ17" s="43">
        <v>123.57</v>
      </c>
      <c r="BK17" s="12">
        <v>29.23</v>
      </c>
      <c r="BL17" s="12">
        <v>30.83</v>
      </c>
      <c r="BM17" s="12">
        <v>38.79</v>
      </c>
      <c r="BN17" s="12">
        <v>37.659999999999997</v>
      </c>
      <c r="BO17" s="43">
        <v>136.51</v>
      </c>
      <c r="BP17" s="12">
        <v>32.53</v>
      </c>
      <c r="BQ17" s="12">
        <v>37.4</v>
      </c>
      <c r="BR17" s="12">
        <v>27.18</v>
      </c>
      <c r="BS17" s="12">
        <v>31.65</v>
      </c>
      <c r="BT17" s="43">
        <v>128.76</v>
      </c>
      <c r="BU17" s="12">
        <v>30.98</v>
      </c>
      <c r="BV17" s="12">
        <v>31.64</v>
      </c>
      <c r="BW17" s="12">
        <v>22.37</v>
      </c>
      <c r="BX17" s="12">
        <v>20.010000000000002</v>
      </c>
      <c r="BY17" s="43">
        <v>105</v>
      </c>
      <c r="BZ17" s="12">
        <v>16.97</v>
      </c>
      <c r="CA17" s="12">
        <v>23.39</v>
      </c>
      <c r="CB17" s="12">
        <v>30.25</v>
      </c>
      <c r="CC17" s="12">
        <v>64.91</v>
      </c>
      <c r="CD17" s="43">
        <v>-20.03</v>
      </c>
      <c r="CE17" s="12">
        <v>36.17</v>
      </c>
      <c r="CF17" s="12">
        <v>43.1</v>
      </c>
      <c r="CG17" s="12">
        <v>43.14</v>
      </c>
      <c r="CH17" s="12">
        <v>49.89</v>
      </c>
      <c r="CI17" s="43">
        <v>172.3</v>
      </c>
      <c r="CJ17" s="43"/>
      <c r="CK17" s="43"/>
      <c r="CL17" s="43"/>
      <c r="CM17" s="43"/>
      <c r="CN17" s="43"/>
      <c r="CO17" s="45"/>
      <c r="CP17" s="45"/>
      <c r="CQ17" s="51"/>
      <c r="CS17" s="30"/>
      <c r="CT17" s="26">
        <f t="shared" si="26"/>
        <v>0</v>
      </c>
      <c r="CU17" s="26">
        <f t="shared" si="27"/>
        <v>0</v>
      </c>
      <c r="CV17" s="26">
        <f t="shared" si="28"/>
        <v>0</v>
      </c>
      <c r="CW17" s="26">
        <f t="shared" si="29"/>
        <v>74.39</v>
      </c>
      <c r="CX17" s="26">
        <f t="shared" si="30"/>
        <v>77.13</v>
      </c>
      <c r="CY17" s="26">
        <f t="shared" si="31"/>
        <v>84.34</v>
      </c>
      <c r="CZ17" s="26">
        <f t="shared" si="32"/>
        <v>47.29</v>
      </c>
      <c r="DA17" s="26">
        <f t="shared" si="33"/>
        <v>123.57</v>
      </c>
      <c r="DB17" s="26">
        <f t="shared" si="34"/>
        <v>136.51</v>
      </c>
      <c r="DC17" s="26">
        <f t="shared" si="35"/>
        <v>128.76</v>
      </c>
      <c r="DD17" s="26">
        <f t="shared" si="36"/>
        <v>105</v>
      </c>
      <c r="DE17" s="26">
        <f t="shared" si="37"/>
        <v>-20.03</v>
      </c>
      <c r="DF17" s="26">
        <f t="shared" si="38"/>
        <v>172.3</v>
      </c>
      <c r="DG17" s="26">
        <f t="shared" si="38"/>
        <v>0</v>
      </c>
      <c r="DH17" s="26">
        <f t="shared" si="38"/>
        <v>0</v>
      </c>
      <c r="DI17" s="43"/>
      <c r="DK17" s="43"/>
      <c r="DL17" s="43"/>
      <c r="DM17" s="52"/>
      <c r="DN17" s="43"/>
      <c r="DO17" s="43"/>
      <c r="DQ17" s="12"/>
      <c r="DR17" s="43"/>
      <c r="DS17" s="43"/>
      <c r="DT17" s="43"/>
      <c r="DV17" s="43"/>
      <c r="DW17" s="43"/>
      <c r="DX17" s="43"/>
      <c r="EA17" s="12"/>
      <c r="EB17" s="12"/>
      <c r="EC17" s="12"/>
      <c r="ED17" s="43"/>
      <c r="EE17" s="43"/>
      <c r="EF17" s="43"/>
      <c r="EJ17" s="12"/>
      <c r="EK17" s="12"/>
      <c r="EL17" s="43"/>
      <c r="EM17" s="43"/>
      <c r="EN17" s="43"/>
      <c r="EP17" s="12"/>
      <c r="EQ17" s="43"/>
      <c r="ER17" s="43"/>
      <c r="ES17" s="43"/>
      <c r="EV17" s="12"/>
      <c r="EW17" s="12"/>
      <c r="EX17" s="12"/>
      <c r="EY17" s="12"/>
      <c r="EZ17" s="43"/>
      <c r="FA17" s="43"/>
      <c r="FD17" s="12"/>
      <c r="FE17" s="12"/>
      <c r="FF17" s="12"/>
      <c r="FG17" s="43"/>
      <c r="FH17" s="43"/>
      <c r="FK17" s="43"/>
      <c r="FL17" s="43"/>
      <c r="FO17" s="12"/>
      <c r="FP17" s="12"/>
      <c r="FQ17" s="43"/>
      <c r="FR17" s="43"/>
      <c r="FU17" s="12"/>
      <c r="FV17" s="43"/>
      <c r="FW17" s="43"/>
      <c r="FX17" s="43"/>
      <c r="FY17" s="43"/>
      <c r="GA17" s="43"/>
      <c r="GB17" s="43"/>
      <c r="GC17" s="43"/>
      <c r="GF17" s="12"/>
      <c r="GG17" s="12"/>
      <c r="GH17" s="12"/>
      <c r="GI17" s="43"/>
      <c r="GJ17" s="43"/>
      <c r="GK17" s="43"/>
      <c r="GN17" s="12"/>
      <c r="GO17" s="12"/>
      <c r="GP17" s="43"/>
      <c r="GQ17" s="43"/>
      <c r="GR17" s="43"/>
      <c r="GV17" s="12"/>
      <c r="GW17" s="43"/>
      <c r="GX17" s="43"/>
      <c r="GY17" s="43"/>
      <c r="HC17" s="43"/>
      <c r="HD17" s="43"/>
      <c r="HE17" s="43"/>
      <c r="HF17" s="43"/>
      <c r="HI17" s="12"/>
      <c r="HJ17" s="12"/>
      <c r="HK17" s="12"/>
      <c r="HL17" s="12"/>
      <c r="HM17" s="43"/>
      <c r="HN17" s="43"/>
      <c r="HO17" s="43"/>
      <c r="HR17" s="12"/>
      <c r="HS17" s="12"/>
      <c r="HT17" s="12"/>
      <c r="HU17" s="43"/>
      <c r="HV17" s="43"/>
      <c r="HW17" s="43"/>
      <c r="HZ17" s="12"/>
      <c r="IA17" s="43"/>
      <c r="IB17" s="43"/>
      <c r="IC17" s="43"/>
      <c r="IE17" s="12"/>
      <c r="IF17" s="43"/>
      <c r="IG17" s="43"/>
      <c r="IH17" s="43"/>
      <c r="IK17" s="43"/>
      <c r="IL17" s="43"/>
      <c r="IO17" s="43"/>
      <c r="IP17" s="43"/>
      <c r="IS17" s="46"/>
      <c r="IT17" s="46"/>
      <c r="IU17" s="46"/>
      <c r="IX17" s="26"/>
      <c r="IY17" s="43"/>
      <c r="IZ17" s="43"/>
      <c r="JA17" s="43"/>
      <c r="JD17" s="43"/>
      <c r="JE17" s="43"/>
      <c r="JH17" s="43"/>
      <c r="JI17" s="43"/>
      <c r="JJ17" s="43"/>
      <c r="JM17" s="43"/>
      <c r="JN17" s="43"/>
      <c r="JQ17" s="43"/>
      <c r="JR17" s="43"/>
      <c r="JS17" s="43"/>
      <c r="JV17" s="43"/>
      <c r="JW17" s="43"/>
      <c r="JY17" s="43"/>
      <c r="JZ17" s="43"/>
      <c r="KB17" s="43"/>
      <c r="KC17" s="43"/>
      <c r="KD17" s="43"/>
    </row>
    <row r="18" spans="1:290" x14ac:dyDescent="0.25">
      <c r="A18" s="7" t="s">
        <v>260</v>
      </c>
      <c r="B18" s="47" t="s">
        <v>143</v>
      </c>
      <c r="C18" s="46"/>
      <c r="D18" s="46" t="e">
        <f t="shared" ref="D18:AH18" si="46">D17/D$6</f>
        <v>#DIV/0!</v>
      </c>
      <c r="E18" s="46" t="e">
        <f t="shared" si="46"/>
        <v>#DIV/0!</v>
      </c>
      <c r="F18" s="46" t="e">
        <f t="shared" si="46"/>
        <v>#DIV/0!</v>
      </c>
      <c r="G18" s="46" t="e">
        <f t="shared" si="46"/>
        <v>#DIV/0!</v>
      </c>
      <c r="H18" s="46" t="e">
        <f>H17/H$6</f>
        <v>#DIV/0!</v>
      </c>
      <c r="I18" s="46">
        <f t="shared" si="46"/>
        <v>0</v>
      </c>
      <c r="J18" s="46">
        <f t="shared" si="46"/>
        <v>0</v>
      </c>
      <c r="K18" s="46">
        <f t="shared" si="46"/>
        <v>0</v>
      </c>
      <c r="L18" s="46">
        <f t="shared" si="46"/>
        <v>0</v>
      </c>
      <c r="M18" s="46">
        <f>M17/M$6</f>
        <v>0</v>
      </c>
      <c r="N18" s="46">
        <f t="shared" si="46"/>
        <v>0</v>
      </c>
      <c r="O18" s="46">
        <f t="shared" si="46"/>
        <v>0</v>
      </c>
      <c r="P18" s="46">
        <f t="shared" si="46"/>
        <v>0</v>
      </c>
      <c r="Q18" s="46">
        <f t="shared" si="46"/>
        <v>0</v>
      </c>
      <c r="R18" s="46">
        <f>R17/R$6</f>
        <v>0</v>
      </c>
      <c r="S18" s="46">
        <f t="shared" si="46"/>
        <v>0</v>
      </c>
      <c r="T18" s="46">
        <f t="shared" si="46"/>
        <v>0</v>
      </c>
      <c r="U18" s="46">
        <f t="shared" si="46"/>
        <v>0</v>
      </c>
      <c r="V18" s="46">
        <f t="shared" si="46"/>
        <v>0</v>
      </c>
      <c r="W18" s="46">
        <f>W17/W$6</f>
        <v>0</v>
      </c>
      <c r="X18" s="46">
        <f t="shared" si="46"/>
        <v>0</v>
      </c>
      <c r="Y18" s="46">
        <f t="shared" si="46"/>
        <v>0</v>
      </c>
      <c r="Z18" s="46">
        <f t="shared" si="46"/>
        <v>0</v>
      </c>
      <c r="AA18" s="46">
        <f t="shared" si="46"/>
        <v>0</v>
      </c>
      <c r="AB18" s="46">
        <f>AB17/AB$6</f>
        <v>0</v>
      </c>
      <c r="AC18" s="46">
        <f t="shared" si="46"/>
        <v>0</v>
      </c>
      <c r="AD18" s="46">
        <f t="shared" si="46"/>
        <v>0</v>
      </c>
      <c r="AE18" s="46">
        <f t="shared" si="46"/>
        <v>0</v>
      </c>
      <c r="AF18" s="46">
        <f t="shared" si="46"/>
        <v>0</v>
      </c>
      <c r="AG18" s="46">
        <f>AG17/AG$6</f>
        <v>0</v>
      </c>
      <c r="AH18" s="46">
        <f t="shared" si="46"/>
        <v>0</v>
      </c>
      <c r="AI18" s="46"/>
      <c r="AJ18" s="46"/>
      <c r="AK18" s="46">
        <f t="shared" ref="AK18:AP18" si="47">AK17/AK$6</f>
        <v>0</v>
      </c>
      <c r="AL18" s="46">
        <f t="shared" si="47"/>
        <v>2.7627291849246158E-2</v>
      </c>
      <c r="AM18" s="46">
        <f t="shared" si="47"/>
        <v>2.4142805381596476E-2</v>
      </c>
      <c r="AN18" s="46">
        <f t="shared" si="47"/>
        <v>2.4505475849925688E-2</v>
      </c>
      <c r="AO18" s="46">
        <f t="shared" si="47"/>
        <v>2.0839992827237783E-2</v>
      </c>
      <c r="AP18" s="46">
        <f t="shared" si="47"/>
        <v>1.6670924598745928E-2</v>
      </c>
      <c r="AQ18" s="46">
        <f>AQ17/AQ$6</f>
        <v>1.8972849198560678E-2</v>
      </c>
      <c r="AR18" s="46">
        <f>AR17/AR$6</f>
        <v>2.8339620495516842E-2</v>
      </c>
      <c r="AS18" s="46">
        <f>AS17/AS$6</f>
        <v>2.1051396385824924E-2</v>
      </c>
      <c r="AT18" s="46">
        <f>AT17/AT$6</f>
        <v>2.8560553539143323E-2</v>
      </c>
      <c r="AU18" s="46"/>
      <c r="AV18" s="46">
        <f t="shared" ref="AV18:CD18" si="48">AV17/AV$6</f>
        <v>8.4787955800283872E-3</v>
      </c>
      <c r="AW18" s="46">
        <f t="shared" si="48"/>
        <v>1.3518764368746557E-2</v>
      </c>
      <c r="AX18" s="46">
        <f t="shared" si="48"/>
        <v>5.1253048672722772E-3</v>
      </c>
      <c r="AY18" s="46">
        <f t="shared" si="48"/>
        <v>3.1994042758881971E-2</v>
      </c>
      <c r="AZ18" s="46">
        <f t="shared" si="48"/>
        <v>1.5179685067430271E-2</v>
      </c>
      <c r="BA18" s="46">
        <f t="shared" si="48"/>
        <v>8.2473050103943867E-3</v>
      </c>
      <c r="BB18" s="46">
        <f t="shared" si="48"/>
        <v>1.1135405278775573E-2</v>
      </c>
      <c r="BC18" s="46">
        <f t="shared" si="48"/>
        <v>6.7573471587102788E-3</v>
      </c>
      <c r="BD18" s="46">
        <f t="shared" si="48"/>
        <v>8.4097057651573923E-3</v>
      </c>
      <c r="BE18" s="46">
        <f t="shared" si="48"/>
        <v>8.5801790425180623E-3</v>
      </c>
      <c r="BF18" s="46">
        <f t="shared" si="48"/>
        <v>7.2778684480206465E-3</v>
      </c>
      <c r="BG18" s="46">
        <f t="shared" si="48"/>
        <v>2.8608213677824814E-2</v>
      </c>
      <c r="BH18" s="46">
        <f t="shared" si="48"/>
        <v>2.6787070181147631E-2</v>
      </c>
      <c r="BI18" s="46">
        <f t="shared" si="48"/>
        <v>1.3038535155594144E-2</v>
      </c>
      <c r="BJ18" s="46">
        <f t="shared" si="48"/>
        <v>1.9438230880312594E-2</v>
      </c>
      <c r="BK18" s="46">
        <f t="shared" si="48"/>
        <v>2.1779625655698617E-2</v>
      </c>
      <c r="BL18" s="46">
        <f t="shared" si="48"/>
        <v>1.5986186441556825E-2</v>
      </c>
      <c r="BM18" s="46">
        <f t="shared" si="48"/>
        <v>1.9942316886962692E-2</v>
      </c>
      <c r="BN18" s="46">
        <f t="shared" si="48"/>
        <v>1.4727678728554723E-2</v>
      </c>
      <c r="BO18" s="46">
        <f t="shared" si="48"/>
        <v>1.7562480541167814E-2</v>
      </c>
      <c r="BP18" s="46">
        <f t="shared" si="48"/>
        <v>1.4746280564647005E-2</v>
      </c>
      <c r="BQ18" s="46">
        <f t="shared" si="48"/>
        <v>1.7923895332119237E-2</v>
      </c>
      <c r="BR18" s="46">
        <f t="shared" si="48"/>
        <v>1.1762618415984697E-2</v>
      </c>
      <c r="BS18" s="46">
        <f t="shared" si="48"/>
        <v>1.2181041450178962E-2</v>
      </c>
      <c r="BT18" s="46">
        <f t="shared" si="48"/>
        <v>1.3993385853812806E-2</v>
      </c>
      <c r="BU18" s="46">
        <f t="shared" si="48"/>
        <v>1.3079566660193028E-2</v>
      </c>
      <c r="BV18" s="46">
        <f t="shared" si="48"/>
        <v>1.3704741650026638E-2</v>
      </c>
      <c r="BW18" s="46">
        <f t="shared" si="48"/>
        <v>9.1339675799273212E-3</v>
      </c>
      <c r="BX18" s="46">
        <f t="shared" si="48"/>
        <v>6.6525039147043285E-3</v>
      </c>
      <c r="BY18" s="46">
        <f t="shared" si="48"/>
        <v>1.0360894628714874E-2</v>
      </c>
      <c r="BZ18" s="46">
        <f t="shared" si="48"/>
        <v>6.4369298461888595E-3</v>
      </c>
      <c r="CA18" s="46">
        <f t="shared" si="48"/>
        <v>1.0290591522030842E-2</v>
      </c>
      <c r="CB18" s="46">
        <f t="shared" si="48"/>
        <v>1.2052369037563548E-2</v>
      </c>
      <c r="CC18" s="46">
        <f t="shared" si="48"/>
        <v>2.1443177726316206E-2</v>
      </c>
      <c r="CD18" s="46">
        <f t="shared" si="48"/>
        <v>-1.9174344860595908E-3</v>
      </c>
      <c r="CE18" s="46">
        <f>CE17/CE$6</f>
        <v>1.3862433456870087E-2</v>
      </c>
      <c r="CF18" s="46">
        <f>CF17/CF$6</f>
        <v>1.800431936571326E-2</v>
      </c>
      <c r="CG18" s="46">
        <f t="shared" ref="CG18:CI18" si="49">CG17/CG$6</f>
        <v>1.6055438528586423E-2</v>
      </c>
      <c r="CH18" s="46">
        <f t="shared" si="49"/>
        <v>1.4142519403797418E-2</v>
      </c>
      <c r="CI18" s="46">
        <f t="shared" si="49"/>
        <v>1.5359682215930568E-2</v>
      </c>
      <c r="CJ18" s="46"/>
      <c r="CK18" s="46"/>
      <c r="CL18" s="46"/>
      <c r="CM18" s="46"/>
      <c r="CN18" s="46"/>
      <c r="CO18" s="20"/>
      <c r="CP18" s="20"/>
      <c r="CQ18" s="6"/>
      <c r="CR18" s="6"/>
      <c r="CS18" s="30"/>
      <c r="CT18" s="46">
        <f t="shared" si="26"/>
        <v>0</v>
      </c>
      <c r="CU18" s="46">
        <f t="shared" si="27"/>
        <v>0</v>
      </c>
      <c r="CV18" s="46">
        <f t="shared" si="28"/>
        <v>0</v>
      </c>
      <c r="CW18" s="46">
        <f t="shared" si="29"/>
        <v>1.6670924598745928E-2</v>
      </c>
      <c r="CX18" s="46">
        <f t="shared" si="30"/>
        <v>0</v>
      </c>
      <c r="CY18" s="46">
        <f t="shared" si="31"/>
        <v>1.5179685067430271E-2</v>
      </c>
      <c r="CZ18" s="46">
        <f t="shared" si="32"/>
        <v>8.5801790425180623E-3</v>
      </c>
      <c r="DA18" s="46">
        <f t="shared" si="33"/>
        <v>1.9438230880312594E-2</v>
      </c>
      <c r="DB18" s="46">
        <f t="shared" si="34"/>
        <v>1.7562480541167814E-2</v>
      </c>
      <c r="DC18" s="46">
        <f t="shared" si="35"/>
        <v>1.3993385853812806E-2</v>
      </c>
      <c r="DD18" s="46">
        <f t="shared" si="36"/>
        <v>1.0360894628714874E-2</v>
      </c>
      <c r="DE18" s="46">
        <f t="shared" si="37"/>
        <v>-1.9174344860595908E-3</v>
      </c>
      <c r="DF18" s="46">
        <f t="shared" si="38"/>
        <v>1.5359682215930568E-2</v>
      </c>
      <c r="DG18" s="46">
        <f t="shared" si="38"/>
        <v>0</v>
      </c>
      <c r="DH18" s="46">
        <f t="shared" si="38"/>
        <v>0</v>
      </c>
      <c r="DI18" s="46"/>
      <c r="DK18" s="46"/>
      <c r="DL18" s="46"/>
      <c r="DM18" s="6"/>
      <c r="DN18" s="46"/>
      <c r="DO18" s="46"/>
      <c r="DQ18" s="46"/>
      <c r="DR18" s="46"/>
      <c r="DS18" s="46"/>
      <c r="DT18" s="46"/>
      <c r="DV18" s="46"/>
      <c r="DW18" s="46"/>
      <c r="DX18" s="46"/>
      <c r="EA18" s="46">
        <v>0</v>
      </c>
      <c r="EB18" s="46">
        <v>0</v>
      </c>
      <c r="EC18" s="46">
        <v>0</v>
      </c>
      <c r="ED18" s="46"/>
      <c r="EE18" s="46"/>
      <c r="EF18" s="46"/>
      <c r="EJ18" s="46">
        <v>0</v>
      </c>
      <c r="EK18" s="46">
        <v>0</v>
      </c>
      <c r="EL18" s="46"/>
      <c r="EM18" s="46"/>
      <c r="EN18" s="46"/>
      <c r="EP18" s="46">
        <v>0</v>
      </c>
      <c r="EQ18" s="46"/>
      <c r="ER18" s="46"/>
      <c r="ES18" s="46"/>
      <c r="EV18" s="46"/>
      <c r="EW18" s="46"/>
      <c r="EX18" s="46"/>
      <c r="EY18" s="46"/>
      <c r="EZ18" s="46"/>
      <c r="FA18" s="46"/>
      <c r="FD18" s="46"/>
      <c r="FE18" s="46"/>
      <c r="FF18" s="46"/>
      <c r="FG18" s="46"/>
      <c r="FH18" s="46"/>
      <c r="FK18" s="46"/>
      <c r="FL18" s="46"/>
      <c r="FO18" s="46"/>
      <c r="FP18" s="46"/>
      <c r="FQ18" s="46"/>
      <c r="FR18" s="46"/>
      <c r="FU18" s="46"/>
      <c r="FV18" s="46"/>
      <c r="FW18" s="46"/>
      <c r="FX18" s="46"/>
      <c r="FY18" s="46"/>
      <c r="GA18" s="46"/>
      <c r="GB18" s="46"/>
      <c r="GC18" s="46"/>
      <c r="GF18" s="46"/>
      <c r="GG18" s="46"/>
      <c r="GH18" s="46"/>
      <c r="GI18" s="46"/>
      <c r="GJ18" s="46"/>
      <c r="GK18" s="46"/>
      <c r="GN18" s="46"/>
      <c r="GO18" s="46"/>
      <c r="GP18" s="46"/>
      <c r="GQ18" s="46"/>
      <c r="GR18" s="46"/>
      <c r="GV18" s="46"/>
      <c r="GW18" s="46"/>
      <c r="GX18" s="46"/>
      <c r="GY18" s="46"/>
      <c r="HC18" s="46"/>
      <c r="HD18" s="46"/>
      <c r="HE18" s="46"/>
      <c r="HF18" s="46"/>
      <c r="HI18" s="46"/>
      <c r="HJ18" s="46"/>
      <c r="HK18" s="46"/>
      <c r="HL18" s="46"/>
      <c r="HM18" s="46"/>
      <c r="HN18" s="46"/>
      <c r="HO18" s="46"/>
      <c r="HR18" s="46"/>
      <c r="HS18" s="46"/>
      <c r="HT18" s="46"/>
      <c r="HU18" s="46"/>
      <c r="HV18" s="46"/>
      <c r="HW18" s="46"/>
      <c r="HZ18" s="46"/>
      <c r="IA18" s="46"/>
      <c r="IB18" s="46"/>
      <c r="IC18" s="46"/>
      <c r="IE18" s="46"/>
      <c r="IF18" s="46"/>
      <c r="IG18" s="46"/>
      <c r="IH18" s="46"/>
      <c r="IK18" s="46"/>
      <c r="IL18" s="46"/>
      <c r="IO18" s="46"/>
      <c r="IP18" s="46"/>
      <c r="IS18" s="43"/>
      <c r="IT18" s="43"/>
      <c r="IU18" s="43"/>
      <c r="IX18" s="46"/>
      <c r="IY18" s="46"/>
      <c r="IZ18" s="46"/>
      <c r="JA18" s="46"/>
      <c r="JD18" s="46"/>
      <c r="JE18" s="46"/>
      <c r="JH18" s="46"/>
      <c r="JI18" s="46"/>
      <c r="JJ18" s="46"/>
      <c r="JM18" s="46"/>
      <c r="JN18" s="46"/>
      <c r="JQ18" s="46"/>
      <c r="JR18" s="46"/>
      <c r="JS18" s="46"/>
      <c r="JV18" s="46"/>
      <c r="JW18" s="46"/>
      <c r="JY18" s="46"/>
      <c r="JZ18" s="46"/>
      <c r="KB18" s="46"/>
      <c r="KC18" s="46"/>
      <c r="KD18" s="46"/>
    </row>
    <row r="19" spans="1:290" x14ac:dyDescent="0.25">
      <c r="A19" s="7" t="s">
        <v>259</v>
      </c>
      <c r="B19" s="11" t="s">
        <v>146</v>
      </c>
      <c r="C19" s="12"/>
      <c r="D19" s="12"/>
      <c r="E19" s="12"/>
      <c r="F19" s="12"/>
      <c r="G19" s="12"/>
      <c r="H19" s="13"/>
      <c r="I19" s="44">
        <v>20.48</v>
      </c>
      <c r="J19" s="44">
        <v>22.2286</v>
      </c>
      <c r="K19" s="44">
        <v>22.981200000000001</v>
      </c>
      <c r="L19" s="44">
        <v>31.236900000000002</v>
      </c>
      <c r="M19" s="48">
        <f>I19+J19+K19+L19</f>
        <v>96.926700000000011</v>
      </c>
      <c r="N19" s="44">
        <v>25.145400000000002</v>
      </c>
      <c r="O19" s="44">
        <v>26.823</v>
      </c>
      <c r="P19" s="44">
        <v>25.808</v>
      </c>
      <c r="Q19" s="44">
        <v>35.013300000000001</v>
      </c>
      <c r="R19" s="48">
        <f>N19+O19+P19+Q19</f>
        <v>112.7897</v>
      </c>
      <c r="S19" s="44">
        <v>27.986200000000004</v>
      </c>
      <c r="T19" s="44">
        <v>28.695399999999999</v>
      </c>
      <c r="U19" s="44">
        <v>30.825700000000001</v>
      </c>
      <c r="V19" s="44">
        <v>40.011600000000001</v>
      </c>
      <c r="W19" s="48">
        <f>S19+T19+U19+V19</f>
        <v>127.5189</v>
      </c>
      <c r="X19" s="44">
        <v>32.197000000000003</v>
      </c>
      <c r="Y19" s="44">
        <v>33.806899999999999</v>
      </c>
      <c r="Z19" s="44">
        <v>34.681400000000004</v>
      </c>
      <c r="AA19" s="44">
        <v>43.231900000000003</v>
      </c>
      <c r="AB19" s="48">
        <f>X19+Y19+Z19+AA19</f>
        <v>143.91720000000001</v>
      </c>
      <c r="AC19" s="44">
        <v>36.577800000000003</v>
      </c>
      <c r="AD19" s="44">
        <v>38.807900000000004</v>
      </c>
      <c r="AE19" s="44">
        <v>40.010100000000001</v>
      </c>
      <c r="AF19" s="44">
        <v>52.652799999999999</v>
      </c>
      <c r="AG19" s="26">
        <f>AC19+AD19+AE19+AF19</f>
        <v>168.04860000000002</v>
      </c>
      <c r="AH19" s="44">
        <v>42.1586</v>
      </c>
      <c r="AI19" s="44">
        <v>44.569299999999998</v>
      </c>
      <c r="AJ19" s="44">
        <v>61.652000000000001</v>
      </c>
      <c r="AK19" s="26">
        <f>AH19+AI19+AJ19</f>
        <v>148.37990000000002</v>
      </c>
      <c r="AL19" s="44">
        <v>51.367199999999997</v>
      </c>
      <c r="AM19" s="44">
        <v>50.931800000000003</v>
      </c>
      <c r="AN19" s="44">
        <v>54.230699999999999</v>
      </c>
      <c r="AO19" s="44">
        <v>55.15</v>
      </c>
      <c r="AP19" s="43">
        <v>211.68</v>
      </c>
      <c r="AQ19" s="44">
        <v>53.7</v>
      </c>
      <c r="AR19" s="44">
        <v>57.91</v>
      </c>
      <c r="AS19" s="44">
        <v>59.76</v>
      </c>
      <c r="AT19" s="44">
        <v>70.510000000000005</v>
      </c>
      <c r="AU19" s="43">
        <v>241.88</v>
      </c>
      <c r="AV19" s="44">
        <v>60</v>
      </c>
      <c r="AW19" s="44">
        <v>59.78</v>
      </c>
      <c r="AX19" s="44">
        <v>62.83</v>
      </c>
      <c r="AY19" s="44">
        <v>72.02</v>
      </c>
      <c r="AZ19" s="43">
        <v>254.63</v>
      </c>
      <c r="BA19" s="44">
        <v>65.48</v>
      </c>
      <c r="BB19" s="44">
        <v>68.489999999999995</v>
      </c>
      <c r="BC19" s="44">
        <v>68.45</v>
      </c>
      <c r="BD19" s="44">
        <v>74.2</v>
      </c>
      <c r="BE19" s="43">
        <v>279.77</v>
      </c>
      <c r="BF19" s="44">
        <v>63.11</v>
      </c>
      <c r="BG19" s="44">
        <v>72.69</v>
      </c>
      <c r="BH19" s="44">
        <v>81.290000000000006</v>
      </c>
      <c r="BI19" s="44">
        <v>92.77</v>
      </c>
      <c r="BJ19" s="43">
        <v>310.36</v>
      </c>
      <c r="BK19" s="44">
        <v>80.28</v>
      </c>
      <c r="BL19" s="44">
        <v>86.57</v>
      </c>
      <c r="BM19" s="44">
        <v>88.02</v>
      </c>
      <c r="BN19" s="44">
        <v>90.41</v>
      </c>
      <c r="BO19" s="43">
        <v>345.28</v>
      </c>
      <c r="BP19" s="44">
        <v>90.96</v>
      </c>
      <c r="BQ19" s="44">
        <v>88.24</v>
      </c>
      <c r="BR19" s="44">
        <v>95.87</v>
      </c>
      <c r="BS19" s="44">
        <v>99.72</v>
      </c>
      <c r="BT19" s="43">
        <v>374.79</v>
      </c>
      <c r="BU19" s="44">
        <v>103.23</v>
      </c>
      <c r="BV19" s="44">
        <v>105.89</v>
      </c>
      <c r="BW19" s="44">
        <v>109.78</v>
      </c>
      <c r="BX19" s="44">
        <v>123.25</v>
      </c>
      <c r="BY19" s="43">
        <v>442.15</v>
      </c>
      <c r="BZ19" s="44">
        <v>121.25</v>
      </c>
      <c r="CA19" s="44">
        <v>119.82</v>
      </c>
      <c r="CB19" s="44">
        <v>115.23</v>
      </c>
      <c r="CC19" s="44">
        <v>131.01</v>
      </c>
      <c r="CD19" s="43">
        <v>485.68</v>
      </c>
      <c r="CE19" s="44">
        <v>134.88999999999999</v>
      </c>
      <c r="CF19" s="44">
        <v>134.62</v>
      </c>
      <c r="CG19" s="44">
        <f>155.84-15.38</f>
        <v>140.46</v>
      </c>
      <c r="CH19" s="44">
        <f>155.92+1</f>
        <v>156.91999999999999</v>
      </c>
      <c r="CI19" s="43">
        <v>581.27</v>
      </c>
      <c r="CJ19" s="43"/>
      <c r="CK19" s="43"/>
      <c r="CL19" s="43"/>
      <c r="CM19" s="43"/>
      <c r="CN19" s="43"/>
      <c r="CO19" s="45"/>
      <c r="CP19" s="45"/>
      <c r="CQ19" s="6"/>
      <c r="CR19" s="6"/>
      <c r="CS19" s="6"/>
      <c r="CT19" s="26">
        <f t="shared" si="26"/>
        <v>143.91720000000001</v>
      </c>
      <c r="CU19" s="26">
        <f t="shared" si="27"/>
        <v>168.04860000000002</v>
      </c>
      <c r="CV19" s="26">
        <f t="shared" si="28"/>
        <v>148.37990000000002</v>
      </c>
      <c r="CW19" s="26">
        <f t="shared" si="29"/>
        <v>211.68</v>
      </c>
      <c r="CX19" s="26">
        <f t="shared" si="30"/>
        <v>241.88</v>
      </c>
      <c r="CY19" s="26">
        <f t="shared" si="31"/>
        <v>254.63</v>
      </c>
      <c r="CZ19" s="26">
        <f t="shared" si="32"/>
        <v>279.77</v>
      </c>
      <c r="DA19" s="26">
        <f t="shared" si="33"/>
        <v>310.36</v>
      </c>
      <c r="DB19" s="26">
        <f t="shared" si="34"/>
        <v>345.28</v>
      </c>
      <c r="DC19" s="26">
        <f t="shared" si="35"/>
        <v>374.79</v>
      </c>
      <c r="DD19" s="26">
        <f t="shared" si="36"/>
        <v>442.15</v>
      </c>
      <c r="DE19" s="26">
        <f t="shared" si="37"/>
        <v>485.68</v>
      </c>
      <c r="DF19" s="26">
        <f t="shared" si="38"/>
        <v>581.27</v>
      </c>
      <c r="DG19" s="26">
        <f t="shared" si="38"/>
        <v>0</v>
      </c>
      <c r="DH19" s="26">
        <f t="shared" si="38"/>
        <v>0</v>
      </c>
      <c r="DI19" s="43"/>
      <c r="DK19" s="43"/>
      <c r="DL19" s="43"/>
      <c r="DM19" s="6"/>
      <c r="DN19" s="43"/>
      <c r="DO19" s="43"/>
      <c r="DQ19" s="44"/>
      <c r="DR19" s="43"/>
      <c r="DS19" s="43"/>
      <c r="DT19" s="43"/>
      <c r="DV19" s="43"/>
      <c r="DW19" s="43"/>
      <c r="DX19" s="43"/>
      <c r="EA19" s="44"/>
      <c r="EB19" s="44"/>
      <c r="EC19" s="44"/>
      <c r="ED19" s="43"/>
      <c r="EE19" s="43"/>
      <c r="EF19" s="43"/>
      <c r="EJ19" s="44"/>
      <c r="EK19" s="44"/>
      <c r="EL19" s="43"/>
      <c r="EM19" s="43"/>
      <c r="EN19" s="43"/>
      <c r="EP19" s="44"/>
      <c r="EQ19" s="43"/>
      <c r="ER19" s="43"/>
      <c r="ES19" s="43"/>
      <c r="EV19" s="44"/>
      <c r="EW19" s="44"/>
      <c r="EX19" s="44"/>
      <c r="EY19" s="44"/>
      <c r="EZ19" s="43"/>
      <c r="FA19" s="43"/>
      <c r="FD19" s="44"/>
      <c r="FE19" s="44"/>
      <c r="FF19" s="44"/>
      <c r="FG19" s="43"/>
      <c r="FH19" s="43"/>
      <c r="FK19" s="43"/>
      <c r="FL19" s="43"/>
      <c r="FO19" s="44"/>
      <c r="FP19" s="44"/>
      <c r="FQ19" s="43"/>
      <c r="FR19" s="43"/>
      <c r="FU19" s="44"/>
      <c r="FV19" s="43"/>
      <c r="FW19" s="43"/>
      <c r="FX19" s="43"/>
      <c r="FY19" s="43"/>
      <c r="GA19" s="43"/>
      <c r="GB19" s="43"/>
      <c r="GC19" s="43"/>
      <c r="GF19" s="44"/>
      <c r="GG19" s="44"/>
      <c r="GH19" s="44"/>
      <c r="GI19" s="43"/>
      <c r="GJ19" s="43"/>
      <c r="GK19" s="43"/>
      <c r="GN19" s="44"/>
      <c r="GO19" s="44"/>
      <c r="GP19" s="43"/>
      <c r="GQ19" s="43"/>
      <c r="GR19" s="43"/>
      <c r="GV19" s="44"/>
      <c r="GW19" s="43"/>
      <c r="GX19" s="43"/>
      <c r="GY19" s="43"/>
      <c r="HC19" s="43"/>
      <c r="HD19" s="43"/>
      <c r="HE19" s="43"/>
      <c r="HF19" s="43"/>
      <c r="HI19" s="44"/>
      <c r="HJ19" s="44"/>
      <c r="HK19" s="44"/>
      <c r="HL19" s="44"/>
      <c r="HM19" s="43"/>
      <c r="HN19" s="43"/>
      <c r="HO19" s="43"/>
      <c r="HR19" s="44"/>
      <c r="HS19" s="44"/>
      <c r="HT19" s="44"/>
      <c r="HU19" s="43"/>
      <c r="HV19" s="43"/>
      <c r="HW19" s="43"/>
      <c r="HZ19" s="44"/>
      <c r="IA19" s="43"/>
      <c r="IB19" s="43"/>
      <c r="IC19" s="43"/>
      <c r="IE19" s="44"/>
      <c r="IF19" s="43"/>
      <c r="IG19" s="43"/>
      <c r="IH19" s="43"/>
      <c r="IK19" s="43"/>
      <c r="IL19" s="43"/>
      <c r="IO19" s="43"/>
      <c r="IP19" s="43"/>
      <c r="IS19" s="46"/>
      <c r="IT19" s="46"/>
      <c r="IU19" s="46"/>
      <c r="IX19" s="26"/>
      <c r="IY19" s="43"/>
      <c r="IZ19" s="43"/>
      <c r="JA19" s="43"/>
      <c r="JD19" s="43"/>
      <c r="JE19" s="43"/>
      <c r="JH19" s="43"/>
      <c r="JI19" s="43"/>
      <c r="JJ19" s="43"/>
      <c r="JM19" s="43"/>
      <c r="JN19" s="43"/>
      <c r="JQ19" s="43"/>
      <c r="JR19" s="43"/>
      <c r="JS19" s="43"/>
      <c r="JV19" s="43"/>
      <c r="JW19" s="43"/>
      <c r="JY19" s="43"/>
      <c r="JZ19" s="43"/>
      <c r="KB19" s="43"/>
      <c r="KC19" s="43"/>
      <c r="KD19" s="43"/>
    </row>
    <row r="20" spans="1:290" x14ac:dyDescent="0.25">
      <c r="A20" s="7" t="s">
        <v>260</v>
      </c>
      <c r="B20" s="47" t="s">
        <v>143</v>
      </c>
      <c r="C20" s="46"/>
      <c r="D20" s="46" t="e">
        <f t="shared" ref="D20:AK20" si="50">D19/D$6</f>
        <v>#DIV/0!</v>
      </c>
      <c r="E20" s="46" t="e">
        <f t="shared" si="50"/>
        <v>#DIV/0!</v>
      </c>
      <c r="F20" s="46" t="e">
        <f t="shared" si="50"/>
        <v>#DIV/0!</v>
      </c>
      <c r="G20" s="46" t="e">
        <f t="shared" si="50"/>
        <v>#DIV/0!</v>
      </c>
      <c r="H20" s="46" t="e">
        <f>H19/H$6</f>
        <v>#DIV/0!</v>
      </c>
      <c r="I20" s="46">
        <f t="shared" si="50"/>
        <v>4.7091285352954704E-2</v>
      </c>
      <c r="J20" s="46">
        <f t="shared" si="50"/>
        <v>3.8643205999166243E-2</v>
      </c>
      <c r="K20" s="46">
        <f t="shared" si="50"/>
        <v>3.5154166989176817E-2</v>
      </c>
      <c r="L20" s="46">
        <f t="shared" si="50"/>
        <v>4.263097428540312E-2</v>
      </c>
      <c r="M20" s="46">
        <f>M19/M$6</f>
        <v>4.0443747228864332E-2</v>
      </c>
      <c r="N20" s="46">
        <f t="shared" si="50"/>
        <v>5.3170841147423091E-2</v>
      </c>
      <c r="O20" s="46">
        <f t="shared" si="50"/>
        <v>3.7628359800235683E-2</v>
      </c>
      <c r="P20" s="46">
        <f t="shared" si="50"/>
        <v>3.4021541879268348E-2</v>
      </c>
      <c r="Q20" s="46">
        <f t="shared" si="50"/>
        <v>3.830773871398567E-2</v>
      </c>
      <c r="R20" s="46">
        <f>R19/R$6</f>
        <v>3.9459916538853376E-2</v>
      </c>
      <c r="S20" s="46">
        <f t="shared" si="50"/>
        <v>4.5838295455234122E-2</v>
      </c>
      <c r="T20" s="46">
        <f t="shared" si="50"/>
        <v>3.5603169711163618E-2</v>
      </c>
      <c r="U20" s="46">
        <f t="shared" si="50"/>
        <v>3.4108613078466729E-2</v>
      </c>
      <c r="V20" s="46">
        <f t="shared" si="50"/>
        <v>3.9121255005824453E-2</v>
      </c>
      <c r="W20" s="46">
        <f>W19/W$6</f>
        <v>3.8144701342090657E-2</v>
      </c>
      <c r="X20" s="46">
        <f t="shared" si="50"/>
        <v>4.6259804903364038E-2</v>
      </c>
      <c r="Y20" s="46">
        <f t="shared" si="50"/>
        <v>3.6606955006349147E-2</v>
      </c>
      <c r="Z20" s="46">
        <f t="shared" si="50"/>
        <v>3.5007003641570618E-2</v>
      </c>
      <c r="AA20" s="46">
        <f t="shared" si="50"/>
        <v>3.5011313591372842E-2</v>
      </c>
      <c r="AB20" s="46">
        <f>AB19/AB$6</f>
        <v>3.7429593829510506E-2</v>
      </c>
      <c r="AC20" s="46">
        <f t="shared" si="50"/>
        <v>4.8655805846071341E-2</v>
      </c>
      <c r="AD20" s="46">
        <f t="shared" si="50"/>
        <v>3.8512868320940606E-2</v>
      </c>
      <c r="AE20" s="46">
        <f t="shared" si="50"/>
        <v>3.7251746037391502E-2</v>
      </c>
      <c r="AF20" s="46">
        <f t="shared" si="50"/>
        <v>4.223404534355709E-2</v>
      </c>
      <c r="AG20" s="46">
        <f>AG19/AG$6</f>
        <v>4.1186724789164131E-2</v>
      </c>
      <c r="AH20" s="46">
        <f t="shared" si="50"/>
        <v>5.4782184855211573E-2</v>
      </c>
      <c r="AI20" s="46">
        <f t="shared" si="50"/>
        <v>4.4681992453166126E-2</v>
      </c>
      <c r="AJ20" s="46">
        <f t="shared" si="50"/>
        <v>5.174652929702795E-2</v>
      </c>
      <c r="AK20" s="46">
        <f t="shared" si="50"/>
        <v>5.015429435871973E-2</v>
      </c>
      <c r="AL20" s="46">
        <f>AL19/AL$6</f>
        <v>4.3360881979882894E-2</v>
      </c>
      <c r="AM20" s="46">
        <f>AM19/AM$6</f>
        <v>5.7995157865826298E-2</v>
      </c>
      <c r="AN20" s="46">
        <f>AN19/AN$6</f>
        <v>4.9180082568511148E-2</v>
      </c>
      <c r="AO20" s="46">
        <f>AO19/AO$6</f>
        <v>4.2997590887473389E-2</v>
      </c>
      <c r="AP20" s="46">
        <v>4.7E-2</v>
      </c>
      <c r="AQ20" s="46">
        <f>AQ19/AQ$6</f>
        <v>4.6226951087237227E-2</v>
      </c>
      <c r="AR20" s="46">
        <f>AR19/AR$6</f>
        <v>5.4887873675430777E-2</v>
      </c>
      <c r="AS20" s="46">
        <f>AS19/AS$6</f>
        <v>4.6749589298286785E-2</v>
      </c>
      <c r="AT20" s="46">
        <f>AT19/AT$6</f>
        <v>4.7924907902070338E-2</v>
      </c>
      <c r="AU20" s="46"/>
      <c r="AV20" s="46">
        <f t="shared" ref="AV20:CD20" si="51">AV19/AV$6</f>
        <v>4.4586129255188713E-2</v>
      </c>
      <c r="AW20" s="46">
        <f t="shared" si="51"/>
        <v>4.839231939902211E-2</v>
      </c>
      <c r="AX20" s="46">
        <f t="shared" si="51"/>
        <v>4.441695238768513E-2</v>
      </c>
      <c r="AY20" s="46">
        <f t="shared" si="51"/>
        <v>4.7043915057057559E-2</v>
      </c>
      <c r="AZ20" s="46">
        <f t="shared" si="51"/>
        <v>4.5828826283136948E-2</v>
      </c>
      <c r="BA20" s="46">
        <f t="shared" si="51"/>
        <v>4.5572449964609664E-2</v>
      </c>
      <c r="BB20" s="46">
        <f t="shared" si="51"/>
        <v>5.3482742464469768E-2</v>
      </c>
      <c r="BC20" s="46">
        <f t="shared" si="51"/>
        <v>4.9842716919581746E-2</v>
      </c>
      <c r="BD20" s="46">
        <f t="shared" si="51"/>
        <v>5.1870338135883508E-2</v>
      </c>
      <c r="BE20" s="46">
        <f t="shared" si="51"/>
        <v>5.0760767408020262E-2</v>
      </c>
      <c r="BF20" s="46">
        <f t="shared" si="51"/>
        <v>5.9883478194860888E-2</v>
      </c>
      <c r="BG20" s="46">
        <f t="shared" si="51"/>
        <v>5.2873914371754024E-2</v>
      </c>
      <c r="BH20" s="46">
        <f t="shared" si="51"/>
        <v>4.4088295910619378E-2</v>
      </c>
      <c r="BI20" s="46">
        <f t="shared" si="51"/>
        <v>4.4502755937618425E-2</v>
      </c>
      <c r="BJ20" s="46">
        <f t="shared" si="51"/>
        <v>4.882131048000176E-2</v>
      </c>
      <c r="BK20" s="46">
        <f t="shared" si="51"/>
        <v>5.9817596566523606E-2</v>
      </c>
      <c r="BL20" s="46">
        <f t="shared" si="51"/>
        <v>4.4888879670631668E-2</v>
      </c>
      <c r="BM20" s="46">
        <f t="shared" si="51"/>
        <v>4.5251939479001191E-2</v>
      </c>
      <c r="BN20" s="46">
        <f t="shared" si="51"/>
        <v>3.5356596756469266E-2</v>
      </c>
      <c r="BO20" s="46">
        <f t="shared" si="51"/>
        <v>4.442145836388852E-2</v>
      </c>
      <c r="BP20" s="46">
        <f t="shared" si="51"/>
        <v>4.1233374735945016E-2</v>
      </c>
      <c r="BQ20" s="46">
        <f t="shared" si="51"/>
        <v>4.2288891018882391E-2</v>
      </c>
      <c r="BR20" s="46">
        <f t="shared" si="51"/>
        <v>4.1489412345123364E-2</v>
      </c>
      <c r="BS20" s="46">
        <f t="shared" si="51"/>
        <v>3.8378940076203669E-2</v>
      </c>
      <c r="BT20" s="46">
        <f t="shared" si="51"/>
        <v>4.0731446754819059E-2</v>
      </c>
      <c r="BU20" s="46">
        <f t="shared" si="51"/>
        <v>4.358307509140498E-2</v>
      </c>
      <c r="BV20" s="46">
        <f t="shared" si="51"/>
        <v>4.5865837336324926E-2</v>
      </c>
      <c r="BW20" s="46">
        <f t="shared" si="51"/>
        <v>4.4824629455718426E-2</v>
      </c>
      <c r="BX20" s="46">
        <f t="shared" si="51"/>
        <v>4.0975567590570139E-2</v>
      </c>
      <c r="BY20" s="46">
        <f t="shared" si="51"/>
        <v>4.3629233905583632E-2</v>
      </c>
      <c r="BZ20" s="46">
        <f t="shared" si="51"/>
        <v>4.5991617198019995E-2</v>
      </c>
      <c r="CA20" s="46">
        <f t="shared" si="51"/>
        <v>5.2715633867880946E-2</v>
      </c>
      <c r="CB20" s="46">
        <f t="shared" si="51"/>
        <v>4.5910561461105712E-2</v>
      </c>
      <c r="CC20" s="46">
        <f t="shared" si="51"/>
        <v>4.3279474871740657E-2</v>
      </c>
      <c r="CD20" s="46">
        <f t="shared" si="51"/>
        <v>4.6493239200670097E-2</v>
      </c>
      <c r="CE20" s="46">
        <f>CE19/CE$6</f>
        <v>5.169764028192441E-2</v>
      </c>
      <c r="CF20" s="46">
        <f>CF19/CF$6</f>
        <v>5.6235300997965643E-2</v>
      </c>
      <c r="CG20" s="46">
        <f t="shared" ref="CG20:CI20" si="52">CG19/CG$6</f>
        <v>5.2275078714076238E-2</v>
      </c>
      <c r="CH20" s="46">
        <f t="shared" si="52"/>
        <v>4.4482744935736437E-2</v>
      </c>
      <c r="CI20" s="46">
        <f t="shared" si="52"/>
        <v>5.1817309818072893E-2</v>
      </c>
      <c r="CJ20" s="46"/>
      <c r="CK20" s="46"/>
      <c r="CL20" s="46"/>
      <c r="CM20" s="46"/>
      <c r="CN20" s="46"/>
      <c r="CO20" s="20"/>
      <c r="CP20" s="20"/>
      <c r="CQ20" s="6"/>
      <c r="CR20" s="6"/>
      <c r="CS20" s="6"/>
      <c r="CT20" s="46">
        <f t="shared" si="26"/>
        <v>3.7429593829510506E-2</v>
      </c>
      <c r="CU20" s="46">
        <f t="shared" si="27"/>
        <v>4.1186724789164131E-2</v>
      </c>
      <c r="CV20" s="46">
        <f t="shared" si="28"/>
        <v>5.015429435871973E-2</v>
      </c>
      <c r="CW20" s="46">
        <f t="shared" si="29"/>
        <v>4.7E-2</v>
      </c>
      <c r="CX20" s="46">
        <f t="shared" si="30"/>
        <v>0</v>
      </c>
      <c r="CY20" s="46">
        <f t="shared" si="31"/>
        <v>4.5828826283136948E-2</v>
      </c>
      <c r="CZ20" s="46">
        <f t="shared" si="32"/>
        <v>5.0760767408020262E-2</v>
      </c>
      <c r="DA20" s="46">
        <f t="shared" si="33"/>
        <v>4.882131048000176E-2</v>
      </c>
      <c r="DB20" s="46">
        <f t="shared" si="34"/>
        <v>4.442145836388852E-2</v>
      </c>
      <c r="DC20" s="46">
        <f t="shared" si="35"/>
        <v>4.0731446754819059E-2</v>
      </c>
      <c r="DD20" s="46">
        <f t="shared" si="36"/>
        <v>4.3629233905583632E-2</v>
      </c>
      <c r="DE20" s="46">
        <f t="shared" si="37"/>
        <v>4.6493239200670097E-2</v>
      </c>
      <c r="DF20" s="46">
        <f t="shared" si="38"/>
        <v>5.1817309818072893E-2</v>
      </c>
      <c r="DG20" s="46">
        <f t="shared" si="38"/>
        <v>0</v>
      </c>
      <c r="DH20" s="46">
        <f t="shared" si="38"/>
        <v>0</v>
      </c>
      <c r="DI20" s="46"/>
      <c r="DK20" s="46"/>
      <c r="DL20" s="46"/>
      <c r="DM20" s="6"/>
      <c r="DN20" s="46"/>
      <c r="DO20" s="46"/>
      <c r="DQ20" s="46"/>
      <c r="DR20" s="46"/>
      <c r="DS20" s="46"/>
      <c r="DT20" s="46"/>
      <c r="DV20" s="46"/>
      <c r="DW20" s="46"/>
      <c r="DX20" s="46"/>
      <c r="EA20" s="46">
        <v>0</v>
      </c>
      <c r="EB20" s="46">
        <v>0</v>
      </c>
      <c r="EC20" s="46">
        <v>0</v>
      </c>
      <c r="ED20" s="46"/>
      <c r="EE20" s="46"/>
      <c r="EF20" s="46"/>
      <c r="EJ20" s="46">
        <v>0</v>
      </c>
      <c r="EK20" s="46">
        <v>0</v>
      </c>
      <c r="EL20" s="46"/>
      <c r="EM20" s="46"/>
      <c r="EN20" s="46"/>
      <c r="EP20" s="46">
        <v>0</v>
      </c>
      <c r="EQ20" s="46"/>
      <c r="ER20" s="46"/>
      <c r="ES20" s="46"/>
      <c r="EV20" s="46"/>
      <c r="EW20" s="46"/>
      <c r="EX20" s="46"/>
      <c r="EY20" s="46"/>
      <c r="EZ20" s="46"/>
      <c r="FA20" s="46"/>
      <c r="FD20" s="46"/>
      <c r="FE20" s="46"/>
      <c r="FF20" s="46"/>
      <c r="FG20" s="46"/>
      <c r="FH20" s="46"/>
      <c r="FK20" s="46"/>
      <c r="FL20" s="46"/>
      <c r="FO20" s="46"/>
      <c r="FP20" s="46"/>
      <c r="FQ20" s="46"/>
      <c r="FR20" s="46"/>
      <c r="FU20" s="46"/>
      <c r="FV20" s="46"/>
      <c r="FW20" s="46"/>
      <c r="FX20" s="46"/>
      <c r="FY20" s="46"/>
      <c r="GA20" s="46"/>
      <c r="GB20" s="46"/>
      <c r="GC20" s="46"/>
      <c r="GF20" s="46"/>
      <c r="GG20" s="46"/>
      <c r="GH20" s="46"/>
      <c r="GI20" s="46"/>
      <c r="GJ20" s="46"/>
      <c r="GK20" s="46"/>
      <c r="GN20" s="46"/>
      <c r="GO20" s="46"/>
      <c r="GP20" s="46"/>
      <c r="GQ20" s="46"/>
      <c r="GR20" s="46"/>
      <c r="GV20" s="46"/>
      <c r="GW20" s="46"/>
      <c r="GX20" s="46"/>
      <c r="GY20" s="46"/>
      <c r="HC20" s="46"/>
      <c r="HD20" s="46"/>
      <c r="HE20" s="46"/>
      <c r="HF20" s="46"/>
      <c r="HI20" s="46"/>
      <c r="HJ20" s="46"/>
      <c r="HK20" s="46"/>
      <c r="HL20" s="46"/>
      <c r="HM20" s="46"/>
      <c r="HN20" s="46"/>
      <c r="HO20" s="46"/>
      <c r="HR20" s="46"/>
      <c r="HS20" s="46"/>
      <c r="HT20" s="46"/>
      <c r="HU20" s="46"/>
      <c r="HV20" s="46"/>
      <c r="HW20" s="46"/>
      <c r="HZ20" s="46"/>
      <c r="IA20" s="46"/>
      <c r="IB20" s="46"/>
      <c r="IC20" s="46"/>
      <c r="IE20" s="46"/>
      <c r="IF20" s="46"/>
      <c r="IG20" s="46"/>
      <c r="IH20" s="46"/>
      <c r="IK20" s="46"/>
      <c r="IL20" s="46"/>
      <c r="IO20" s="46"/>
      <c r="IP20" s="46"/>
      <c r="IS20" s="43"/>
      <c r="IT20" s="43"/>
      <c r="IU20" s="43"/>
      <c r="IX20" s="46"/>
      <c r="IY20" s="46"/>
      <c r="IZ20" s="46"/>
      <c r="JA20" s="46"/>
      <c r="JD20" s="46"/>
      <c r="JE20" s="46"/>
      <c r="JH20" s="46"/>
      <c r="JI20" s="46"/>
      <c r="JJ20" s="46"/>
      <c r="JM20" s="46"/>
      <c r="JN20" s="46"/>
      <c r="JQ20" s="46"/>
      <c r="JR20" s="46"/>
      <c r="JS20" s="46"/>
      <c r="JV20" s="46"/>
      <c r="JW20" s="46"/>
      <c r="JY20" s="46"/>
      <c r="JZ20" s="46"/>
      <c r="KB20" s="46"/>
      <c r="KC20" s="46"/>
      <c r="KD20" s="46"/>
    </row>
    <row r="21" spans="1:290" x14ac:dyDescent="0.25">
      <c r="A21" s="7" t="s">
        <v>259</v>
      </c>
      <c r="B21" s="11" t="s">
        <v>147</v>
      </c>
      <c r="C21" s="12"/>
      <c r="D21" s="12"/>
      <c r="E21" s="12"/>
      <c r="F21" s="12"/>
      <c r="G21" s="12"/>
      <c r="H21" s="13"/>
      <c r="I21" s="27">
        <v>84.86999999999999</v>
      </c>
      <c r="J21" s="27">
        <v>121.88340000000001</v>
      </c>
      <c r="K21" s="27">
        <v>113.1692</v>
      </c>
      <c r="L21" s="27">
        <v>98.333400000000012</v>
      </c>
      <c r="M21" s="26">
        <f>I21+J21+K21+L21</f>
        <v>418.25599999999997</v>
      </c>
      <c r="N21" s="27">
        <v>92.150400000000005</v>
      </c>
      <c r="O21" s="27">
        <v>127.6961</v>
      </c>
      <c r="P21" s="27">
        <v>132.68130000000002</v>
      </c>
      <c r="Q21" s="27">
        <v>111.1069</v>
      </c>
      <c r="R21" s="26">
        <f>N21+O21+P21+Q21</f>
        <v>463.63470000000001</v>
      </c>
      <c r="S21" s="27">
        <v>112.53620000000001</v>
      </c>
      <c r="T21" s="27">
        <v>129.29850000000002</v>
      </c>
      <c r="U21" s="27">
        <v>152.04910000000001</v>
      </c>
      <c r="V21" s="27">
        <v>115.96169999999999</v>
      </c>
      <c r="W21" s="26">
        <f>S21+T21+U21+V21</f>
        <v>509.84550000000007</v>
      </c>
      <c r="X21" s="27">
        <v>123.68589999999999</v>
      </c>
      <c r="Y21" s="27">
        <v>141.3372</v>
      </c>
      <c r="Z21" s="27">
        <v>142.25209999999998</v>
      </c>
      <c r="AA21" s="27">
        <v>130.374</v>
      </c>
      <c r="AB21" s="26">
        <f>X21+Y21+Z21+AA21</f>
        <v>537.64919999999995</v>
      </c>
      <c r="AC21" s="27">
        <v>97.820899999999995</v>
      </c>
      <c r="AD21" s="27">
        <v>114.25660000000001</v>
      </c>
      <c r="AE21" s="27">
        <v>158.27709999999999</v>
      </c>
      <c r="AF21" s="27">
        <v>105.7574</v>
      </c>
      <c r="AG21" s="26">
        <f>AC21+AD21+AE21+AF21</f>
        <v>476.11200000000002</v>
      </c>
      <c r="AH21" s="27">
        <v>109.04459999999999</v>
      </c>
      <c r="AI21" s="27">
        <v>164.75560000000002</v>
      </c>
      <c r="AJ21" s="27">
        <v>154.79839999999999</v>
      </c>
      <c r="AK21" s="26">
        <f>AH21+AI21+AJ21</f>
        <v>428.59860000000003</v>
      </c>
      <c r="AL21" s="27">
        <v>178.63820000000001</v>
      </c>
      <c r="AM21" s="27">
        <f>153.0877</f>
        <v>153.08770000000001</v>
      </c>
      <c r="AN21" s="27">
        <v>171.99170000000001</v>
      </c>
      <c r="AO21" s="27">
        <v>166.78</v>
      </c>
      <c r="AP21" s="43">
        <v>670.5</v>
      </c>
      <c r="AQ21" s="27">
        <f>40.75+114.57</f>
        <v>155.32</v>
      </c>
      <c r="AR21" s="27">
        <f>114.18+41.42</f>
        <v>155.60000000000002</v>
      </c>
      <c r="AS21" s="27">
        <f>46.72+125.34</f>
        <v>172.06</v>
      </c>
      <c r="AT21" s="27">
        <f>120.85+47.71</f>
        <v>168.56</v>
      </c>
      <c r="AU21" s="43">
        <f>477.95+173.6</f>
        <v>651.54999999999995</v>
      </c>
      <c r="AV21" s="27">
        <f>48.9+128.84</f>
        <v>177.74</v>
      </c>
      <c r="AW21" s="27">
        <f>131.63+49.07-5.76</f>
        <v>174.94</v>
      </c>
      <c r="AX21" s="27">
        <f>145.53+53.05</f>
        <v>198.57999999999998</v>
      </c>
      <c r="AY21" s="27">
        <f>141.46+54.54</f>
        <v>196</v>
      </c>
      <c r="AZ21" s="43">
        <f>547.45+205.47</f>
        <v>752.92000000000007</v>
      </c>
      <c r="BA21" s="27">
        <f>146.4+54.94</f>
        <v>201.34</v>
      </c>
      <c r="BB21" s="27">
        <f>139.24+51.93-4</f>
        <v>187.17000000000002</v>
      </c>
      <c r="BC21" s="27">
        <f>140.74+54.13</f>
        <v>194.87</v>
      </c>
      <c r="BD21" s="27">
        <f>179.64+55.08</f>
        <v>234.71999999999997</v>
      </c>
      <c r="BE21" s="43">
        <f>602.86+216.08</f>
        <v>818.94</v>
      </c>
      <c r="BF21" s="27">
        <f>84.39+34.88</f>
        <v>119.27000000000001</v>
      </c>
      <c r="BG21" s="27">
        <f>144.07+53.53</f>
        <v>197.6</v>
      </c>
      <c r="BH21" s="27">
        <f>144.56+55.36</f>
        <v>199.92000000000002</v>
      </c>
      <c r="BI21" s="27">
        <f>54.8+152.84</f>
        <v>207.64</v>
      </c>
      <c r="BJ21" s="43">
        <f>198.57+525.42</f>
        <v>723.99</v>
      </c>
      <c r="BK21" s="27">
        <f>129.23+44.35</f>
        <v>173.57999999999998</v>
      </c>
      <c r="BL21" s="27">
        <f>153.85+56.61</f>
        <v>210.45999999999998</v>
      </c>
      <c r="BM21" s="27">
        <f>51+165.82</f>
        <v>216.82</v>
      </c>
      <c r="BN21" s="27">
        <f>61.47+169.93</f>
        <v>231.4</v>
      </c>
      <c r="BO21" s="43">
        <f>213.43+618.83</f>
        <v>832.26</v>
      </c>
      <c r="BP21" s="27">
        <f>167.23+56.47</f>
        <v>223.7</v>
      </c>
      <c r="BQ21" s="27">
        <f>65.86+183.22</f>
        <v>249.07999999999998</v>
      </c>
      <c r="BR21" s="27">
        <f>195.33+69.85</f>
        <v>265.18</v>
      </c>
      <c r="BS21" s="27">
        <f>215.5+74.47</f>
        <v>289.97000000000003</v>
      </c>
      <c r="BT21" s="43">
        <f>266.65+761.28</f>
        <v>1027.9299999999998</v>
      </c>
      <c r="BU21" s="27">
        <f>208.47+79.28</f>
        <v>287.75</v>
      </c>
      <c r="BV21" s="27">
        <f>232.76+78.12</f>
        <v>310.88</v>
      </c>
      <c r="BW21" s="27">
        <f>234.88+85.13</f>
        <v>320.01</v>
      </c>
      <c r="BX21" s="27">
        <f>281.45+86.29</f>
        <v>367.74</v>
      </c>
      <c r="BY21" s="43">
        <f>957.56+328.82</f>
        <v>1286.3799999999999</v>
      </c>
      <c r="BZ21" s="27">
        <f>245.42+86.59</f>
        <v>332.01</v>
      </c>
      <c r="CA21" s="27">
        <f>263.24+82.07</f>
        <v>345.31</v>
      </c>
      <c r="CB21" s="27">
        <f>267.38+89.52</f>
        <v>356.9</v>
      </c>
      <c r="CC21" s="27">
        <f>262.34+84.28</f>
        <v>346.62</v>
      </c>
      <c r="CD21" s="43">
        <f>1038.92+342.46</f>
        <v>1381.38</v>
      </c>
      <c r="CE21" s="27">
        <v>365.97</v>
      </c>
      <c r="CF21" s="27">
        <v>374.86</v>
      </c>
      <c r="CG21" s="27">
        <v>390.32</v>
      </c>
      <c r="CH21" s="27">
        <v>392.89</v>
      </c>
      <c r="CI21" s="43">
        <v>1524.04</v>
      </c>
      <c r="CJ21" s="43"/>
      <c r="CK21" s="43"/>
      <c r="CL21" s="43"/>
      <c r="CM21" s="43"/>
      <c r="CN21" s="43"/>
      <c r="CO21" s="45"/>
      <c r="CP21" s="45"/>
      <c r="CQ21" s="6"/>
      <c r="CR21" s="6"/>
      <c r="CS21" s="6"/>
      <c r="CT21" s="26">
        <f t="shared" si="26"/>
        <v>537.64919999999995</v>
      </c>
      <c r="CU21" s="26">
        <f t="shared" si="27"/>
        <v>476.11200000000002</v>
      </c>
      <c r="CV21" s="26">
        <f t="shared" si="28"/>
        <v>428.59860000000003</v>
      </c>
      <c r="CW21" s="26">
        <f t="shared" si="29"/>
        <v>670.5</v>
      </c>
      <c r="CX21" s="26">
        <f t="shared" si="30"/>
        <v>651.54999999999995</v>
      </c>
      <c r="CY21" s="26">
        <f t="shared" si="31"/>
        <v>752.92000000000007</v>
      </c>
      <c r="CZ21" s="26">
        <f t="shared" si="32"/>
        <v>818.94</v>
      </c>
      <c r="DA21" s="26">
        <f t="shared" si="33"/>
        <v>723.99</v>
      </c>
      <c r="DB21" s="26">
        <f t="shared" si="34"/>
        <v>832.26</v>
      </c>
      <c r="DC21" s="26">
        <f t="shared" si="35"/>
        <v>1027.9299999999998</v>
      </c>
      <c r="DD21" s="26">
        <f t="shared" si="36"/>
        <v>1286.3799999999999</v>
      </c>
      <c r="DE21" s="26">
        <f t="shared" si="37"/>
        <v>1381.38</v>
      </c>
      <c r="DF21" s="26">
        <f t="shared" si="38"/>
        <v>1524.04</v>
      </c>
      <c r="DG21" s="26">
        <f t="shared" si="38"/>
        <v>0</v>
      </c>
      <c r="DH21" s="26">
        <f t="shared" si="38"/>
        <v>0</v>
      </c>
      <c r="DI21" s="43"/>
      <c r="DK21" s="43"/>
      <c r="DL21" s="43"/>
      <c r="DM21" s="6"/>
      <c r="DN21" s="43"/>
      <c r="DO21" s="43"/>
      <c r="DQ21" s="27"/>
      <c r="DR21" s="43"/>
      <c r="DS21" s="43"/>
      <c r="DT21" s="43"/>
      <c r="DV21" s="43"/>
      <c r="DW21" s="43"/>
      <c r="DX21" s="43"/>
      <c r="EA21" s="27"/>
      <c r="EB21" s="27"/>
      <c r="EC21" s="27"/>
      <c r="ED21" s="43"/>
      <c r="EE21" s="43"/>
      <c r="EF21" s="43"/>
      <c r="EJ21" s="27"/>
      <c r="EK21" s="27"/>
      <c r="EL21" s="43"/>
      <c r="EM21" s="43"/>
      <c r="EN21" s="43"/>
      <c r="EP21" s="27"/>
      <c r="EQ21" s="43"/>
      <c r="ER21" s="43"/>
      <c r="ES21" s="43"/>
      <c r="EV21" s="27"/>
      <c r="EW21" s="27"/>
      <c r="EX21" s="27"/>
      <c r="EY21" s="27"/>
      <c r="EZ21" s="43"/>
      <c r="FA21" s="43"/>
      <c r="FD21" s="27"/>
      <c r="FE21" s="27"/>
      <c r="FF21" s="27"/>
      <c r="FG21" s="43"/>
      <c r="FH21" s="43"/>
      <c r="FK21" s="43"/>
      <c r="FL21" s="43"/>
      <c r="FO21" s="27"/>
      <c r="FP21" s="27"/>
      <c r="FQ21" s="43"/>
      <c r="FR21" s="43"/>
      <c r="FU21" s="27"/>
      <c r="FV21" s="43"/>
      <c r="FW21" s="43"/>
      <c r="FX21" s="43"/>
      <c r="FY21" s="43"/>
      <c r="GA21" s="43"/>
      <c r="GB21" s="43"/>
      <c r="GC21" s="43"/>
      <c r="GF21" s="27"/>
      <c r="GG21" s="27"/>
      <c r="GH21" s="27"/>
      <c r="GI21" s="43"/>
      <c r="GJ21" s="43"/>
      <c r="GK21" s="43"/>
      <c r="GN21" s="27"/>
      <c r="GO21" s="27"/>
      <c r="GP21" s="43"/>
      <c r="GQ21" s="43"/>
      <c r="GR21" s="43"/>
      <c r="GV21" s="27"/>
      <c r="GW21" s="43"/>
      <c r="GX21" s="43"/>
      <c r="GY21" s="43"/>
      <c r="HC21" s="43"/>
      <c r="HD21" s="43"/>
      <c r="HE21" s="43"/>
      <c r="HF21" s="43"/>
      <c r="HI21" s="27"/>
      <c r="HJ21" s="27"/>
      <c r="HK21" s="27"/>
      <c r="HL21" s="27"/>
      <c r="HM21" s="43"/>
      <c r="HN21" s="43"/>
      <c r="HO21" s="43"/>
      <c r="HR21" s="27"/>
      <c r="HS21" s="27"/>
      <c r="HT21" s="27"/>
      <c r="HU21" s="43"/>
      <c r="HV21" s="43"/>
      <c r="HW21" s="43"/>
      <c r="HZ21" s="27"/>
      <c r="IA21" s="43"/>
      <c r="IB21" s="43"/>
      <c r="IC21" s="43"/>
      <c r="IE21" s="27"/>
      <c r="IF21" s="43"/>
      <c r="IG21" s="43"/>
      <c r="IH21" s="43"/>
      <c r="IK21" s="43"/>
      <c r="IL21" s="43"/>
      <c r="IO21" s="43"/>
      <c r="IP21" s="43"/>
      <c r="IS21" s="46"/>
      <c r="IT21" s="46"/>
      <c r="IU21" s="46"/>
      <c r="IX21" s="26"/>
      <c r="IY21" s="43"/>
      <c r="IZ21" s="43"/>
      <c r="JA21" s="43"/>
      <c r="JD21" s="43"/>
      <c r="JE21" s="43"/>
      <c r="JH21" s="43"/>
      <c r="JI21" s="43"/>
      <c r="JJ21" s="43"/>
      <c r="JM21" s="43"/>
      <c r="JN21" s="43"/>
      <c r="JQ21" s="43"/>
      <c r="JR21" s="43"/>
      <c r="JS21" s="43"/>
      <c r="JV21" s="43"/>
      <c r="JW21" s="43"/>
      <c r="JY21" s="43"/>
      <c r="JZ21" s="43"/>
      <c r="KB21" s="43"/>
      <c r="KC21" s="43"/>
      <c r="KD21" s="43"/>
    </row>
    <row r="22" spans="1:290" x14ac:dyDescent="0.25">
      <c r="A22" s="7" t="s">
        <v>260</v>
      </c>
      <c r="B22" s="47" t="s">
        <v>143</v>
      </c>
      <c r="C22" s="46"/>
      <c r="D22" s="46" t="e">
        <f t="shared" ref="D22:Y22" si="53">D21/D$6</f>
        <v>#DIV/0!</v>
      </c>
      <c r="E22" s="46" t="e">
        <f t="shared" si="53"/>
        <v>#DIV/0!</v>
      </c>
      <c r="F22" s="46" t="e">
        <f t="shared" si="53"/>
        <v>#DIV/0!</v>
      </c>
      <c r="G22" s="46" t="e">
        <f t="shared" si="53"/>
        <v>#DIV/0!</v>
      </c>
      <c r="H22" s="46" t="e">
        <f>(H21/H$6)</f>
        <v>#DIV/0!</v>
      </c>
      <c r="I22" s="46">
        <f t="shared" si="53"/>
        <v>0.19514830995631177</v>
      </c>
      <c r="J22" s="46">
        <f t="shared" si="53"/>
        <v>0.2118876282842275</v>
      </c>
      <c r="K22" s="46">
        <f t="shared" si="53"/>
        <v>0.17311406518508821</v>
      </c>
      <c r="L22" s="46">
        <f t="shared" si="53"/>
        <v>0.13420181409795018</v>
      </c>
      <c r="M22" s="46">
        <f>(M21/M$6)</f>
        <v>0.17452198352936679</v>
      </c>
      <c r="N22" s="46">
        <f t="shared" si="53"/>
        <v>0.19485529281981981</v>
      </c>
      <c r="O22" s="46">
        <f t="shared" si="53"/>
        <v>0.17913711351775996</v>
      </c>
      <c r="P22" s="46">
        <f t="shared" si="53"/>
        <v>0.17490787370372629</v>
      </c>
      <c r="Q22" s="46">
        <f t="shared" si="53"/>
        <v>0.12156106663813278</v>
      </c>
      <c r="R22" s="46">
        <f>(R21/R$6)</f>
        <v>0.16220440843903589</v>
      </c>
      <c r="S22" s="46">
        <f t="shared" si="53"/>
        <v>0.18432182950916229</v>
      </c>
      <c r="T22" s="46">
        <f t="shared" si="53"/>
        <v>0.16042419478030939</v>
      </c>
      <c r="U22" s="46">
        <f t="shared" si="53"/>
        <v>0.16824221090937419</v>
      </c>
      <c r="V22" s="46">
        <f t="shared" si="53"/>
        <v>0.11338130033812475</v>
      </c>
      <c r="W22" s="46">
        <f>(W21/W$6)</f>
        <v>0.15250997560447027</v>
      </c>
      <c r="X22" s="46">
        <f t="shared" si="53"/>
        <v>0.17770865618837139</v>
      </c>
      <c r="Y22" s="46">
        <f t="shared" si="53"/>
        <v>0.15304344737681866</v>
      </c>
      <c r="Z22" s="46">
        <f>Z21/Z$6</f>
        <v>0.14358762283878582</v>
      </c>
      <c r="AA22" s="46">
        <f>AA21/AA$6</f>
        <v>0.1055832613917418</v>
      </c>
      <c r="AB22" s="46">
        <f>(AB21/AB$6)</f>
        <v>0.13983034118758048</v>
      </c>
      <c r="AC22" s="46">
        <f>AC21/AC$6</f>
        <v>0.13012140473423658</v>
      </c>
      <c r="AD22" s="46">
        <f>AD21/AD$6</f>
        <v>0.11338798004010479</v>
      </c>
      <c r="AE22" s="46">
        <f>AE21/AE$6</f>
        <v>0.14736524859310068</v>
      </c>
      <c r="AF22" s="46">
        <f>AF21/AF$6</f>
        <v>8.4830490059725303E-2</v>
      </c>
      <c r="AG22" s="46">
        <f>(AG21/AG$6)</f>
        <v>0.11668942146985165</v>
      </c>
      <c r="AH22" s="46">
        <f>AH21/AH$6</f>
        <v>0.14169591577193272</v>
      </c>
      <c r="AI22" s="46">
        <f>AI21/AI$6</f>
        <v>0.16517218075708745</v>
      </c>
      <c r="AJ22" s="46">
        <f>AJ21/AJ$6</f>
        <v>0.12992733310732904</v>
      </c>
      <c r="AK22" s="46">
        <f>(AK21/AK$6)</f>
        <v>0.14487178078793134</v>
      </c>
      <c r="AL22" s="46">
        <f>AL21/AL$6</f>
        <v>0.15079486340113374</v>
      </c>
      <c r="AM22" s="46">
        <f>AM21/AM$6</f>
        <v>0.17431831054108154</v>
      </c>
      <c r="AN22" s="46">
        <f>AN21/AN$6</f>
        <v>0.15597375669313876</v>
      </c>
      <c r="AO22" s="46">
        <f>AO21/AO$6</f>
        <v>0.13002970459134747</v>
      </c>
      <c r="AP22" s="46">
        <v>0.14000000000000001</v>
      </c>
      <c r="AQ22" s="46">
        <f>AQ21/AQ$6</f>
        <v>0.13370521495101836</v>
      </c>
      <c r="AR22" s="46">
        <f>AR21/AR$6</f>
        <v>0.14747976418402747</v>
      </c>
      <c r="AS22" s="46">
        <f>AS21/AS$6</f>
        <v>0.1346006414769616</v>
      </c>
      <c r="AT22" s="46">
        <f>AT21/AT$6</f>
        <v>0.11456846512513084</v>
      </c>
      <c r="AU22" s="46"/>
      <c r="AV22" s="46">
        <f t="shared" ref="AV22:CD22" si="54">AV21/AV$6</f>
        <v>0.13207897689695403</v>
      </c>
      <c r="AW22" s="46">
        <f t="shared" si="54"/>
        <v>0.14161512806398341</v>
      </c>
      <c r="AX22" s="46">
        <f t="shared" si="54"/>
        <v>0.14038386766109362</v>
      </c>
      <c r="AY22" s="46">
        <f t="shared" si="54"/>
        <v>0.12802842753656321</v>
      </c>
      <c r="AZ22" s="46">
        <f t="shared" si="54"/>
        <v>0.13551207589482572</v>
      </c>
      <c r="BA22" s="46">
        <f t="shared" si="54"/>
        <v>0.14012762791500474</v>
      </c>
      <c r="BB22" s="46">
        <f t="shared" si="54"/>
        <v>0.14615805091363424</v>
      </c>
      <c r="BC22" s="46">
        <f t="shared" si="54"/>
        <v>0.14189700870882244</v>
      </c>
      <c r="BD22" s="46">
        <f t="shared" si="54"/>
        <v>0.16408363567728537</v>
      </c>
      <c r="BE22" s="46">
        <f t="shared" si="54"/>
        <v>0.14858642049227622</v>
      </c>
      <c r="BF22" s="46">
        <f t="shared" si="54"/>
        <v>0.11317227767867309</v>
      </c>
      <c r="BG22" s="46">
        <f t="shared" si="54"/>
        <v>0.1437320880431778</v>
      </c>
      <c r="BH22" s="46">
        <f t="shared" si="54"/>
        <v>0.10842824601366743</v>
      </c>
      <c r="BI22" s="46">
        <f t="shared" si="54"/>
        <v>9.9607116987033409E-2</v>
      </c>
      <c r="BJ22" s="46">
        <f t="shared" si="54"/>
        <v>0.11388755179280988</v>
      </c>
      <c r="BK22" s="46">
        <f t="shared" si="54"/>
        <v>0.12933655221745349</v>
      </c>
      <c r="BL22" s="46">
        <f t="shared" si="54"/>
        <v>0.10912918580895392</v>
      </c>
      <c r="BM22" s="46">
        <f t="shared" si="54"/>
        <v>0.11146927423127741</v>
      </c>
      <c r="BN22" s="46">
        <f t="shared" si="54"/>
        <v>9.0493490647572047E-2</v>
      </c>
      <c r="BO22" s="46">
        <f t="shared" si="54"/>
        <v>0.10707310860151142</v>
      </c>
      <c r="BP22" s="46">
        <f t="shared" si="54"/>
        <v>0.10140617775319812</v>
      </c>
      <c r="BQ22" s="46">
        <f t="shared" si="54"/>
        <v>0.11937122591776095</v>
      </c>
      <c r="BR22" s="46">
        <f t="shared" si="54"/>
        <v>0.11476126385396697</v>
      </c>
      <c r="BS22" s="46">
        <f t="shared" si="54"/>
        <v>0.11159989223723205</v>
      </c>
      <c r="BT22" s="46">
        <f t="shared" si="54"/>
        <v>0.11171342902073467</v>
      </c>
      <c r="BU22" s="46">
        <f t="shared" si="54"/>
        <v>0.12148629136444621</v>
      </c>
      <c r="BV22" s="46">
        <f t="shared" si="54"/>
        <v>0.13465645019469916</v>
      </c>
      <c r="BW22" s="46">
        <f t="shared" si="54"/>
        <v>0.13066432567065453</v>
      </c>
      <c r="BX22" s="46">
        <f t="shared" si="54"/>
        <v>0.1222584602495437</v>
      </c>
      <c r="BY22" s="46">
        <f t="shared" si="54"/>
        <v>0.12693378697605942</v>
      </c>
      <c r="BZ22" s="46">
        <f t="shared" si="54"/>
        <v>0.12593547897661539</v>
      </c>
      <c r="CA22" s="46">
        <f t="shared" si="54"/>
        <v>0.15192151169185422</v>
      </c>
      <c r="CB22" s="46">
        <f t="shared" si="54"/>
        <v>0.1421980333721134</v>
      </c>
      <c r="CC22" s="46">
        <f t="shared" si="54"/>
        <v>0.11450676727000036</v>
      </c>
      <c r="CD22" s="46">
        <f t="shared" si="54"/>
        <v>0.13223692712695945</v>
      </c>
      <c r="CE22" s="46">
        <f>CE21/CE$6</f>
        <v>0.14026084523668084</v>
      </c>
      <c r="CF22" s="46">
        <f>CF21/CF$6</f>
        <v>0.15659162778262814</v>
      </c>
      <c r="CG22" s="46">
        <f t="shared" ref="CG22:CI22" si="55">CG21/CG$6</f>
        <v>0.14526561813810504</v>
      </c>
      <c r="CH22" s="46">
        <f t="shared" si="55"/>
        <v>0.11137411201759807</v>
      </c>
      <c r="CI22" s="46">
        <f t="shared" si="55"/>
        <v>0.13586053444205931</v>
      </c>
      <c r="CJ22" s="46"/>
      <c r="CK22" s="46"/>
      <c r="CL22" s="46"/>
      <c r="CM22" s="46"/>
      <c r="CN22" s="46"/>
      <c r="CO22" s="20"/>
      <c r="CP22" s="20"/>
      <c r="CQ22" s="6"/>
      <c r="CR22" s="40"/>
      <c r="CS22" s="6"/>
      <c r="CT22" s="46">
        <f t="shared" si="26"/>
        <v>0.13983034118758048</v>
      </c>
      <c r="CU22" s="46">
        <f t="shared" si="27"/>
        <v>0.11668942146985165</v>
      </c>
      <c r="CV22" s="46">
        <f t="shared" si="28"/>
        <v>0.14487178078793134</v>
      </c>
      <c r="CW22" s="46">
        <f t="shared" si="29"/>
        <v>0.14000000000000001</v>
      </c>
      <c r="CX22" s="46">
        <f t="shared" si="30"/>
        <v>0</v>
      </c>
      <c r="CY22" s="46">
        <f t="shared" si="31"/>
        <v>0.13551207589482572</v>
      </c>
      <c r="CZ22" s="46">
        <f t="shared" si="32"/>
        <v>0.14858642049227622</v>
      </c>
      <c r="DA22" s="46">
        <f t="shared" si="33"/>
        <v>0.11388755179280988</v>
      </c>
      <c r="DB22" s="46">
        <f t="shared" si="34"/>
        <v>0.10707310860151142</v>
      </c>
      <c r="DC22" s="46">
        <f t="shared" si="35"/>
        <v>0.11171342902073467</v>
      </c>
      <c r="DD22" s="46">
        <f t="shared" si="36"/>
        <v>0.12693378697605942</v>
      </c>
      <c r="DE22" s="46">
        <f t="shared" si="37"/>
        <v>0.13223692712695945</v>
      </c>
      <c r="DF22" s="46">
        <f t="shared" si="38"/>
        <v>0.13586053444205931</v>
      </c>
      <c r="DG22" s="46">
        <f t="shared" si="38"/>
        <v>0</v>
      </c>
      <c r="DH22" s="46">
        <f t="shared" si="38"/>
        <v>0</v>
      </c>
      <c r="DI22" s="46"/>
      <c r="DK22" s="46"/>
      <c r="DL22" s="46"/>
      <c r="DM22" s="6"/>
      <c r="DN22" s="46"/>
      <c r="DO22" s="46"/>
      <c r="DQ22" s="46"/>
      <c r="DR22" s="46"/>
      <c r="DS22" s="46"/>
      <c r="DT22" s="46"/>
      <c r="DV22" s="46"/>
      <c r="DW22" s="46"/>
      <c r="DX22" s="46"/>
      <c r="EA22" s="46">
        <v>0</v>
      </c>
      <c r="EB22" s="46">
        <v>0</v>
      </c>
      <c r="EC22" s="46">
        <v>0</v>
      </c>
      <c r="ED22" s="46"/>
      <c r="EE22" s="46"/>
      <c r="EF22" s="46"/>
      <c r="EJ22" s="46">
        <v>0</v>
      </c>
      <c r="EK22" s="46">
        <v>0</v>
      </c>
      <c r="EL22" s="46"/>
      <c r="EM22" s="46"/>
      <c r="EN22" s="46"/>
      <c r="EP22" s="46">
        <v>0</v>
      </c>
      <c r="EQ22" s="46"/>
      <c r="ER22" s="46"/>
      <c r="ES22" s="46"/>
      <c r="EV22" s="46"/>
      <c r="EW22" s="46"/>
      <c r="EX22" s="46"/>
      <c r="EY22" s="46"/>
      <c r="EZ22" s="46"/>
      <c r="FA22" s="46"/>
      <c r="FD22" s="46"/>
      <c r="FE22" s="46"/>
      <c r="FF22" s="46"/>
      <c r="FG22" s="46"/>
      <c r="FH22" s="46"/>
      <c r="FK22" s="46"/>
      <c r="FL22" s="46"/>
      <c r="FO22" s="46"/>
      <c r="FP22" s="46"/>
      <c r="FQ22" s="46"/>
      <c r="FR22" s="46"/>
      <c r="FU22" s="46"/>
      <c r="FV22" s="46"/>
      <c r="FW22" s="46"/>
      <c r="FX22" s="46"/>
      <c r="FY22" s="46"/>
      <c r="GA22" s="46"/>
      <c r="GB22" s="46"/>
      <c r="GC22" s="46"/>
      <c r="GF22" s="46"/>
      <c r="GG22" s="46"/>
      <c r="GH22" s="46"/>
      <c r="GI22" s="46"/>
      <c r="GJ22" s="46"/>
      <c r="GK22" s="46"/>
      <c r="GN22" s="46"/>
      <c r="GO22" s="46"/>
      <c r="GP22" s="46"/>
      <c r="GQ22" s="46"/>
      <c r="GR22" s="46"/>
      <c r="GV22" s="46"/>
      <c r="GW22" s="46"/>
      <c r="GX22" s="46"/>
      <c r="GY22" s="46"/>
      <c r="HC22" s="46"/>
      <c r="HD22" s="46"/>
      <c r="HE22" s="46"/>
      <c r="HF22" s="46"/>
      <c r="HI22" s="46"/>
      <c r="HJ22" s="46"/>
      <c r="HK22" s="46"/>
      <c r="HL22" s="46"/>
      <c r="HM22" s="46"/>
      <c r="HN22" s="46"/>
      <c r="HO22" s="46"/>
      <c r="HR22" s="46"/>
      <c r="HS22" s="46"/>
      <c r="HT22" s="46"/>
      <c r="HU22" s="46"/>
      <c r="HV22" s="46"/>
      <c r="HW22" s="46"/>
      <c r="HZ22" s="46"/>
      <c r="IA22" s="46"/>
      <c r="IB22" s="46"/>
      <c r="IC22" s="46"/>
      <c r="IE22" s="46"/>
      <c r="IF22" s="46"/>
      <c r="IG22" s="46"/>
      <c r="IH22" s="46"/>
      <c r="IK22" s="46"/>
      <c r="IL22" s="46"/>
      <c r="IO22" s="46"/>
      <c r="IP22" s="46"/>
      <c r="IS22" s="44"/>
      <c r="IT22" s="44"/>
      <c r="IU22" s="44"/>
      <c r="IX22" s="46"/>
      <c r="IY22" s="46"/>
      <c r="IZ22" s="46"/>
      <c r="JA22" s="46"/>
      <c r="JD22" s="46"/>
      <c r="JE22" s="46"/>
      <c r="JH22" s="46"/>
      <c r="JI22" s="46"/>
      <c r="JJ22" s="46"/>
      <c r="JM22" s="46"/>
      <c r="JN22" s="46"/>
      <c r="JQ22" s="46"/>
      <c r="JR22" s="46"/>
      <c r="JS22" s="46"/>
      <c r="JV22" s="46"/>
      <c r="JW22" s="46"/>
      <c r="JY22" s="46"/>
      <c r="JZ22" s="46"/>
      <c r="KB22" s="46"/>
      <c r="KC22" s="46"/>
      <c r="KD22" s="46"/>
    </row>
    <row r="23" spans="1:290" x14ac:dyDescent="0.25">
      <c r="A23" s="226" t="e">
        <f>+B13+B15+B17</f>
        <v>#VALUE!</v>
      </c>
      <c r="B23" s="11" t="s">
        <v>148</v>
      </c>
      <c r="C23" s="12"/>
      <c r="D23" s="12"/>
      <c r="E23" s="12"/>
      <c r="F23" s="12"/>
      <c r="G23" s="12"/>
      <c r="H23" s="13"/>
      <c r="I23" s="27"/>
      <c r="J23" s="27"/>
      <c r="K23" s="27"/>
      <c r="L23" s="27"/>
      <c r="M23" s="26">
        <f t="shared" ref="M23:BX23" si="56">M17+M15+M13</f>
        <v>1580.9873</v>
      </c>
      <c r="N23" s="27">
        <f t="shared" si="56"/>
        <v>304.85590000000002</v>
      </c>
      <c r="O23" s="27">
        <f t="shared" si="56"/>
        <v>477.38949999999994</v>
      </c>
      <c r="P23" s="27">
        <f t="shared" si="56"/>
        <v>505.34940000000006</v>
      </c>
      <c r="Q23" s="27">
        <f t="shared" si="56"/>
        <v>604.60069999999996</v>
      </c>
      <c r="R23" s="26">
        <f t="shared" si="56"/>
        <v>1892.1954999999998</v>
      </c>
      <c r="S23" s="27">
        <f t="shared" si="56"/>
        <v>392.33179999999993</v>
      </c>
      <c r="T23" s="27">
        <f t="shared" si="56"/>
        <v>537.64210000000003</v>
      </c>
      <c r="U23" s="27">
        <f t="shared" si="56"/>
        <v>600.45489999999995</v>
      </c>
      <c r="V23" s="27">
        <f t="shared" si="56"/>
        <v>693.60430000000008</v>
      </c>
      <c r="W23" s="26">
        <f t="shared" si="56"/>
        <v>2224.0331000000001</v>
      </c>
      <c r="X23" s="27">
        <f t="shared" si="56"/>
        <v>457.26039999999989</v>
      </c>
      <c r="Y23" s="27">
        <f t="shared" si="56"/>
        <v>636.80399999999997</v>
      </c>
      <c r="Z23" s="27">
        <f t="shared" si="56"/>
        <v>699.70619999999997</v>
      </c>
      <c r="AA23" s="27">
        <f t="shared" si="56"/>
        <v>873.59889999999996</v>
      </c>
      <c r="AB23" s="26">
        <f t="shared" si="56"/>
        <v>2667.3694999999998</v>
      </c>
      <c r="AC23" s="27">
        <f t="shared" si="56"/>
        <v>543.74590000000001</v>
      </c>
      <c r="AD23" s="27">
        <f t="shared" si="56"/>
        <v>767.75840000000005</v>
      </c>
      <c r="AE23" s="27">
        <f t="shared" si="56"/>
        <v>739.46079999999995</v>
      </c>
      <c r="AF23" s="27">
        <f t="shared" si="56"/>
        <v>856.50300000000016</v>
      </c>
      <c r="AG23" s="26">
        <f t="shared" si="56"/>
        <v>2907.4681000000005</v>
      </c>
      <c r="AH23" s="27">
        <f t="shared" si="56"/>
        <v>530.80920000000003</v>
      </c>
      <c r="AI23" s="27">
        <f t="shared" si="56"/>
        <v>637.20860000000005</v>
      </c>
      <c r="AJ23" s="27">
        <f t="shared" si="56"/>
        <v>768.62360000000001</v>
      </c>
      <c r="AK23" s="26">
        <f t="shared" si="56"/>
        <v>1936.6414000000002</v>
      </c>
      <c r="AL23" s="27">
        <f t="shared" si="56"/>
        <v>758.21319999999992</v>
      </c>
      <c r="AM23" s="27">
        <f t="shared" si="56"/>
        <v>545.54590000000007</v>
      </c>
      <c r="AN23" s="27">
        <f t="shared" si="56"/>
        <v>696.41290000000004</v>
      </c>
      <c r="AO23" s="27">
        <f t="shared" si="56"/>
        <v>818.07</v>
      </c>
      <c r="AP23" s="26">
        <f t="shared" si="56"/>
        <v>2818.21</v>
      </c>
      <c r="AQ23" s="27">
        <f t="shared" si="56"/>
        <v>793.99</v>
      </c>
      <c r="AR23" s="27">
        <f t="shared" si="56"/>
        <v>697.59</v>
      </c>
      <c r="AS23" s="27">
        <f t="shared" si="56"/>
        <v>848.75</v>
      </c>
      <c r="AT23" s="27">
        <f t="shared" si="56"/>
        <v>945.43000000000006</v>
      </c>
      <c r="AU23" s="26">
        <f t="shared" si="56"/>
        <v>3285.75</v>
      </c>
      <c r="AV23" s="27">
        <f t="shared" si="56"/>
        <v>922.28</v>
      </c>
      <c r="AW23" s="27">
        <f t="shared" si="56"/>
        <v>841.24</v>
      </c>
      <c r="AX23" s="27">
        <f t="shared" si="56"/>
        <v>973.3599999999999</v>
      </c>
      <c r="AY23" s="27">
        <f t="shared" si="56"/>
        <v>1060.99</v>
      </c>
      <c r="AZ23" s="26">
        <f t="shared" si="56"/>
        <v>3819.87</v>
      </c>
      <c r="BA23" s="27">
        <f t="shared" si="56"/>
        <v>1002.6500000000001</v>
      </c>
      <c r="BB23" s="14">
        <f t="shared" si="56"/>
        <v>838.43</v>
      </c>
      <c r="BC23" s="27">
        <f t="shared" si="56"/>
        <v>889.06999999999994</v>
      </c>
      <c r="BD23" s="27">
        <f t="shared" si="56"/>
        <v>848.14</v>
      </c>
      <c r="BE23" s="26">
        <f t="shared" si="56"/>
        <v>3578.15</v>
      </c>
      <c r="BF23" s="27">
        <f t="shared" si="56"/>
        <v>754.38</v>
      </c>
      <c r="BG23" s="14">
        <f t="shared" si="56"/>
        <v>848.64</v>
      </c>
      <c r="BH23" s="27">
        <f t="shared" si="56"/>
        <v>1161.03</v>
      </c>
      <c r="BI23" s="27">
        <f t="shared" si="56"/>
        <v>1274.4100000000001</v>
      </c>
      <c r="BJ23" s="26">
        <f t="shared" si="56"/>
        <v>4038.46</v>
      </c>
      <c r="BK23" s="27">
        <f t="shared" si="56"/>
        <v>866.21</v>
      </c>
      <c r="BL23" s="14">
        <f t="shared" si="56"/>
        <v>1320.72</v>
      </c>
      <c r="BM23" s="27">
        <f t="shared" si="56"/>
        <v>1322.39</v>
      </c>
      <c r="BN23" s="27">
        <f t="shared" si="56"/>
        <v>1843.8500000000001</v>
      </c>
      <c r="BO23" s="26">
        <f t="shared" si="56"/>
        <v>5353.17</v>
      </c>
      <c r="BP23" s="27">
        <f t="shared" si="56"/>
        <v>1622.41</v>
      </c>
      <c r="BQ23" s="14">
        <f t="shared" si="56"/>
        <v>1602.15</v>
      </c>
      <c r="BR23" s="27">
        <f t="shared" si="56"/>
        <v>1646.3</v>
      </c>
      <c r="BS23" s="27">
        <f t="shared" si="56"/>
        <v>1728.33</v>
      </c>
      <c r="BT23" s="26">
        <f t="shared" si="56"/>
        <v>6599.1900000000005</v>
      </c>
      <c r="BU23" s="27">
        <f t="shared" si="56"/>
        <v>1656.01</v>
      </c>
      <c r="BV23" s="14">
        <f t="shared" si="56"/>
        <v>1535.6899999999998</v>
      </c>
      <c r="BW23" s="27">
        <f t="shared" si="56"/>
        <v>1640.47</v>
      </c>
      <c r="BX23" s="27">
        <f t="shared" si="56"/>
        <v>2026.23</v>
      </c>
      <c r="BY23" s="26">
        <f t="shared" ref="BY23:CH23" si="57">BY17+BY15+BY13</f>
        <v>6858.16</v>
      </c>
      <c r="BZ23" s="27">
        <f t="shared" si="57"/>
        <v>1795.76</v>
      </c>
      <c r="CA23" s="14">
        <f t="shared" si="57"/>
        <v>1488.59</v>
      </c>
      <c r="CB23" s="27">
        <f t="shared" si="57"/>
        <v>1728.93</v>
      </c>
      <c r="CC23" s="27">
        <f t="shared" si="57"/>
        <v>2131.91</v>
      </c>
      <c r="CD23" s="26">
        <f t="shared" si="57"/>
        <v>7146.45</v>
      </c>
      <c r="CE23" s="27">
        <f t="shared" si="57"/>
        <v>1789.4699999999998</v>
      </c>
      <c r="CF23" s="14">
        <f t="shared" si="57"/>
        <v>1586.99</v>
      </c>
      <c r="CG23" s="27">
        <f t="shared" si="57"/>
        <v>1826.98</v>
      </c>
      <c r="CH23" s="27">
        <f t="shared" si="57"/>
        <v>2355.7200000000003</v>
      </c>
      <c r="CI23" s="26">
        <f>CI17+CI15+CI13</f>
        <v>7559.16</v>
      </c>
      <c r="CJ23" s="26"/>
      <c r="CK23" s="26"/>
      <c r="CL23" s="26"/>
      <c r="CM23" s="26"/>
      <c r="CN23" s="26"/>
      <c r="CO23" s="28"/>
      <c r="CP23" s="29"/>
      <c r="CQ23" s="6"/>
      <c r="CR23" s="30"/>
      <c r="CS23" s="30"/>
      <c r="CT23" s="26"/>
      <c r="CU23" s="26"/>
      <c r="CV23" s="26"/>
      <c r="CW23" s="26"/>
      <c r="CX23" s="26"/>
      <c r="CY23" s="26"/>
      <c r="CZ23" s="26"/>
      <c r="DA23" s="26"/>
      <c r="DB23" s="26"/>
      <c r="DC23" s="26"/>
      <c r="DD23" s="26"/>
      <c r="DE23" s="26"/>
      <c r="DF23" s="26"/>
      <c r="DG23" s="26"/>
      <c r="DH23" s="26"/>
      <c r="DI23" s="26"/>
      <c r="DK23" s="26"/>
      <c r="DL23" s="26"/>
      <c r="DM23" s="31"/>
      <c r="DN23" s="26"/>
      <c r="DO23" s="26"/>
      <c r="DQ23" s="27"/>
      <c r="DR23" s="26"/>
      <c r="DS23" s="26"/>
      <c r="DT23" s="26"/>
      <c r="DV23" s="26"/>
      <c r="DW23" s="26"/>
      <c r="DX23" s="26"/>
      <c r="EA23" s="27"/>
      <c r="EB23" s="27"/>
      <c r="EC23" s="27"/>
      <c r="ED23" s="26"/>
      <c r="EE23" s="26"/>
      <c r="EF23" s="26"/>
      <c r="EJ23" s="27"/>
      <c r="EK23" s="27"/>
      <c r="EL23" s="26"/>
      <c r="EM23" s="26"/>
      <c r="EN23" s="26"/>
      <c r="EP23" s="27"/>
      <c r="EQ23" s="26"/>
      <c r="ER23" s="26"/>
      <c r="ES23" s="26"/>
      <c r="EV23" s="27"/>
      <c r="EW23" s="27"/>
      <c r="EX23" s="27"/>
      <c r="EY23" s="27"/>
      <c r="EZ23" s="26"/>
      <c r="FA23" s="26"/>
      <c r="FD23" s="27"/>
      <c r="FE23" s="27"/>
      <c r="FF23" s="27"/>
      <c r="FG23" s="26"/>
      <c r="FH23" s="26"/>
      <c r="FK23" s="26"/>
      <c r="FL23" s="26"/>
      <c r="FO23" s="27"/>
      <c r="FP23" s="27"/>
      <c r="FQ23" s="26"/>
      <c r="FR23" s="26"/>
      <c r="FU23" s="27"/>
      <c r="FV23" s="26"/>
      <c r="FW23" s="26"/>
      <c r="FX23" s="26"/>
      <c r="FY23" s="26"/>
      <c r="GA23" s="26"/>
      <c r="GB23" s="26"/>
      <c r="GC23" s="26"/>
      <c r="GF23" s="27"/>
      <c r="GG23" s="27"/>
      <c r="GH23" s="27"/>
      <c r="GI23" s="26"/>
      <c r="GJ23" s="26"/>
      <c r="GK23" s="26"/>
      <c r="GN23" s="27"/>
      <c r="GO23" s="27"/>
      <c r="GP23" s="26"/>
      <c r="GQ23" s="26"/>
      <c r="GR23" s="26"/>
      <c r="GV23" s="27"/>
      <c r="GW23" s="26"/>
      <c r="GX23" s="26"/>
      <c r="GY23" s="26"/>
      <c r="HC23" s="26"/>
      <c r="HD23" s="26"/>
      <c r="HE23" s="26"/>
      <c r="HF23" s="26"/>
      <c r="HI23" s="27"/>
      <c r="HJ23" s="27"/>
      <c r="HK23" s="27"/>
      <c r="HL23" s="27"/>
      <c r="HM23" s="26"/>
      <c r="HN23" s="26"/>
      <c r="HO23" s="26"/>
      <c r="HR23" s="27"/>
      <c r="HS23" s="27"/>
      <c r="HT23" s="27"/>
      <c r="HU23" s="26"/>
      <c r="HV23" s="26"/>
      <c r="HW23" s="26"/>
      <c r="HZ23" s="27"/>
      <c r="IA23" s="26"/>
      <c r="IB23" s="26"/>
      <c r="IC23" s="26"/>
      <c r="IE23" s="27"/>
      <c r="IF23" s="26"/>
      <c r="IG23" s="26"/>
      <c r="IH23" s="26"/>
      <c r="IK23" s="26"/>
      <c r="IL23" s="26"/>
      <c r="IO23" s="26"/>
      <c r="IP23" s="26"/>
      <c r="IS23" s="19"/>
      <c r="IT23" s="19"/>
      <c r="IU23" s="19"/>
      <c r="IX23" s="26"/>
      <c r="IY23" s="26"/>
      <c r="IZ23" s="26"/>
      <c r="JA23" s="26"/>
      <c r="JD23" s="26"/>
      <c r="JE23" s="26"/>
      <c r="JH23" s="26"/>
      <c r="JI23" s="26"/>
      <c r="JJ23" s="26"/>
      <c r="JM23" s="26"/>
      <c r="JN23" s="26"/>
      <c r="JQ23" s="26"/>
      <c r="JR23" s="26"/>
      <c r="JS23" s="26"/>
      <c r="JV23" s="26"/>
      <c r="JW23" s="26"/>
      <c r="JY23" s="26"/>
      <c r="JZ23" s="26"/>
      <c r="KB23" s="26"/>
      <c r="KC23" s="26"/>
      <c r="KD23" s="26"/>
    </row>
    <row r="24" spans="1:290" s="60" customFormat="1" x14ac:dyDescent="0.25">
      <c r="A24" s="226" t="e">
        <f>+B9-B23</f>
        <v>#VALUE!</v>
      </c>
      <c r="B24" s="34" t="s">
        <v>149</v>
      </c>
      <c r="C24" s="35"/>
      <c r="D24" s="35"/>
      <c r="E24" s="35"/>
      <c r="F24" s="35"/>
      <c r="G24" s="35"/>
      <c r="H24" s="36"/>
      <c r="I24" s="53"/>
      <c r="J24" s="53"/>
      <c r="K24" s="53"/>
      <c r="L24" s="53"/>
      <c r="M24" s="54">
        <f t="shared" ref="M24:BX24" si="58">M9-M23</f>
        <v>848.84309999999982</v>
      </c>
      <c r="N24" s="53">
        <f t="shared" si="58"/>
        <v>175.5779</v>
      </c>
      <c r="O24" s="53">
        <f t="shared" si="58"/>
        <v>243.90979999999996</v>
      </c>
      <c r="P24" s="53">
        <f t="shared" si="58"/>
        <v>263.20150000000001</v>
      </c>
      <c r="Q24" s="53">
        <f t="shared" si="58"/>
        <v>321.70870000000002</v>
      </c>
      <c r="R24" s="54">
        <f t="shared" si="58"/>
        <v>1004.3978999999999</v>
      </c>
      <c r="S24" s="53">
        <f t="shared" si="58"/>
        <v>225.30709999999999</v>
      </c>
      <c r="T24" s="53">
        <f t="shared" si="58"/>
        <v>277.34479999999996</v>
      </c>
      <c r="U24" s="53">
        <f t="shared" si="58"/>
        <v>317.22390000000007</v>
      </c>
      <c r="V24" s="53">
        <f t="shared" si="58"/>
        <v>344.08089999999982</v>
      </c>
      <c r="W24" s="54">
        <f t="shared" si="58"/>
        <v>1163.9566999999997</v>
      </c>
      <c r="X24" s="53">
        <f t="shared" si="58"/>
        <v>247.87990000000002</v>
      </c>
      <c r="Y24" s="53">
        <f t="shared" si="58"/>
        <v>299.24799999999993</v>
      </c>
      <c r="Z24" s="53">
        <f t="shared" si="58"/>
        <v>305.52390000000003</v>
      </c>
      <c r="AA24" s="53">
        <f t="shared" si="58"/>
        <v>382.06280000000015</v>
      </c>
      <c r="AB24" s="54">
        <f t="shared" si="58"/>
        <v>1234.7145999999998</v>
      </c>
      <c r="AC24" s="53">
        <f t="shared" si="58"/>
        <v>215.80520000000001</v>
      </c>
      <c r="AD24" s="53">
        <f t="shared" si="58"/>
        <v>252.07939999999985</v>
      </c>
      <c r="AE24" s="53">
        <f t="shared" si="58"/>
        <v>342.61749999999995</v>
      </c>
      <c r="AF24" s="53">
        <f t="shared" si="58"/>
        <v>397.89829999999984</v>
      </c>
      <c r="AG24" s="54">
        <f t="shared" si="58"/>
        <v>1208.4003999999991</v>
      </c>
      <c r="AH24" s="53">
        <f t="shared" si="58"/>
        <v>241.98749999999995</v>
      </c>
      <c r="AI24" s="53">
        <f t="shared" si="58"/>
        <v>364.42560000000003</v>
      </c>
      <c r="AJ24" s="53">
        <f t="shared" si="58"/>
        <v>431.68349999999998</v>
      </c>
      <c r="AK24" s="54">
        <f t="shared" si="58"/>
        <v>1038.0965999999996</v>
      </c>
      <c r="AL24" s="53">
        <f t="shared" si="58"/>
        <v>431.12210000000005</v>
      </c>
      <c r="AM24" s="53">
        <f t="shared" si="58"/>
        <v>337.33149999999978</v>
      </c>
      <c r="AN24" s="53">
        <f t="shared" si="58"/>
        <v>411.00759999999991</v>
      </c>
      <c r="AO24" s="53">
        <f t="shared" si="58"/>
        <v>464.56000000000006</v>
      </c>
      <c r="AP24" s="54">
        <f t="shared" si="58"/>
        <v>1644.0500000000002</v>
      </c>
      <c r="AQ24" s="53">
        <f t="shared" si="58"/>
        <v>367.67000000000007</v>
      </c>
      <c r="AR24" s="53">
        <f t="shared" si="58"/>
        <v>357.46999999999991</v>
      </c>
      <c r="AS24" s="53">
        <f t="shared" si="58"/>
        <v>429.54999999999995</v>
      </c>
      <c r="AT24" s="53">
        <f t="shared" si="58"/>
        <v>525.82999999999993</v>
      </c>
      <c r="AU24" s="54">
        <f t="shared" si="58"/>
        <v>1680.54</v>
      </c>
      <c r="AV24" s="53">
        <f t="shared" si="58"/>
        <v>423.43000000000006</v>
      </c>
      <c r="AW24" s="53">
        <f t="shared" si="58"/>
        <v>394.08000000000015</v>
      </c>
      <c r="AX24" s="53">
        <f t="shared" si="58"/>
        <v>441.19000000000005</v>
      </c>
      <c r="AY24" s="53">
        <f t="shared" si="58"/>
        <v>469.92000000000007</v>
      </c>
      <c r="AZ24" s="54">
        <f t="shared" si="58"/>
        <v>1736.2399999999998</v>
      </c>
      <c r="BA24" s="53">
        <f t="shared" si="58"/>
        <v>434.18299999999999</v>
      </c>
      <c r="BB24" s="55">
        <f t="shared" si="58"/>
        <v>442.17000000000019</v>
      </c>
      <c r="BC24" s="53">
        <f t="shared" si="58"/>
        <v>484.25</v>
      </c>
      <c r="BD24" s="53">
        <f t="shared" si="58"/>
        <v>582.35</v>
      </c>
      <c r="BE24" s="54">
        <f t="shared" si="58"/>
        <v>1933.3899999999999</v>
      </c>
      <c r="BF24" s="53">
        <f t="shared" si="58"/>
        <v>299.50000000000011</v>
      </c>
      <c r="BG24" s="55">
        <f t="shared" si="58"/>
        <v>526.14</v>
      </c>
      <c r="BH24" s="53">
        <f t="shared" si="58"/>
        <v>682.77</v>
      </c>
      <c r="BI24" s="53">
        <f t="shared" si="58"/>
        <v>810.18000000000006</v>
      </c>
      <c r="BJ24" s="54">
        <f t="shared" si="58"/>
        <v>2318.6000000000004</v>
      </c>
      <c r="BK24" s="53">
        <f t="shared" si="58"/>
        <v>475.86999999999989</v>
      </c>
      <c r="BL24" s="55">
        <f t="shared" si="58"/>
        <v>607.81999999999994</v>
      </c>
      <c r="BM24" s="53">
        <f t="shared" si="58"/>
        <v>622.7199999999998</v>
      </c>
      <c r="BN24" s="53">
        <f t="shared" si="58"/>
        <v>713.24</v>
      </c>
      <c r="BO24" s="54">
        <f t="shared" si="58"/>
        <v>2419.6499999999996</v>
      </c>
      <c r="BP24" s="53">
        <f t="shared" si="58"/>
        <v>583.56999999999994</v>
      </c>
      <c r="BQ24" s="55">
        <f t="shared" si="58"/>
        <v>484.44999999999982</v>
      </c>
      <c r="BR24" s="53">
        <f t="shared" si="58"/>
        <v>664.41000000000008</v>
      </c>
      <c r="BS24" s="53">
        <f t="shared" si="58"/>
        <v>869.97000000000025</v>
      </c>
      <c r="BT24" s="54">
        <f t="shared" si="58"/>
        <v>2602.2999999999993</v>
      </c>
      <c r="BU24" s="53">
        <f t="shared" si="58"/>
        <v>712.56999999999994</v>
      </c>
      <c r="BV24" s="55">
        <f t="shared" si="58"/>
        <v>773.00000000000023</v>
      </c>
      <c r="BW24" s="53">
        <f t="shared" si="58"/>
        <v>808.62999999999988</v>
      </c>
      <c r="BX24" s="53">
        <f t="shared" si="58"/>
        <v>981.65999999999985</v>
      </c>
      <c r="BY24" s="54">
        <f t="shared" ref="BY24:CH24" si="59">BY9-BY23</f>
        <v>3276.1000000000004</v>
      </c>
      <c r="BZ24" s="53">
        <f t="shared" si="59"/>
        <v>840.58999999999992</v>
      </c>
      <c r="CA24" s="55">
        <f t="shared" si="59"/>
        <v>784.3599999999999</v>
      </c>
      <c r="CB24" s="53">
        <f t="shared" si="59"/>
        <v>780.95</v>
      </c>
      <c r="CC24" s="53">
        <f t="shared" si="59"/>
        <v>895.16000000000031</v>
      </c>
      <c r="CD24" s="54">
        <f t="shared" si="59"/>
        <v>3299.8</v>
      </c>
      <c r="CE24" s="53">
        <f t="shared" si="59"/>
        <v>819.74000000000024</v>
      </c>
      <c r="CF24" s="55">
        <f t="shared" si="59"/>
        <v>806.87999999999988</v>
      </c>
      <c r="CG24" s="53">
        <f t="shared" si="59"/>
        <v>859.96</v>
      </c>
      <c r="CH24" s="53">
        <f t="shared" si="59"/>
        <v>1171.9399999999996</v>
      </c>
      <c r="CI24" s="54">
        <f>CI9-CI23</f>
        <v>3658.5200000000004</v>
      </c>
      <c r="CJ24" s="54"/>
      <c r="CK24" s="54"/>
      <c r="CL24" s="54"/>
      <c r="CM24" s="54"/>
      <c r="CN24" s="54"/>
      <c r="CO24" s="56"/>
      <c r="CP24" s="57"/>
      <c r="CQ24" s="58"/>
      <c r="CR24" s="59"/>
      <c r="CS24" s="59"/>
      <c r="CT24" s="54"/>
      <c r="CU24" s="54"/>
      <c r="CV24" s="54"/>
      <c r="CW24" s="54"/>
      <c r="CX24" s="54"/>
      <c r="CY24" s="54"/>
      <c r="CZ24" s="54"/>
      <c r="DA24" s="54"/>
      <c r="DB24" s="54"/>
      <c r="DC24" s="54"/>
      <c r="DD24" s="54"/>
      <c r="DE24" s="54"/>
      <c r="DF24" s="54"/>
      <c r="DG24" s="54"/>
      <c r="DH24" s="54"/>
      <c r="DI24" s="54"/>
      <c r="DK24" s="54"/>
      <c r="DL24" s="54"/>
      <c r="DM24" s="49"/>
      <c r="DN24" s="54"/>
      <c r="DO24" s="54"/>
      <c r="DQ24" s="53"/>
      <c r="DR24" s="54"/>
      <c r="DS24" s="54"/>
      <c r="DT24" s="54"/>
      <c r="DV24" s="54"/>
      <c r="DW24" s="54"/>
      <c r="DX24" s="54"/>
      <c r="EA24" s="53"/>
      <c r="EB24" s="53"/>
      <c r="EC24" s="53"/>
      <c r="ED24" s="54"/>
      <c r="EE24" s="54"/>
      <c r="EF24" s="54"/>
      <c r="EJ24" s="53"/>
      <c r="EK24" s="53"/>
      <c r="EL24" s="54"/>
      <c r="EM24" s="54"/>
      <c r="EN24" s="54"/>
      <c r="EP24" s="53"/>
      <c r="EQ24" s="54"/>
      <c r="ER24" s="54"/>
      <c r="ES24" s="54"/>
      <c r="EV24" s="53"/>
      <c r="EW24" s="53"/>
      <c r="EX24" s="53"/>
      <c r="EY24" s="53"/>
      <c r="EZ24" s="54"/>
      <c r="FA24" s="54"/>
      <c r="FD24" s="53"/>
      <c r="FE24" s="53"/>
      <c r="FF24" s="53"/>
      <c r="FG24" s="54"/>
      <c r="FH24" s="54"/>
      <c r="FK24" s="54"/>
      <c r="FL24" s="54"/>
      <c r="FO24" s="53"/>
      <c r="FP24" s="53"/>
      <c r="FQ24" s="54"/>
      <c r="FR24" s="54"/>
      <c r="FU24" s="53"/>
      <c r="FV24" s="54"/>
      <c r="FW24" s="54"/>
      <c r="FX24" s="54"/>
      <c r="FY24" s="54"/>
      <c r="GA24" s="54"/>
      <c r="GB24" s="54"/>
      <c r="GC24" s="54"/>
      <c r="GF24" s="53"/>
      <c r="GG24" s="53"/>
      <c r="GH24" s="53"/>
      <c r="GI24" s="54"/>
      <c r="GJ24" s="54"/>
      <c r="GK24" s="54"/>
      <c r="GN24" s="53"/>
      <c r="GO24" s="53"/>
      <c r="GP24" s="54"/>
      <c r="GQ24" s="54"/>
      <c r="GR24" s="54"/>
      <c r="GV24" s="53"/>
      <c r="GW24" s="54"/>
      <c r="GX24" s="54"/>
      <c r="GY24" s="54"/>
      <c r="HC24" s="54"/>
      <c r="HD24" s="54"/>
      <c r="HE24" s="54"/>
      <c r="HF24" s="54"/>
      <c r="HI24" s="53"/>
      <c r="HJ24" s="53"/>
      <c r="HK24" s="53"/>
      <c r="HL24" s="53"/>
      <c r="HM24" s="54"/>
      <c r="HN24" s="54"/>
      <c r="HO24" s="54"/>
      <c r="HR24" s="53"/>
      <c r="HS24" s="53"/>
      <c r="HT24" s="53"/>
      <c r="HU24" s="54"/>
      <c r="HV24" s="54"/>
      <c r="HW24" s="54"/>
      <c r="HZ24" s="53"/>
      <c r="IA24" s="54"/>
      <c r="IB24" s="54"/>
      <c r="IC24" s="54"/>
      <c r="IE24" s="53"/>
      <c r="IF24" s="54"/>
      <c r="IG24" s="54"/>
      <c r="IH24" s="54"/>
      <c r="IK24" s="54"/>
      <c r="IL24" s="54"/>
      <c r="IO24" s="54"/>
      <c r="IP24" s="54"/>
      <c r="IS24" s="61"/>
      <c r="IT24" s="61"/>
      <c r="IU24" s="61"/>
      <c r="IX24" s="54"/>
      <c r="IY24" s="54"/>
      <c r="IZ24" s="54"/>
      <c r="JA24" s="54"/>
      <c r="JD24" s="54"/>
      <c r="JE24" s="54"/>
      <c r="JH24" s="54"/>
      <c r="JI24" s="54"/>
      <c r="JJ24" s="54"/>
      <c r="JM24" s="54"/>
      <c r="JN24" s="54"/>
      <c r="JQ24" s="54"/>
      <c r="JR24" s="54"/>
      <c r="JS24" s="54"/>
      <c r="JV24" s="54"/>
      <c r="JW24" s="54"/>
      <c r="JY24" s="54"/>
      <c r="JZ24" s="54"/>
      <c r="KB24" s="54"/>
      <c r="KC24" s="54"/>
      <c r="KD24" s="54"/>
    </row>
    <row r="25" spans="1:290" x14ac:dyDescent="0.25">
      <c r="A25" s="7" t="s">
        <v>260</v>
      </c>
      <c r="B25" s="47" t="s">
        <v>143</v>
      </c>
      <c r="C25" s="46"/>
      <c r="D25" s="46"/>
      <c r="E25" s="46"/>
      <c r="F25" s="46"/>
      <c r="G25" s="46"/>
      <c r="H25" s="46"/>
      <c r="I25" s="46"/>
      <c r="J25" s="46"/>
      <c r="K25" s="46"/>
      <c r="L25" s="46"/>
      <c r="M25" s="46">
        <f t="shared" ref="M25:BX25" si="60">M24/M9</f>
        <v>0.34934253024408612</v>
      </c>
      <c r="N25" s="46">
        <f t="shared" si="60"/>
        <v>0.36545700989397495</v>
      </c>
      <c r="O25" s="46">
        <f t="shared" si="60"/>
        <v>0.33815338514816246</v>
      </c>
      <c r="P25" s="46">
        <f t="shared" si="60"/>
        <v>0.34246463051438752</v>
      </c>
      <c r="Q25" s="46">
        <f t="shared" si="60"/>
        <v>0.34730156036417209</v>
      </c>
      <c r="R25" s="46">
        <f t="shared" si="60"/>
        <v>0.34675142876456183</v>
      </c>
      <c r="S25" s="46">
        <f t="shared" si="60"/>
        <v>0.36478774248189361</v>
      </c>
      <c r="T25" s="46">
        <f t="shared" si="60"/>
        <v>0.34030583804475872</v>
      </c>
      <c r="U25" s="46">
        <f t="shared" si="60"/>
        <v>0.34568075452979852</v>
      </c>
      <c r="V25" s="46">
        <f t="shared" si="60"/>
        <v>0.33158505103474528</v>
      </c>
      <c r="W25" s="46">
        <f t="shared" si="60"/>
        <v>0.34355377929414066</v>
      </c>
      <c r="X25" s="46">
        <f t="shared" si="60"/>
        <v>0.3515327375275531</v>
      </c>
      <c r="Y25" s="46">
        <f t="shared" si="60"/>
        <v>0.31969164106267595</v>
      </c>
      <c r="Z25" s="46">
        <f t="shared" si="60"/>
        <v>0.30393429325285826</v>
      </c>
      <c r="AA25" s="46">
        <f t="shared" si="60"/>
        <v>0.30427208220175872</v>
      </c>
      <c r="AB25" s="46">
        <f t="shared" si="60"/>
        <v>0.31642439485094642</v>
      </c>
      <c r="AC25" s="46">
        <f t="shared" si="60"/>
        <v>0.28412202944607678</v>
      </c>
      <c r="AD25" s="46">
        <f t="shared" si="60"/>
        <v>0.24717597249288062</v>
      </c>
      <c r="AE25" s="46">
        <f t="shared" si="60"/>
        <v>0.31662912009232602</v>
      </c>
      <c r="AF25" s="46">
        <f t="shared" si="60"/>
        <v>0.31720175991526783</v>
      </c>
      <c r="AG25" s="46">
        <f t="shared" si="60"/>
        <v>0.29359548294606574</v>
      </c>
      <c r="AH25" s="46">
        <f t="shared" si="60"/>
        <v>0.31313216011403772</v>
      </c>
      <c r="AI25" s="46">
        <f t="shared" si="60"/>
        <v>0.36383102733512895</v>
      </c>
      <c r="AJ25" s="46">
        <f t="shared" si="60"/>
        <v>0.35964421105232153</v>
      </c>
      <c r="AK25" s="46">
        <f t="shared" si="60"/>
        <v>0.34897076650111697</v>
      </c>
      <c r="AL25" s="46">
        <f t="shared" si="60"/>
        <v>0.36248995552389646</v>
      </c>
      <c r="AM25" s="46">
        <f t="shared" si="60"/>
        <v>0.38208192892920334</v>
      </c>
      <c r="AN25" s="46">
        <f t="shared" si="60"/>
        <v>0.37113959873417546</v>
      </c>
      <c r="AO25" s="46">
        <f t="shared" si="60"/>
        <v>0.36219330594169791</v>
      </c>
      <c r="AP25" s="46">
        <f t="shared" si="60"/>
        <v>0.36843438078462487</v>
      </c>
      <c r="AQ25" s="46">
        <f t="shared" si="60"/>
        <v>0.31650396845892953</v>
      </c>
      <c r="AR25" s="46">
        <f t="shared" si="60"/>
        <v>0.33881485413151852</v>
      </c>
      <c r="AS25" s="46">
        <f t="shared" si="60"/>
        <v>0.33603223030587498</v>
      </c>
      <c r="AT25" s="46">
        <f t="shared" si="60"/>
        <v>0.35740113915963184</v>
      </c>
      <c r="AU25" s="46">
        <f t="shared" si="60"/>
        <v>0.33838942147961554</v>
      </c>
      <c r="AV25" s="46">
        <f t="shared" si="60"/>
        <v>0.31465174517540928</v>
      </c>
      <c r="AW25" s="46">
        <f t="shared" si="60"/>
        <v>0.31901045882848178</v>
      </c>
      <c r="AX25" s="46">
        <f t="shared" si="60"/>
        <v>0.31189424198508364</v>
      </c>
      <c r="AY25" s="46">
        <f t="shared" si="60"/>
        <v>0.30695468708153978</v>
      </c>
      <c r="AZ25" s="46">
        <f t="shared" si="60"/>
        <v>0.31249201329707293</v>
      </c>
      <c r="BA25" s="46">
        <f t="shared" si="60"/>
        <v>0.30218055960574403</v>
      </c>
      <c r="BB25" s="46">
        <f t="shared" si="60"/>
        <v>0.34528346087771367</v>
      </c>
      <c r="BC25" s="46">
        <f t="shared" si="60"/>
        <v>0.35261264672472548</v>
      </c>
      <c r="BD25" s="46">
        <f t="shared" si="60"/>
        <v>0.40709826702738222</v>
      </c>
      <c r="BE25" s="46">
        <f t="shared" si="60"/>
        <v>0.35078943453190942</v>
      </c>
      <c r="BF25" s="46">
        <f t="shared" si="60"/>
        <v>0.28418795308763811</v>
      </c>
      <c r="BG25" s="46">
        <f t="shared" si="60"/>
        <v>0.38270850608824686</v>
      </c>
      <c r="BH25" s="46">
        <f t="shared" si="60"/>
        <v>0.37030589000976244</v>
      </c>
      <c r="BI25" s="46">
        <f t="shared" si="60"/>
        <v>0.38865196513463079</v>
      </c>
      <c r="BJ25" s="46">
        <f t="shared" si="60"/>
        <v>0.3647283492683725</v>
      </c>
      <c r="BK25" s="46">
        <f t="shared" si="60"/>
        <v>0.35457647830233663</v>
      </c>
      <c r="BL25" s="46">
        <f t="shared" si="60"/>
        <v>0.31517106204693701</v>
      </c>
      <c r="BM25" s="46">
        <f t="shared" si="60"/>
        <v>0.32014641845448322</v>
      </c>
      <c r="BN25" s="46">
        <f t="shared" si="60"/>
        <v>0.27892643590956906</v>
      </c>
      <c r="BO25" s="46">
        <f t="shared" si="60"/>
        <v>0.3112962862899179</v>
      </c>
      <c r="BP25" s="46">
        <f t="shared" si="60"/>
        <v>0.26454002302831392</v>
      </c>
      <c r="BQ25" s="46">
        <f t="shared" si="60"/>
        <v>0.23217195437553909</v>
      </c>
      <c r="BR25" s="46">
        <f t="shared" si="60"/>
        <v>0.28753500006491517</v>
      </c>
      <c r="BS25" s="46">
        <f t="shared" si="60"/>
        <v>0.33482276873340266</v>
      </c>
      <c r="BT25" s="46">
        <f t="shared" si="60"/>
        <v>0.28281289225984046</v>
      </c>
      <c r="BU25" s="46">
        <f t="shared" si="60"/>
        <v>0.30084269900108923</v>
      </c>
      <c r="BV25" s="46">
        <f t="shared" si="60"/>
        <v>0.33482191199338163</v>
      </c>
      <c r="BW25" s="46">
        <f t="shared" si="60"/>
        <v>0.33017434976113669</v>
      </c>
      <c r="BX25" s="46">
        <f t="shared" si="60"/>
        <v>0.32636166881102696</v>
      </c>
      <c r="BY25" s="46">
        <f t="shared" ref="BY25:CH25" si="61">BY24/BY9</f>
        <v>0.3232697799345981</v>
      </c>
      <c r="BZ25" s="46">
        <f t="shared" si="61"/>
        <v>0.31884613196275152</v>
      </c>
      <c r="CA25" s="46">
        <f t="shared" si="61"/>
        <v>0.34508458171099232</v>
      </c>
      <c r="CB25" s="46">
        <f t="shared" si="61"/>
        <v>0.31115033388050423</v>
      </c>
      <c r="CC25" s="46">
        <f t="shared" si="61"/>
        <v>0.29571830185625053</v>
      </c>
      <c r="CD25" s="46">
        <f t="shared" si="61"/>
        <v>0.31588369031949265</v>
      </c>
      <c r="CE25" s="46">
        <f t="shared" si="61"/>
        <v>0.31417172247538533</v>
      </c>
      <c r="CF25" s="46">
        <f t="shared" si="61"/>
        <v>0.33706090974029496</v>
      </c>
      <c r="CG25" s="46">
        <f t="shared" si="61"/>
        <v>0.32005180614379181</v>
      </c>
      <c r="CH25" s="46">
        <f t="shared" si="61"/>
        <v>0.33221455582454079</v>
      </c>
      <c r="CI25" s="46">
        <f>CI24/CI9</f>
        <v>0.32613873813480154</v>
      </c>
      <c r="CJ25" s="46"/>
      <c r="CK25" s="46"/>
      <c r="CL25" s="46"/>
      <c r="CM25" s="46"/>
      <c r="CN25" s="46"/>
      <c r="CO25" s="20"/>
      <c r="CP25" s="20"/>
      <c r="CQ25" s="6"/>
      <c r="CR25" s="6"/>
      <c r="CS25" s="30"/>
      <c r="CT25" s="46"/>
      <c r="CU25" s="46"/>
      <c r="CV25" s="46"/>
      <c r="CW25" s="46"/>
      <c r="CX25" s="46"/>
      <c r="CY25" s="46"/>
      <c r="CZ25" s="46"/>
      <c r="DA25" s="46"/>
      <c r="DB25" s="46"/>
      <c r="DC25" s="46"/>
      <c r="DD25" s="46"/>
      <c r="DE25" s="46"/>
      <c r="DF25" s="46"/>
      <c r="DG25" s="46"/>
      <c r="DH25" s="46"/>
      <c r="DI25" s="46"/>
      <c r="DK25" s="46"/>
      <c r="DL25" s="46"/>
      <c r="DM25" s="6"/>
      <c r="DN25" s="46"/>
      <c r="DO25" s="46"/>
      <c r="DQ25" s="46"/>
      <c r="DR25" s="46"/>
      <c r="DS25" s="46"/>
      <c r="DT25" s="46"/>
      <c r="DV25" s="46"/>
      <c r="DW25" s="46"/>
      <c r="DX25" s="46"/>
      <c r="EA25" s="46"/>
      <c r="EB25" s="46"/>
      <c r="EC25" s="46"/>
      <c r="ED25" s="46"/>
      <c r="EE25" s="46"/>
      <c r="EF25" s="46"/>
      <c r="EJ25" s="46"/>
      <c r="EK25" s="46"/>
      <c r="EL25" s="46"/>
      <c r="EM25" s="46"/>
      <c r="EN25" s="46"/>
      <c r="EP25" s="46"/>
      <c r="EQ25" s="46"/>
      <c r="ER25" s="46"/>
      <c r="ES25" s="46"/>
      <c r="EV25" s="46"/>
      <c r="EW25" s="46"/>
      <c r="EX25" s="46"/>
      <c r="EY25" s="46"/>
      <c r="EZ25" s="46"/>
      <c r="FA25" s="46"/>
      <c r="FD25" s="46"/>
      <c r="FE25" s="46"/>
      <c r="FF25" s="46"/>
      <c r="FG25" s="46"/>
      <c r="FH25" s="46"/>
      <c r="FK25" s="46"/>
      <c r="FL25" s="46"/>
      <c r="FO25" s="46"/>
      <c r="FP25" s="46"/>
      <c r="FQ25" s="46"/>
      <c r="FR25" s="46"/>
      <c r="FU25" s="46"/>
      <c r="FV25" s="46"/>
      <c r="FW25" s="46"/>
      <c r="FX25" s="46"/>
      <c r="FY25" s="46"/>
      <c r="GA25" s="46"/>
      <c r="GB25" s="46"/>
      <c r="GC25" s="46"/>
      <c r="GF25" s="46"/>
      <c r="GG25" s="46"/>
      <c r="GH25" s="46"/>
      <c r="GI25" s="46"/>
      <c r="GJ25" s="46"/>
      <c r="GK25" s="46"/>
      <c r="GN25" s="46"/>
      <c r="GO25" s="46"/>
      <c r="GP25" s="46"/>
      <c r="GQ25" s="46"/>
      <c r="GR25" s="46"/>
      <c r="GV25" s="46"/>
      <c r="GW25" s="46"/>
      <c r="GX25" s="46"/>
      <c r="GY25" s="46"/>
      <c r="HC25" s="46"/>
      <c r="HD25" s="46"/>
      <c r="HE25" s="46"/>
      <c r="HF25" s="46"/>
      <c r="HI25" s="46"/>
      <c r="HJ25" s="46"/>
      <c r="HK25" s="46"/>
      <c r="HL25" s="46"/>
      <c r="HM25" s="46"/>
      <c r="HN25" s="46"/>
      <c r="HO25" s="46"/>
      <c r="HR25" s="46"/>
      <c r="HS25" s="46"/>
      <c r="HT25" s="46"/>
      <c r="HU25" s="46"/>
      <c r="HV25" s="46"/>
      <c r="HW25" s="46"/>
      <c r="HZ25" s="46"/>
      <c r="IA25" s="46"/>
      <c r="IB25" s="46"/>
      <c r="IC25" s="46"/>
      <c r="IE25" s="46"/>
      <c r="IF25" s="46"/>
      <c r="IG25" s="46"/>
      <c r="IH25" s="46"/>
      <c r="IK25" s="46"/>
      <c r="IL25" s="46"/>
      <c r="IO25" s="46"/>
      <c r="IP25" s="46"/>
      <c r="IS25" s="43"/>
      <c r="IT25" s="43"/>
      <c r="IU25" s="43"/>
      <c r="IX25" s="46"/>
      <c r="IY25" s="46"/>
      <c r="IZ25" s="46"/>
      <c r="JA25" s="46"/>
      <c r="JD25" s="46"/>
      <c r="JE25" s="46"/>
      <c r="JH25" s="46"/>
      <c r="JI25" s="46"/>
      <c r="JJ25" s="46"/>
      <c r="JM25" s="46"/>
      <c r="JN25" s="46"/>
      <c r="JQ25" s="46"/>
      <c r="JR25" s="46"/>
      <c r="JS25" s="46"/>
      <c r="JV25" s="46"/>
      <c r="JW25" s="46"/>
      <c r="JY25" s="46"/>
      <c r="JZ25" s="46"/>
      <c r="KB25" s="46"/>
      <c r="KC25" s="46"/>
      <c r="KD25" s="46"/>
    </row>
    <row r="26" spans="1:290" x14ac:dyDescent="0.25">
      <c r="A26" s="226" t="e">
        <f>+B13+B15+B17+B19+B21</f>
        <v>#VALUE!</v>
      </c>
      <c r="B26" s="11" t="s">
        <v>150</v>
      </c>
      <c r="C26" s="12"/>
      <c r="D26" s="44">
        <f t="shared" ref="D26:AI26" si="62">D13+D15+D17+D19+D21</f>
        <v>0</v>
      </c>
      <c r="E26" s="44">
        <f t="shared" si="62"/>
        <v>0</v>
      </c>
      <c r="F26" s="44">
        <f t="shared" si="62"/>
        <v>0</v>
      </c>
      <c r="G26" s="44">
        <f t="shared" si="62"/>
        <v>0</v>
      </c>
      <c r="H26" s="44">
        <f t="shared" si="62"/>
        <v>0</v>
      </c>
      <c r="I26" s="44">
        <f t="shared" si="62"/>
        <v>381.03000000000003</v>
      </c>
      <c r="J26" s="44">
        <f t="shared" si="62"/>
        <v>501.79169999999993</v>
      </c>
      <c r="K26" s="44">
        <f t="shared" si="62"/>
        <v>578.82539999999995</v>
      </c>
      <c r="L26" s="44">
        <f t="shared" si="62"/>
        <v>634.52289999999994</v>
      </c>
      <c r="M26" s="44">
        <f t="shared" si="62"/>
        <v>2096.17</v>
      </c>
      <c r="N26" s="44">
        <f t="shared" si="62"/>
        <v>422.15170000000001</v>
      </c>
      <c r="O26" s="44">
        <f t="shared" si="62"/>
        <v>631.90859999999998</v>
      </c>
      <c r="P26" s="44">
        <f t="shared" si="62"/>
        <v>663.83870000000002</v>
      </c>
      <c r="Q26" s="44">
        <f t="shared" si="62"/>
        <v>750.72089999999992</v>
      </c>
      <c r="R26" s="44">
        <f t="shared" si="62"/>
        <v>2468.6198999999997</v>
      </c>
      <c r="S26" s="44">
        <f t="shared" si="62"/>
        <v>532.85419999999999</v>
      </c>
      <c r="T26" s="44">
        <f t="shared" si="62"/>
        <v>695.63599999999997</v>
      </c>
      <c r="U26" s="44">
        <f t="shared" si="62"/>
        <v>783.3297</v>
      </c>
      <c r="V26" s="44">
        <f t="shared" si="62"/>
        <v>849.57760000000007</v>
      </c>
      <c r="W26" s="44">
        <f t="shared" si="62"/>
        <v>2861.3975</v>
      </c>
      <c r="X26" s="44">
        <f t="shared" si="62"/>
        <v>613.14329999999984</v>
      </c>
      <c r="Y26" s="44">
        <f t="shared" si="62"/>
        <v>811.94810000000007</v>
      </c>
      <c r="Z26" s="44">
        <f t="shared" si="62"/>
        <v>876.63969999999995</v>
      </c>
      <c r="AA26" s="44">
        <f t="shared" si="62"/>
        <v>1047.2048</v>
      </c>
      <c r="AB26" s="44">
        <f t="shared" si="62"/>
        <v>3348.9358999999995</v>
      </c>
      <c r="AC26" s="44">
        <f t="shared" si="62"/>
        <v>678.14460000000008</v>
      </c>
      <c r="AD26" s="44">
        <f t="shared" si="62"/>
        <v>920.82290000000012</v>
      </c>
      <c r="AE26" s="44">
        <f t="shared" si="62"/>
        <v>937.74799999999993</v>
      </c>
      <c r="AF26" s="44">
        <f t="shared" si="62"/>
        <v>1014.9132000000001</v>
      </c>
      <c r="AG26" s="44">
        <f t="shared" si="62"/>
        <v>3551.6287000000007</v>
      </c>
      <c r="AH26" s="44">
        <f t="shared" si="62"/>
        <v>682.01239999999996</v>
      </c>
      <c r="AI26" s="44">
        <f t="shared" si="62"/>
        <v>846.5335</v>
      </c>
      <c r="AJ26" s="44">
        <f t="shared" ref="AJ26:BO26" si="63">AJ13+AJ15+AJ17+AJ19+AJ21</f>
        <v>985.07400000000007</v>
      </c>
      <c r="AK26" s="44">
        <f t="shared" si="63"/>
        <v>2513.6199000000006</v>
      </c>
      <c r="AL26" s="44">
        <f t="shared" si="63"/>
        <v>988.21859999999992</v>
      </c>
      <c r="AM26" s="44">
        <f t="shared" si="63"/>
        <v>749.56540000000007</v>
      </c>
      <c r="AN26" s="44">
        <f t="shared" si="63"/>
        <v>922.63530000000003</v>
      </c>
      <c r="AO26" s="44">
        <f t="shared" si="63"/>
        <v>1040</v>
      </c>
      <c r="AP26" s="44">
        <f t="shared" si="63"/>
        <v>3700.39</v>
      </c>
      <c r="AQ26" s="44">
        <f t="shared" si="63"/>
        <v>1003.01</v>
      </c>
      <c r="AR26" s="44">
        <f t="shared" si="63"/>
        <v>911.1</v>
      </c>
      <c r="AS26" s="44">
        <f t="shared" si="63"/>
        <v>1080.57</v>
      </c>
      <c r="AT26" s="44">
        <f t="shared" si="63"/>
        <v>1184.5</v>
      </c>
      <c r="AU26" s="44">
        <f t="shared" si="63"/>
        <v>4179.18</v>
      </c>
      <c r="AV26" s="44">
        <f t="shared" si="63"/>
        <v>1160.02</v>
      </c>
      <c r="AW26" s="44">
        <f t="shared" si="63"/>
        <v>1075.96</v>
      </c>
      <c r="AX26" s="44">
        <f t="shared" si="63"/>
        <v>1234.7699999999998</v>
      </c>
      <c r="AY26" s="44">
        <f t="shared" si="63"/>
        <v>1329.01</v>
      </c>
      <c r="AZ26" s="44">
        <f t="shared" si="63"/>
        <v>4827.42</v>
      </c>
      <c r="BA26" s="44">
        <f t="shared" si="63"/>
        <v>1269.47</v>
      </c>
      <c r="BB26" s="44">
        <f t="shared" si="63"/>
        <v>1094.0899999999999</v>
      </c>
      <c r="BC26" s="44">
        <f t="shared" si="63"/>
        <v>1152.3899999999999</v>
      </c>
      <c r="BD26" s="44">
        <f t="shared" si="63"/>
        <v>1157.06</v>
      </c>
      <c r="BE26" s="44">
        <f t="shared" si="63"/>
        <v>4676.8600000000006</v>
      </c>
      <c r="BF26" s="44">
        <f t="shared" si="63"/>
        <v>936.76</v>
      </c>
      <c r="BG26" s="44">
        <f t="shared" si="63"/>
        <v>1118.9299999999998</v>
      </c>
      <c r="BH26" s="44">
        <f t="shared" si="63"/>
        <v>1442.24</v>
      </c>
      <c r="BI26" s="44">
        <f t="shared" si="63"/>
        <v>1574.8200000000002</v>
      </c>
      <c r="BJ26" s="44">
        <f t="shared" si="63"/>
        <v>5072.8100000000004</v>
      </c>
      <c r="BK26" s="44">
        <f t="shared" si="63"/>
        <v>1120.07</v>
      </c>
      <c r="BL26" s="44">
        <f t="shared" si="63"/>
        <v>1617.75</v>
      </c>
      <c r="BM26" s="44">
        <f t="shared" si="63"/>
        <v>1627.2299999999998</v>
      </c>
      <c r="BN26" s="44">
        <f t="shared" si="63"/>
        <v>2165.6600000000003</v>
      </c>
      <c r="BO26" s="44">
        <f t="shared" si="63"/>
        <v>6530.71</v>
      </c>
      <c r="BP26" s="44">
        <f t="shared" ref="BP26:CI26" si="64">BP13+BP15+BP17+BP19+BP21</f>
        <v>1937.0700000000002</v>
      </c>
      <c r="BQ26" s="44">
        <f t="shared" si="64"/>
        <v>1939.47</v>
      </c>
      <c r="BR26" s="44">
        <f t="shared" si="64"/>
        <v>2007.3500000000001</v>
      </c>
      <c r="BS26" s="44">
        <f t="shared" si="64"/>
        <v>2118.0200000000004</v>
      </c>
      <c r="BT26" s="44">
        <f t="shared" si="64"/>
        <v>8001.91</v>
      </c>
      <c r="BU26" s="44">
        <f t="shared" si="64"/>
        <v>2046.99</v>
      </c>
      <c r="BV26" s="44">
        <f t="shared" si="64"/>
        <v>1952.46</v>
      </c>
      <c r="BW26" s="44">
        <f t="shared" si="64"/>
        <v>2070.2599999999998</v>
      </c>
      <c r="BX26" s="44">
        <f t="shared" si="64"/>
        <v>2517.2200000000003</v>
      </c>
      <c r="BY26" s="44">
        <f t="shared" si="64"/>
        <v>8586.6899999999987</v>
      </c>
      <c r="BZ26" s="44">
        <f t="shared" si="64"/>
        <v>2249.02</v>
      </c>
      <c r="CA26" s="44">
        <f t="shared" si="64"/>
        <v>1953.7199999999998</v>
      </c>
      <c r="CB26" s="44">
        <f t="shared" si="64"/>
        <v>2201.06</v>
      </c>
      <c r="CC26" s="44">
        <f t="shared" si="64"/>
        <v>2609.54</v>
      </c>
      <c r="CD26" s="44">
        <f t="shared" si="64"/>
        <v>9013.510000000002</v>
      </c>
      <c r="CE26" s="44">
        <f t="shared" si="64"/>
        <v>2290.33</v>
      </c>
      <c r="CF26" s="44">
        <f t="shared" si="64"/>
        <v>2096.4699999999998</v>
      </c>
      <c r="CG26" s="44">
        <f t="shared" si="64"/>
        <v>2357.7600000000002</v>
      </c>
      <c r="CH26" s="44">
        <f t="shared" si="64"/>
        <v>2905.53</v>
      </c>
      <c r="CI26" s="44">
        <f t="shared" si="64"/>
        <v>9664.4700000000012</v>
      </c>
      <c r="CJ26" s="44"/>
      <c r="CK26" s="44"/>
      <c r="CL26" s="44"/>
      <c r="CM26" s="44"/>
      <c r="CN26" s="44"/>
      <c r="CO26" s="45"/>
      <c r="CP26" s="45"/>
      <c r="CQ26" s="6"/>
      <c r="CR26" s="6"/>
      <c r="CS26" s="6"/>
      <c r="CT26" s="44">
        <f t="shared" si="26"/>
        <v>3348.9358999999995</v>
      </c>
      <c r="CU26" s="44">
        <f t="shared" si="27"/>
        <v>3551.6287000000007</v>
      </c>
      <c r="CV26" s="44">
        <f t="shared" si="28"/>
        <v>2513.6199000000006</v>
      </c>
      <c r="CW26" s="44">
        <f t="shared" si="29"/>
        <v>3700.39</v>
      </c>
      <c r="CX26" s="44">
        <f t="shared" si="30"/>
        <v>4179.18</v>
      </c>
      <c r="CY26" s="44">
        <f t="shared" si="31"/>
        <v>4827.42</v>
      </c>
      <c r="CZ26" s="44">
        <f t="shared" si="32"/>
        <v>4676.8600000000006</v>
      </c>
      <c r="DA26" s="44">
        <f t="shared" si="33"/>
        <v>5072.8100000000004</v>
      </c>
      <c r="DB26" s="44">
        <f t="shared" si="34"/>
        <v>6530.71</v>
      </c>
      <c r="DC26" s="44">
        <f t="shared" si="35"/>
        <v>8001.91</v>
      </c>
      <c r="DD26" s="44">
        <f t="shared" si="36"/>
        <v>8586.6899999999987</v>
      </c>
      <c r="DE26" s="44">
        <f t="shared" si="37"/>
        <v>9013.510000000002</v>
      </c>
      <c r="DF26" s="44">
        <f t="shared" si="38"/>
        <v>9664.4700000000012</v>
      </c>
      <c r="DG26" s="44">
        <f t="shared" si="38"/>
        <v>0</v>
      </c>
      <c r="DH26" s="44">
        <f t="shared" si="38"/>
        <v>0</v>
      </c>
      <c r="DI26" s="44"/>
      <c r="DK26" s="44"/>
      <c r="DL26" s="44"/>
      <c r="DM26" s="6"/>
      <c r="DN26" s="44"/>
      <c r="DO26" s="44"/>
      <c r="DQ26" s="44"/>
      <c r="DR26" s="44"/>
      <c r="DS26" s="44"/>
      <c r="DT26" s="44"/>
      <c r="DV26" s="44"/>
      <c r="DW26" s="44"/>
      <c r="DX26" s="44"/>
      <c r="EA26" s="44">
        <v>0</v>
      </c>
      <c r="EB26" s="44">
        <v>0</v>
      </c>
      <c r="EC26" s="44">
        <v>0</v>
      </c>
      <c r="ED26" s="44"/>
      <c r="EE26" s="44"/>
      <c r="EF26" s="44"/>
      <c r="EJ26" s="44">
        <v>0</v>
      </c>
      <c r="EK26" s="44">
        <v>0</v>
      </c>
      <c r="EL26" s="44"/>
      <c r="EM26" s="44"/>
      <c r="EN26" s="44"/>
      <c r="EP26" s="44">
        <v>0</v>
      </c>
      <c r="EQ26" s="44"/>
      <c r="ER26" s="44"/>
      <c r="ES26" s="44"/>
      <c r="EV26" s="44"/>
      <c r="EW26" s="44"/>
      <c r="EX26" s="44"/>
      <c r="EY26" s="44"/>
      <c r="EZ26" s="44"/>
      <c r="FA26" s="44"/>
      <c r="FD26" s="44"/>
      <c r="FE26" s="44"/>
      <c r="FF26" s="44"/>
      <c r="FG26" s="44"/>
      <c r="FH26" s="44"/>
      <c r="FK26" s="44"/>
      <c r="FL26" s="44"/>
      <c r="FO26" s="44"/>
      <c r="FP26" s="44"/>
      <c r="FQ26" s="44"/>
      <c r="FR26" s="44"/>
      <c r="FU26" s="44"/>
      <c r="FV26" s="44">
        <v>4774.8666600877696</v>
      </c>
      <c r="FW26" s="44"/>
      <c r="FX26" s="44"/>
      <c r="FY26" s="44"/>
      <c r="GA26" s="44"/>
      <c r="GB26" s="44"/>
      <c r="GC26" s="44"/>
      <c r="GF26" s="44"/>
      <c r="GG26" s="44"/>
      <c r="GH26" s="44"/>
      <c r="GI26" s="44"/>
      <c r="GJ26" s="44"/>
      <c r="GK26" s="44"/>
      <c r="GN26" s="44"/>
      <c r="GO26" s="44"/>
      <c r="GP26" s="44"/>
      <c r="GQ26" s="44"/>
      <c r="GR26" s="44"/>
      <c r="GV26" s="44"/>
      <c r="GW26" s="44"/>
      <c r="GX26" s="44"/>
      <c r="GY26" s="44"/>
      <c r="HC26" s="44"/>
      <c r="HD26" s="44"/>
      <c r="HE26" s="44"/>
      <c r="HF26" s="44"/>
      <c r="HI26" s="44"/>
      <c r="HJ26" s="44"/>
      <c r="HK26" s="44"/>
      <c r="HL26" s="44"/>
      <c r="HM26" s="44"/>
      <c r="HN26" s="44"/>
      <c r="HO26" s="44"/>
      <c r="HR26" s="44"/>
      <c r="HS26" s="44"/>
      <c r="HT26" s="44"/>
      <c r="HU26" s="44"/>
      <c r="HV26" s="44"/>
      <c r="HW26" s="44"/>
      <c r="HZ26" s="44"/>
      <c r="IA26" s="44"/>
      <c r="IB26" s="44"/>
      <c r="IC26" s="44"/>
      <c r="IE26" s="44"/>
      <c r="IF26" s="44"/>
      <c r="IG26" s="44"/>
      <c r="IH26" s="44"/>
      <c r="IK26" s="44"/>
      <c r="IL26" s="44"/>
      <c r="IO26" s="44"/>
      <c r="IP26" s="44"/>
      <c r="IS26" s="46"/>
      <c r="IT26" s="46"/>
      <c r="IU26" s="46"/>
      <c r="IX26" s="44"/>
      <c r="IY26" s="44"/>
      <c r="IZ26" s="44"/>
      <c r="JA26" s="44"/>
      <c r="JD26" s="44"/>
      <c r="JE26" s="44"/>
      <c r="JH26" s="44"/>
      <c r="JI26" s="44"/>
      <c r="JJ26" s="44"/>
      <c r="JM26" s="44"/>
      <c r="JN26" s="44"/>
      <c r="JQ26" s="44"/>
      <c r="JR26" s="44"/>
      <c r="JS26" s="44"/>
      <c r="JV26" s="44"/>
      <c r="JW26" s="44"/>
      <c r="JY26" s="44"/>
      <c r="JZ26" s="44"/>
      <c r="KB26" s="44"/>
      <c r="KC26" s="44"/>
      <c r="KD26" s="44"/>
    </row>
    <row r="27" spans="1:290" x14ac:dyDescent="0.25">
      <c r="A27" s="7" t="s">
        <v>260</v>
      </c>
      <c r="B27" s="47" t="s">
        <v>143</v>
      </c>
      <c r="C27" s="46"/>
      <c r="D27" s="46" t="e">
        <f t="shared" ref="D27:BO27" si="65">D26/D$6</f>
        <v>#DIV/0!</v>
      </c>
      <c r="E27" s="46" t="e">
        <f t="shared" si="65"/>
        <v>#DIV/0!</v>
      </c>
      <c r="F27" s="46" t="e">
        <f t="shared" si="65"/>
        <v>#DIV/0!</v>
      </c>
      <c r="G27" s="46" t="e">
        <f t="shared" si="65"/>
        <v>#DIV/0!</v>
      </c>
      <c r="H27" s="46" t="e">
        <f>H26/H$6</f>
        <v>#DIV/0!</v>
      </c>
      <c r="I27" s="46">
        <f t="shared" si="65"/>
        <v>0.87613244424005532</v>
      </c>
      <c r="J27" s="46">
        <f t="shared" si="65"/>
        <v>0.87233744058428442</v>
      </c>
      <c r="K27" s="46">
        <f t="shared" si="65"/>
        <v>0.88542481546555729</v>
      </c>
      <c r="L27" s="46">
        <f t="shared" si="65"/>
        <v>0.86597355798428821</v>
      </c>
      <c r="M27" s="46">
        <f>M26/M$6</f>
        <v>0.87465032471680704</v>
      </c>
      <c r="N27" s="46">
        <f t="shared" si="65"/>
        <v>0.89265475915334846</v>
      </c>
      <c r="O27" s="46">
        <f t="shared" si="65"/>
        <v>0.88646624768531512</v>
      </c>
      <c r="P27" s="46">
        <f t="shared" si="65"/>
        <v>0.87510911861163421</v>
      </c>
      <c r="Q27" s="46">
        <f t="shared" si="65"/>
        <v>0.82135702959527268</v>
      </c>
      <c r="R27" s="46">
        <f>R26/R$6</f>
        <v>0.86365630212823119</v>
      </c>
      <c r="S27" s="46">
        <f t="shared" si="65"/>
        <v>0.87275615318129685</v>
      </c>
      <c r="T27" s="46">
        <f t="shared" si="65"/>
        <v>0.86309466204321994</v>
      </c>
      <c r="U27" s="46">
        <f t="shared" si="65"/>
        <v>0.86675370389549689</v>
      </c>
      <c r="V27" s="46">
        <f t="shared" si="65"/>
        <v>0.83067265335143614</v>
      </c>
      <c r="W27" s="46">
        <f>W26/W$6</f>
        <v>0.85592922349945666</v>
      </c>
      <c r="X27" s="46">
        <f t="shared" si="65"/>
        <v>0.88094820746668323</v>
      </c>
      <c r="Y27" s="46">
        <f t="shared" si="65"/>
        <v>0.87919766568927293</v>
      </c>
      <c r="Z27" s="46">
        <f t="shared" si="65"/>
        <v>0.88486996402236839</v>
      </c>
      <c r="AA27" s="46">
        <f t="shared" si="65"/>
        <v>0.84807782325530168</v>
      </c>
      <c r="AB27" s="46">
        <f>AB26/AB$6</f>
        <v>0.87098213763237609</v>
      </c>
      <c r="AC27" s="46">
        <f t="shared" si="65"/>
        <v>0.90206824886028436</v>
      </c>
      <c r="AD27" s="46">
        <f t="shared" si="65"/>
        <v>0.91382247157425844</v>
      </c>
      <c r="AE27" s="46">
        <f t="shared" si="65"/>
        <v>0.87309830125572796</v>
      </c>
      <c r="AF27" s="46">
        <f t="shared" si="65"/>
        <v>0.81408567271967736</v>
      </c>
      <c r="AG27" s="46">
        <f t="shared" si="65"/>
        <v>0.87046219855563678</v>
      </c>
      <c r="AH27" s="46">
        <f t="shared" si="65"/>
        <v>0.88622794329855581</v>
      </c>
      <c r="AI27" s="46">
        <f t="shared" si="65"/>
        <v>0.84867394054544965</v>
      </c>
      <c r="AJ27" s="46">
        <f t="shared" si="65"/>
        <v>0.82680465517323865</v>
      </c>
      <c r="AK27" s="46">
        <f t="shared" si="65"/>
        <v>0.84963551242813662</v>
      </c>
      <c r="AL27" s="46">
        <f>AL26/AL$6</f>
        <v>0.83419049675522705</v>
      </c>
      <c r="AM27" s="46">
        <f>AM26/AM$6</f>
        <v>0.85351712886175701</v>
      </c>
      <c r="AN27" s="46">
        <f>AN26/AN$6</f>
        <v>0.83670836324486053</v>
      </c>
      <c r="AO27" s="46">
        <f>AO26/AO$6</f>
        <v>0.81083398953712282</v>
      </c>
      <c r="AP27" s="46">
        <f t="shared" si="65"/>
        <v>0.829263646672314</v>
      </c>
      <c r="AQ27" s="46">
        <f t="shared" si="65"/>
        <v>0.8634281975793261</v>
      </c>
      <c r="AR27" s="46">
        <f t="shared" si="65"/>
        <v>0.86355278372793975</v>
      </c>
      <c r="AS27" s="46">
        <f t="shared" si="65"/>
        <v>0.84531800046937333</v>
      </c>
      <c r="AT27" s="46">
        <f t="shared" si="65"/>
        <v>0.80509223386756934</v>
      </c>
      <c r="AU27" s="46">
        <f t="shared" si="65"/>
        <v>0.84150945675745881</v>
      </c>
      <c r="AV27" s="46">
        <f t="shared" si="65"/>
        <v>0.86201336097673342</v>
      </c>
      <c r="AW27" s="46">
        <f t="shared" si="65"/>
        <v>0.87099698863452379</v>
      </c>
      <c r="AX27" s="46">
        <f t="shared" si="65"/>
        <v>0.87290657806369498</v>
      </c>
      <c r="AY27" s="46">
        <f t="shared" si="65"/>
        <v>0.86811765551208098</v>
      </c>
      <c r="AZ27" s="46">
        <f t="shared" si="65"/>
        <v>0.86884888888088974</v>
      </c>
      <c r="BA27" s="46">
        <f t="shared" si="65"/>
        <v>0.88351951827387032</v>
      </c>
      <c r="BB27" s="46">
        <f t="shared" si="65"/>
        <v>0.85435733250039025</v>
      </c>
      <c r="BC27" s="46">
        <f t="shared" si="65"/>
        <v>0.83912707890367866</v>
      </c>
      <c r="BD27" s="46">
        <f t="shared" si="65"/>
        <v>0.80885570678578667</v>
      </c>
      <c r="BE27" s="46">
        <f t="shared" si="65"/>
        <v>0.84855775336838712</v>
      </c>
      <c r="BF27" s="46">
        <f t="shared" si="65"/>
        <v>0.88886780278589583</v>
      </c>
      <c r="BG27" s="46">
        <f t="shared" si="65"/>
        <v>0.81389749632668484</v>
      </c>
      <c r="BH27" s="46">
        <f t="shared" si="65"/>
        <v>0.78221065191452432</v>
      </c>
      <c r="BI27" s="46">
        <f t="shared" si="65"/>
        <v>0.75545790779002109</v>
      </c>
      <c r="BJ27" s="46">
        <f t="shared" si="65"/>
        <v>0.79798051300443917</v>
      </c>
      <c r="BK27" s="46">
        <f t="shared" si="65"/>
        <v>0.83457767048164044</v>
      </c>
      <c r="BL27" s="46">
        <f t="shared" si="65"/>
        <v>0.83884700343264851</v>
      </c>
      <c r="BM27" s="46">
        <f t="shared" si="65"/>
        <v>0.83657479525579526</v>
      </c>
      <c r="BN27" s="46">
        <f t="shared" si="65"/>
        <v>0.84692365149447235</v>
      </c>
      <c r="BO27" s="46">
        <f t="shared" si="65"/>
        <v>0.84019828067548208</v>
      </c>
      <c r="BP27" s="46">
        <f t="shared" ref="BP27:CD27" si="66">BP26/BP$6</f>
        <v>0.87809952946082925</v>
      </c>
      <c r="BQ27" s="46">
        <f t="shared" si="66"/>
        <v>0.92948816256110423</v>
      </c>
      <c r="BR27" s="46">
        <f t="shared" si="66"/>
        <v>0.86871567613417522</v>
      </c>
      <c r="BS27" s="46">
        <f t="shared" si="66"/>
        <v>0.81515606358003323</v>
      </c>
      <c r="BT27" s="46">
        <f t="shared" si="66"/>
        <v>0.86963198351571325</v>
      </c>
      <c r="BU27" s="46">
        <f t="shared" si="66"/>
        <v>0.86422666745476195</v>
      </c>
      <c r="BV27" s="46">
        <f t="shared" si="66"/>
        <v>0.84570037553764255</v>
      </c>
      <c r="BW27" s="46">
        <f t="shared" si="66"/>
        <v>0.84531460536523617</v>
      </c>
      <c r="BX27" s="46">
        <f t="shared" si="66"/>
        <v>0.83687235902908697</v>
      </c>
      <c r="BY27" s="46">
        <f t="shared" si="66"/>
        <v>0.84729324094704483</v>
      </c>
      <c r="BZ27" s="46">
        <f t="shared" si="66"/>
        <v>0.85308096421188384</v>
      </c>
      <c r="CA27" s="46">
        <f t="shared" si="66"/>
        <v>0.85955256384874279</v>
      </c>
      <c r="CB27" s="46">
        <f t="shared" si="66"/>
        <v>0.87695826095271479</v>
      </c>
      <c r="CC27" s="46">
        <f t="shared" si="66"/>
        <v>0.8620679402854905</v>
      </c>
      <c r="CD27" s="46">
        <f t="shared" si="66"/>
        <v>0.86284647600813713</v>
      </c>
      <c r="CE27" s="46">
        <f>CE26/CE$6</f>
        <v>0.8777867630432199</v>
      </c>
      <c r="CF27" s="46">
        <f>CF26/CF$6</f>
        <v>0.87576601904029872</v>
      </c>
      <c r="CG27" s="46">
        <f t="shared" ref="CG27:CI27" si="67">CG26/CG$6</f>
        <v>0.87748889070838954</v>
      </c>
      <c r="CH27" s="46">
        <f t="shared" si="67"/>
        <v>0.82364230112879366</v>
      </c>
      <c r="CI27" s="46">
        <f t="shared" si="67"/>
        <v>0.8615391061253308</v>
      </c>
      <c r="CJ27" s="46"/>
      <c r="CK27" s="46"/>
      <c r="CL27" s="46"/>
      <c r="CM27" s="46"/>
      <c r="CN27" s="46"/>
      <c r="CO27" s="20"/>
      <c r="CP27" s="20"/>
      <c r="CQ27" s="6"/>
      <c r="CR27" s="6"/>
      <c r="CS27" s="6"/>
      <c r="CT27" s="46">
        <f t="shared" si="26"/>
        <v>0.87098213763237609</v>
      </c>
      <c r="CU27" s="46">
        <f t="shared" si="27"/>
        <v>0.87046219855563678</v>
      </c>
      <c r="CV27" s="46">
        <f t="shared" si="28"/>
        <v>0.84963551242813662</v>
      </c>
      <c r="CW27" s="46">
        <f t="shared" si="29"/>
        <v>0.829263646672314</v>
      </c>
      <c r="CX27" s="46">
        <f t="shared" si="30"/>
        <v>0.84150945675745881</v>
      </c>
      <c r="CY27" s="46">
        <f t="shared" si="31"/>
        <v>0.86884888888088974</v>
      </c>
      <c r="CZ27" s="46">
        <f t="shared" si="32"/>
        <v>0.84855775336838712</v>
      </c>
      <c r="DA27" s="46">
        <f t="shared" si="33"/>
        <v>0.79798051300443917</v>
      </c>
      <c r="DB27" s="46">
        <f t="shared" si="34"/>
        <v>0.84019828067548208</v>
      </c>
      <c r="DC27" s="46">
        <f t="shared" si="35"/>
        <v>0.86963198351571325</v>
      </c>
      <c r="DD27" s="46">
        <f t="shared" si="36"/>
        <v>0.84729324094704483</v>
      </c>
      <c r="DE27" s="46">
        <f t="shared" si="37"/>
        <v>0.86284647600813713</v>
      </c>
      <c r="DF27" s="46">
        <f t="shared" si="38"/>
        <v>0.8615391061253308</v>
      </c>
      <c r="DG27" s="46">
        <f t="shared" si="38"/>
        <v>0</v>
      </c>
      <c r="DH27" s="46">
        <f t="shared" si="38"/>
        <v>0</v>
      </c>
      <c r="DI27" s="46"/>
      <c r="DK27" s="46"/>
      <c r="DL27" s="46"/>
      <c r="DM27" s="6"/>
      <c r="DN27" s="46"/>
      <c r="DO27" s="46"/>
      <c r="DQ27" s="46"/>
      <c r="DR27" s="46"/>
      <c r="DS27" s="46"/>
      <c r="DT27" s="46"/>
      <c r="DV27" s="46"/>
      <c r="DW27" s="46"/>
      <c r="DX27" s="46"/>
      <c r="EA27" s="46">
        <v>0</v>
      </c>
      <c r="EB27" s="46">
        <v>0</v>
      </c>
      <c r="EC27" s="46">
        <v>0</v>
      </c>
      <c r="ED27" s="46"/>
      <c r="EE27" s="46"/>
      <c r="EF27" s="46"/>
      <c r="EJ27" s="46">
        <v>0</v>
      </c>
      <c r="EK27" s="46">
        <v>0</v>
      </c>
      <c r="EL27" s="46"/>
      <c r="EM27" s="46"/>
      <c r="EN27" s="46"/>
      <c r="EP27" s="46">
        <v>0</v>
      </c>
      <c r="EQ27" s="46"/>
      <c r="ER27" s="46"/>
      <c r="ES27" s="46"/>
      <c r="EV27" s="46"/>
      <c r="EW27" s="46"/>
      <c r="EX27" s="46"/>
      <c r="EY27" s="46"/>
      <c r="EZ27" s="46"/>
      <c r="FA27" s="46"/>
      <c r="FD27" s="46"/>
      <c r="FE27" s="46"/>
      <c r="FF27" s="46"/>
      <c r="FG27" s="46"/>
      <c r="FH27" s="46"/>
      <c r="FK27" s="46"/>
      <c r="FL27" s="46"/>
      <c r="FO27" s="46"/>
      <c r="FP27" s="46"/>
      <c r="FQ27" s="46"/>
      <c r="FR27" s="46"/>
      <c r="FU27" s="46"/>
      <c r="FV27" s="46"/>
      <c r="FW27" s="46"/>
      <c r="FX27" s="46"/>
      <c r="FY27" s="46"/>
      <c r="GA27" s="46"/>
      <c r="GB27" s="46"/>
      <c r="GC27" s="46"/>
      <c r="GF27" s="46"/>
      <c r="GG27" s="46"/>
      <c r="GH27" s="46"/>
      <c r="GI27" s="46"/>
      <c r="GJ27" s="46"/>
      <c r="GK27" s="46"/>
      <c r="GN27" s="46"/>
      <c r="GO27" s="46"/>
      <c r="GP27" s="46"/>
      <c r="GQ27" s="46"/>
      <c r="GR27" s="46"/>
      <c r="GV27" s="46"/>
      <c r="GW27" s="46"/>
      <c r="GX27" s="46"/>
      <c r="GY27" s="46"/>
      <c r="HC27" s="46"/>
      <c r="HD27" s="46"/>
      <c r="HE27" s="46"/>
      <c r="HF27" s="46"/>
      <c r="HI27" s="46"/>
      <c r="HJ27" s="46"/>
      <c r="HK27" s="46"/>
      <c r="HL27" s="46"/>
      <c r="HM27" s="46"/>
      <c r="HN27" s="46"/>
      <c r="HO27" s="46"/>
      <c r="HR27" s="46"/>
      <c r="HS27" s="46"/>
      <c r="HT27" s="46"/>
      <c r="HU27" s="46"/>
      <c r="HV27" s="46"/>
      <c r="HW27" s="46"/>
      <c r="HZ27" s="46"/>
      <c r="IA27" s="46"/>
      <c r="IB27" s="46"/>
      <c r="IC27" s="46"/>
      <c r="IE27" s="46"/>
      <c r="IF27" s="46"/>
      <c r="IG27" s="46"/>
      <c r="IH27" s="46"/>
      <c r="IK27" s="46"/>
      <c r="IL27" s="46"/>
      <c r="IO27" s="46"/>
      <c r="IP27" s="46"/>
      <c r="IS27" s="33">
        <v>1535.9478379999998</v>
      </c>
      <c r="IT27" s="33">
        <v>1964.2955492799997</v>
      </c>
      <c r="IU27" s="33">
        <v>2250.9899753407999</v>
      </c>
      <c r="IX27" s="46"/>
      <c r="IY27" s="46"/>
      <c r="IZ27" s="46"/>
      <c r="JA27" s="46"/>
      <c r="JD27" s="46"/>
      <c r="JE27" s="46"/>
      <c r="JH27" s="46"/>
      <c r="JI27" s="46"/>
      <c r="JJ27" s="46"/>
      <c r="JM27" s="46"/>
      <c r="JN27" s="46"/>
      <c r="JQ27" s="46"/>
      <c r="JR27" s="46"/>
      <c r="JS27" s="46"/>
      <c r="JV27" s="46"/>
      <c r="JW27" s="46"/>
      <c r="JY27" s="46"/>
      <c r="JZ27" s="46"/>
      <c r="KB27" s="46"/>
      <c r="KC27" s="46"/>
      <c r="KD27" s="46"/>
    </row>
    <row r="28" spans="1:290" x14ac:dyDescent="0.25">
      <c r="A28" s="226" t="e">
        <f>+B9-B26</f>
        <v>#VALUE!</v>
      </c>
      <c r="B28" s="34" t="s">
        <v>151</v>
      </c>
      <c r="C28" s="35"/>
      <c r="D28" s="35">
        <f t="shared" ref="D28:AI28" si="68">D9-D26</f>
        <v>0</v>
      </c>
      <c r="E28" s="35">
        <f t="shared" si="68"/>
        <v>0</v>
      </c>
      <c r="F28" s="35">
        <f t="shared" si="68"/>
        <v>0</v>
      </c>
      <c r="G28" s="35">
        <f t="shared" si="68"/>
        <v>0</v>
      </c>
      <c r="H28" s="36">
        <f t="shared" si="68"/>
        <v>0</v>
      </c>
      <c r="I28" s="35">
        <f t="shared" si="68"/>
        <v>56.729999999999961</v>
      </c>
      <c r="J28" s="35">
        <f t="shared" si="68"/>
        <v>79.339200000000062</v>
      </c>
      <c r="K28" s="35">
        <f t="shared" si="68"/>
        <v>83.680500000000052</v>
      </c>
      <c r="L28" s="35">
        <f t="shared" si="68"/>
        <v>113.91070000000002</v>
      </c>
      <c r="M28" s="36">
        <f t="shared" si="68"/>
        <v>333.66039999999975</v>
      </c>
      <c r="N28" s="35">
        <f t="shared" si="68"/>
        <v>58.282100000000014</v>
      </c>
      <c r="O28" s="35">
        <f t="shared" si="68"/>
        <v>89.390699999999924</v>
      </c>
      <c r="P28" s="35">
        <f t="shared" si="68"/>
        <v>104.71220000000005</v>
      </c>
      <c r="Q28" s="35">
        <f t="shared" si="68"/>
        <v>175.58850000000007</v>
      </c>
      <c r="R28" s="36">
        <f t="shared" si="68"/>
        <v>427.97350000000006</v>
      </c>
      <c r="S28" s="35">
        <f t="shared" si="68"/>
        <v>84.78469999999993</v>
      </c>
      <c r="T28" s="35">
        <f t="shared" si="68"/>
        <v>119.35090000000002</v>
      </c>
      <c r="U28" s="35">
        <f t="shared" si="68"/>
        <v>134.34910000000002</v>
      </c>
      <c r="V28" s="35">
        <f t="shared" si="68"/>
        <v>188.10759999999982</v>
      </c>
      <c r="W28" s="36">
        <f t="shared" si="68"/>
        <v>526.5922999999998</v>
      </c>
      <c r="X28" s="35">
        <f t="shared" si="68"/>
        <v>91.997000000000071</v>
      </c>
      <c r="Y28" s="35">
        <f t="shared" si="68"/>
        <v>124.10389999999984</v>
      </c>
      <c r="Z28" s="35">
        <f t="shared" si="68"/>
        <v>128.59040000000005</v>
      </c>
      <c r="AA28" s="35">
        <f t="shared" si="68"/>
        <v>208.45690000000013</v>
      </c>
      <c r="AB28" s="36">
        <f t="shared" si="68"/>
        <v>553.14820000000009</v>
      </c>
      <c r="AC28" s="35">
        <f t="shared" si="68"/>
        <v>81.406499999999937</v>
      </c>
      <c r="AD28" s="35">
        <f t="shared" si="68"/>
        <v>99.014899999999784</v>
      </c>
      <c r="AE28" s="35">
        <f t="shared" si="68"/>
        <v>144.33029999999997</v>
      </c>
      <c r="AF28" s="35">
        <f t="shared" si="68"/>
        <v>239.48809999999992</v>
      </c>
      <c r="AG28" s="36">
        <f t="shared" si="68"/>
        <v>564.23979999999892</v>
      </c>
      <c r="AH28" s="35">
        <f t="shared" si="68"/>
        <v>90.78430000000003</v>
      </c>
      <c r="AI28" s="35">
        <f t="shared" si="68"/>
        <v>155.10070000000007</v>
      </c>
      <c r="AJ28" s="35">
        <f t="shared" ref="AJ28:BI28" si="69">AJ9-AJ26</f>
        <v>215.23309999999992</v>
      </c>
      <c r="AK28" s="36">
        <f t="shared" si="69"/>
        <v>461.11809999999923</v>
      </c>
      <c r="AL28" s="35">
        <f t="shared" si="69"/>
        <v>201.11670000000004</v>
      </c>
      <c r="AM28" s="35">
        <f t="shared" si="69"/>
        <v>133.31199999999978</v>
      </c>
      <c r="AN28" s="35">
        <f t="shared" si="69"/>
        <v>184.78519999999992</v>
      </c>
      <c r="AO28" s="35">
        <f t="shared" si="69"/>
        <v>242.63000000000011</v>
      </c>
      <c r="AP28" s="36">
        <f t="shared" si="69"/>
        <v>761.87000000000035</v>
      </c>
      <c r="AQ28" s="35">
        <f t="shared" si="69"/>
        <v>158.65000000000009</v>
      </c>
      <c r="AR28" s="35">
        <f t="shared" si="69"/>
        <v>143.95999999999992</v>
      </c>
      <c r="AS28" s="35">
        <f t="shared" si="69"/>
        <v>197.73000000000002</v>
      </c>
      <c r="AT28" s="35">
        <f t="shared" si="69"/>
        <v>286.76</v>
      </c>
      <c r="AU28" s="33">
        <f t="shared" si="69"/>
        <v>787.10999999999967</v>
      </c>
      <c r="AV28" s="35">
        <f t="shared" si="69"/>
        <v>185.69000000000005</v>
      </c>
      <c r="AW28" s="35">
        <f t="shared" si="69"/>
        <v>159.36000000000013</v>
      </c>
      <c r="AX28" s="35">
        <f t="shared" si="69"/>
        <v>179.7800000000002</v>
      </c>
      <c r="AY28" s="35">
        <f t="shared" si="69"/>
        <v>201.90000000000009</v>
      </c>
      <c r="AZ28" s="33">
        <f t="shared" si="69"/>
        <v>728.6899999999996</v>
      </c>
      <c r="BA28" s="35">
        <f t="shared" si="69"/>
        <v>167.36300000000006</v>
      </c>
      <c r="BB28" s="35">
        <f t="shared" si="69"/>
        <v>186.51000000000022</v>
      </c>
      <c r="BC28" s="35">
        <f t="shared" si="69"/>
        <v>220.93000000000006</v>
      </c>
      <c r="BD28" s="35">
        <f t="shared" si="69"/>
        <v>273.43000000000006</v>
      </c>
      <c r="BE28" s="33">
        <f t="shared" si="69"/>
        <v>834.67999999999938</v>
      </c>
      <c r="BF28" s="35">
        <f t="shared" si="69"/>
        <v>117.12000000000012</v>
      </c>
      <c r="BG28" s="35">
        <f t="shared" si="69"/>
        <v>255.85000000000014</v>
      </c>
      <c r="BH28" s="35">
        <f t="shared" si="69"/>
        <v>401.55999999999995</v>
      </c>
      <c r="BI28" s="35">
        <f t="shared" si="69"/>
        <v>509.77</v>
      </c>
      <c r="BJ28" s="33">
        <f>BJ9-BJ26-200</f>
        <v>1084.25</v>
      </c>
      <c r="BK28" s="35">
        <f t="shared" ref="BK28:BZ28" si="70">BK9-BK26</f>
        <v>222.01</v>
      </c>
      <c r="BL28" s="35">
        <f t="shared" si="70"/>
        <v>310.78999999999996</v>
      </c>
      <c r="BM28" s="35">
        <f t="shared" si="70"/>
        <v>317.88000000000011</v>
      </c>
      <c r="BN28" s="35">
        <f t="shared" si="70"/>
        <v>391.42999999999984</v>
      </c>
      <c r="BO28" s="33">
        <f t="shared" si="70"/>
        <v>1242.1099999999997</v>
      </c>
      <c r="BP28" s="35">
        <f t="shared" si="70"/>
        <v>268.90999999999985</v>
      </c>
      <c r="BQ28" s="35">
        <f t="shared" si="70"/>
        <v>147.12999999999988</v>
      </c>
      <c r="BR28" s="35">
        <f t="shared" si="70"/>
        <v>303.3599999999999</v>
      </c>
      <c r="BS28" s="35">
        <f t="shared" si="70"/>
        <v>480.27999999999975</v>
      </c>
      <c r="BT28" s="33">
        <f t="shared" si="70"/>
        <v>1199.58</v>
      </c>
      <c r="BU28" s="35">
        <f t="shared" si="70"/>
        <v>321.58999999999992</v>
      </c>
      <c r="BV28" s="35">
        <f t="shared" si="70"/>
        <v>356.23</v>
      </c>
      <c r="BW28" s="35">
        <f t="shared" si="70"/>
        <v>378.84000000000015</v>
      </c>
      <c r="BX28" s="35">
        <f t="shared" si="70"/>
        <v>490.66999999999962</v>
      </c>
      <c r="BY28" s="33">
        <f t="shared" si="70"/>
        <v>1547.5700000000015</v>
      </c>
      <c r="BZ28" s="35">
        <f t="shared" si="70"/>
        <v>387.32999999999993</v>
      </c>
      <c r="CA28" s="35">
        <f>CA9-CA26+35</f>
        <v>354.23</v>
      </c>
      <c r="CB28" s="35">
        <f t="shared" ref="CB28:CG28" si="71">CB9-CB26</f>
        <v>308.82000000000016</v>
      </c>
      <c r="CC28" s="35">
        <f t="shared" si="71"/>
        <v>417.5300000000002</v>
      </c>
      <c r="CD28" s="33">
        <f t="shared" si="71"/>
        <v>1432.739999999998</v>
      </c>
      <c r="CE28" s="35">
        <f t="shared" si="71"/>
        <v>318.88000000000011</v>
      </c>
      <c r="CF28" s="35">
        <f t="shared" si="71"/>
        <v>297.40000000000009</v>
      </c>
      <c r="CG28" s="35">
        <f t="shared" si="71"/>
        <v>329.17999999999984</v>
      </c>
      <c r="CH28" s="35">
        <f>CH9-CH26-80</f>
        <v>542.12999999999965</v>
      </c>
      <c r="CI28" s="33">
        <f>CI9-CI26</f>
        <v>1553.2099999999991</v>
      </c>
      <c r="CJ28" s="33">
        <f t="shared" ref="CJ28:CK28" si="72">CJ359</f>
        <v>1853.9358990000003</v>
      </c>
      <c r="CK28" s="33">
        <f t="shared" si="72"/>
        <v>2136.3020774699999</v>
      </c>
      <c r="CL28" s="33">
        <f>CL359</f>
        <v>2505.3482303367</v>
      </c>
      <c r="CM28" s="33">
        <f>CM359</f>
        <v>2855.7647114586916</v>
      </c>
      <c r="CN28" s="33">
        <f>CN359</f>
        <v>3127.7157527528811</v>
      </c>
      <c r="CO28" s="38"/>
      <c r="CP28" s="38"/>
      <c r="CQ28" s="39"/>
      <c r="CR28" s="39"/>
      <c r="CS28" s="39"/>
      <c r="CT28" s="36">
        <f t="shared" si="26"/>
        <v>553.14820000000009</v>
      </c>
      <c r="CU28" s="36">
        <f t="shared" si="27"/>
        <v>564.23979999999892</v>
      </c>
      <c r="CV28" s="36">
        <f t="shared" si="28"/>
        <v>461.11809999999923</v>
      </c>
      <c r="CW28" s="36">
        <f t="shared" si="29"/>
        <v>761.87000000000035</v>
      </c>
      <c r="CX28" s="36">
        <f t="shared" si="30"/>
        <v>787.10999999999967</v>
      </c>
      <c r="CY28" s="36">
        <f t="shared" si="31"/>
        <v>728.6899999999996</v>
      </c>
      <c r="CZ28" s="36">
        <f t="shared" si="32"/>
        <v>834.67999999999938</v>
      </c>
      <c r="DA28" s="36">
        <f t="shared" si="33"/>
        <v>1084.25</v>
      </c>
      <c r="DB28" s="36">
        <f t="shared" si="34"/>
        <v>1242.1099999999997</v>
      </c>
      <c r="DC28" s="36">
        <f t="shared" si="35"/>
        <v>1199.58</v>
      </c>
      <c r="DD28" s="36">
        <f t="shared" si="36"/>
        <v>1547.5700000000015</v>
      </c>
      <c r="DE28" s="36">
        <f t="shared" si="37"/>
        <v>1432.739999999998</v>
      </c>
      <c r="DF28" s="36">
        <f t="shared" si="38"/>
        <v>1553.2099999999991</v>
      </c>
      <c r="DG28" s="36">
        <f t="shared" si="38"/>
        <v>1853.9358990000003</v>
      </c>
      <c r="DH28" s="36">
        <f t="shared" si="38"/>
        <v>2136.3020774699999</v>
      </c>
      <c r="DI28" s="33">
        <v>1018.7116623179101</v>
      </c>
      <c r="DK28" s="36">
        <v>813.91622400000006</v>
      </c>
      <c r="DL28" s="36">
        <v>927.86449536000021</v>
      </c>
      <c r="DM28" s="6"/>
      <c r="DN28" s="36">
        <v>864.78598800000009</v>
      </c>
      <c r="DO28" s="36">
        <v>985.85602632000018</v>
      </c>
      <c r="DQ28" s="35">
        <v>236.58110350000001</v>
      </c>
      <c r="DR28" s="33">
        <v>737.61157800000001</v>
      </c>
      <c r="DS28" s="33">
        <v>866.69360415000006</v>
      </c>
      <c r="DT28" s="33">
        <v>1018.7116623179101</v>
      </c>
      <c r="DV28" s="33">
        <v>866.4</v>
      </c>
      <c r="DW28" s="33">
        <v>1018.820166</v>
      </c>
      <c r="DX28" s="33">
        <v>1141.07858592</v>
      </c>
      <c r="EA28" s="35">
        <v>162.37373400000001</v>
      </c>
      <c r="EB28" s="35">
        <v>227.85697499999998</v>
      </c>
      <c r="EC28" s="35">
        <v>287.63132999999999</v>
      </c>
      <c r="ED28" s="33">
        <v>866.4</v>
      </c>
      <c r="EE28" s="33">
        <v>1018.820166</v>
      </c>
      <c r="EF28" s="33">
        <v>1141.07858592</v>
      </c>
      <c r="EJ28" s="35">
        <v>189.82755000000003</v>
      </c>
      <c r="EK28" s="62">
        <v>331.52244999999976</v>
      </c>
      <c r="EL28" s="33">
        <v>866.4</v>
      </c>
      <c r="EM28" s="33">
        <v>1018.820166</v>
      </c>
      <c r="EN28" s="33">
        <v>1141.07858592</v>
      </c>
      <c r="EP28" s="62">
        <v>232.60999999999956</v>
      </c>
      <c r="EQ28" s="33">
        <v>753.30000000000007</v>
      </c>
      <c r="ER28" s="33">
        <v>967.06979999999987</v>
      </c>
      <c r="ES28" s="33">
        <v>1117.055878848</v>
      </c>
      <c r="EV28" s="35">
        <v>205.87370999999999</v>
      </c>
      <c r="EW28" s="35">
        <v>203.82780000000005</v>
      </c>
      <c r="EX28" s="35">
        <v>244.00987499999997</v>
      </c>
      <c r="EY28" s="35">
        <v>266.963325</v>
      </c>
      <c r="EZ28" s="33">
        <v>930</v>
      </c>
      <c r="FA28" s="33">
        <v>1055.55</v>
      </c>
      <c r="FD28" s="35">
        <v>183.44502000000006</v>
      </c>
      <c r="FE28" s="35">
        <v>244.00987499999997</v>
      </c>
      <c r="FF28" s="35">
        <v>266.63737499999991</v>
      </c>
      <c r="FG28" s="33">
        <v>806</v>
      </c>
      <c r="FH28" s="33">
        <v>985.18000000000006</v>
      </c>
      <c r="FK28" s="33">
        <v>823.5</v>
      </c>
      <c r="FL28" s="33">
        <v>969.29000000000008</v>
      </c>
      <c r="FO28" s="35">
        <v>221.51852999999997</v>
      </c>
      <c r="FP28" s="35">
        <v>222.57797399999978</v>
      </c>
      <c r="FQ28" s="33">
        <v>797.96950400000003</v>
      </c>
      <c r="FR28" s="33">
        <v>948.86904531999983</v>
      </c>
      <c r="FU28" s="35">
        <v>181.20662999999968</v>
      </c>
      <c r="FV28" s="33">
        <v>756.00963000000002</v>
      </c>
      <c r="FW28" s="33">
        <v>574.40485400000011</v>
      </c>
      <c r="FX28" s="33">
        <v>811.85022765000031</v>
      </c>
      <c r="FY28" s="33">
        <v>901.05343352244017</v>
      </c>
      <c r="GA28" s="33">
        <v>636.30224799999996</v>
      </c>
      <c r="GB28" s="33">
        <v>881.44703379999987</v>
      </c>
      <c r="GC28" s="33">
        <v>980.82538592800006</v>
      </c>
      <c r="GF28" s="35">
        <v>188.49600000000001</v>
      </c>
      <c r="GG28" s="35">
        <v>202.786</v>
      </c>
      <c r="GH28" s="63">
        <v>222.44187599999992</v>
      </c>
      <c r="GI28" s="33">
        <v>730.84387600000002</v>
      </c>
      <c r="GJ28" s="33">
        <v>998.15032542000006</v>
      </c>
      <c r="GK28" s="33">
        <v>1108.9941640704001</v>
      </c>
      <c r="GN28" s="62">
        <v>325.47153000000003</v>
      </c>
      <c r="GO28" s="62">
        <v>247.43652299999974</v>
      </c>
      <c r="GP28" s="33">
        <v>945.87805300000002</v>
      </c>
      <c r="GQ28" s="33">
        <v>1057.7092394800002</v>
      </c>
      <c r="GR28" s="33">
        <v>1175.4541374896003</v>
      </c>
      <c r="GV28" s="62">
        <v>346.45480399999997</v>
      </c>
      <c r="GW28" s="33">
        <v>1120.9848040000002</v>
      </c>
      <c r="GX28" s="33">
        <v>982.54911083999991</v>
      </c>
      <c r="GY28" s="33">
        <v>1265.5379350839999</v>
      </c>
      <c r="HC28" s="33">
        <v>384.48358050000002</v>
      </c>
      <c r="HD28" s="33">
        <v>1235.1635805000001</v>
      </c>
      <c r="HE28" s="33">
        <v>1262.9552645100002</v>
      </c>
      <c r="HF28" s="33">
        <v>1397.7965045136002</v>
      </c>
      <c r="HG28" s="7">
        <f>HF28*1.1</f>
        <v>1537.5761549649603</v>
      </c>
      <c r="HI28" s="62">
        <v>237.01185999999996</v>
      </c>
      <c r="HJ28" s="62">
        <v>310.39341199999996</v>
      </c>
      <c r="HK28" s="62">
        <v>341.34098999999998</v>
      </c>
      <c r="HL28" s="62">
        <v>116.20036700000003</v>
      </c>
      <c r="HM28" s="33">
        <v>1004.9466289999999</v>
      </c>
      <c r="HN28" s="33">
        <v>1111.5635563000003</v>
      </c>
      <c r="HO28" s="33">
        <v>1209.1284849620001</v>
      </c>
      <c r="HR28" s="62">
        <v>166.282185</v>
      </c>
      <c r="HS28" s="62">
        <v>250.31672600000002</v>
      </c>
      <c r="HT28" s="62">
        <v>319.43771800000002</v>
      </c>
      <c r="HU28" s="33">
        <v>1004.9466289999999</v>
      </c>
      <c r="HV28" s="33">
        <v>1262.5794115000001</v>
      </c>
      <c r="HW28" s="33">
        <v>1392.6127490300003</v>
      </c>
      <c r="HZ28" s="62">
        <v>250.31672600000002</v>
      </c>
      <c r="IA28" s="33">
        <v>1072.594294</v>
      </c>
      <c r="IB28" s="33">
        <v>1299.9181308000002</v>
      </c>
      <c r="IC28" s="33">
        <v>1494.0916823400003</v>
      </c>
      <c r="IE28" s="62">
        <v>351.73366000000033</v>
      </c>
      <c r="IF28" s="33">
        <v>1071.13366</v>
      </c>
      <c r="IG28" s="33">
        <v>1371.4823675999999</v>
      </c>
      <c r="IH28" s="33">
        <v>1579.0234788</v>
      </c>
      <c r="IK28" s="33">
        <v>1371.4823675999999</v>
      </c>
      <c r="IL28" s="33">
        <v>1579.0234788</v>
      </c>
      <c r="IO28" s="33">
        <v>1531.5259019999999</v>
      </c>
      <c r="IP28" s="33">
        <v>1904.5260499200003</v>
      </c>
      <c r="IS28" s="19">
        <v>0.28040467330232244</v>
      </c>
      <c r="IT28" s="19">
        <v>0.27888167858471236</v>
      </c>
      <c r="IU28" s="19">
        <v>0.14595279522263649</v>
      </c>
      <c r="IX28" s="62">
        <v>498.79022999999984</v>
      </c>
      <c r="IY28" s="33">
        <v>1555.4502299999999</v>
      </c>
      <c r="IZ28" s="33">
        <v>2043.4752607999999</v>
      </c>
      <c r="JA28" s="33">
        <v>2342.8384407039998</v>
      </c>
      <c r="JD28" s="33">
        <v>2120.3922950000001</v>
      </c>
      <c r="JE28" s="33">
        <v>2515.3193569999999</v>
      </c>
      <c r="JH28" s="33">
        <v>1920.8029039999999</v>
      </c>
      <c r="JI28" s="33">
        <v>2314.1822008999998</v>
      </c>
      <c r="JJ28" s="33">
        <v>2647.1194252579999</v>
      </c>
      <c r="JM28" s="33">
        <v>2198.6249797399996</v>
      </c>
      <c r="JN28" s="33">
        <v>2514.0168880165998</v>
      </c>
      <c r="JQ28" s="33">
        <v>1455.0254755000001</v>
      </c>
      <c r="JR28" s="33">
        <v>1777.4910213600003</v>
      </c>
      <c r="JS28" s="33">
        <v>2050.2308930820009</v>
      </c>
      <c r="JV28" s="33">
        <v>1757.122582</v>
      </c>
      <c r="JW28" s="33">
        <v>2026.8010001600003</v>
      </c>
      <c r="JY28" s="33">
        <v>1803.8622859999998</v>
      </c>
      <c r="JZ28" s="33">
        <v>2081.5289444800001</v>
      </c>
      <c r="KB28" s="33">
        <v>1488.8702199999998</v>
      </c>
      <c r="KC28" s="33">
        <v>1854.6663458999999</v>
      </c>
      <c r="KD28" s="33">
        <v>2091.1033885740003</v>
      </c>
    </row>
    <row r="29" spans="1:290" x14ac:dyDescent="0.25">
      <c r="A29" s="7" t="s">
        <v>260</v>
      </c>
      <c r="B29" s="17" t="s">
        <v>137</v>
      </c>
      <c r="C29" s="18"/>
      <c r="D29" s="18"/>
      <c r="E29" s="18"/>
      <c r="F29" s="19"/>
      <c r="G29" s="19"/>
      <c r="H29" s="18"/>
      <c r="I29" s="19" t="e">
        <f t="shared" ref="I29:AK29" si="73">I28/D28-1</f>
        <v>#DIV/0!</v>
      </c>
      <c r="J29" s="19" t="e">
        <f t="shared" si="73"/>
        <v>#DIV/0!</v>
      </c>
      <c r="K29" s="19" t="e">
        <f t="shared" si="73"/>
        <v>#DIV/0!</v>
      </c>
      <c r="L29" s="19" t="e">
        <f t="shared" si="73"/>
        <v>#DIV/0!</v>
      </c>
      <c r="M29" s="19" t="e">
        <f t="shared" si="73"/>
        <v>#DIV/0!</v>
      </c>
      <c r="N29" s="19">
        <f t="shared" si="73"/>
        <v>2.7359421822669816E-2</v>
      </c>
      <c r="O29" s="19">
        <f t="shared" si="73"/>
        <v>0.12669021114404799</v>
      </c>
      <c r="P29" s="19">
        <f t="shared" si="73"/>
        <v>0.25133334528354867</v>
      </c>
      <c r="Q29" s="19">
        <f t="shared" si="73"/>
        <v>0.54145747502210106</v>
      </c>
      <c r="R29" s="19">
        <f t="shared" si="73"/>
        <v>0.28266195209260792</v>
      </c>
      <c r="S29" s="19">
        <f t="shared" si="73"/>
        <v>0.45472966828580152</v>
      </c>
      <c r="T29" s="19">
        <f t="shared" si="73"/>
        <v>0.33516014529475791</v>
      </c>
      <c r="U29" s="19">
        <f t="shared" si="73"/>
        <v>0.28303196762172855</v>
      </c>
      <c r="V29" s="19">
        <f t="shared" si="73"/>
        <v>7.129794946707646E-2</v>
      </c>
      <c r="W29" s="19">
        <f t="shared" si="73"/>
        <v>0.23043202441272581</v>
      </c>
      <c r="X29" s="19">
        <f t="shared" si="73"/>
        <v>8.5066055550118591E-2</v>
      </c>
      <c r="Y29" s="19">
        <f t="shared" si="73"/>
        <v>3.9823746616069133E-2</v>
      </c>
      <c r="Z29" s="19">
        <f t="shared" si="73"/>
        <v>-4.2863703590124369E-2</v>
      </c>
      <c r="AA29" s="19">
        <f t="shared" si="73"/>
        <v>0.10817904220775953</v>
      </c>
      <c r="AB29" s="19">
        <f t="shared" si="73"/>
        <v>5.042971574024202E-2</v>
      </c>
      <c r="AC29" s="19">
        <f t="shared" si="73"/>
        <v>-0.11511788427883651</v>
      </c>
      <c r="AD29" s="19">
        <f t="shared" si="73"/>
        <v>-0.20216125359477088</v>
      </c>
      <c r="AE29" s="19">
        <f t="shared" si="73"/>
        <v>0.12240338314524202</v>
      </c>
      <c r="AF29" s="19">
        <f t="shared" si="73"/>
        <v>0.14886146728652183</v>
      </c>
      <c r="AG29" s="19">
        <f t="shared" si="73"/>
        <v>2.0051769128054397E-2</v>
      </c>
      <c r="AH29" s="19">
        <f t="shared" si="73"/>
        <v>0.115197189413623</v>
      </c>
      <c r="AI29" s="19">
        <f t="shared" si="73"/>
        <v>0.5664379805463664</v>
      </c>
      <c r="AJ29" s="19">
        <f t="shared" si="73"/>
        <v>0.49125374228419094</v>
      </c>
      <c r="AK29" s="19">
        <f t="shared" si="73"/>
        <v>0.92543220310319962</v>
      </c>
      <c r="AL29" s="19">
        <f>AL28/AF28-1</f>
        <v>-0.16022257473335788</v>
      </c>
      <c r="AM29" s="19">
        <f t="shared" ref="AM29:CH29" si="74">AM28/AH28-1</f>
        <v>0.46844773821023833</v>
      </c>
      <c r="AN29" s="19">
        <f t="shared" si="74"/>
        <v>0.19138856239849233</v>
      </c>
      <c r="AO29" s="19">
        <f t="shared" si="74"/>
        <v>0.12728943642962065</v>
      </c>
      <c r="AP29" s="19">
        <f t="shared" si="74"/>
        <v>0.65222315064188896</v>
      </c>
      <c r="AQ29" s="19">
        <f t="shared" si="74"/>
        <v>-0.21115451874458924</v>
      </c>
      <c r="AR29" s="19">
        <f t="shared" si="74"/>
        <v>7.9872779644744263E-2</v>
      </c>
      <c r="AS29" s="19">
        <f t="shared" si="74"/>
        <v>7.0053229371183967E-2</v>
      </c>
      <c r="AT29" s="19">
        <f t="shared" si="74"/>
        <v>0.18188187775625386</v>
      </c>
      <c r="AU29" s="19">
        <f t="shared" si="74"/>
        <v>3.3129011511149331E-2</v>
      </c>
      <c r="AV29" s="19">
        <f t="shared" si="74"/>
        <v>0.17043807122596877</v>
      </c>
      <c r="AW29" s="19">
        <f t="shared" si="74"/>
        <v>0.10697415948874833</v>
      </c>
      <c r="AX29" s="19">
        <f t="shared" si="74"/>
        <v>-9.0780357052545502E-2</v>
      </c>
      <c r="AY29" s="19">
        <f t="shared" si="74"/>
        <v>-0.29592690751848205</v>
      </c>
      <c r="AZ29" s="19">
        <f t="shared" si="74"/>
        <v>-7.4220883993342812E-2</v>
      </c>
      <c r="BA29" s="19">
        <f t="shared" si="74"/>
        <v>-9.8696752652269848E-2</v>
      </c>
      <c r="BB29" s="19">
        <f t="shared" si="74"/>
        <v>0.17036897590361488</v>
      </c>
      <c r="BC29" s="19">
        <f t="shared" si="74"/>
        <v>0.22889086661475044</v>
      </c>
      <c r="BD29" s="19">
        <f t="shared" si="74"/>
        <v>0.35428429915799864</v>
      </c>
      <c r="BE29" s="19">
        <f t="shared" si="74"/>
        <v>0.14545279885822482</v>
      </c>
      <c r="BF29" s="19">
        <f t="shared" si="74"/>
        <v>-0.30020374873777311</v>
      </c>
      <c r="BG29" s="19">
        <f t="shared" si="74"/>
        <v>0.3717763122620763</v>
      </c>
      <c r="BH29" s="19">
        <f t="shared" si="74"/>
        <v>0.81758928167292733</v>
      </c>
      <c r="BI29" s="19">
        <f t="shared" si="74"/>
        <v>0.86435285082105051</v>
      </c>
      <c r="BJ29" s="19">
        <f t="shared" si="74"/>
        <v>0.29900081468347239</v>
      </c>
      <c r="BK29" s="19">
        <f t="shared" si="74"/>
        <v>0.8955771857923478</v>
      </c>
      <c r="BL29" s="19">
        <f t="shared" si="74"/>
        <v>0.21473519640414218</v>
      </c>
      <c r="BM29" s="19">
        <f t="shared" si="74"/>
        <v>-0.20838728957067398</v>
      </c>
      <c r="BN29" s="19">
        <f t="shared" si="74"/>
        <v>-0.23214390803695817</v>
      </c>
      <c r="BO29" s="19">
        <f t="shared" si="74"/>
        <v>0.14559372838367501</v>
      </c>
      <c r="BP29" s="19">
        <f t="shared" si="74"/>
        <v>0.21125174541687253</v>
      </c>
      <c r="BQ29" s="19">
        <f t="shared" si="74"/>
        <v>-0.52659351974001778</v>
      </c>
      <c r="BR29" s="19">
        <f t="shared" si="74"/>
        <v>-4.5677614194036154E-2</v>
      </c>
      <c r="BS29" s="19">
        <f t="shared" si="74"/>
        <v>0.22698822267072005</v>
      </c>
      <c r="BT29" s="19">
        <f t="shared" si="74"/>
        <v>-3.4240123660545185E-2</v>
      </c>
      <c r="BU29" s="19">
        <f t="shared" si="74"/>
        <v>0.19590197463835524</v>
      </c>
      <c r="BV29" s="19">
        <f t="shared" si="74"/>
        <v>1.4211921430027887</v>
      </c>
      <c r="BW29" s="19">
        <f t="shared" si="74"/>
        <v>0.24881329113924133</v>
      </c>
      <c r="BX29" s="19">
        <f t="shared" si="74"/>
        <v>2.1633213958524022E-2</v>
      </c>
      <c r="BY29" s="19">
        <f t="shared" si="74"/>
        <v>0.29009319928641819</v>
      </c>
      <c r="BZ29" s="19">
        <f t="shared" si="74"/>
        <v>0.20442177928418181</v>
      </c>
      <c r="CA29" s="19">
        <f t="shared" si="74"/>
        <v>-5.6143502793138955E-3</v>
      </c>
      <c r="CB29" s="19">
        <f t="shared" si="74"/>
        <v>-0.18482736775419695</v>
      </c>
      <c r="CC29" s="19">
        <f t="shared" si="74"/>
        <v>-0.14906148735402502</v>
      </c>
      <c r="CD29" s="19">
        <f>CD28/BY28-1</f>
        <v>-7.4200197729345607E-2</v>
      </c>
      <c r="CE29" s="19">
        <f t="shared" si="74"/>
        <v>-0.17672269124519102</v>
      </c>
      <c r="CF29" s="19">
        <f t="shared" si="74"/>
        <v>-0.1604324873669648</v>
      </c>
      <c r="CG29" s="19">
        <f t="shared" si="74"/>
        <v>6.5928372514732381E-2</v>
      </c>
      <c r="CH29" s="19">
        <f t="shared" si="74"/>
        <v>0.29842167029913869</v>
      </c>
      <c r="CI29" s="19">
        <f>CI28/CD28-1</f>
        <v>8.4083643927021834E-2</v>
      </c>
      <c r="CJ29" s="19">
        <f>CJ28/CI28-1</f>
        <v>0.19361573708642199</v>
      </c>
      <c r="CK29" s="19">
        <f>CK28/CJ28-1</f>
        <v>0.15230633304112939</v>
      </c>
      <c r="CL29" s="19">
        <f t="shared" ref="CL29:CN29" si="75">CL28/CK28-1</f>
        <v>0.17274998548134057</v>
      </c>
      <c r="CM29" s="19">
        <f t="shared" si="75"/>
        <v>0.13986737527297688</v>
      </c>
      <c r="CN29" s="19">
        <f t="shared" si="75"/>
        <v>9.5228798157982686E-2</v>
      </c>
      <c r="CO29" s="20"/>
      <c r="CP29" s="20"/>
      <c r="CQ29" s="64"/>
      <c r="CR29" s="30"/>
      <c r="CS29" s="65"/>
      <c r="CT29" s="19">
        <f t="shared" si="26"/>
        <v>5.042971574024202E-2</v>
      </c>
      <c r="CU29" s="19">
        <f t="shared" si="27"/>
        <v>2.0051769128054397E-2</v>
      </c>
      <c r="CV29" s="19">
        <f t="shared" si="28"/>
        <v>0.92543220310319962</v>
      </c>
      <c r="CW29" s="19">
        <f t="shared" si="29"/>
        <v>0.65222315064188896</v>
      </c>
      <c r="CX29" s="19">
        <f t="shared" si="30"/>
        <v>3.3129011511149331E-2</v>
      </c>
      <c r="CY29" s="19">
        <f t="shared" si="31"/>
        <v>-7.4220883993342812E-2</v>
      </c>
      <c r="CZ29" s="19">
        <f t="shared" si="32"/>
        <v>0.14545279885822482</v>
      </c>
      <c r="DA29" s="19">
        <f t="shared" si="33"/>
        <v>0.29900081468347239</v>
      </c>
      <c r="DB29" s="19">
        <f t="shared" si="34"/>
        <v>0.14559372838367501</v>
      </c>
      <c r="DC29" s="19">
        <f t="shared" si="35"/>
        <v>-3.4240123660545185E-2</v>
      </c>
      <c r="DD29" s="19">
        <f t="shared" si="36"/>
        <v>0.29009319928641819</v>
      </c>
      <c r="DE29" s="19">
        <f t="shared" si="37"/>
        <v>-7.4200197729345607E-2</v>
      </c>
      <c r="DF29" s="19">
        <f t="shared" si="38"/>
        <v>8.4083643927021834E-2</v>
      </c>
      <c r="DG29" s="19">
        <f t="shared" si="38"/>
        <v>0.19361573708642199</v>
      </c>
      <c r="DH29" s="19">
        <f t="shared" si="38"/>
        <v>0.15230633304112939</v>
      </c>
      <c r="DI29" s="19">
        <v>0.1754</v>
      </c>
      <c r="DK29" s="19">
        <v>6.8313785816477512E-2</v>
      </c>
      <c r="DL29" s="19">
        <v>0.14000000000000012</v>
      </c>
      <c r="DM29" s="6"/>
      <c r="DN29" s="19">
        <v>0.13508339743000741</v>
      </c>
      <c r="DO29" s="19">
        <v>0.14000000000000012</v>
      </c>
      <c r="DQ29" s="19">
        <v>-2.4930538268145286E-2</v>
      </c>
      <c r="DR29" s="19">
        <v>-3.1840631603817338E-2</v>
      </c>
      <c r="DS29" s="19">
        <v>0.17500000000000004</v>
      </c>
      <c r="DT29" s="19">
        <v>0.1754</v>
      </c>
      <c r="DV29" s="19">
        <v>0.10073560239356683</v>
      </c>
      <c r="DW29" s="19">
        <v>0.17592355263157899</v>
      </c>
      <c r="DX29" s="19">
        <v>0.12000000000000011</v>
      </c>
      <c r="EA29" s="19">
        <v>0.12790868296749158</v>
      </c>
      <c r="EB29" s="19">
        <v>0.15236420876953405</v>
      </c>
      <c r="EC29" s="19">
        <v>3.0385339656855415E-3</v>
      </c>
      <c r="ED29" s="19">
        <v>0.10073560239356683</v>
      </c>
      <c r="EE29" s="19">
        <v>0.17592355263157899</v>
      </c>
      <c r="EF29" s="19">
        <v>0.12000000000000011</v>
      </c>
      <c r="EJ29" s="19">
        <v>-3.9965862539826924E-2</v>
      </c>
      <c r="EK29" s="19">
        <v>0.15609725903194227</v>
      </c>
      <c r="EL29" s="19">
        <v>0.10073560239356683</v>
      </c>
      <c r="EM29" s="19">
        <v>0.17592355263157899</v>
      </c>
      <c r="EN29" s="19">
        <v>0.12000000000000011</v>
      </c>
      <c r="EP29" s="19">
        <v>-0.18883386804296431</v>
      </c>
      <c r="EQ29" s="19">
        <v>-4.2954606090634839E-2</v>
      </c>
      <c r="ER29" s="19">
        <v>0.28377777777777746</v>
      </c>
      <c r="ES29" s="19">
        <v>0.15509333333333353</v>
      </c>
      <c r="EV29" s="19">
        <v>0.10869572944154204</v>
      </c>
      <c r="EW29" s="19">
        <v>0.27903990963855363</v>
      </c>
      <c r="EX29" s="19">
        <v>0.35726930136833746</v>
      </c>
      <c r="EY29" s="19">
        <v>0.32225520059435309</v>
      </c>
      <c r="EZ29" s="19">
        <v>0.2762628827073248</v>
      </c>
      <c r="FA29" s="19">
        <v>0.13500000000000001</v>
      </c>
      <c r="FD29" s="19">
        <v>0.15113591867469833</v>
      </c>
      <c r="FE29" s="19">
        <v>0.35726930136833746</v>
      </c>
      <c r="FF29" s="19">
        <v>0.32064078751857239</v>
      </c>
      <c r="FG29" s="19">
        <v>0.1060944983463481</v>
      </c>
      <c r="FH29" s="19">
        <v>0.22230769230769232</v>
      </c>
      <c r="FK29" s="19">
        <v>0.13011019775213106</v>
      </c>
      <c r="FL29" s="19">
        <v>0.1770370370370371</v>
      </c>
      <c r="FO29" s="19">
        <v>0.23216447880742974</v>
      </c>
      <c r="FP29" s="19">
        <v>0.10241690936106829</v>
      </c>
      <c r="FQ29" s="19">
        <v>9.5074042459757147E-2</v>
      </c>
      <c r="FR29" s="19">
        <v>0.1891043963003376</v>
      </c>
      <c r="FU29" s="19">
        <v>-0.1024931649331372</v>
      </c>
      <c r="FV29" s="19">
        <v>3.7491429826126854E-2</v>
      </c>
      <c r="FW29" s="19">
        <v>-0.2402148977917119</v>
      </c>
      <c r="FX29" s="19">
        <v>0.41337633551752706</v>
      </c>
      <c r="FY29" s="19">
        <v>0.109876431433233</v>
      </c>
      <c r="GA29" s="19">
        <v>-0.23766922892605502</v>
      </c>
      <c r="GB29" s="19">
        <v>0.38526468603643838</v>
      </c>
      <c r="GC29" s="19">
        <v>0.11274455335060907</v>
      </c>
      <c r="GF29" s="19">
        <v>1.064822261540832E-2</v>
      </c>
      <c r="GG29" s="19"/>
      <c r="GH29" s="19"/>
      <c r="GI29" s="19">
        <v>-0.12440231465950957</v>
      </c>
      <c r="GJ29" s="19">
        <v>0.36575041291034927</v>
      </c>
      <c r="GK29" s="19">
        <v>0.11104924361344004</v>
      </c>
      <c r="GN29" s="19">
        <v>0.47318847598786906</v>
      </c>
      <c r="GO29" s="19">
        <v>-9.5064466225360467E-2</v>
      </c>
      <c r="GP29" s="19">
        <v>0.13322237623999711</v>
      </c>
      <c r="GQ29" s="19">
        <v>0.11823002566272689</v>
      </c>
      <c r="GR29" s="19">
        <v>0.11132066697979015</v>
      </c>
      <c r="GV29" s="19">
        <v>0.26706946567677248</v>
      </c>
      <c r="GW29" s="19">
        <v>0.34301145828341517</v>
      </c>
      <c r="GX29" s="19">
        <v>-0.1234947098890381</v>
      </c>
      <c r="GY29" s="19">
        <v>0.28801494105680625</v>
      </c>
      <c r="HC29" s="19">
        <v>-0.24577048374757238</v>
      </c>
      <c r="HD29" s="19">
        <v>0.13918706986396123</v>
      </c>
      <c r="HE29" s="19">
        <v>2.2500407596822036E-2</v>
      </c>
      <c r="HF29" s="19">
        <v>0.10676644200530383</v>
      </c>
      <c r="HI29" s="19">
        <v>6.7572902121525891E-2</v>
      </c>
      <c r="HJ29" s="19">
        <v>-1.2760642234306285E-3</v>
      </c>
      <c r="HK29" s="19">
        <v>7.3804548886371668E-2</v>
      </c>
      <c r="HL29" s="19">
        <v>-0.70313883197506555</v>
      </c>
      <c r="HM29" s="19">
        <v>-0.19093588410044182</v>
      </c>
      <c r="HN29" s="19">
        <v>0.10609212889851927</v>
      </c>
      <c r="HO29" s="19">
        <v>8.7772694695712028E-2</v>
      </c>
      <c r="HR29" s="19">
        <v>-0.46496932011969494</v>
      </c>
      <c r="HS29" s="19">
        <v>-0.21254333081666055</v>
      </c>
      <c r="HT29" s="19">
        <v>-0.18392121707584974</v>
      </c>
      <c r="HU29" s="19">
        <v>-0.19093588410044182</v>
      </c>
      <c r="HV29" s="19">
        <v>0.2563646417286507</v>
      </c>
      <c r="HW29" s="19">
        <v>0.10299022488851994</v>
      </c>
      <c r="HZ29" s="19">
        <v>-0.21254333081666055</v>
      </c>
      <c r="IA29" s="19">
        <v>-0.1364739886161449</v>
      </c>
      <c r="IB29" s="19">
        <v>0.21193832381137034</v>
      </c>
      <c r="IC29" s="19">
        <v>0.14937367741805496</v>
      </c>
      <c r="IE29" s="19">
        <v>-0.10141363717650542</v>
      </c>
      <c r="IF29" s="19">
        <v>-0.13764991828420969</v>
      </c>
      <c r="IG29" s="19">
        <v>0.28040264144065818</v>
      </c>
      <c r="IH29" s="19">
        <v>0.15132612427470193</v>
      </c>
      <c r="IK29" s="19">
        <v>0.14320682815417496</v>
      </c>
      <c r="IL29" s="19">
        <v>0.15132612427470193</v>
      </c>
      <c r="IO29" s="19">
        <v>0.2767184364527584</v>
      </c>
      <c r="IP29" s="19">
        <v>0.24354805062905194</v>
      </c>
      <c r="IS29" s="66">
        <v>0.13932022084267204</v>
      </c>
      <c r="IT29" s="66">
        <v>0.15436358719847734</v>
      </c>
      <c r="IU29" s="66">
        <v>0.15317100326700095</v>
      </c>
      <c r="IX29" s="19">
        <v>3.8540497209961E-2</v>
      </c>
      <c r="IY29" s="19">
        <v>0.29666235682488873</v>
      </c>
      <c r="IZ29" s="19">
        <v>0.31375162084099606</v>
      </c>
      <c r="JA29" s="19">
        <v>0.1464970903473537</v>
      </c>
      <c r="JD29" s="19">
        <v>0.370143059764662</v>
      </c>
      <c r="JE29" s="19">
        <v>0.18625188505507162</v>
      </c>
      <c r="JH29" s="19">
        <v>0.24117351977616397</v>
      </c>
      <c r="JI29" s="19">
        <v>0.20479940762313631</v>
      </c>
      <c r="JJ29" s="19">
        <v>0.14386819854915434</v>
      </c>
      <c r="JM29" s="19">
        <v>0.24482913499623082</v>
      </c>
      <c r="JN29" s="19">
        <v>0.14344961563836001</v>
      </c>
      <c r="JQ29" s="19">
        <v>-5.9799895642847378E-2</v>
      </c>
      <c r="JR29" s="19">
        <v>0.22162192435097339</v>
      </c>
      <c r="JS29" s="19">
        <v>0.15344092793972086</v>
      </c>
      <c r="JV29" s="19">
        <v>0.22640715133241374</v>
      </c>
      <c r="JW29" s="19">
        <v>0.15347729345840277</v>
      </c>
      <c r="JY29" s="19">
        <v>0.25902975138545892</v>
      </c>
      <c r="JZ29" s="19">
        <v>0.15392896710297999</v>
      </c>
      <c r="KB29" s="19">
        <v>3.9176835992575043E-2</v>
      </c>
      <c r="KC29" s="19">
        <v>0.24568704577891287</v>
      </c>
      <c r="KD29" s="19">
        <v>0.12748225210247521</v>
      </c>
    </row>
    <row r="30" spans="1:290" s="60" customFormat="1" x14ac:dyDescent="0.25">
      <c r="A30" s="7" t="s">
        <v>260</v>
      </c>
      <c r="B30" s="221" t="s">
        <v>257</v>
      </c>
      <c r="C30" s="222"/>
      <c r="D30" s="222" t="e">
        <f t="shared" ref="D30:AI30" si="76">+D28/D9</f>
        <v>#DIV/0!</v>
      </c>
      <c r="E30" s="222" t="e">
        <f t="shared" si="76"/>
        <v>#DIV/0!</v>
      </c>
      <c r="F30" s="222" t="e">
        <f t="shared" si="76"/>
        <v>#DIV/0!</v>
      </c>
      <c r="G30" s="222" t="e">
        <f t="shared" si="76"/>
        <v>#DIV/0!</v>
      </c>
      <c r="H30" s="222" t="e">
        <f t="shared" si="76"/>
        <v>#DIV/0!</v>
      </c>
      <c r="I30" s="222">
        <f t="shared" si="76"/>
        <v>0.12959155701754377</v>
      </c>
      <c r="J30" s="222">
        <f t="shared" si="76"/>
        <v>0.13652552290714548</v>
      </c>
      <c r="K30" s="222">
        <f t="shared" si="76"/>
        <v>0.12630906381362045</v>
      </c>
      <c r="L30" s="222">
        <f t="shared" si="76"/>
        <v>0.15219880561214785</v>
      </c>
      <c r="M30" s="222">
        <f t="shared" si="76"/>
        <v>0.13731839061689236</v>
      </c>
      <c r="N30" s="222">
        <f t="shared" si="76"/>
        <v>0.12131140648305763</v>
      </c>
      <c r="O30" s="222">
        <f t="shared" si="76"/>
        <v>0.1239301077929785</v>
      </c>
      <c r="P30" s="222">
        <f t="shared" si="76"/>
        <v>0.13624627854836946</v>
      </c>
      <c r="Q30" s="222">
        <f t="shared" si="76"/>
        <v>0.18955707455845755</v>
      </c>
      <c r="R30" s="222">
        <f t="shared" si="76"/>
        <v>0.1477506301022436</v>
      </c>
      <c r="S30" s="222">
        <f t="shared" si="76"/>
        <v>0.13727227996811719</v>
      </c>
      <c r="T30" s="222">
        <f t="shared" si="76"/>
        <v>0.14644517598994539</v>
      </c>
      <c r="U30" s="222">
        <f t="shared" si="76"/>
        <v>0.14640100653954305</v>
      </c>
      <c r="V30" s="222">
        <f t="shared" si="76"/>
        <v>0.18127617123189174</v>
      </c>
      <c r="W30" s="222">
        <f t="shared" si="76"/>
        <v>0.15542912791532013</v>
      </c>
      <c r="X30" s="222">
        <f t="shared" si="76"/>
        <v>0.13046623487552772</v>
      </c>
      <c r="Y30" s="222">
        <f t="shared" si="76"/>
        <v>0.13258227107041046</v>
      </c>
      <c r="Z30" s="222">
        <f t="shared" si="76"/>
        <v>0.12792135850289407</v>
      </c>
      <c r="AA30" s="222">
        <f t="shared" si="76"/>
        <v>0.1660135847099582</v>
      </c>
      <c r="AB30" s="222">
        <f t="shared" si="76"/>
        <v>0.14175711897137228</v>
      </c>
      <c r="AC30" s="222">
        <f t="shared" si="76"/>
        <v>0.10717712080201047</v>
      </c>
      <c r="AD30" s="222">
        <f t="shared" si="76"/>
        <v>9.7088870406646821E-2</v>
      </c>
      <c r="AE30" s="222">
        <f t="shared" si="76"/>
        <v>0.13338249182152528</v>
      </c>
      <c r="AF30" s="222">
        <f t="shared" si="76"/>
        <v>0.19091824920780928</v>
      </c>
      <c r="AG30" s="222">
        <f t="shared" si="76"/>
        <v>0.13708887929728536</v>
      </c>
      <c r="AH30" s="222">
        <f t="shared" si="76"/>
        <v>0.11747500992175566</v>
      </c>
      <c r="AI30" s="222">
        <f t="shared" si="76"/>
        <v>0.15484764797368147</v>
      </c>
      <c r="AJ30" s="222">
        <f t="shared" ref="AJ30:BO30" si="77">+AJ28/AJ9</f>
        <v>0.17931502696268306</v>
      </c>
      <c r="AK30" s="222">
        <f t="shared" si="77"/>
        <v>0.1550113320904225</v>
      </c>
      <c r="AL30" s="222">
        <f t="shared" si="77"/>
        <v>0.16910008472799895</v>
      </c>
      <c r="AM30" s="222">
        <f t="shared" si="77"/>
        <v>0.15099718262127879</v>
      </c>
      <c r="AN30" s="222">
        <f t="shared" si="77"/>
        <v>0.16686091687845758</v>
      </c>
      <c r="AO30" s="222">
        <f t="shared" si="77"/>
        <v>0.18916601046287712</v>
      </c>
      <c r="AP30" s="222">
        <f t="shared" si="77"/>
        <v>0.17073635332768605</v>
      </c>
      <c r="AQ30" s="222">
        <f t="shared" si="77"/>
        <v>0.13657180242067393</v>
      </c>
      <c r="AR30" s="222">
        <f t="shared" si="77"/>
        <v>0.1364472162720603</v>
      </c>
      <c r="AS30" s="222">
        <f t="shared" si="77"/>
        <v>0.15468199953062664</v>
      </c>
      <c r="AT30" s="222">
        <f t="shared" si="77"/>
        <v>0.19490776613243069</v>
      </c>
      <c r="AU30" s="222">
        <f t="shared" si="77"/>
        <v>0.15849054324254114</v>
      </c>
      <c r="AV30" s="222">
        <f t="shared" si="77"/>
        <v>0.13798663902326658</v>
      </c>
      <c r="AW30" s="222">
        <f t="shared" si="77"/>
        <v>0.12900301136547623</v>
      </c>
      <c r="AX30" s="222">
        <f t="shared" si="77"/>
        <v>0.12709342193630499</v>
      </c>
      <c r="AY30" s="222">
        <f t="shared" si="77"/>
        <v>0.131882344487919</v>
      </c>
      <c r="AZ30" s="222">
        <f t="shared" si="77"/>
        <v>0.13115111111911024</v>
      </c>
      <c r="BA30" s="222">
        <f t="shared" si="77"/>
        <v>0.11648048172612965</v>
      </c>
      <c r="BB30" s="222">
        <f t="shared" si="77"/>
        <v>0.14564266749960972</v>
      </c>
      <c r="BC30" s="222">
        <f t="shared" si="77"/>
        <v>0.16087292109632137</v>
      </c>
      <c r="BD30" s="222">
        <f t="shared" si="77"/>
        <v>0.19114429321421336</v>
      </c>
      <c r="BE30" s="222">
        <f t="shared" si="77"/>
        <v>0.15144224663161282</v>
      </c>
      <c r="BF30" s="222">
        <f t="shared" si="77"/>
        <v>0.11113219721410417</v>
      </c>
      <c r="BG30" s="222">
        <f t="shared" si="77"/>
        <v>0.1861025036733151</v>
      </c>
      <c r="BH30" s="222">
        <f t="shared" si="77"/>
        <v>0.21778934808547562</v>
      </c>
      <c r="BI30" s="222">
        <f t="shared" si="77"/>
        <v>0.24454209220997891</v>
      </c>
      <c r="BJ30" s="222">
        <f t="shared" si="77"/>
        <v>0.17055840278367673</v>
      </c>
      <c r="BK30" s="222">
        <f t="shared" si="77"/>
        <v>0.16542232951835956</v>
      </c>
      <c r="BL30" s="222">
        <f t="shared" si="77"/>
        <v>0.16115299656735146</v>
      </c>
      <c r="BM30" s="222">
        <f t="shared" si="77"/>
        <v>0.16342520474420477</v>
      </c>
      <c r="BN30" s="222">
        <f t="shared" si="77"/>
        <v>0.1530763485055277</v>
      </c>
      <c r="BO30" s="222">
        <f t="shared" si="77"/>
        <v>0.15980171932451798</v>
      </c>
      <c r="BP30" s="222">
        <f t="shared" ref="BP30:CN30" si="78">+BP28/BP9</f>
        <v>0.12190047053917073</v>
      </c>
      <c r="BQ30" s="222">
        <f t="shared" si="78"/>
        <v>7.0511837438895761E-2</v>
      </c>
      <c r="BR30" s="222">
        <f t="shared" si="78"/>
        <v>0.13128432386582475</v>
      </c>
      <c r="BS30" s="222">
        <f t="shared" si="78"/>
        <v>0.1848439364199668</v>
      </c>
      <c r="BT30" s="222">
        <f t="shared" si="78"/>
        <v>0.13036801648428678</v>
      </c>
      <c r="BU30" s="222">
        <f t="shared" si="78"/>
        <v>0.13577333254523805</v>
      </c>
      <c r="BV30" s="222">
        <f t="shared" si="78"/>
        <v>0.15429962446235745</v>
      </c>
      <c r="BW30" s="222">
        <f t="shared" si="78"/>
        <v>0.15468539463476386</v>
      </c>
      <c r="BX30" s="222">
        <f t="shared" si="78"/>
        <v>0.16312764097091303</v>
      </c>
      <c r="BY30" s="222">
        <f t="shared" si="78"/>
        <v>0.15270675905295517</v>
      </c>
      <c r="BZ30" s="222">
        <f t="shared" si="78"/>
        <v>0.14691903578811613</v>
      </c>
      <c r="CA30" s="222">
        <f t="shared" si="78"/>
        <v>0.1558459270991443</v>
      </c>
      <c r="CB30" s="222">
        <f t="shared" si="78"/>
        <v>0.12304173904728519</v>
      </c>
      <c r="CC30" s="222">
        <f t="shared" si="78"/>
        <v>0.13793205971450948</v>
      </c>
      <c r="CD30" s="222">
        <f t="shared" si="78"/>
        <v>0.13715352399186292</v>
      </c>
      <c r="CE30" s="222">
        <f t="shared" si="78"/>
        <v>0.12221323695678006</v>
      </c>
      <c r="CF30" s="222">
        <f t="shared" si="78"/>
        <v>0.12423398095970128</v>
      </c>
      <c r="CG30" s="222">
        <f t="shared" si="78"/>
        <v>0.12251110929161046</v>
      </c>
      <c r="CH30" s="222">
        <f t="shared" si="78"/>
        <v>0.15367977639568431</v>
      </c>
      <c r="CI30" s="222">
        <f t="shared" si="78"/>
        <v>0.1384608938746692</v>
      </c>
      <c r="CJ30" s="222">
        <f t="shared" si="78"/>
        <v>0.14720852497864137</v>
      </c>
      <c r="CK30" s="222">
        <f t="shared" si="78"/>
        <v>0.14808478582797779</v>
      </c>
      <c r="CL30" s="222">
        <f t="shared" si="78"/>
        <v>0.14561546415266385</v>
      </c>
      <c r="CM30" s="222">
        <f t="shared" si="78"/>
        <v>0.15083592015350042</v>
      </c>
      <c r="CN30" s="222">
        <f t="shared" si="78"/>
        <v>0.15055581130490178</v>
      </c>
      <c r="CO30" s="223"/>
      <c r="CP30" s="223"/>
      <c r="CQ30" s="58"/>
      <c r="CR30" s="58"/>
      <c r="CS30" s="58"/>
      <c r="CT30" s="222">
        <f t="shared" si="26"/>
        <v>0.14175711897137228</v>
      </c>
      <c r="CU30" s="222">
        <f t="shared" si="27"/>
        <v>0.13708887929728536</v>
      </c>
      <c r="CV30" s="222">
        <f t="shared" si="28"/>
        <v>0.1550113320904225</v>
      </c>
      <c r="CW30" s="222">
        <f t="shared" si="29"/>
        <v>0.17073635332768605</v>
      </c>
      <c r="CX30" s="222">
        <f t="shared" si="30"/>
        <v>0.15849054324254114</v>
      </c>
      <c r="CY30" s="222">
        <f t="shared" si="31"/>
        <v>0.13115111111911024</v>
      </c>
      <c r="CZ30" s="222">
        <f t="shared" si="32"/>
        <v>0.15144224663161282</v>
      </c>
      <c r="DA30" s="222">
        <f t="shared" si="33"/>
        <v>0.17055840278367673</v>
      </c>
      <c r="DB30" s="222">
        <f t="shared" si="34"/>
        <v>0.15980171932451798</v>
      </c>
      <c r="DC30" s="222">
        <f t="shared" si="35"/>
        <v>0.13036801648428678</v>
      </c>
      <c r="DD30" s="222">
        <f t="shared" si="36"/>
        <v>0.15270675905295517</v>
      </c>
      <c r="DE30" s="222">
        <f t="shared" si="37"/>
        <v>0.13715352399186292</v>
      </c>
      <c r="DF30" s="222">
        <f t="shared" si="38"/>
        <v>0.1384608938746692</v>
      </c>
      <c r="DG30" s="222">
        <f t="shared" si="38"/>
        <v>0.14720852497864137</v>
      </c>
      <c r="DH30" s="222">
        <f t="shared" si="38"/>
        <v>0.14808478582797779</v>
      </c>
      <c r="DI30" s="222">
        <v>0.14499999999999999</v>
      </c>
      <c r="DK30" s="222">
        <v>0.16</v>
      </c>
      <c r="DL30" s="222">
        <v>0.16</v>
      </c>
      <c r="DM30" s="58"/>
      <c r="DN30" s="222">
        <v>0.17</v>
      </c>
      <c r="DO30" s="222">
        <v>0.17</v>
      </c>
      <c r="DQ30" s="222">
        <v>0.155</v>
      </c>
      <c r="DR30" s="222">
        <v>0.14499999999999999</v>
      </c>
      <c r="DS30" s="222">
        <v>0.14499999999999999</v>
      </c>
      <c r="DT30" s="222">
        <v>0.14499999999999999</v>
      </c>
      <c r="DV30" s="222">
        <v>0.152</v>
      </c>
      <c r="DW30" s="222">
        <v>0.1547</v>
      </c>
      <c r="DX30" s="222">
        <v>0.1547</v>
      </c>
      <c r="EA30" s="224">
        <v>0.13500000000000001</v>
      </c>
      <c r="EB30" s="222">
        <v>0.155</v>
      </c>
      <c r="EC30" s="222">
        <v>0.17</v>
      </c>
      <c r="ED30" s="222">
        <v>0.152</v>
      </c>
      <c r="EE30" s="222">
        <v>0.1547</v>
      </c>
      <c r="EF30" s="222">
        <v>0.1547</v>
      </c>
      <c r="EJ30" s="222">
        <v>0.13500000000000001</v>
      </c>
      <c r="EK30" s="222">
        <v>0.19355132411667161</v>
      </c>
      <c r="EL30" s="224">
        <v>0.152</v>
      </c>
      <c r="EM30" s="224">
        <v>0.1547</v>
      </c>
      <c r="EN30" s="224">
        <v>0.1547</v>
      </c>
      <c r="EP30" s="222">
        <v>0.14642821171375309</v>
      </c>
      <c r="EQ30" s="224">
        <v>0.13500000000000001</v>
      </c>
      <c r="ER30" s="224">
        <v>0.15</v>
      </c>
      <c r="ES30" s="224">
        <v>0.1547</v>
      </c>
      <c r="EV30" s="222">
        <v>0.14349999999999999</v>
      </c>
      <c r="EW30" s="222">
        <v>0.15</v>
      </c>
      <c r="EX30" s="222">
        <v>0.15</v>
      </c>
      <c r="EY30" s="222">
        <v>0.15</v>
      </c>
      <c r="EZ30" s="224">
        <v>0.15</v>
      </c>
      <c r="FA30" s="224">
        <v>0.15</v>
      </c>
      <c r="FD30" s="222">
        <v>0.13500000000000001</v>
      </c>
      <c r="FE30" s="222">
        <v>0.15</v>
      </c>
      <c r="FF30" s="222">
        <v>0.15</v>
      </c>
      <c r="FG30" s="224">
        <v>0.13</v>
      </c>
      <c r="FH30" s="224">
        <v>0.14000000000000001</v>
      </c>
      <c r="FK30" s="224">
        <v>0.13500000000000001</v>
      </c>
      <c r="FL30" s="224">
        <v>0.14000000000000001</v>
      </c>
      <c r="FO30" s="222">
        <v>0.14499999999999999</v>
      </c>
      <c r="FP30" s="222">
        <v>0.11999763539213075</v>
      </c>
      <c r="FQ30" s="224">
        <v>0.13500000000000001</v>
      </c>
      <c r="FR30" s="224">
        <v>0.14000000000000001</v>
      </c>
      <c r="FU30" s="222">
        <v>0.12582716441517713</v>
      </c>
      <c r="FV30" s="224">
        <v>0.13668894228476819</v>
      </c>
      <c r="FW30" s="224">
        <v>0.12886812615935408</v>
      </c>
      <c r="FX30" s="224">
        <v>0.15111604738539089</v>
      </c>
      <c r="FY30" s="224">
        <v>0.15141419646848012</v>
      </c>
      <c r="GA30" s="224">
        <v>0.14385580191889774</v>
      </c>
      <c r="GB30" s="224">
        <v>0.17646487654181556</v>
      </c>
      <c r="GC30" s="224">
        <v>0.17410610371336838</v>
      </c>
      <c r="GF30" s="222">
        <v>0.15501315789473685</v>
      </c>
      <c r="GG30" s="222"/>
      <c r="GH30" s="222"/>
      <c r="GI30" s="224">
        <v>0.15270042296422423</v>
      </c>
      <c r="GJ30" s="224">
        <v>0.177513173636828</v>
      </c>
      <c r="GK30" s="224">
        <v>0.17487659234764644</v>
      </c>
      <c r="GN30" s="222">
        <v>0.18230471804431261</v>
      </c>
      <c r="GO30" s="222">
        <v>0.20944145404570796</v>
      </c>
      <c r="GP30" s="224">
        <v>0.17531235137925924</v>
      </c>
      <c r="GQ30" s="224">
        <v>0.16709940111799687</v>
      </c>
      <c r="GR30" s="224">
        <v>0.16489983181408252</v>
      </c>
      <c r="GV30" s="222">
        <v>0.18910605147543114</v>
      </c>
      <c r="GW30" s="224">
        <v>0.18363174607901125</v>
      </c>
      <c r="GX30" s="224">
        <v>0.14654327373138487</v>
      </c>
      <c r="GY30" s="224">
        <v>0.16243006572991264</v>
      </c>
      <c r="HC30" s="222">
        <v>0.1647323240593366</v>
      </c>
      <c r="HD30" s="224">
        <v>0.1636038948355715</v>
      </c>
      <c r="HE30" s="224">
        <v>0.14270637134846559</v>
      </c>
      <c r="HF30" s="224">
        <v>0.14134274849119366</v>
      </c>
      <c r="HI30" s="222">
        <v>0.10591550362922038</v>
      </c>
      <c r="HJ30" s="222">
        <v>0.14828170508090854</v>
      </c>
      <c r="HK30" s="222">
        <v>0.15887325544383055</v>
      </c>
      <c r="HL30" s="222">
        <v>4.4327377548999118E-2</v>
      </c>
      <c r="HM30" s="224">
        <v>0.11042231876232809</v>
      </c>
      <c r="HN30" s="224">
        <v>0.10922945085992126</v>
      </c>
      <c r="HO30" s="224">
        <v>0.10819620522933025</v>
      </c>
      <c r="HR30" s="222">
        <v>0.1</v>
      </c>
      <c r="HS30" s="222">
        <v>0.14666666666666667</v>
      </c>
      <c r="HT30" s="222">
        <v>0.14755122663153142</v>
      </c>
      <c r="HU30" s="224">
        <v>0.12983077969812171</v>
      </c>
      <c r="HV30" s="224">
        <v>0.15384070476729894</v>
      </c>
      <c r="HW30" s="224">
        <v>0.15406290467989517</v>
      </c>
      <c r="HZ30" s="222">
        <v>0.11787913351864279</v>
      </c>
      <c r="IA30" s="224">
        <v>0.12010756595641188</v>
      </c>
      <c r="IB30" s="224">
        <v>0.1432300206454353</v>
      </c>
      <c r="IC30" s="224">
        <v>0.14974709142339443</v>
      </c>
      <c r="IE30" s="222">
        <v>0.12670291410774323</v>
      </c>
      <c r="IF30" s="224">
        <v>0.11420138604538418</v>
      </c>
      <c r="IG30" s="224">
        <v>0.14365963993624301</v>
      </c>
      <c r="IH30" s="224">
        <v>0.15051943398595286</v>
      </c>
      <c r="IK30" s="224">
        <v>0.14365963993624301</v>
      </c>
      <c r="IL30" s="224">
        <v>0.15051943398595286</v>
      </c>
      <c r="IO30" s="224">
        <v>0.13912427943882955</v>
      </c>
      <c r="IP30" s="224">
        <v>0.15364713616098044</v>
      </c>
      <c r="IS30" s="36"/>
      <c r="IT30" s="36"/>
      <c r="IU30" s="36"/>
      <c r="IX30" s="222">
        <v>0.1690357540199402</v>
      </c>
      <c r="IY30" s="224">
        <v>0.15435391701065473</v>
      </c>
      <c r="IZ30" s="224">
        <v>0.17560620430742327</v>
      </c>
      <c r="JA30" s="224">
        <v>0.17424935499445562</v>
      </c>
      <c r="JD30" s="224">
        <v>0.17237299686289398</v>
      </c>
      <c r="JE30" s="224">
        <v>0.17119546351397658</v>
      </c>
      <c r="JH30" s="224">
        <v>0.15737296489986918</v>
      </c>
      <c r="JI30" s="224">
        <v>0.1586824808233368</v>
      </c>
      <c r="JJ30" s="224">
        <v>0.15695866873768122</v>
      </c>
      <c r="JM30" s="224">
        <v>0.16219974569954299</v>
      </c>
      <c r="JN30" s="224">
        <v>0.16050870725824343</v>
      </c>
      <c r="JQ30" s="224">
        <v>0.13364022669515316</v>
      </c>
      <c r="JR30" s="224">
        <v>0.14589955688693051</v>
      </c>
      <c r="JS30" s="224">
        <v>0.15072088506341585</v>
      </c>
      <c r="JV30" s="224">
        <v>0.14606604270396473</v>
      </c>
      <c r="JW30" s="224">
        <v>0.1509036805724476</v>
      </c>
      <c r="JY30" s="224">
        <v>0.1463243723058387</v>
      </c>
      <c r="JZ30" s="224">
        <v>0.15121829244334187</v>
      </c>
      <c r="KB30" s="224">
        <v>0.12451898176906734</v>
      </c>
      <c r="KC30" s="224">
        <v>0.13790349436424762</v>
      </c>
      <c r="KD30" s="224">
        <v>0.13816708665496857</v>
      </c>
    </row>
    <row r="31" spans="1:290" x14ac:dyDescent="0.25">
      <c r="A31" s="226" t="e">
        <f>+B28-B38</f>
        <v>#VALUE!</v>
      </c>
      <c r="B31" s="11" t="s">
        <v>152</v>
      </c>
      <c r="C31" s="12"/>
      <c r="D31" s="12"/>
      <c r="E31" s="12"/>
      <c r="F31" s="12"/>
      <c r="G31" s="12"/>
      <c r="H31" s="13"/>
      <c r="I31" s="12"/>
      <c r="J31" s="12"/>
      <c r="K31" s="12"/>
      <c r="L31" s="12"/>
      <c r="M31" s="13">
        <f>M28-M38</f>
        <v>271.75119999999976</v>
      </c>
      <c r="N31" s="12"/>
      <c r="O31" s="12"/>
      <c r="P31" s="12"/>
      <c r="Q31" s="12"/>
      <c r="R31" s="13">
        <f>R28-R38</f>
        <v>355.53530000000006</v>
      </c>
      <c r="S31" s="12">
        <f t="shared" ref="S31:CD31" si="79">S28-S38</f>
        <v>66.206199999999939</v>
      </c>
      <c r="T31" s="12">
        <f t="shared" si="79"/>
        <v>100.34010000000002</v>
      </c>
      <c r="U31" s="12">
        <f t="shared" si="79"/>
        <v>114.63910000000001</v>
      </c>
      <c r="V31" s="12">
        <f t="shared" si="79"/>
        <v>163.69479999999982</v>
      </c>
      <c r="W31" s="13">
        <f t="shared" si="79"/>
        <v>444.88019999999983</v>
      </c>
      <c r="X31" s="12">
        <f t="shared" si="79"/>
        <v>68.271400000000071</v>
      </c>
      <c r="Y31" s="12">
        <f t="shared" si="79"/>
        <v>99.406799999999834</v>
      </c>
      <c r="Z31" s="12">
        <f t="shared" si="79"/>
        <v>102.94750000000005</v>
      </c>
      <c r="AA31" s="12">
        <f t="shared" si="79"/>
        <v>180.97610000000014</v>
      </c>
      <c r="AB31" s="13">
        <f t="shared" si="79"/>
        <v>451.60180000000008</v>
      </c>
      <c r="AC31" s="12">
        <f t="shared" si="79"/>
        <v>46.576499999999939</v>
      </c>
      <c r="AD31" s="12">
        <f t="shared" si="79"/>
        <v>65.684699999999779</v>
      </c>
      <c r="AE31" s="12">
        <f t="shared" si="79"/>
        <v>109.07059999999997</v>
      </c>
      <c r="AF31" s="12">
        <f t="shared" si="79"/>
        <v>203.95149999999992</v>
      </c>
      <c r="AG31" s="13">
        <f t="shared" si="79"/>
        <v>425.28329999999892</v>
      </c>
      <c r="AH31" s="12">
        <f t="shared" si="79"/>
        <v>57.295800000000028</v>
      </c>
      <c r="AI31" s="12">
        <f t="shared" si="79"/>
        <v>121.53450000000008</v>
      </c>
      <c r="AJ31" s="12">
        <f t="shared" si="79"/>
        <v>177.72049999999993</v>
      </c>
      <c r="AK31" s="13">
        <f t="shared" si="79"/>
        <v>356.55079999999924</v>
      </c>
      <c r="AL31" s="12">
        <f t="shared" si="79"/>
        <v>164.07400000000004</v>
      </c>
      <c r="AM31" s="12">
        <f t="shared" si="79"/>
        <v>95.921299999999775</v>
      </c>
      <c r="AN31" s="12">
        <f t="shared" si="79"/>
        <v>146.09999999999991</v>
      </c>
      <c r="AO31" s="12">
        <f t="shared" si="79"/>
        <v>201.4500000000001</v>
      </c>
      <c r="AP31" s="13">
        <f t="shared" si="79"/>
        <v>607.58000000000038</v>
      </c>
      <c r="AQ31" s="12">
        <f t="shared" si="79"/>
        <v>118.06000000000009</v>
      </c>
      <c r="AR31" s="12">
        <f t="shared" si="79"/>
        <v>101.51999999999992</v>
      </c>
      <c r="AS31" s="12">
        <f t="shared" si="79"/>
        <v>154.97000000000003</v>
      </c>
      <c r="AT31" s="12">
        <f t="shared" si="79"/>
        <v>245.39</v>
      </c>
      <c r="AU31" s="13">
        <f t="shared" si="79"/>
        <v>619.9599999999997</v>
      </c>
      <c r="AV31" s="12">
        <f t="shared" si="79"/>
        <v>143.02000000000004</v>
      </c>
      <c r="AW31" s="12">
        <f t="shared" si="79"/>
        <v>112.11000000000013</v>
      </c>
      <c r="AX31" s="12">
        <f t="shared" si="79"/>
        <v>134.30000000000021</v>
      </c>
      <c r="AY31" s="12">
        <f t="shared" si="79"/>
        <v>153.7700000000001</v>
      </c>
      <c r="AZ31" s="13">
        <f t="shared" si="79"/>
        <v>545.14999999999964</v>
      </c>
      <c r="BA31" s="12">
        <f t="shared" si="79"/>
        <v>117.82300000000006</v>
      </c>
      <c r="BB31" s="12">
        <f t="shared" si="79"/>
        <v>134.78000000000023</v>
      </c>
      <c r="BC31" s="12">
        <f t="shared" si="79"/>
        <v>169.39000000000007</v>
      </c>
      <c r="BD31" s="12">
        <f t="shared" si="79"/>
        <v>220.56000000000006</v>
      </c>
      <c r="BE31" s="13">
        <f t="shared" si="79"/>
        <v>629.00999999999942</v>
      </c>
      <c r="BF31" s="12">
        <f t="shared" si="79"/>
        <v>66.350000000000108</v>
      </c>
      <c r="BG31" s="12">
        <f t="shared" si="79"/>
        <v>203.55000000000013</v>
      </c>
      <c r="BH31" s="12">
        <f t="shared" si="79"/>
        <v>346.63999999999993</v>
      </c>
      <c r="BI31" s="12">
        <f t="shared" si="79"/>
        <v>454.97999999999996</v>
      </c>
      <c r="BJ31" s="13">
        <f t="shared" si="79"/>
        <v>871.46</v>
      </c>
      <c r="BK31" s="12">
        <f t="shared" si="79"/>
        <v>165.91</v>
      </c>
      <c r="BL31" s="12">
        <f t="shared" si="79"/>
        <v>253.65699999999995</v>
      </c>
      <c r="BM31" s="12">
        <f t="shared" si="79"/>
        <v>260.41000000000008</v>
      </c>
      <c r="BN31" s="12">
        <f t="shared" si="79"/>
        <v>332.60999999999984</v>
      </c>
      <c r="BO31" s="13">
        <f t="shared" si="79"/>
        <v>1012.5899999999997</v>
      </c>
      <c r="BP31" s="12">
        <f t="shared" si="79"/>
        <v>207.22999999999985</v>
      </c>
      <c r="BQ31" s="12">
        <f t="shared" si="79"/>
        <v>82.279999999999887</v>
      </c>
      <c r="BR31" s="12">
        <f t="shared" si="79"/>
        <v>238.59999999999991</v>
      </c>
      <c r="BS31" s="12">
        <f t="shared" si="79"/>
        <v>408.17999999999972</v>
      </c>
      <c r="BT31" s="13">
        <f t="shared" si="79"/>
        <v>936.18999999999994</v>
      </c>
      <c r="BU31" s="12">
        <f t="shared" si="79"/>
        <v>249.53999999999991</v>
      </c>
      <c r="BV31" s="12">
        <f t="shared" si="79"/>
        <v>284.31</v>
      </c>
      <c r="BW31" s="12">
        <f t="shared" si="79"/>
        <v>301.60000000000014</v>
      </c>
      <c r="BX31" s="12">
        <f t="shared" si="79"/>
        <v>413.4999999999996</v>
      </c>
      <c r="BY31" s="13">
        <f t="shared" si="79"/>
        <v>1249.1900000000014</v>
      </c>
      <c r="BZ31" s="12">
        <f t="shared" si="79"/>
        <v>301.29999999999995</v>
      </c>
      <c r="CA31" s="12">
        <f t="shared" si="79"/>
        <v>264.29000000000002</v>
      </c>
      <c r="CB31" s="12">
        <f t="shared" si="79"/>
        <v>217.53000000000014</v>
      </c>
      <c r="CC31" s="12">
        <f t="shared" si="79"/>
        <v>326.17000000000019</v>
      </c>
      <c r="CD31" s="13">
        <f t="shared" si="79"/>
        <v>1074.1199999999981</v>
      </c>
      <c r="CE31" s="12">
        <f t="shared" ref="CE31:CN31" si="80">CE28-CE38</f>
        <v>225.85000000000011</v>
      </c>
      <c r="CF31" s="12">
        <f t="shared" si="80"/>
        <v>193.0500000000001</v>
      </c>
      <c r="CG31" s="12">
        <f t="shared" si="80"/>
        <v>219.66999999999985</v>
      </c>
      <c r="CH31" s="12">
        <f t="shared" si="80"/>
        <v>420.73999999999967</v>
      </c>
      <c r="CI31" s="13">
        <f t="shared" si="80"/>
        <v>1124.9299999999992</v>
      </c>
      <c r="CJ31" s="13">
        <f t="shared" si="80"/>
        <v>1375.6558990000003</v>
      </c>
      <c r="CK31" s="13">
        <f t="shared" si="80"/>
        <v>1608.5220774699999</v>
      </c>
      <c r="CL31" s="13">
        <f t="shared" si="80"/>
        <v>1925.0682303367</v>
      </c>
      <c r="CM31" s="13">
        <f t="shared" si="80"/>
        <v>2213.9847114586919</v>
      </c>
      <c r="CN31" s="13">
        <f t="shared" ca="1" si="80"/>
        <v>2434.9357527528809</v>
      </c>
      <c r="CO31" s="15"/>
      <c r="CP31" s="15"/>
      <c r="CQ31" s="30"/>
      <c r="CR31" s="41"/>
      <c r="CS31" s="41"/>
      <c r="CT31" s="13"/>
      <c r="CU31" s="13"/>
      <c r="CV31" s="13"/>
      <c r="CW31" s="13"/>
      <c r="CX31" s="13"/>
      <c r="CY31" s="13"/>
      <c r="CZ31" s="13"/>
      <c r="DA31" s="13"/>
      <c r="DB31" s="13"/>
      <c r="DC31" s="13"/>
      <c r="DD31" s="13"/>
      <c r="DE31" s="13"/>
      <c r="DF31" s="13"/>
      <c r="DG31" s="13"/>
      <c r="DH31" s="13"/>
      <c r="DI31" s="13"/>
      <c r="DK31" s="13"/>
      <c r="DL31" s="13"/>
      <c r="DM31" s="6"/>
      <c r="DN31" s="13"/>
      <c r="DO31" s="13"/>
      <c r="DQ31" s="12"/>
      <c r="DR31" s="13"/>
      <c r="DS31" s="13"/>
      <c r="DT31" s="13"/>
      <c r="DV31" s="13"/>
      <c r="DW31" s="13"/>
      <c r="DX31" s="13"/>
      <c r="EA31" s="12"/>
      <c r="EB31" s="12"/>
      <c r="EC31" s="12"/>
      <c r="ED31" s="13"/>
      <c r="EE31" s="13"/>
      <c r="EF31" s="13"/>
      <c r="EJ31" s="12"/>
      <c r="EK31" s="12"/>
      <c r="EL31" s="13"/>
      <c r="EM31" s="13"/>
      <c r="EN31" s="13"/>
      <c r="EP31" s="12"/>
      <c r="EQ31" s="13"/>
      <c r="ER31" s="13"/>
      <c r="ES31" s="13"/>
      <c r="EV31" s="12"/>
      <c r="EW31" s="12"/>
      <c r="EX31" s="12"/>
      <c r="EY31" s="12"/>
      <c r="EZ31" s="13"/>
      <c r="FA31" s="13"/>
      <c r="FD31" s="12"/>
      <c r="FE31" s="12"/>
      <c r="FF31" s="12"/>
      <c r="FG31" s="13"/>
      <c r="FH31" s="13"/>
      <c r="FK31" s="13"/>
      <c r="FL31" s="13"/>
      <c r="FO31" s="12"/>
      <c r="FP31" s="12"/>
      <c r="FQ31" s="13"/>
      <c r="FR31" s="13"/>
      <c r="FU31" s="12"/>
      <c r="FV31" s="13"/>
      <c r="FW31" s="13"/>
      <c r="FX31" s="13"/>
      <c r="FY31" s="13"/>
      <c r="GA31" s="13"/>
      <c r="GB31" s="13"/>
      <c r="GC31" s="13"/>
      <c r="GF31" s="12"/>
      <c r="GG31" s="12"/>
      <c r="GH31" s="12"/>
      <c r="GI31" s="13"/>
      <c r="GJ31" s="13"/>
      <c r="GK31" s="13"/>
      <c r="GN31" s="12"/>
      <c r="GO31" s="12"/>
      <c r="GP31" s="13"/>
      <c r="GQ31" s="13"/>
      <c r="GR31" s="13"/>
      <c r="GV31" s="12"/>
      <c r="GW31" s="13"/>
      <c r="GX31" s="13"/>
      <c r="GY31" s="13"/>
      <c r="HC31" s="12"/>
      <c r="HD31" s="13"/>
      <c r="HE31" s="13"/>
      <c r="HF31" s="13"/>
      <c r="HI31" s="12"/>
      <c r="HJ31" s="12"/>
      <c r="HK31" s="12"/>
      <c r="HL31" s="12"/>
      <c r="HM31" s="13"/>
      <c r="HN31" s="13"/>
      <c r="HO31" s="13"/>
      <c r="HR31" s="12"/>
      <c r="HS31" s="12"/>
      <c r="HT31" s="12"/>
      <c r="HU31" s="13"/>
      <c r="HV31" s="13"/>
      <c r="HW31" s="13"/>
      <c r="HZ31" s="12"/>
      <c r="IA31" s="13"/>
      <c r="IB31" s="13"/>
      <c r="IC31" s="13"/>
      <c r="IE31" s="12"/>
      <c r="IF31" s="13"/>
      <c r="IG31" s="13"/>
      <c r="IH31" s="13"/>
      <c r="IK31" s="13"/>
      <c r="IL31" s="13"/>
      <c r="IO31" s="13"/>
      <c r="IP31" s="13"/>
      <c r="IS31" s="19"/>
      <c r="IT31" s="19"/>
      <c r="IU31" s="19"/>
      <c r="IX31" s="12"/>
      <c r="IY31" s="13"/>
      <c r="IZ31" s="13"/>
      <c r="JA31" s="13"/>
      <c r="JD31" s="13"/>
      <c r="JE31" s="13"/>
      <c r="JH31" s="13"/>
      <c r="JI31" s="13"/>
      <c r="JJ31" s="13"/>
      <c r="JM31" s="13"/>
      <c r="JN31" s="13"/>
      <c r="JQ31" s="13"/>
      <c r="JR31" s="13"/>
      <c r="JS31" s="13"/>
      <c r="JV31" s="13"/>
      <c r="JW31" s="13"/>
      <c r="JY31" s="13"/>
      <c r="JZ31" s="13"/>
      <c r="KB31" s="13"/>
      <c r="KC31" s="13"/>
      <c r="KD31" s="13"/>
    </row>
    <row r="32" spans="1:290" x14ac:dyDescent="0.25">
      <c r="A32" s="7" t="s">
        <v>260</v>
      </c>
      <c r="B32" s="17" t="s">
        <v>137</v>
      </c>
      <c r="C32" s="18"/>
      <c r="D32" s="18"/>
      <c r="E32" s="18"/>
      <c r="F32" s="19"/>
      <c r="G32" s="19"/>
      <c r="H32" s="18"/>
      <c r="I32" s="19"/>
      <c r="J32" s="19"/>
      <c r="K32" s="19"/>
      <c r="L32" s="19"/>
      <c r="M32" s="19"/>
      <c r="N32" s="19"/>
      <c r="O32" s="19"/>
      <c r="P32" s="19"/>
      <c r="Q32" s="19"/>
      <c r="R32" s="19">
        <f t="shared" ref="R32:CC32" si="81">R31/M31-1</f>
        <v>0.30831179402335818</v>
      </c>
      <c r="S32" s="19" t="e">
        <f t="shared" si="81"/>
        <v>#DIV/0!</v>
      </c>
      <c r="T32" s="19" t="e">
        <f t="shared" si="81"/>
        <v>#DIV/0!</v>
      </c>
      <c r="U32" s="19" t="e">
        <f t="shared" si="81"/>
        <v>#DIV/0!</v>
      </c>
      <c r="V32" s="19" t="e">
        <f t="shared" si="81"/>
        <v>#DIV/0!</v>
      </c>
      <c r="W32" s="19">
        <f t="shared" si="81"/>
        <v>0.25129684731726987</v>
      </c>
      <c r="X32" s="19">
        <f t="shared" si="81"/>
        <v>3.1193453181123987E-2</v>
      </c>
      <c r="Y32" s="19">
        <f t="shared" si="81"/>
        <v>-9.3013660540520737E-3</v>
      </c>
      <c r="Z32" s="19">
        <f t="shared" si="81"/>
        <v>-0.10198614608802725</v>
      </c>
      <c r="AA32" s="19">
        <f t="shared" si="81"/>
        <v>0.10557024413726235</v>
      </c>
      <c r="AB32" s="19">
        <f t="shared" si="81"/>
        <v>1.5108786590188217E-2</v>
      </c>
      <c r="AC32" s="19">
        <f t="shared" si="81"/>
        <v>-0.31777435353603578</v>
      </c>
      <c r="AD32" s="19">
        <f t="shared" si="81"/>
        <v>-0.33923333212617357</v>
      </c>
      <c r="AE32" s="19">
        <f t="shared" si="81"/>
        <v>5.9477889215376001E-2</v>
      </c>
      <c r="AF32" s="19">
        <f t="shared" si="81"/>
        <v>0.12695267496647222</v>
      </c>
      <c r="AG32" s="19">
        <f t="shared" si="81"/>
        <v>-5.82781113804266E-2</v>
      </c>
      <c r="AH32" s="19">
        <f t="shared" si="81"/>
        <v>0.23014395671637211</v>
      </c>
      <c r="AI32" s="19">
        <f t="shared" si="81"/>
        <v>0.85027106769157035</v>
      </c>
      <c r="AJ32" s="19">
        <f t="shared" si="81"/>
        <v>0.62940792477532881</v>
      </c>
      <c r="AK32" s="19">
        <f t="shared" si="81"/>
        <v>0.74821366844568127</v>
      </c>
      <c r="AL32" s="19">
        <f t="shared" si="81"/>
        <v>-0.61420069868720351</v>
      </c>
      <c r="AM32" s="19">
        <f t="shared" si="81"/>
        <v>0.67414190918007466</v>
      </c>
      <c r="AN32" s="19">
        <f t="shared" si="81"/>
        <v>0.20212779087419475</v>
      </c>
      <c r="AO32" s="19">
        <f t="shared" si="81"/>
        <v>0.13352145644424906</v>
      </c>
      <c r="AP32" s="19">
        <f t="shared" si="81"/>
        <v>0.70404890411128429</v>
      </c>
      <c r="AQ32" s="19">
        <f t="shared" si="81"/>
        <v>-0.28044662774114082</v>
      </c>
      <c r="AR32" s="19">
        <f t="shared" si="81"/>
        <v>5.8367640972340373E-2</v>
      </c>
      <c r="AS32" s="19">
        <f t="shared" si="81"/>
        <v>6.0711841204655226E-2</v>
      </c>
      <c r="AT32" s="19">
        <f t="shared" si="81"/>
        <v>0.2181186398610071</v>
      </c>
      <c r="AU32" s="19">
        <f t="shared" si="81"/>
        <v>2.0375917574639191E-2</v>
      </c>
      <c r="AV32" s="19">
        <f t="shared" si="81"/>
        <v>0.21141792308995377</v>
      </c>
      <c r="AW32" s="19">
        <f t="shared" si="81"/>
        <v>0.1043144208037845</v>
      </c>
      <c r="AX32" s="19">
        <f t="shared" si="81"/>
        <v>-0.13338065432018975</v>
      </c>
      <c r="AY32" s="19">
        <f t="shared" si="81"/>
        <v>-0.37336484779330814</v>
      </c>
      <c r="AZ32" s="19">
        <f t="shared" si="81"/>
        <v>-0.12066907542422112</v>
      </c>
      <c r="BA32" s="19">
        <f t="shared" si="81"/>
        <v>-0.17617815690113248</v>
      </c>
      <c r="BB32" s="19">
        <f t="shared" si="81"/>
        <v>0.20221211310320286</v>
      </c>
      <c r="BC32" s="19">
        <f t="shared" si="81"/>
        <v>0.26128071481757109</v>
      </c>
      <c r="BD32" s="19">
        <f t="shared" si="81"/>
        <v>0.434350003251609</v>
      </c>
      <c r="BE32" s="19">
        <f t="shared" si="81"/>
        <v>0.15382922131523413</v>
      </c>
      <c r="BF32" s="19">
        <f t="shared" si="81"/>
        <v>-0.43686716515451085</v>
      </c>
      <c r="BG32" s="19">
        <f t="shared" si="81"/>
        <v>0.51023890784982773</v>
      </c>
      <c r="BH32" s="19">
        <f t="shared" si="81"/>
        <v>1.0464017946750093</v>
      </c>
      <c r="BI32" s="19">
        <f t="shared" si="81"/>
        <v>1.0628400435255707</v>
      </c>
      <c r="BJ32" s="19">
        <f t="shared" si="81"/>
        <v>0.38544697222619795</v>
      </c>
      <c r="BK32" s="19">
        <f t="shared" si="81"/>
        <v>1.5005275056518421</v>
      </c>
      <c r="BL32" s="19">
        <f t="shared" si="81"/>
        <v>0.24616556128715206</v>
      </c>
      <c r="BM32" s="19">
        <f t="shared" si="81"/>
        <v>-0.24875951996307366</v>
      </c>
      <c r="BN32" s="19">
        <f t="shared" si="81"/>
        <v>-0.26895687722537287</v>
      </c>
      <c r="BO32" s="19">
        <f t="shared" si="81"/>
        <v>0.16194661831868329</v>
      </c>
      <c r="BP32" s="19">
        <f t="shared" si="81"/>
        <v>0.24905069013320391</v>
      </c>
      <c r="BQ32" s="19">
        <f t="shared" si="81"/>
        <v>-0.67562495811272738</v>
      </c>
      <c r="BR32" s="19">
        <f t="shared" si="81"/>
        <v>-8.3752544065128665E-2</v>
      </c>
      <c r="BS32" s="19">
        <f t="shared" si="81"/>
        <v>0.22720303057635038</v>
      </c>
      <c r="BT32" s="19">
        <f t="shared" si="81"/>
        <v>-7.5450083449372207E-2</v>
      </c>
      <c r="BU32" s="19">
        <f t="shared" si="81"/>
        <v>0.20416928050957917</v>
      </c>
      <c r="BV32" s="19">
        <f t="shared" si="81"/>
        <v>2.4553962080700096</v>
      </c>
      <c r="BW32" s="19">
        <f t="shared" si="81"/>
        <v>0.26404023470243199</v>
      </c>
      <c r="BX32" s="19">
        <f t="shared" si="81"/>
        <v>1.3033465627908969E-2</v>
      </c>
      <c r="BY32" s="19">
        <f t="shared" si="81"/>
        <v>0.33433384248923992</v>
      </c>
      <c r="BZ32" s="19">
        <f t="shared" si="81"/>
        <v>0.20742165584675831</v>
      </c>
      <c r="CA32" s="19">
        <f t="shared" si="81"/>
        <v>-7.0416095107453058E-2</v>
      </c>
      <c r="CB32" s="19">
        <f t="shared" si="81"/>
        <v>-0.2787466843501325</v>
      </c>
      <c r="CC32" s="19">
        <f t="shared" si="81"/>
        <v>-0.21119709794437602</v>
      </c>
      <c r="CD32" s="19">
        <f t="shared" ref="CD32:CI32" si="82">CD31/BY31-1</f>
        <v>-0.14014681513621075</v>
      </c>
      <c r="CE32" s="19">
        <f t="shared" si="82"/>
        <v>-0.25041486890142672</v>
      </c>
      <c r="CF32" s="19">
        <f t="shared" si="82"/>
        <v>-0.26955238563698936</v>
      </c>
      <c r="CG32" s="19">
        <f t="shared" si="82"/>
        <v>9.8377235323849899E-3</v>
      </c>
      <c r="CH32" s="19">
        <f t="shared" si="82"/>
        <v>0.28994082840236501</v>
      </c>
      <c r="CI32" s="19">
        <f t="shared" si="82"/>
        <v>4.7303839422039529E-2</v>
      </c>
      <c r="CJ32" s="19">
        <f>CJ31/CI31-1</f>
        <v>0.22288133394966914</v>
      </c>
      <c r="CK32" s="19">
        <f t="shared" ref="CK32:CN32" si="83">CK31/CJ31-1</f>
        <v>0.16927647287324987</v>
      </c>
      <c r="CL32" s="19">
        <f t="shared" si="83"/>
        <v>0.19679316641061395</v>
      </c>
      <c r="CM32" s="19">
        <f t="shared" si="83"/>
        <v>0.1500811641733133</v>
      </c>
      <c r="CN32" s="19">
        <f t="shared" ca="1" si="83"/>
        <v>9.979790743388417E-2</v>
      </c>
      <c r="CO32" s="20"/>
      <c r="CP32" s="20"/>
      <c r="CQ32" s="69"/>
      <c r="CR32" s="69"/>
      <c r="CS32" s="65"/>
      <c r="CT32" s="19"/>
      <c r="CU32" s="19"/>
      <c r="CV32" s="19"/>
      <c r="CW32" s="19"/>
      <c r="CX32" s="19"/>
      <c r="CY32" s="19"/>
      <c r="CZ32" s="19"/>
      <c r="DA32" s="19"/>
      <c r="DB32" s="19"/>
      <c r="DC32" s="19"/>
      <c r="DD32" s="19"/>
      <c r="DE32" s="19"/>
      <c r="DF32" s="19"/>
      <c r="DG32" s="19"/>
      <c r="DH32" s="19"/>
      <c r="DI32" s="19"/>
      <c r="DK32" s="19"/>
      <c r="DL32" s="19"/>
      <c r="DM32" s="6"/>
      <c r="DN32" s="19"/>
      <c r="DO32" s="19"/>
      <c r="DQ32" s="19"/>
      <c r="DR32" s="19"/>
      <c r="DS32" s="19"/>
      <c r="DT32" s="19"/>
      <c r="DV32" s="19"/>
      <c r="DW32" s="19"/>
      <c r="DX32" s="19"/>
      <c r="EA32" s="19"/>
      <c r="EB32" s="19"/>
      <c r="EC32" s="19"/>
      <c r="ED32" s="19"/>
      <c r="EE32" s="19"/>
      <c r="EF32" s="19"/>
      <c r="EJ32" s="19"/>
      <c r="EK32" s="19"/>
      <c r="EL32" s="19"/>
      <c r="EM32" s="19"/>
      <c r="EN32" s="19"/>
      <c r="EP32" s="19"/>
      <c r="EQ32" s="19"/>
      <c r="ER32" s="19"/>
      <c r="ES32" s="19"/>
      <c r="EV32" s="19"/>
      <c r="EW32" s="19"/>
      <c r="EX32" s="19"/>
      <c r="EY32" s="19"/>
      <c r="EZ32" s="19"/>
      <c r="FA32" s="19"/>
      <c r="FD32" s="19"/>
      <c r="FE32" s="19"/>
      <c r="FF32" s="19"/>
      <c r="FG32" s="19"/>
      <c r="FH32" s="19"/>
      <c r="FK32" s="19"/>
      <c r="FL32" s="19"/>
      <c r="FO32" s="19"/>
      <c r="FP32" s="19"/>
      <c r="FQ32" s="19"/>
      <c r="FR32" s="19"/>
      <c r="FU32" s="19"/>
      <c r="FV32" s="19"/>
      <c r="FW32" s="19"/>
      <c r="FX32" s="19"/>
      <c r="FY32" s="19"/>
      <c r="GA32" s="19"/>
      <c r="GB32" s="19"/>
      <c r="GC32" s="19"/>
      <c r="GF32" s="19"/>
      <c r="GG32" s="19"/>
      <c r="GH32" s="19"/>
      <c r="GI32" s="19"/>
      <c r="GJ32" s="19"/>
      <c r="GK32" s="19"/>
      <c r="GN32" s="19"/>
      <c r="GO32" s="19"/>
      <c r="GP32" s="19"/>
      <c r="GQ32" s="19"/>
      <c r="GR32" s="19"/>
      <c r="GV32" s="19"/>
      <c r="GW32" s="19"/>
      <c r="GX32" s="19"/>
      <c r="GY32" s="19"/>
      <c r="HC32" s="19"/>
      <c r="HD32" s="19"/>
      <c r="HE32" s="19"/>
      <c r="HF32" s="19"/>
      <c r="HI32" s="19"/>
      <c r="HJ32" s="19"/>
      <c r="HK32" s="19"/>
      <c r="HL32" s="19"/>
      <c r="HM32" s="19"/>
      <c r="HN32" s="19"/>
      <c r="HO32" s="19"/>
      <c r="HR32" s="19"/>
      <c r="HS32" s="19"/>
      <c r="HT32" s="19"/>
      <c r="HU32" s="19"/>
      <c r="HV32" s="19"/>
      <c r="HW32" s="19"/>
      <c r="HZ32" s="19"/>
      <c r="IA32" s="19"/>
      <c r="IB32" s="19"/>
      <c r="IC32" s="19"/>
      <c r="IE32" s="19"/>
      <c r="IF32" s="19"/>
      <c r="IG32" s="19"/>
      <c r="IH32" s="19"/>
      <c r="IK32" s="19"/>
      <c r="IL32" s="19"/>
      <c r="IO32" s="19"/>
      <c r="IP32" s="19"/>
      <c r="IS32" s="13"/>
      <c r="IT32" s="13"/>
      <c r="IU32" s="13"/>
      <c r="IX32" s="19"/>
      <c r="IY32" s="19"/>
      <c r="IZ32" s="19"/>
      <c r="JA32" s="19"/>
      <c r="JD32" s="19"/>
      <c r="JE32" s="19"/>
      <c r="JH32" s="19"/>
      <c r="JI32" s="19"/>
      <c r="JJ32" s="19"/>
      <c r="JM32" s="19"/>
      <c r="JN32" s="19"/>
      <c r="JQ32" s="19"/>
      <c r="JR32" s="19"/>
      <c r="JS32" s="19"/>
      <c r="JV32" s="19"/>
      <c r="JW32" s="19"/>
      <c r="JY32" s="19"/>
      <c r="JZ32" s="19"/>
      <c r="KB32" s="19"/>
      <c r="KC32" s="19"/>
      <c r="KD32" s="19"/>
    </row>
    <row r="33" spans="1:290" x14ac:dyDescent="0.25">
      <c r="A33" s="7" t="s">
        <v>260</v>
      </c>
      <c r="B33" s="47" t="s">
        <v>258</v>
      </c>
      <c r="C33" s="46"/>
      <c r="D33" s="46"/>
      <c r="E33" s="46"/>
      <c r="F33" s="46"/>
      <c r="G33" s="46"/>
      <c r="H33" s="46"/>
      <c r="I33" s="46"/>
      <c r="J33" s="46"/>
      <c r="K33" s="46"/>
      <c r="L33" s="46"/>
      <c r="M33" s="46">
        <f>M31/M9</f>
        <v>0.11183957530533808</v>
      </c>
      <c r="N33" s="46"/>
      <c r="O33" s="46"/>
      <c r="P33" s="46"/>
      <c r="Q33" s="46"/>
      <c r="R33" s="46">
        <f>R31/R9</f>
        <v>0.12274256373020807</v>
      </c>
      <c r="S33" s="46">
        <f t="shared" ref="S33:CD33" si="84">S31/S9</f>
        <v>0.10719240643683542</v>
      </c>
      <c r="T33" s="46">
        <f t="shared" si="84"/>
        <v>0.12311866607917259</v>
      </c>
      <c r="U33" s="46">
        <f t="shared" si="84"/>
        <v>0.12492290330778047</v>
      </c>
      <c r="V33" s="46">
        <f t="shared" si="84"/>
        <v>0.15774996116355888</v>
      </c>
      <c r="W33" s="46">
        <f t="shared" si="84"/>
        <v>0.13131096203418319</v>
      </c>
      <c r="X33" s="46">
        <f t="shared" si="84"/>
        <v>9.6819597461668377E-2</v>
      </c>
      <c r="Y33" s="46">
        <f t="shared" si="84"/>
        <v>0.10619794626794221</v>
      </c>
      <c r="Z33" s="46">
        <f t="shared" si="84"/>
        <v>0.10241187564916734</v>
      </c>
      <c r="AA33" s="46">
        <f t="shared" si="84"/>
        <v>0.14412807207546438</v>
      </c>
      <c r="AB33" s="46">
        <f t="shared" si="84"/>
        <v>0.11573348713832184</v>
      </c>
      <c r="AC33" s="46">
        <f t="shared" si="84"/>
        <v>6.1321088205915225E-2</v>
      </c>
      <c r="AD33" s="46">
        <f t="shared" si="84"/>
        <v>6.44070066828272E-2</v>
      </c>
      <c r="AE33" s="46">
        <f t="shared" si="84"/>
        <v>0.10079732677385729</v>
      </c>
      <c r="AF33" s="46">
        <f t="shared" si="84"/>
        <v>0.16258871861819651</v>
      </c>
      <c r="AG33" s="46">
        <f t="shared" si="84"/>
        <v>0.10332771807456895</v>
      </c>
      <c r="AH33" s="46">
        <f t="shared" si="84"/>
        <v>7.4140844545531867E-2</v>
      </c>
      <c r="AI33" s="46">
        <f t="shared" si="84"/>
        <v>0.12133621236175848</v>
      </c>
      <c r="AJ33" s="46">
        <f t="shared" si="84"/>
        <v>0.14806252499881067</v>
      </c>
      <c r="AK33" s="46">
        <f t="shared" si="84"/>
        <v>0.11985956410278796</v>
      </c>
      <c r="AL33" s="46">
        <f t="shared" si="84"/>
        <v>0.13795436829294486</v>
      </c>
      <c r="AM33" s="46">
        <f t="shared" si="84"/>
        <v>0.10864622879688594</v>
      </c>
      <c r="AN33" s="46">
        <f t="shared" si="84"/>
        <v>0.13192820613308126</v>
      </c>
      <c r="AO33" s="46">
        <f t="shared" si="84"/>
        <v>0.15706010306947452</v>
      </c>
      <c r="AP33" s="46">
        <f t="shared" si="84"/>
        <v>0.13615970382720871</v>
      </c>
      <c r="AQ33" s="46">
        <f t="shared" si="84"/>
        <v>0.101630425425684</v>
      </c>
      <c r="AR33" s="46">
        <f t="shared" si="84"/>
        <v>9.6222015809527356E-2</v>
      </c>
      <c r="AS33" s="46">
        <f t="shared" si="84"/>
        <v>0.12123132285066106</v>
      </c>
      <c r="AT33" s="46">
        <f t="shared" si="84"/>
        <v>0.16678901077987573</v>
      </c>
      <c r="AU33" s="46">
        <f t="shared" si="84"/>
        <v>0.12483362832214787</v>
      </c>
      <c r="AV33" s="46">
        <f t="shared" si="84"/>
        <v>0.10627847010128486</v>
      </c>
      <c r="AW33" s="46">
        <f t="shared" si="84"/>
        <v>9.0753812777256193E-2</v>
      </c>
      <c r="AX33" s="46">
        <f t="shared" si="84"/>
        <v>9.4941854299954206E-2</v>
      </c>
      <c r="AY33" s="46">
        <f t="shared" si="84"/>
        <v>0.10044352705253744</v>
      </c>
      <c r="AZ33" s="46">
        <f t="shared" si="84"/>
        <v>9.8117207902651257E-2</v>
      </c>
      <c r="BA33" s="46">
        <f t="shared" si="84"/>
        <v>8.2001874956936574E-2</v>
      </c>
      <c r="BB33" s="46">
        <f t="shared" si="84"/>
        <v>0.10524754021552414</v>
      </c>
      <c r="BC33" s="46">
        <f t="shared" si="84"/>
        <v>0.12334343051874296</v>
      </c>
      <c r="BD33" s="46">
        <f t="shared" si="84"/>
        <v>0.15418492963949421</v>
      </c>
      <c r="BE33" s="46">
        <f t="shared" si="84"/>
        <v>0.11412599745261749</v>
      </c>
      <c r="BF33" s="46">
        <f t="shared" si="84"/>
        <v>6.2957832011234768E-2</v>
      </c>
      <c r="BG33" s="46">
        <f t="shared" si="84"/>
        <v>0.14806005324488292</v>
      </c>
      <c r="BH33" s="46">
        <f t="shared" si="84"/>
        <v>0.18800303720577066</v>
      </c>
      <c r="BI33" s="46">
        <f t="shared" si="84"/>
        <v>0.21825874632421721</v>
      </c>
      <c r="BJ33" s="46">
        <f t="shared" si="84"/>
        <v>0.13708538223644262</v>
      </c>
      <c r="BK33" s="46">
        <f t="shared" si="84"/>
        <v>0.12362154268001908</v>
      </c>
      <c r="BL33" s="46">
        <f t="shared" si="84"/>
        <v>0.13152799527103404</v>
      </c>
      <c r="BM33" s="46">
        <f t="shared" si="84"/>
        <v>0.13387931787919455</v>
      </c>
      <c r="BN33" s="46">
        <f t="shared" si="84"/>
        <v>0.13007363839364269</v>
      </c>
      <c r="BO33" s="46">
        <f t="shared" si="84"/>
        <v>0.1302731827058905</v>
      </c>
      <c r="BP33" s="46">
        <f t="shared" si="84"/>
        <v>9.3940108251208007E-2</v>
      </c>
      <c r="BQ33" s="46">
        <f t="shared" si="84"/>
        <v>3.9432569730662267E-2</v>
      </c>
      <c r="BR33" s="46">
        <f t="shared" si="84"/>
        <v>0.10325830588866622</v>
      </c>
      <c r="BS33" s="46">
        <f t="shared" si="84"/>
        <v>0.15709502366932213</v>
      </c>
      <c r="BT33" s="46">
        <f t="shared" si="84"/>
        <v>0.10174330461696963</v>
      </c>
      <c r="BU33" s="46">
        <f t="shared" si="84"/>
        <v>0.10535426289169035</v>
      </c>
      <c r="BV33" s="46">
        <f t="shared" si="84"/>
        <v>0.12314775911880764</v>
      </c>
      <c r="BW33" s="46">
        <f t="shared" si="84"/>
        <v>0.12314727859213595</v>
      </c>
      <c r="BX33" s="46">
        <f t="shared" si="84"/>
        <v>0.13747178254523923</v>
      </c>
      <c r="BY33" s="46">
        <f t="shared" si="84"/>
        <v>0.1232640567737557</v>
      </c>
      <c r="BZ33" s="46">
        <f t="shared" si="84"/>
        <v>0.11428679803516224</v>
      </c>
      <c r="CA33" s="46">
        <f t="shared" si="84"/>
        <v>0.11627620493191669</v>
      </c>
      <c r="CB33" s="46">
        <f t="shared" si="84"/>
        <v>8.6669482206320675E-2</v>
      </c>
      <c r="CC33" s="46">
        <f t="shared" si="84"/>
        <v>0.10775105960549315</v>
      </c>
      <c r="CD33" s="46">
        <f t="shared" si="84"/>
        <v>0.10282350125643155</v>
      </c>
      <c r="CE33" s="46">
        <f t="shared" ref="CE33:CN33" si="85">CE31/CE9</f>
        <v>8.655876682980676E-2</v>
      </c>
      <c r="CF33" s="46">
        <f t="shared" si="85"/>
        <v>8.0643476880532403E-2</v>
      </c>
      <c r="CG33" s="46">
        <f t="shared" si="85"/>
        <v>8.1754709818603999E-2</v>
      </c>
      <c r="CH33" s="46">
        <f t="shared" si="85"/>
        <v>0.11926886377938908</v>
      </c>
      <c r="CI33" s="46">
        <f t="shared" si="85"/>
        <v>0.10028187646643505</v>
      </c>
      <c r="CJ33" s="46">
        <f t="shared" si="85"/>
        <v>0.10923154132739347</v>
      </c>
      <c r="CK33" s="46">
        <f t="shared" si="85"/>
        <v>0.11149998394600347</v>
      </c>
      <c r="CL33" s="46">
        <f t="shared" si="85"/>
        <v>0.11188851932505724</v>
      </c>
      <c r="CM33" s="46">
        <f t="shared" si="85"/>
        <v>0.11693835273567652</v>
      </c>
      <c r="CN33" s="46">
        <f t="shared" ca="1" si="85"/>
        <v>0.11720813421371865</v>
      </c>
      <c r="CO33" s="20"/>
      <c r="CP33" s="20"/>
      <c r="CQ33" s="6"/>
      <c r="CR33" s="6"/>
      <c r="CS33" s="6"/>
      <c r="CT33" s="46"/>
      <c r="CU33" s="46"/>
      <c r="CV33" s="46"/>
      <c r="CW33" s="46"/>
      <c r="CX33" s="46"/>
      <c r="CY33" s="46"/>
      <c r="CZ33" s="46"/>
      <c r="DA33" s="46"/>
      <c r="DB33" s="46"/>
      <c r="DC33" s="46"/>
      <c r="DD33" s="46"/>
      <c r="DE33" s="46"/>
      <c r="DF33" s="46"/>
      <c r="DG33" s="46"/>
      <c r="DH33" s="46"/>
      <c r="DI33" s="46"/>
      <c r="DK33" s="46"/>
      <c r="DL33" s="46"/>
      <c r="DM33" s="6"/>
      <c r="DN33" s="46"/>
      <c r="DO33" s="46"/>
      <c r="DQ33" s="46"/>
      <c r="DR33" s="46"/>
      <c r="DS33" s="46"/>
      <c r="DT33" s="46"/>
      <c r="DV33" s="46"/>
      <c r="DW33" s="46"/>
      <c r="DX33" s="46"/>
      <c r="EA33" s="66"/>
      <c r="EB33" s="46"/>
      <c r="EC33" s="46"/>
      <c r="ED33" s="46"/>
      <c r="EE33" s="46"/>
      <c r="EF33" s="46"/>
      <c r="EJ33" s="46"/>
      <c r="EK33" s="46"/>
      <c r="EL33" s="66"/>
      <c r="EM33" s="66"/>
      <c r="EN33" s="66"/>
      <c r="EP33" s="46"/>
      <c r="EQ33" s="66"/>
      <c r="ER33" s="66"/>
      <c r="ES33" s="66"/>
      <c r="EV33" s="46"/>
      <c r="EW33" s="46"/>
      <c r="EX33" s="46"/>
      <c r="EY33" s="46"/>
      <c r="EZ33" s="66"/>
      <c r="FA33" s="66"/>
      <c r="FD33" s="46"/>
      <c r="FE33" s="46"/>
      <c r="FF33" s="46"/>
      <c r="FG33" s="66"/>
      <c r="FH33" s="66"/>
      <c r="FK33" s="66"/>
      <c r="FL33" s="66"/>
      <c r="FO33" s="46"/>
      <c r="FP33" s="46"/>
      <c r="FQ33" s="66"/>
      <c r="FR33" s="66"/>
      <c r="FU33" s="46"/>
      <c r="FV33" s="66"/>
      <c r="FW33" s="66"/>
      <c r="FX33" s="66"/>
      <c r="FY33" s="66"/>
      <c r="GA33" s="66"/>
      <c r="GB33" s="66"/>
      <c r="GC33" s="66"/>
      <c r="GF33" s="46"/>
      <c r="GG33" s="46"/>
      <c r="GH33" s="46"/>
      <c r="GI33" s="66"/>
      <c r="GJ33" s="66"/>
      <c r="GK33" s="66"/>
      <c r="GN33" s="46"/>
      <c r="GO33" s="46"/>
      <c r="GP33" s="66"/>
      <c r="GQ33" s="66"/>
      <c r="GR33" s="66"/>
      <c r="GV33" s="46"/>
      <c r="GW33" s="66"/>
      <c r="GX33" s="66"/>
      <c r="GY33" s="66"/>
      <c r="HC33" s="46"/>
      <c r="HD33" s="66"/>
      <c r="HE33" s="66"/>
      <c r="HF33" s="66"/>
      <c r="HI33" s="46"/>
      <c r="HJ33" s="46"/>
      <c r="HK33" s="46"/>
      <c r="HL33" s="46"/>
      <c r="HM33" s="66"/>
      <c r="HN33" s="66"/>
      <c r="HO33" s="66"/>
      <c r="HR33" s="46"/>
      <c r="HS33" s="46"/>
      <c r="HT33" s="46"/>
      <c r="HU33" s="66"/>
      <c r="HV33" s="66"/>
      <c r="HW33" s="66"/>
      <c r="HZ33" s="46"/>
      <c r="IA33" s="66"/>
      <c r="IB33" s="66"/>
      <c r="IC33" s="66"/>
      <c r="IE33" s="46"/>
      <c r="IF33" s="66"/>
      <c r="IG33" s="66"/>
      <c r="IH33" s="66"/>
      <c r="IK33" s="66"/>
      <c r="IL33" s="66"/>
      <c r="IO33" s="66"/>
      <c r="IP33" s="66"/>
      <c r="IS33" s="13"/>
      <c r="IT33" s="13"/>
      <c r="IU33" s="13"/>
      <c r="IX33" s="46"/>
      <c r="IY33" s="66"/>
      <c r="IZ33" s="66"/>
      <c r="JA33" s="66"/>
      <c r="JD33" s="66"/>
      <c r="JE33" s="66"/>
      <c r="JH33" s="66"/>
      <c r="JI33" s="66"/>
      <c r="JJ33" s="66"/>
      <c r="JM33" s="66"/>
      <c r="JN33" s="66"/>
      <c r="JQ33" s="66"/>
      <c r="JR33" s="66"/>
      <c r="JS33" s="66"/>
      <c r="JV33" s="66"/>
      <c r="JW33" s="66"/>
      <c r="JY33" s="66"/>
      <c r="JZ33" s="66"/>
      <c r="KB33" s="66"/>
      <c r="KC33" s="66"/>
      <c r="KD33" s="66"/>
    </row>
    <row r="34" spans="1:290" x14ac:dyDescent="0.25">
      <c r="B34" s="11"/>
      <c r="C34" s="12"/>
      <c r="D34" s="12"/>
      <c r="E34" s="12"/>
      <c r="F34" s="12"/>
      <c r="G34" s="12"/>
      <c r="H34" s="13"/>
      <c r="I34" s="12"/>
      <c r="J34" s="12"/>
      <c r="K34" s="12"/>
      <c r="L34" s="12"/>
      <c r="M34" s="13"/>
      <c r="N34" s="12"/>
      <c r="O34" s="12"/>
      <c r="P34" s="12"/>
      <c r="Q34" s="12"/>
      <c r="R34" s="13"/>
      <c r="S34" s="12"/>
      <c r="T34" s="12"/>
      <c r="U34" s="23"/>
      <c r="V34" s="23"/>
      <c r="W34" s="13"/>
      <c r="X34" s="23"/>
      <c r="Y34" s="23"/>
      <c r="Z34" s="23"/>
      <c r="AA34" s="23"/>
      <c r="AB34" s="13"/>
      <c r="AC34" s="23"/>
      <c r="AD34" s="23"/>
      <c r="AE34" s="23"/>
      <c r="AF34" s="2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70"/>
      <c r="BK34" s="13"/>
      <c r="BL34" s="13"/>
      <c r="BM34" s="13"/>
      <c r="BN34" s="13"/>
      <c r="BO34" s="70"/>
      <c r="BP34" s="71"/>
      <c r="BQ34" s="71"/>
      <c r="BR34" s="71"/>
      <c r="BS34" s="71"/>
      <c r="BT34" s="70"/>
      <c r="BU34" s="71"/>
      <c r="BV34" s="71"/>
      <c r="BW34" s="71"/>
      <c r="BX34" s="71"/>
      <c r="BY34" s="70"/>
      <c r="BZ34" s="71"/>
      <c r="CA34" s="71"/>
      <c r="CB34" s="71"/>
      <c r="CC34" s="71"/>
      <c r="CD34" s="70"/>
      <c r="CE34" s="23"/>
      <c r="CF34" s="23"/>
      <c r="CG34" s="23"/>
      <c r="CH34" s="23"/>
      <c r="CI34" s="70"/>
      <c r="CJ34" s="72"/>
      <c r="CK34" s="72"/>
      <c r="CL34" s="72"/>
      <c r="CM34" s="72"/>
      <c r="CN34" s="72"/>
      <c r="CO34" s="15"/>
      <c r="CP34" s="15"/>
      <c r="CQ34" s="6"/>
      <c r="CR34" s="64"/>
      <c r="CS34" s="6"/>
      <c r="CT34" s="13">
        <f t="shared" si="26"/>
        <v>0</v>
      </c>
      <c r="CU34" s="13">
        <f t="shared" si="27"/>
        <v>0</v>
      </c>
      <c r="CV34" s="13">
        <f t="shared" si="28"/>
        <v>0</v>
      </c>
      <c r="CW34" s="13">
        <f t="shared" si="29"/>
        <v>0</v>
      </c>
      <c r="CX34" s="13">
        <f t="shared" si="30"/>
        <v>0</v>
      </c>
      <c r="CY34" s="13">
        <f t="shared" si="31"/>
        <v>0</v>
      </c>
      <c r="CZ34" s="13">
        <f t="shared" si="32"/>
        <v>0</v>
      </c>
      <c r="DA34" s="13">
        <f t="shared" si="33"/>
        <v>0</v>
      </c>
      <c r="DB34" s="13">
        <f t="shared" si="34"/>
        <v>0</v>
      </c>
      <c r="DC34" s="13">
        <f t="shared" si="35"/>
        <v>0</v>
      </c>
      <c r="DD34" s="13">
        <f t="shared" si="36"/>
        <v>0</v>
      </c>
      <c r="DE34" s="13">
        <f t="shared" si="37"/>
        <v>0</v>
      </c>
      <c r="DF34" s="13">
        <f t="shared" si="38"/>
        <v>0</v>
      </c>
      <c r="DG34" s="13">
        <f t="shared" si="38"/>
        <v>0</v>
      </c>
      <c r="DH34" s="13">
        <f t="shared" si="38"/>
        <v>0</v>
      </c>
      <c r="DI34" s="13"/>
      <c r="DK34" s="13"/>
      <c r="DL34" s="13"/>
      <c r="DM34" s="6"/>
      <c r="DN34" s="13"/>
      <c r="DO34" s="13"/>
      <c r="DQ34" s="23"/>
      <c r="DR34" s="13"/>
      <c r="DS34" s="13"/>
      <c r="DT34" s="13"/>
      <c r="DV34" s="13"/>
      <c r="DW34" s="13"/>
      <c r="DX34" s="13"/>
      <c r="EA34" s="23"/>
      <c r="EB34" s="23"/>
      <c r="EC34" s="23"/>
      <c r="ED34" s="13"/>
      <c r="EE34" s="13"/>
      <c r="EF34" s="13"/>
      <c r="EJ34" s="23"/>
      <c r="EK34" s="23"/>
      <c r="EL34" s="13"/>
      <c r="EM34" s="13"/>
      <c r="EN34" s="13"/>
      <c r="EP34" s="23"/>
      <c r="EQ34" s="13"/>
      <c r="ER34" s="13"/>
      <c r="ES34" s="13"/>
      <c r="EV34" s="23"/>
      <c r="EW34" s="23"/>
      <c r="EX34" s="23"/>
      <c r="EY34" s="23"/>
      <c r="EZ34" s="13"/>
      <c r="FA34" s="13"/>
      <c r="FD34" s="23"/>
      <c r="FE34" s="23"/>
      <c r="FF34" s="23"/>
      <c r="FG34" s="13"/>
      <c r="FH34" s="13"/>
      <c r="FK34" s="13"/>
      <c r="FL34" s="13"/>
      <c r="FO34" s="23"/>
      <c r="FP34" s="23"/>
      <c r="FQ34" s="13"/>
      <c r="FR34" s="13"/>
      <c r="FU34" s="23"/>
      <c r="FV34" s="13"/>
      <c r="FW34" s="13"/>
      <c r="FX34" s="13"/>
      <c r="FY34" s="13"/>
      <c r="GA34" s="13"/>
      <c r="GB34" s="13"/>
      <c r="GC34" s="13"/>
      <c r="GF34" s="23"/>
      <c r="GG34" s="23"/>
      <c r="GH34" s="23"/>
      <c r="GI34" s="13"/>
      <c r="GJ34" s="13"/>
      <c r="GK34" s="13"/>
      <c r="GN34" s="23"/>
      <c r="GO34" s="23"/>
      <c r="GP34" s="13"/>
      <c r="GQ34" s="13"/>
      <c r="GR34" s="13"/>
      <c r="GV34" s="23"/>
      <c r="GW34" s="13"/>
      <c r="GX34" s="13"/>
      <c r="GY34" s="13"/>
      <c r="HC34" s="73"/>
      <c r="HD34" s="13"/>
      <c r="HE34" s="13"/>
      <c r="HF34" s="13"/>
      <c r="HI34" s="71"/>
      <c r="HJ34" s="71"/>
      <c r="HK34" s="71"/>
      <c r="HL34" s="71"/>
      <c r="HM34" s="13"/>
      <c r="HN34" s="13"/>
      <c r="HO34" s="13"/>
      <c r="HR34" s="71"/>
      <c r="HS34" s="71"/>
      <c r="HT34" s="71"/>
      <c r="HU34" s="13"/>
      <c r="HV34" s="13"/>
      <c r="HW34" s="13"/>
      <c r="HZ34" s="71"/>
      <c r="IA34" s="13"/>
      <c r="IB34" s="13"/>
      <c r="IC34" s="13"/>
      <c r="IE34" s="71"/>
      <c r="IF34" s="13"/>
      <c r="IG34" s="13"/>
      <c r="IH34" s="13"/>
      <c r="IK34" s="13"/>
      <c r="IL34" s="13"/>
      <c r="IO34" s="13"/>
      <c r="IP34" s="13"/>
      <c r="IS34" s="13">
        <v>47.769999999999996</v>
      </c>
      <c r="IT34" s="13">
        <v>65.77</v>
      </c>
      <c r="IU34" s="13">
        <v>83.77</v>
      </c>
      <c r="IX34" s="13"/>
      <c r="IY34" s="13"/>
      <c r="IZ34" s="13"/>
      <c r="JA34" s="13"/>
      <c r="JD34" s="13"/>
      <c r="JE34" s="13"/>
      <c r="JH34" s="13"/>
      <c r="JI34" s="13"/>
      <c r="JJ34" s="13"/>
      <c r="JM34" s="13"/>
      <c r="JN34" s="13"/>
      <c r="JQ34" s="13"/>
      <c r="JR34" s="13"/>
      <c r="JS34" s="13"/>
      <c r="JV34" s="13"/>
      <c r="JW34" s="13"/>
      <c r="JY34" s="13"/>
      <c r="JZ34" s="13"/>
      <c r="KB34" s="13"/>
      <c r="KC34" s="13"/>
      <c r="KD34" s="13"/>
    </row>
    <row r="35" spans="1:290" x14ac:dyDescent="0.25">
      <c r="A35" s="7" t="s">
        <v>259</v>
      </c>
      <c r="B35" s="11" t="s">
        <v>153</v>
      </c>
      <c r="C35" s="12"/>
      <c r="D35" s="12"/>
      <c r="E35" s="12"/>
      <c r="F35" s="12"/>
      <c r="G35" s="12"/>
      <c r="H35" s="13"/>
      <c r="I35" s="12">
        <v>3.19</v>
      </c>
      <c r="J35" s="12">
        <v>4.0899999999999999E-2</v>
      </c>
      <c r="K35" s="12">
        <v>4.6800000000000001E-2</v>
      </c>
      <c r="L35" s="12">
        <v>1.2086999999999999</v>
      </c>
      <c r="M35" s="13">
        <f>I35+J35+K35+L35</f>
        <v>4.4863999999999997</v>
      </c>
      <c r="N35" s="12">
        <v>0.94600000000000006</v>
      </c>
      <c r="O35" s="12">
        <v>1.1404000000000001</v>
      </c>
      <c r="P35" s="12">
        <v>0.31030000000000002</v>
      </c>
      <c r="Q35" s="12">
        <v>0.41620000000000001</v>
      </c>
      <c r="R35" s="13">
        <f>N35+O35+P35+Q35</f>
        <v>2.8129</v>
      </c>
      <c r="S35" s="12">
        <v>5.4000000000000006E-2</v>
      </c>
      <c r="T35" s="12">
        <v>0</v>
      </c>
      <c r="U35" s="12">
        <v>6.5200000000000008E-2</v>
      </c>
      <c r="V35" s="12">
        <v>-0.27850000000000003</v>
      </c>
      <c r="W35" s="13">
        <f>S35+T35+U35+V35</f>
        <v>-0.1593</v>
      </c>
      <c r="X35" s="12">
        <v>1.0582</v>
      </c>
      <c r="Y35" s="12">
        <v>0.71940000000000004</v>
      </c>
      <c r="Z35" s="12">
        <v>0.40129999999999999</v>
      </c>
      <c r="AA35" s="12">
        <v>1.0283</v>
      </c>
      <c r="AB35" s="13">
        <f>X35+Y35+Z35+AA35</f>
        <v>3.2072000000000003</v>
      </c>
      <c r="AC35" s="12">
        <v>0.37759999999999999</v>
      </c>
      <c r="AD35" s="12">
        <v>1.0931999999999999</v>
      </c>
      <c r="AE35" s="12">
        <v>3.0099999999999998E-2</v>
      </c>
      <c r="AF35" s="12">
        <v>0.93059999999999987</v>
      </c>
      <c r="AG35" s="13">
        <f>AC35+AD35+AE35+AF35</f>
        <v>2.4314999999999998</v>
      </c>
      <c r="AH35" s="12">
        <v>1.5121</v>
      </c>
      <c r="AI35" s="12">
        <v>0.40300000000000002</v>
      </c>
      <c r="AJ35" s="12">
        <v>-9.647E-2</v>
      </c>
      <c r="AK35" s="13">
        <f>AH35+AI35+AJ35</f>
        <v>1.81863</v>
      </c>
      <c r="AL35" s="12">
        <v>0.60150000000000003</v>
      </c>
      <c r="AM35" s="12">
        <v>1.5604</v>
      </c>
      <c r="AN35" s="12">
        <v>0.3992</v>
      </c>
      <c r="AO35" s="12">
        <v>2.56</v>
      </c>
      <c r="AP35" s="13">
        <v>5.13</v>
      </c>
      <c r="AQ35" s="12">
        <v>0.43</v>
      </c>
      <c r="AR35" s="12">
        <v>0.12</v>
      </c>
      <c r="AS35" s="12">
        <v>0.5</v>
      </c>
      <c r="AT35" s="12">
        <v>3.71</v>
      </c>
      <c r="AU35" s="43">
        <v>4.75</v>
      </c>
      <c r="AV35" s="12">
        <v>0.59</v>
      </c>
      <c r="AW35" s="12">
        <v>5.48</v>
      </c>
      <c r="AX35" s="12">
        <v>3.29</v>
      </c>
      <c r="AY35" s="12">
        <v>3.08</v>
      </c>
      <c r="AZ35" s="43">
        <v>7.78</v>
      </c>
      <c r="BA35" s="12">
        <v>0.03</v>
      </c>
      <c r="BB35" s="12">
        <f>0.54</f>
        <v>0.54</v>
      </c>
      <c r="BC35" s="12">
        <v>0.8</v>
      </c>
      <c r="BD35" s="12">
        <v>0.06</v>
      </c>
      <c r="BE35" s="43">
        <v>1.43</v>
      </c>
      <c r="BF35" s="12">
        <v>0.28000000000000003</v>
      </c>
      <c r="BG35" s="12">
        <v>0.08</v>
      </c>
      <c r="BH35" s="12">
        <v>0.25</v>
      </c>
      <c r="BI35" s="12">
        <v>3.66</v>
      </c>
      <c r="BJ35" s="43">
        <v>4.2699999999999996</v>
      </c>
      <c r="BK35" s="12">
        <v>4.32</v>
      </c>
      <c r="BL35" s="12">
        <v>4.09</v>
      </c>
      <c r="BM35" s="12">
        <v>2.94</v>
      </c>
      <c r="BN35" s="12">
        <v>8.6</v>
      </c>
      <c r="BO35" s="43">
        <v>19.95</v>
      </c>
      <c r="BP35" s="12">
        <v>4.55</v>
      </c>
      <c r="BQ35" s="12">
        <v>5.52</v>
      </c>
      <c r="BR35" s="12">
        <v>8.2899999999999991</v>
      </c>
      <c r="BS35" s="12">
        <v>11.41</v>
      </c>
      <c r="BT35" s="43">
        <v>29.77</v>
      </c>
      <c r="BU35" s="12">
        <v>14.2</v>
      </c>
      <c r="BV35" s="12">
        <v>12.69</v>
      </c>
      <c r="BW35" s="12">
        <v>20.71</v>
      </c>
      <c r="BX35" s="12">
        <v>18.09</v>
      </c>
      <c r="BY35" s="43">
        <v>65.69</v>
      </c>
      <c r="BZ35" s="12">
        <v>21.44</v>
      </c>
      <c r="CA35" s="12">
        <v>15.05</v>
      </c>
      <c r="CB35" s="12">
        <v>8.9</v>
      </c>
      <c r="CC35" s="12">
        <v>12.45</v>
      </c>
      <c r="CD35" s="43">
        <v>57.84</v>
      </c>
      <c r="CE35" s="12">
        <v>16.920000000000002</v>
      </c>
      <c r="CF35" s="12">
        <v>15.54</v>
      </c>
      <c r="CG35" s="12">
        <v>3.77</v>
      </c>
      <c r="CH35" s="12">
        <v>8.56</v>
      </c>
      <c r="CI35" s="43">
        <v>44.79</v>
      </c>
      <c r="CJ35" s="43">
        <f ca="1">CJ54*0.03</f>
        <v>42.054479142057687</v>
      </c>
      <c r="CK35" s="43">
        <f t="shared" ref="CK35:CN35" ca="1" si="86">CK54*0.03</f>
        <v>45.299780730810127</v>
      </c>
      <c r="CL35" s="43">
        <f t="shared" ca="1" si="86"/>
        <v>49.724700021999048</v>
      </c>
      <c r="CM35" s="43">
        <f t="shared" ca="1" si="86"/>
        <v>57.991555916915786</v>
      </c>
      <c r="CN35" s="43">
        <f t="shared" ca="1" si="86"/>
        <v>76.890914028772698</v>
      </c>
      <c r="CO35" s="45"/>
      <c r="CP35" s="45"/>
      <c r="CQ35" s="6"/>
      <c r="CR35" s="6"/>
      <c r="CS35" s="6"/>
      <c r="CT35" s="13">
        <f t="shared" si="26"/>
        <v>3.2072000000000003</v>
      </c>
      <c r="CU35" s="13">
        <f t="shared" si="27"/>
        <v>2.4314999999999998</v>
      </c>
      <c r="CV35" s="13">
        <f t="shared" si="28"/>
        <v>1.81863</v>
      </c>
      <c r="CW35" s="13">
        <f t="shared" si="29"/>
        <v>5.13</v>
      </c>
      <c r="CX35" s="13">
        <f t="shared" si="30"/>
        <v>4.75</v>
      </c>
      <c r="CY35" s="13">
        <f t="shared" si="31"/>
        <v>7.78</v>
      </c>
      <c r="CZ35" s="13">
        <f t="shared" si="32"/>
        <v>1.43</v>
      </c>
      <c r="DA35" s="13">
        <f t="shared" si="33"/>
        <v>4.2699999999999996</v>
      </c>
      <c r="DB35" s="13">
        <f t="shared" si="34"/>
        <v>19.95</v>
      </c>
      <c r="DC35" s="13">
        <f t="shared" si="35"/>
        <v>29.77</v>
      </c>
      <c r="DD35" s="13">
        <f t="shared" si="36"/>
        <v>65.69</v>
      </c>
      <c r="DE35" s="13">
        <f t="shared" si="37"/>
        <v>57.84</v>
      </c>
      <c r="DF35" s="13">
        <f t="shared" si="38"/>
        <v>44.79</v>
      </c>
      <c r="DG35" s="13">
        <f t="shared" ca="1" si="38"/>
        <v>42.054479142057687</v>
      </c>
      <c r="DH35" s="13">
        <f t="shared" ca="1" si="38"/>
        <v>45.299780730810127</v>
      </c>
      <c r="DI35" s="13">
        <v>5</v>
      </c>
      <c r="DK35" s="13">
        <v>5</v>
      </c>
      <c r="DL35" s="13">
        <v>5</v>
      </c>
      <c r="DM35" s="6"/>
      <c r="DN35" s="13">
        <v>5</v>
      </c>
      <c r="DO35" s="13">
        <v>5</v>
      </c>
      <c r="DQ35" s="12">
        <v>0.12</v>
      </c>
      <c r="DR35" s="13">
        <v>5</v>
      </c>
      <c r="DS35" s="13">
        <v>5</v>
      </c>
      <c r="DT35" s="13">
        <v>5</v>
      </c>
      <c r="DV35" s="43">
        <v>5</v>
      </c>
      <c r="DW35" s="43">
        <v>10</v>
      </c>
      <c r="DX35" s="43">
        <v>20</v>
      </c>
      <c r="EA35" s="12">
        <v>1</v>
      </c>
      <c r="EB35" s="12">
        <v>1</v>
      </c>
      <c r="EC35" s="12">
        <v>1</v>
      </c>
      <c r="ED35" s="43">
        <v>5</v>
      </c>
      <c r="EE35" s="43">
        <v>10</v>
      </c>
      <c r="EF35" s="43">
        <v>12</v>
      </c>
      <c r="EJ35" s="12">
        <v>1</v>
      </c>
      <c r="EK35" s="12">
        <v>0.92999999999999972</v>
      </c>
      <c r="EL35" s="43">
        <v>8</v>
      </c>
      <c r="EM35" s="43">
        <v>10</v>
      </c>
      <c r="EN35" s="43">
        <v>12</v>
      </c>
      <c r="EP35" s="12">
        <v>4.5</v>
      </c>
      <c r="EQ35" s="43">
        <v>18</v>
      </c>
      <c r="ER35" s="43">
        <v>18</v>
      </c>
      <c r="ES35" s="43">
        <v>18</v>
      </c>
      <c r="EV35" s="12">
        <v>3</v>
      </c>
      <c r="EW35" s="12">
        <v>18</v>
      </c>
      <c r="EX35" s="12">
        <v>18</v>
      </c>
      <c r="EY35" s="12">
        <v>18</v>
      </c>
      <c r="EZ35" s="43">
        <v>18</v>
      </c>
      <c r="FA35" s="43">
        <v>23</v>
      </c>
      <c r="FD35" s="12">
        <v>0.03</v>
      </c>
      <c r="FE35" s="12">
        <v>18</v>
      </c>
      <c r="FF35" s="12">
        <v>18</v>
      </c>
      <c r="FG35" s="43">
        <v>10</v>
      </c>
      <c r="FH35" s="43">
        <v>15</v>
      </c>
      <c r="FK35" s="43">
        <v>10</v>
      </c>
      <c r="FL35" s="43">
        <v>15</v>
      </c>
      <c r="FO35" s="12">
        <v>0.54</v>
      </c>
      <c r="FP35" s="12">
        <v>8.89</v>
      </c>
      <c r="FQ35" s="43">
        <v>10</v>
      </c>
      <c r="FR35" s="43">
        <v>15</v>
      </c>
      <c r="FU35" s="12">
        <v>4.63</v>
      </c>
      <c r="FV35" s="43">
        <v>6</v>
      </c>
      <c r="FW35" s="43">
        <v>10</v>
      </c>
      <c r="FX35" s="43">
        <v>12</v>
      </c>
      <c r="FY35" s="43">
        <v>12</v>
      </c>
      <c r="GA35" s="43">
        <v>10</v>
      </c>
      <c r="GB35" s="43">
        <v>25</v>
      </c>
      <c r="GC35" s="43">
        <v>45</v>
      </c>
      <c r="GF35" s="12">
        <v>0.28000000000000003</v>
      </c>
      <c r="GG35" s="12"/>
      <c r="GH35" s="12"/>
      <c r="GI35" s="43">
        <v>10</v>
      </c>
      <c r="GJ35" s="43">
        <v>25</v>
      </c>
      <c r="GK35" s="43">
        <v>45</v>
      </c>
      <c r="GN35" s="12">
        <v>0.08</v>
      </c>
      <c r="GO35" s="12">
        <v>9.56</v>
      </c>
      <c r="GP35" s="43">
        <v>10</v>
      </c>
      <c r="GQ35" s="43">
        <v>25</v>
      </c>
      <c r="GR35" s="43">
        <v>45</v>
      </c>
      <c r="GV35" s="12">
        <v>1.39</v>
      </c>
      <c r="GW35" s="43">
        <v>2</v>
      </c>
      <c r="GX35" s="43">
        <v>25</v>
      </c>
      <c r="GY35" s="43">
        <v>45</v>
      </c>
      <c r="HC35" s="12">
        <v>10.65</v>
      </c>
      <c r="HD35" s="43">
        <v>22</v>
      </c>
      <c r="HE35" s="43">
        <v>34</v>
      </c>
      <c r="HF35" s="43">
        <v>50</v>
      </c>
      <c r="HI35" s="12">
        <v>7</v>
      </c>
      <c r="HJ35" s="12">
        <v>8</v>
      </c>
      <c r="HK35" s="12">
        <v>9</v>
      </c>
      <c r="HL35" s="12">
        <v>10</v>
      </c>
      <c r="HM35" s="43">
        <v>34</v>
      </c>
      <c r="HN35" s="43">
        <v>50</v>
      </c>
      <c r="HO35" s="43">
        <v>50</v>
      </c>
      <c r="HR35" s="12">
        <v>8</v>
      </c>
      <c r="HS35" s="12">
        <v>9</v>
      </c>
      <c r="HT35" s="12">
        <v>12.45</v>
      </c>
      <c r="HU35" s="43">
        <v>34</v>
      </c>
      <c r="HV35" s="43">
        <v>50</v>
      </c>
      <c r="HW35" s="43">
        <v>50</v>
      </c>
      <c r="HZ35" s="12">
        <v>9</v>
      </c>
      <c r="IA35" s="43">
        <v>34</v>
      </c>
      <c r="IB35" s="43">
        <v>50</v>
      </c>
      <c r="IC35" s="43">
        <v>50</v>
      </c>
      <c r="IE35" s="12">
        <v>11.64</v>
      </c>
      <c r="IF35" s="43">
        <v>30</v>
      </c>
      <c r="IG35" s="43">
        <v>48</v>
      </c>
      <c r="IH35" s="43">
        <v>66</v>
      </c>
      <c r="IK35" s="43">
        <v>47.769999999999996</v>
      </c>
      <c r="IL35" s="43">
        <v>65.77</v>
      </c>
      <c r="IO35" s="43">
        <v>47.769999999999996</v>
      </c>
      <c r="IP35" s="43">
        <v>65.77</v>
      </c>
      <c r="IS35" s="13">
        <v>0</v>
      </c>
      <c r="IT35" s="13">
        <v>0</v>
      </c>
      <c r="IU35" s="13">
        <v>0</v>
      </c>
      <c r="IX35" s="12">
        <v>17.169999999999995</v>
      </c>
      <c r="IY35" s="43">
        <v>64.77</v>
      </c>
      <c r="IZ35" s="43">
        <v>82.77</v>
      </c>
      <c r="JA35" s="43">
        <v>100.77</v>
      </c>
      <c r="JD35" s="43">
        <v>83.69</v>
      </c>
      <c r="JE35" s="43">
        <v>101.69</v>
      </c>
      <c r="JH35" s="43">
        <v>83.69</v>
      </c>
      <c r="JI35" s="43">
        <v>101.69</v>
      </c>
      <c r="JJ35" s="43">
        <v>119.69</v>
      </c>
      <c r="JM35" s="43">
        <v>101.69</v>
      </c>
      <c r="JN35" s="43">
        <v>119.69</v>
      </c>
      <c r="JQ35" s="43">
        <v>65.69</v>
      </c>
      <c r="JR35" s="43">
        <v>65.69</v>
      </c>
      <c r="JS35" s="43">
        <v>65.69</v>
      </c>
      <c r="JV35" s="43">
        <v>57.84</v>
      </c>
      <c r="JW35" s="43">
        <v>57.84</v>
      </c>
      <c r="JY35" s="43">
        <v>57.84</v>
      </c>
      <c r="JZ35" s="43">
        <v>57.84</v>
      </c>
      <c r="KB35" s="43">
        <v>57.84</v>
      </c>
      <c r="KC35" s="43">
        <v>57.84</v>
      </c>
      <c r="KD35" s="43">
        <v>57.84</v>
      </c>
    </row>
    <row r="36" spans="1:290" x14ac:dyDescent="0.25">
      <c r="A36" s="7" t="s">
        <v>259</v>
      </c>
      <c r="B36" s="11" t="s">
        <v>154</v>
      </c>
      <c r="C36" s="12"/>
      <c r="D36" s="12"/>
      <c r="E36" s="12"/>
      <c r="F36" s="12"/>
      <c r="G36" s="12"/>
      <c r="H36" s="13"/>
      <c r="I36" s="12">
        <v>6.83</v>
      </c>
      <c r="J36" s="12">
        <v>10.457899999999999</v>
      </c>
      <c r="K36" s="12">
        <v>12.927000000000001</v>
      </c>
      <c r="L36" s="12">
        <v>12.2943</v>
      </c>
      <c r="M36" s="13">
        <f>I36+J36+K36+L36</f>
        <v>42.5092</v>
      </c>
      <c r="N36" s="12">
        <v>13.320599999999999</v>
      </c>
      <c r="O36" s="12">
        <v>14.1844</v>
      </c>
      <c r="P36" s="12">
        <v>15.1685</v>
      </c>
      <c r="Q36" s="12">
        <v>12.1434</v>
      </c>
      <c r="R36" s="13">
        <f>N36+O36+P36+Q36</f>
        <v>54.816899999999997</v>
      </c>
      <c r="S36" s="12">
        <v>11.458</v>
      </c>
      <c r="T36" s="12">
        <v>13.827500000000001</v>
      </c>
      <c r="U36" s="12">
        <v>13.744300000000001</v>
      </c>
      <c r="V36" s="12">
        <v>13.319399999999998</v>
      </c>
      <c r="W36" s="13">
        <f>S36+T36+U36+V36</f>
        <v>52.349199999999996</v>
      </c>
      <c r="X36" s="12">
        <v>16.679600000000001</v>
      </c>
      <c r="Y36" s="12">
        <v>22.6432</v>
      </c>
      <c r="Z36" s="12">
        <v>19.394100000000002</v>
      </c>
      <c r="AA36" s="12">
        <v>17.427900000000001</v>
      </c>
      <c r="AB36" s="13">
        <f>X36+Y36+Z36+AA36</f>
        <v>76.144800000000004</v>
      </c>
      <c r="AC36" s="12">
        <v>13.8583</v>
      </c>
      <c r="AD36" s="12">
        <v>16.913599999999999</v>
      </c>
      <c r="AE36" s="12">
        <v>16.2425</v>
      </c>
      <c r="AF36" s="12">
        <v>10.947100000000001</v>
      </c>
      <c r="AG36" s="13">
        <f>AC36+AD36+AE36+AF36</f>
        <v>57.961499999999994</v>
      </c>
      <c r="AH36" s="12">
        <v>9.9486999999999988</v>
      </c>
      <c r="AI36" s="12">
        <v>9.491200000000001</v>
      </c>
      <c r="AJ36" s="12">
        <v>6.1267000000000005</v>
      </c>
      <c r="AK36" s="13">
        <f>AH36+AI36+AJ36</f>
        <v>25.566600000000001</v>
      </c>
      <c r="AL36" s="12">
        <v>9.7210999999999999</v>
      </c>
      <c r="AM36" s="12">
        <v>8.6443999999999992</v>
      </c>
      <c r="AN36" s="12">
        <v>8.4710000000000001</v>
      </c>
      <c r="AO36" s="12">
        <v>3.42</v>
      </c>
      <c r="AP36" s="13">
        <v>30.26</v>
      </c>
      <c r="AQ36" s="12">
        <v>3.32</v>
      </c>
      <c r="AR36" s="12">
        <v>5.15</v>
      </c>
      <c r="AS36" s="12">
        <v>7.86</v>
      </c>
      <c r="AT36" s="12">
        <v>5.59</v>
      </c>
      <c r="AU36" s="43">
        <v>21.92</v>
      </c>
      <c r="AV36" s="12">
        <v>3.94</v>
      </c>
      <c r="AW36" s="12">
        <v>10.42</v>
      </c>
      <c r="AX36" s="12">
        <v>5.22</v>
      </c>
      <c r="AY36" s="12">
        <v>6.42</v>
      </c>
      <c r="AZ36" s="43">
        <v>26</v>
      </c>
      <c r="BA36" s="12">
        <v>3.26</v>
      </c>
      <c r="BB36" s="12">
        <v>7.07</v>
      </c>
      <c r="BC36" s="12">
        <v>5.65</v>
      </c>
      <c r="BD36" s="12">
        <v>4.21</v>
      </c>
      <c r="BE36" s="43">
        <v>20.18</v>
      </c>
      <c r="BF36" s="12">
        <v>7.79</v>
      </c>
      <c r="BG36" s="12">
        <v>2.4900000000000002</v>
      </c>
      <c r="BH36" s="12">
        <v>-1.24</v>
      </c>
      <c r="BI36" s="12">
        <v>0.46</v>
      </c>
      <c r="BJ36" s="43">
        <v>9.5</v>
      </c>
      <c r="BK36" s="12">
        <v>2.13</v>
      </c>
      <c r="BL36" s="12">
        <v>0.68</v>
      </c>
      <c r="BM36" s="12">
        <v>0.46</v>
      </c>
      <c r="BN36" s="12">
        <v>1.88</v>
      </c>
      <c r="BO36" s="43">
        <v>5.15</v>
      </c>
      <c r="BP36" s="12">
        <v>1.63</v>
      </c>
      <c r="BQ36" s="12">
        <v>1.2</v>
      </c>
      <c r="BR36" s="12">
        <v>1.1499999999999999</v>
      </c>
      <c r="BS36" s="12">
        <v>4.04</v>
      </c>
      <c r="BT36" s="43">
        <v>8.02</v>
      </c>
      <c r="BU36" s="12">
        <v>1.69</v>
      </c>
      <c r="BV36" s="12">
        <v>1.55</v>
      </c>
      <c r="BW36" s="12">
        <v>5.16</v>
      </c>
      <c r="BX36" s="12">
        <v>7.72</v>
      </c>
      <c r="BY36" s="43">
        <v>16.12</v>
      </c>
      <c r="BZ36" s="12">
        <v>3.33</v>
      </c>
      <c r="CA36" s="12">
        <v>2.62</v>
      </c>
      <c r="CB36" s="12">
        <v>2.98</v>
      </c>
      <c r="CC36" s="12">
        <v>2.97</v>
      </c>
      <c r="CD36" s="43">
        <v>11.9</v>
      </c>
      <c r="CE36" s="12">
        <v>2.77</v>
      </c>
      <c r="CF36" s="12">
        <v>5.83</v>
      </c>
      <c r="CG36" s="12">
        <v>11.4</v>
      </c>
      <c r="CH36" s="12">
        <v>9.01</v>
      </c>
      <c r="CI36" s="43">
        <v>29.01</v>
      </c>
      <c r="CJ36" s="43">
        <v>16</v>
      </c>
      <c r="CK36" s="43">
        <v>16</v>
      </c>
      <c r="CL36" s="43">
        <v>10</v>
      </c>
      <c r="CM36" s="43">
        <v>10</v>
      </c>
      <c r="CN36" s="43">
        <v>10</v>
      </c>
      <c r="CO36" s="45"/>
      <c r="CP36" s="45"/>
      <c r="CQ36" s="6"/>
      <c r="CR36" s="6"/>
      <c r="CS36" s="6"/>
      <c r="CT36" s="13">
        <f t="shared" si="26"/>
        <v>76.144800000000004</v>
      </c>
      <c r="CU36" s="13">
        <f t="shared" si="27"/>
        <v>57.961499999999994</v>
      </c>
      <c r="CV36" s="13">
        <f t="shared" si="28"/>
        <v>25.566600000000001</v>
      </c>
      <c r="CW36" s="13">
        <f t="shared" si="29"/>
        <v>30.26</v>
      </c>
      <c r="CX36" s="13">
        <f t="shared" si="30"/>
        <v>21.92</v>
      </c>
      <c r="CY36" s="13">
        <f t="shared" si="31"/>
        <v>26</v>
      </c>
      <c r="CZ36" s="13">
        <f t="shared" si="32"/>
        <v>20.18</v>
      </c>
      <c r="DA36" s="13">
        <f t="shared" si="33"/>
        <v>9.5</v>
      </c>
      <c r="DB36" s="13">
        <f t="shared" si="34"/>
        <v>5.15</v>
      </c>
      <c r="DC36" s="13">
        <f t="shared" si="35"/>
        <v>8.02</v>
      </c>
      <c r="DD36" s="13">
        <f t="shared" si="36"/>
        <v>16.12</v>
      </c>
      <c r="DE36" s="13">
        <f t="shared" si="37"/>
        <v>11.9</v>
      </c>
      <c r="DF36" s="13">
        <f t="shared" si="38"/>
        <v>29.01</v>
      </c>
      <c r="DG36" s="13">
        <f t="shared" si="38"/>
        <v>16</v>
      </c>
      <c r="DH36" s="13">
        <f t="shared" si="38"/>
        <v>16</v>
      </c>
      <c r="DI36" s="13">
        <v>0</v>
      </c>
      <c r="DK36" s="13">
        <v>8</v>
      </c>
      <c r="DL36" s="13">
        <v>4</v>
      </c>
      <c r="DM36" s="6"/>
      <c r="DN36" s="13">
        <v>12</v>
      </c>
      <c r="DO36" s="13">
        <v>12</v>
      </c>
      <c r="DQ36" s="12">
        <v>8</v>
      </c>
      <c r="DR36" s="13">
        <v>22</v>
      </c>
      <c r="DS36" s="13">
        <v>7</v>
      </c>
      <c r="DT36" s="13">
        <v>0</v>
      </c>
      <c r="DV36" s="43">
        <v>15</v>
      </c>
      <c r="DW36" s="43">
        <v>5</v>
      </c>
      <c r="DX36" s="43">
        <v>0</v>
      </c>
      <c r="EA36" s="12">
        <v>4</v>
      </c>
      <c r="EB36" s="12">
        <v>4</v>
      </c>
      <c r="EC36" s="12">
        <v>4</v>
      </c>
      <c r="ED36" s="43">
        <v>15</v>
      </c>
      <c r="EE36" s="43">
        <v>10</v>
      </c>
      <c r="EF36" s="43">
        <v>12</v>
      </c>
      <c r="EJ36" s="12">
        <v>7</v>
      </c>
      <c r="EK36" s="12">
        <v>6.6399999999999988</v>
      </c>
      <c r="EL36" s="43">
        <v>28</v>
      </c>
      <c r="EM36" s="43">
        <v>28</v>
      </c>
      <c r="EN36" s="43">
        <v>12</v>
      </c>
      <c r="EP36" s="12">
        <v>6.419999999999999</v>
      </c>
      <c r="EQ36" s="43">
        <v>26</v>
      </c>
      <c r="ER36" s="43">
        <v>28</v>
      </c>
      <c r="ES36" s="43">
        <v>28</v>
      </c>
      <c r="EV36" s="12">
        <v>6.5</v>
      </c>
      <c r="EW36" s="12">
        <v>22</v>
      </c>
      <c r="EX36" s="12">
        <v>22</v>
      </c>
      <c r="EY36" s="12">
        <v>22</v>
      </c>
      <c r="EZ36" s="43">
        <v>22</v>
      </c>
      <c r="FA36" s="43">
        <v>18</v>
      </c>
      <c r="FD36" s="12">
        <v>3.26</v>
      </c>
      <c r="FE36" s="12">
        <v>22</v>
      </c>
      <c r="FF36" s="12">
        <v>22</v>
      </c>
      <c r="FG36" s="43">
        <v>14</v>
      </c>
      <c r="FH36" s="43">
        <v>15</v>
      </c>
      <c r="FK36" s="43">
        <v>20</v>
      </c>
      <c r="FL36" s="43">
        <v>15</v>
      </c>
      <c r="FO36" s="12">
        <v>7.07</v>
      </c>
      <c r="FP36" s="12">
        <v>2.6000000000000014</v>
      </c>
      <c r="FQ36" s="43">
        <v>20</v>
      </c>
      <c r="FR36" s="43">
        <v>15</v>
      </c>
      <c r="FU36" s="12">
        <v>4.0200000000000014</v>
      </c>
      <c r="FV36" s="43">
        <v>20</v>
      </c>
      <c r="FW36" s="43">
        <v>15</v>
      </c>
      <c r="FX36" s="43">
        <v>15</v>
      </c>
      <c r="FY36" s="43">
        <v>15</v>
      </c>
      <c r="GA36" s="43">
        <v>15</v>
      </c>
      <c r="GB36" s="43">
        <v>15</v>
      </c>
      <c r="GC36" s="43">
        <v>15</v>
      </c>
      <c r="GF36" s="12">
        <v>7.79</v>
      </c>
      <c r="GG36" s="12"/>
      <c r="GH36" s="12"/>
      <c r="GI36" s="43">
        <v>15</v>
      </c>
      <c r="GJ36" s="43">
        <v>15</v>
      </c>
      <c r="GK36" s="43">
        <v>15</v>
      </c>
      <c r="GN36" s="12">
        <v>2.4900000000000002</v>
      </c>
      <c r="GO36" s="12">
        <v>2.2299999999999995</v>
      </c>
      <c r="GP36" s="43">
        <v>15</v>
      </c>
      <c r="GQ36" s="43">
        <v>15</v>
      </c>
      <c r="GR36" s="43">
        <v>15</v>
      </c>
      <c r="GV36" s="12">
        <v>0.95999999999999974</v>
      </c>
      <c r="GW36" s="43">
        <v>10</v>
      </c>
      <c r="GX36" s="43">
        <v>15</v>
      </c>
      <c r="GY36" s="43">
        <v>15</v>
      </c>
      <c r="HC36" s="12">
        <v>0.73</v>
      </c>
      <c r="HD36" s="43">
        <v>4</v>
      </c>
      <c r="HE36" s="43">
        <v>0</v>
      </c>
      <c r="HF36" s="43">
        <v>0</v>
      </c>
      <c r="HI36" s="12">
        <v>1</v>
      </c>
      <c r="HJ36" s="12">
        <v>2</v>
      </c>
      <c r="HK36" s="12">
        <v>1</v>
      </c>
      <c r="HL36" s="12">
        <v>0</v>
      </c>
      <c r="HM36" s="43">
        <v>4</v>
      </c>
      <c r="HN36" s="43">
        <v>0</v>
      </c>
      <c r="HO36" s="43">
        <v>0</v>
      </c>
      <c r="HR36" s="12">
        <v>2</v>
      </c>
      <c r="HS36" s="12">
        <v>1</v>
      </c>
      <c r="HT36" s="12">
        <v>-0.62999999999999989</v>
      </c>
      <c r="HU36" s="43">
        <v>4</v>
      </c>
      <c r="HV36" s="43">
        <v>0</v>
      </c>
      <c r="HW36" s="43">
        <v>0</v>
      </c>
      <c r="HZ36" s="12">
        <v>1</v>
      </c>
      <c r="IA36" s="43">
        <v>4</v>
      </c>
      <c r="IB36" s="43">
        <v>0</v>
      </c>
      <c r="IC36" s="43">
        <v>0</v>
      </c>
      <c r="IE36" s="12">
        <v>2.000000000000024E-2</v>
      </c>
      <c r="IF36" s="43">
        <v>4</v>
      </c>
      <c r="IG36" s="43">
        <v>0</v>
      </c>
      <c r="IH36" s="43">
        <v>0</v>
      </c>
      <c r="IK36" s="43">
        <v>0</v>
      </c>
      <c r="IL36" s="43">
        <v>0</v>
      </c>
      <c r="IO36" s="43">
        <v>0</v>
      </c>
      <c r="IP36" s="43">
        <v>0</v>
      </c>
      <c r="IS36" s="13">
        <v>1583.7178379999998</v>
      </c>
      <c r="IT36" s="13">
        <v>2030.0655492799997</v>
      </c>
      <c r="IU36" s="13">
        <v>2334.7599753407999</v>
      </c>
      <c r="IX36" s="12">
        <v>5.6</v>
      </c>
      <c r="IY36" s="43">
        <v>14</v>
      </c>
      <c r="IZ36" s="43">
        <v>0</v>
      </c>
      <c r="JA36" s="43">
        <v>0</v>
      </c>
      <c r="JD36" s="43">
        <v>16</v>
      </c>
      <c r="JE36" s="43">
        <v>16</v>
      </c>
      <c r="JH36" s="43">
        <v>16</v>
      </c>
      <c r="JI36" s="43">
        <v>16</v>
      </c>
      <c r="JJ36" s="43">
        <v>16</v>
      </c>
      <c r="JM36" s="43">
        <v>16</v>
      </c>
      <c r="JN36" s="43">
        <v>16</v>
      </c>
      <c r="JQ36" s="43">
        <v>16</v>
      </c>
      <c r="JR36" s="43">
        <v>16</v>
      </c>
      <c r="JS36" s="43">
        <v>16</v>
      </c>
      <c r="JV36" s="43">
        <v>16</v>
      </c>
      <c r="JW36" s="43">
        <v>16</v>
      </c>
      <c r="JY36" s="43">
        <v>16</v>
      </c>
      <c r="JZ36" s="43">
        <v>16</v>
      </c>
      <c r="KB36" s="43">
        <v>16</v>
      </c>
      <c r="KC36" s="43">
        <v>16</v>
      </c>
      <c r="KD36" s="43">
        <v>16</v>
      </c>
    </row>
    <row r="37" spans="1:290" x14ac:dyDescent="0.25">
      <c r="A37" s="226" t="e">
        <f>+B28-B35-B36</f>
        <v>#VALUE!</v>
      </c>
      <c r="B37" s="11" t="s">
        <v>155</v>
      </c>
      <c r="C37" s="12"/>
      <c r="D37" s="12">
        <f t="shared" ref="D37:BJ37" si="87">D28-D36+D35</f>
        <v>0</v>
      </c>
      <c r="E37" s="12">
        <f t="shared" si="87"/>
        <v>0</v>
      </c>
      <c r="F37" s="12">
        <f t="shared" si="87"/>
        <v>0</v>
      </c>
      <c r="G37" s="12">
        <f t="shared" si="87"/>
        <v>0</v>
      </c>
      <c r="H37" s="13">
        <f>H28-H36+H35</f>
        <v>0</v>
      </c>
      <c r="I37" s="12">
        <f t="shared" si="87"/>
        <v>53.089999999999961</v>
      </c>
      <c r="J37" s="12">
        <f t="shared" si="87"/>
        <v>68.922200000000061</v>
      </c>
      <c r="K37" s="12">
        <f t="shared" si="87"/>
        <v>70.80030000000005</v>
      </c>
      <c r="L37" s="12">
        <f t="shared" si="87"/>
        <v>102.82510000000002</v>
      </c>
      <c r="M37" s="13">
        <f>M28-M36+M35</f>
        <v>295.63759999999974</v>
      </c>
      <c r="N37" s="12">
        <f t="shared" si="87"/>
        <v>45.907500000000013</v>
      </c>
      <c r="O37" s="12">
        <f t="shared" si="87"/>
        <v>76.346699999999927</v>
      </c>
      <c r="P37" s="12">
        <f t="shared" si="87"/>
        <v>89.854000000000056</v>
      </c>
      <c r="Q37" s="12">
        <f t="shared" si="87"/>
        <v>163.86130000000009</v>
      </c>
      <c r="R37" s="13">
        <f>R28-R36+R35</f>
        <v>375.9695000000001</v>
      </c>
      <c r="S37" s="12">
        <f t="shared" si="87"/>
        <v>73.380699999999933</v>
      </c>
      <c r="T37" s="12">
        <f t="shared" si="87"/>
        <v>105.52340000000002</v>
      </c>
      <c r="U37" s="12">
        <f t="shared" si="87"/>
        <v>120.67000000000003</v>
      </c>
      <c r="V37" s="12">
        <f t="shared" si="87"/>
        <v>174.50969999999981</v>
      </c>
      <c r="W37" s="13">
        <f>W28-W36+W35</f>
        <v>474.08379999999983</v>
      </c>
      <c r="X37" s="12">
        <f t="shared" si="87"/>
        <v>76.375600000000077</v>
      </c>
      <c r="Y37" s="12">
        <f t="shared" si="87"/>
        <v>102.18009999999983</v>
      </c>
      <c r="Z37" s="12">
        <f t="shared" si="87"/>
        <v>109.59760000000004</v>
      </c>
      <c r="AA37" s="12">
        <f t="shared" si="87"/>
        <v>192.05730000000014</v>
      </c>
      <c r="AB37" s="13">
        <f>AB28-AB36+AB35</f>
        <v>480.21060000000006</v>
      </c>
      <c r="AC37" s="12">
        <f t="shared" si="87"/>
        <v>67.925799999999938</v>
      </c>
      <c r="AD37" s="12">
        <f t="shared" si="87"/>
        <v>83.194499999999778</v>
      </c>
      <c r="AE37" s="12">
        <f t="shared" si="87"/>
        <v>128.11789999999996</v>
      </c>
      <c r="AF37" s="12">
        <f t="shared" si="87"/>
        <v>229.47159999999991</v>
      </c>
      <c r="AG37" s="13">
        <f>AG28-AG36+AG35</f>
        <v>508.70979999999895</v>
      </c>
      <c r="AH37" s="12">
        <f t="shared" si="87"/>
        <v>82.347700000000032</v>
      </c>
      <c r="AI37" s="12">
        <f t="shared" si="87"/>
        <v>146.01250000000007</v>
      </c>
      <c r="AJ37" s="12">
        <f t="shared" si="87"/>
        <v>209.00992999999991</v>
      </c>
      <c r="AK37" s="13">
        <f>AK28-AK36+AK35</f>
        <v>437.37012999999922</v>
      </c>
      <c r="AL37" s="12">
        <f>AL28-AL36+AL35</f>
        <v>191.99710000000002</v>
      </c>
      <c r="AM37" s="12">
        <f>AM28-AM36+AM35</f>
        <v>126.22799999999978</v>
      </c>
      <c r="AN37" s="12">
        <f>AN28-AN36+AN35</f>
        <v>176.71339999999992</v>
      </c>
      <c r="AO37" s="12">
        <f>AO28-AO36+AO35</f>
        <v>241.77000000000012</v>
      </c>
      <c r="AP37" s="13">
        <f t="shared" si="87"/>
        <v>736.74000000000035</v>
      </c>
      <c r="AQ37" s="12">
        <f>AQ28-AQ36+AQ35</f>
        <v>155.7600000000001</v>
      </c>
      <c r="AR37" s="12">
        <f>AR28-AR36+AR35</f>
        <v>138.92999999999992</v>
      </c>
      <c r="AS37" s="12">
        <f>AS28-AS36+AS35</f>
        <v>190.37</v>
      </c>
      <c r="AT37" s="12">
        <f>AT28-AT36+AT35</f>
        <v>284.88</v>
      </c>
      <c r="AU37" s="43">
        <f t="shared" si="87"/>
        <v>769.93999999999971</v>
      </c>
      <c r="AV37" s="12">
        <f t="shared" si="87"/>
        <v>182.34000000000006</v>
      </c>
      <c r="AW37" s="12">
        <f t="shared" si="87"/>
        <v>154.42000000000013</v>
      </c>
      <c r="AX37" s="12">
        <f t="shared" si="87"/>
        <v>177.85000000000019</v>
      </c>
      <c r="AY37" s="12">
        <f t="shared" si="87"/>
        <v>198.56000000000012</v>
      </c>
      <c r="AZ37" s="43">
        <f t="shared" si="87"/>
        <v>710.46999999999957</v>
      </c>
      <c r="BA37" s="12">
        <f>BA28-BA36+BA35</f>
        <v>164.13300000000007</v>
      </c>
      <c r="BB37" s="12">
        <f>BB28-BB36+BB35</f>
        <v>179.98000000000022</v>
      </c>
      <c r="BC37" s="12">
        <f>BC28-BC36+BC35</f>
        <v>216.08000000000007</v>
      </c>
      <c r="BD37" s="12">
        <f>BD28-BD36+BD35</f>
        <v>269.28000000000009</v>
      </c>
      <c r="BE37" s="43">
        <f t="shared" si="87"/>
        <v>815.92999999999938</v>
      </c>
      <c r="BF37" s="12">
        <f>BF28-BF36+BF35</f>
        <v>109.61000000000011</v>
      </c>
      <c r="BG37" s="12">
        <f>BG28-BG36+BG35</f>
        <v>253.44000000000014</v>
      </c>
      <c r="BH37" s="12">
        <f>BH28-BH36+BH35</f>
        <v>403.04999999999995</v>
      </c>
      <c r="BI37" s="12">
        <f>BI28-BI36+BI35</f>
        <v>512.97</v>
      </c>
      <c r="BJ37" s="43">
        <f t="shared" si="87"/>
        <v>1079.02</v>
      </c>
      <c r="BK37" s="12">
        <f>BK28-BK36+BK35</f>
        <v>224.2</v>
      </c>
      <c r="BL37" s="12">
        <f>BL28-BL36+BL35</f>
        <v>314.19999999999993</v>
      </c>
      <c r="BM37" s="12">
        <f>BM28-BM36+BM35</f>
        <v>320.36000000000013</v>
      </c>
      <c r="BN37" s="12">
        <f>BN28-BN36+BN35</f>
        <v>398.14999999999986</v>
      </c>
      <c r="BO37" s="43">
        <f t="shared" ref="BO37:CC37" si="88">BO28-BO36+BO35</f>
        <v>1256.9099999999996</v>
      </c>
      <c r="BP37" s="12">
        <f t="shared" si="88"/>
        <v>271.82999999999987</v>
      </c>
      <c r="BQ37" s="12">
        <f t="shared" si="88"/>
        <v>151.4499999999999</v>
      </c>
      <c r="BR37" s="12">
        <f t="shared" si="88"/>
        <v>310.49999999999994</v>
      </c>
      <c r="BS37" s="12">
        <f t="shared" si="88"/>
        <v>487.64999999999975</v>
      </c>
      <c r="BT37" s="43">
        <f t="shared" si="88"/>
        <v>1221.33</v>
      </c>
      <c r="BU37" s="12">
        <f t="shared" si="88"/>
        <v>334.09999999999991</v>
      </c>
      <c r="BV37" s="12">
        <f t="shared" si="88"/>
        <v>367.37</v>
      </c>
      <c r="BW37" s="12">
        <f t="shared" si="88"/>
        <v>394.3900000000001</v>
      </c>
      <c r="BX37" s="12">
        <f t="shared" si="88"/>
        <v>501.03999999999957</v>
      </c>
      <c r="BY37" s="43">
        <f>BY28-BY36+BY35</f>
        <v>1597.1400000000017</v>
      </c>
      <c r="BZ37" s="12">
        <f t="shared" si="88"/>
        <v>405.43999999999994</v>
      </c>
      <c r="CA37" s="12">
        <f t="shared" si="88"/>
        <v>366.66</v>
      </c>
      <c r="CB37" s="12">
        <f t="shared" si="88"/>
        <v>314.74000000000012</v>
      </c>
      <c r="CC37" s="12">
        <f t="shared" si="88"/>
        <v>427.01000000000016</v>
      </c>
      <c r="CD37" s="43">
        <f>CD28-CD36+CD35</f>
        <v>1478.6799999999978</v>
      </c>
      <c r="CE37" s="12">
        <f t="shared" ref="CE37:CH37" si="89">CE28-CE36+CE35</f>
        <v>333.03000000000014</v>
      </c>
      <c r="CF37" s="12">
        <f t="shared" si="89"/>
        <v>307.11000000000013</v>
      </c>
      <c r="CG37" s="12">
        <f t="shared" si="89"/>
        <v>321.54999999999984</v>
      </c>
      <c r="CH37" s="12">
        <f t="shared" si="89"/>
        <v>541.67999999999961</v>
      </c>
      <c r="CI37" s="43">
        <f>CI28-CI36+CI35</f>
        <v>1568.9899999999991</v>
      </c>
      <c r="CJ37" s="43">
        <f ca="1">CJ28-CJ36+CJ35</f>
        <v>1879.990378142058</v>
      </c>
      <c r="CK37" s="43">
        <f ca="1">CK28-CK36+CK35</f>
        <v>2165.6018582008101</v>
      </c>
      <c r="CL37" s="43">
        <f ca="1">CL28-CL36+CL35</f>
        <v>2545.0729303586991</v>
      </c>
      <c r="CM37" s="43">
        <f t="shared" ref="CM37:CN37" ca="1" si="90">CM28-CM36+CM35</f>
        <v>2903.7562673756074</v>
      </c>
      <c r="CN37" s="43">
        <f t="shared" ca="1" si="90"/>
        <v>3194.606666781654</v>
      </c>
      <c r="CO37" s="45"/>
      <c r="CP37" s="45"/>
      <c r="CQ37" s="6"/>
      <c r="CR37" s="6"/>
      <c r="CS37" s="6"/>
      <c r="CT37" s="13">
        <f t="shared" si="26"/>
        <v>480.21060000000006</v>
      </c>
      <c r="CU37" s="13">
        <f t="shared" si="27"/>
        <v>508.70979999999895</v>
      </c>
      <c r="CV37" s="13">
        <f t="shared" si="28"/>
        <v>437.37012999999922</v>
      </c>
      <c r="CW37" s="13">
        <f t="shared" si="29"/>
        <v>736.74000000000035</v>
      </c>
      <c r="CX37" s="13">
        <f t="shared" si="30"/>
        <v>769.93999999999971</v>
      </c>
      <c r="CY37" s="13">
        <f t="shared" si="31"/>
        <v>710.46999999999957</v>
      </c>
      <c r="CZ37" s="13">
        <f t="shared" si="32"/>
        <v>815.92999999999938</v>
      </c>
      <c r="DA37" s="13">
        <f t="shared" si="33"/>
        <v>1079.02</v>
      </c>
      <c r="DB37" s="13">
        <f t="shared" si="34"/>
        <v>1256.9099999999996</v>
      </c>
      <c r="DC37" s="13">
        <f t="shared" si="35"/>
        <v>1221.33</v>
      </c>
      <c r="DD37" s="13">
        <f t="shared" si="36"/>
        <v>1597.1400000000017</v>
      </c>
      <c r="DE37" s="13">
        <f t="shared" si="37"/>
        <v>1478.6799999999978</v>
      </c>
      <c r="DF37" s="13">
        <f t="shared" si="38"/>
        <v>1568.9899999999991</v>
      </c>
      <c r="DG37" s="13">
        <f t="shared" ca="1" si="38"/>
        <v>1879.990378142058</v>
      </c>
      <c r="DH37" s="13">
        <f t="shared" ca="1" si="38"/>
        <v>2165.6018582008101</v>
      </c>
      <c r="DI37" s="13">
        <v>1023.7116623179101</v>
      </c>
      <c r="DK37" s="13">
        <v>810.91622400000006</v>
      </c>
      <c r="DL37" s="13">
        <v>928.86449536000021</v>
      </c>
      <c r="DM37" s="6"/>
      <c r="DN37" s="13">
        <v>857.78598800000009</v>
      </c>
      <c r="DO37" s="13">
        <v>978.85602632000018</v>
      </c>
      <c r="DQ37" s="12">
        <v>228.70110350000002</v>
      </c>
      <c r="DR37" s="13">
        <v>720.61157800000001</v>
      </c>
      <c r="DS37" s="13">
        <v>864.69360415000006</v>
      </c>
      <c r="DT37" s="13">
        <v>1023.7116623179101</v>
      </c>
      <c r="DV37" s="43">
        <v>856.4</v>
      </c>
      <c r="DW37" s="43">
        <v>1023.820166</v>
      </c>
      <c r="DX37" s="43">
        <v>1161.07858592</v>
      </c>
      <c r="EA37" s="12">
        <v>159.37373400000001</v>
      </c>
      <c r="EB37" s="12">
        <v>224.85697499999998</v>
      </c>
      <c r="EC37" s="12">
        <v>284.63132999999999</v>
      </c>
      <c r="ED37" s="43">
        <v>856.4</v>
      </c>
      <c r="EE37" s="43">
        <v>1018.820166</v>
      </c>
      <c r="EF37" s="43">
        <v>1141.07858592</v>
      </c>
      <c r="EJ37" s="12">
        <v>183.82755000000003</v>
      </c>
      <c r="EK37" s="12">
        <v>325.81244999999979</v>
      </c>
      <c r="EL37" s="43">
        <v>846.4</v>
      </c>
      <c r="EM37" s="43">
        <v>1000.820166</v>
      </c>
      <c r="EN37" s="43">
        <v>1141.07858592</v>
      </c>
      <c r="EP37" s="12">
        <v>230.68999999999957</v>
      </c>
      <c r="EQ37" s="43">
        <v>745.30000000000007</v>
      </c>
      <c r="ER37" s="43">
        <v>957.06979999999987</v>
      </c>
      <c r="ES37" s="43">
        <v>1107.055878848</v>
      </c>
      <c r="EV37" s="12">
        <v>202.37370999999999</v>
      </c>
      <c r="EW37" s="12">
        <v>199.82780000000005</v>
      </c>
      <c r="EX37" s="12">
        <v>240.00987499999997</v>
      </c>
      <c r="EY37" s="12">
        <v>262.963325</v>
      </c>
      <c r="EZ37" s="43">
        <v>926</v>
      </c>
      <c r="FA37" s="43">
        <v>1060.55</v>
      </c>
      <c r="FD37" s="12">
        <v>180.21502000000007</v>
      </c>
      <c r="FE37" s="12">
        <v>240.00987499999997</v>
      </c>
      <c r="FF37" s="12">
        <v>262.63737499999991</v>
      </c>
      <c r="FG37" s="43">
        <v>802</v>
      </c>
      <c r="FH37" s="43">
        <v>985.18000000000006</v>
      </c>
      <c r="FK37" s="43">
        <v>813.5</v>
      </c>
      <c r="FL37" s="43">
        <v>969.29000000000008</v>
      </c>
      <c r="FO37" s="12">
        <v>214.98852999999997</v>
      </c>
      <c r="FP37" s="12">
        <v>228.86797399999978</v>
      </c>
      <c r="FQ37" s="43">
        <v>787.96950400000003</v>
      </c>
      <c r="FR37" s="43">
        <v>948.86904531999983</v>
      </c>
      <c r="FU37" s="12">
        <v>181.81662999999966</v>
      </c>
      <c r="FV37" s="43">
        <v>742.00963000000002</v>
      </c>
      <c r="FW37" s="43">
        <v>569.40485400000011</v>
      </c>
      <c r="FX37" s="43">
        <v>808.85022765000031</v>
      </c>
      <c r="FY37" s="43">
        <v>898.05343352244017</v>
      </c>
      <c r="GA37" s="43">
        <v>631.30224799999996</v>
      </c>
      <c r="GB37" s="43">
        <v>891.44703379999987</v>
      </c>
      <c r="GC37" s="43">
        <v>1010.8253859280001</v>
      </c>
      <c r="GF37" s="12">
        <v>180.98600000000002</v>
      </c>
      <c r="GG37" s="12"/>
      <c r="GH37" s="12"/>
      <c r="GI37" s="43">
        <v>725.84387600000002</v>
      </c>
      <c r="GJ37" s="43">
        <v>1008.1503254200001</v>
      </c>
      <c r="GK37" s="43">
        <v>1138.9941640704001</v>
      </c>
      <c r="GN37" s="12">
        <v>323.06153</v>
      </c>
      <c r="GO37" s="12">
        <v>254.76652299999975</v>
      </c>
      <c r="GP37" s="43">
        <v>940.87805300000002</v>
      </c>
      <c r="GQ37" s="43">
        <v>1067.7092394800002</v>
      </c>
      <c r="GR37" s="43">
        <v>1205.4541374896003</v>
      </c>
      <c r="GV37" s="12">
        <v>346.88480399999997</v>
      </c>
      <c r="GW37" s="43">
        <v>1112.9848040000002</v>
      </c>
      <c r="GX37" s="43">
        <v>992.54911083999991</v>
      </c>
      <c r="GY37" s="43">
        <v>1295.5379350839999</v>
      </c>
      <c r="HC37" s="12">
        <v>394.40358049999998</v>
      </c>
      <c r="HD37" s="43">
        <v>1253.1635805000001</v>
      </c>
      <c r="HE37" s="43">
        <v>1296.9552645100002</v>
      </c>
      <c r="HF37" s="43">
        <v>1447.7965045136002</v>
      </c>
      <c r="HI37" s="12">
        <v>243.01185999999996</v>
      </c>
      <c r="HJ37" s="12">
        <v>316.39341199999996</v>
      </c>
      <c r="HK37" s="12">
        <v>349.34098999999998</v>
      </c>
      <c r="HL37" s="12">
        <v>126.20036700000003</v>
      </c>
      <c r="HM37" s="43">
        <v>1034.946629</v>
      </c>
      <c r="HN37" s="43">
        <v>1161.5635563000003</v>
      </c>
      <c r="HO37" s="43">
        <v>1259.1284849620001</v>
      </c>
      <c r="HR37" s="12">
        <v>172.282185</v>
      </c>
      <c r="HS37" s="12">
        <v>258.31672600000002</v>
      </c>
      <c r="HT37" s="12">
        <v>332.517718</v>
      </c>
      <c r="HU37" s="43">
        <v>1034.946629</v>
      </c>
      <c r="HV37" s="43">
        <v>1312.5794115000001</v>
      </c>
      <c r="HW37" s="43">
        <v>1442.6127490300003</v>
      </c>
      <c r="HZ37" s="12">
        <v>258.31672600000002</v>
      </c>
      <c r="IA37" s="43">
        <v>1102.594294</v>
      </c>
      <c r="IB37" s="43">
        <v>1349.9181308000002</v>
      </c>
      <c r="IC37" s="43">
        <v>1544.0916823400003</v>
      </c>
      <c r="IE37" s="12">
        <v>363.35366000000033</v>
      </c>
      <c r="IF37" s="43">
        <v>1097.13366</v>
      </c>
      <c r="IG37" s="43">
        <v>1419.4823675999999</v>
      </c>
      <c r="IH37" s="43">
        <v>1645.0234788</v>
      </c>
      <c r="IK37" s="43">
        <v>1419.2523675999998</v>
      </c>
      <c r="IL37" s="43">
        <v>1644.7934788</v>
      </c>
      <c r="IO37" s="43">
        <v>1579.2959019999998</v>
      </c>
      <c r="IP37" s="43">
        <v>1970.2960499200003</v>
      </c>
      <c r="IS37" s="13">
        <v>288.39</v>
      </c>
      <c r="IT37" s="13">
        <v>311.43</v>
      </c>
      <c r="IU37" s="13">
        <v>334.47</v>
      </c>
      <c r="IX37" s="12">
        <v>510.36022999999983</v>
      </c>
      <c r="IY37" s="43">
        <v>1606.2202299999999</v>
      </c>
      <c r="IZ37" s="43">
        <v>2126.2452607999999</v>
      </c>
      <c r="JA37" s="43">
        <v>2443.6084407039998</v>
      </c>
      <c r="JD37" s="43">
        <v>2188.0822950000002</v>
      </c>
      <c r="JE37" s="43">
        <v>2601.0093569999999</v>
      </c>
      <c r="JH37" s="43">
        <v>1988.492904</v>
      </c>
      <c r="JI37" s="43">
        <v>2399.8722008999998</v>
      </c>
      <c r="JJ37" s="43">
        <v>2750.8094252579999</v>
      </c>
      <c r="JM37" s="43">
        <v>2284.3149797399997</v>
      </c>
      <c r="JN37" s="43">
        <v>2617.7068880165998</v>
      </c>
      <c r="JQ37" s="43">
        <v>1504.7154755000001</v>
      </c>
      <c r="JR37" s="43">
        <v>1827.1810213600004</v>
      </c>
      <c r="JS37" s="43">
        <v>2099.9208930820009</v>
      </c>
      <c r="JV37" s="43">
        <v>1798.9625819999999</v>
      </c>
      <c r="JW37" s="43">
        <v>2068.6410001600002</v>
      </c>
      <c r="JY37" s="43">
        <v>1845.7022859999997</v>
      </c>
      <c r="JZ37" s="43">
        <v>2123.3689444800002</v>
      </c>
      <c r="KB37" s="43">
        <v>1530.7102199999997</v>
      </c>
      <c r="KC37" s="43">
        <v>1896.5063458999998</v>
      </c>
      <c r="KD37" s="43">
        <v>2132.9433885740004</v>
      </c>
    </row>
    <row r="38" spans="1:290" x14ac:dyDescent="0.25">
      <c r="A38" s="7" t="s">
        <v>259</v>
      </c>
      <c r="B38" s="11" t="s">
        <v>156</v>
      </c>
      <c r="C38" s="12"/>
      <c r="D38" s="12"/>
      <c r="E38" s="12"/>
      <c r="F38" s="12"/>
      <c r="G38" s="12"/>
      <c r="H38" s="13"/>
      <c r="I38" s="12">
        <v>14.290000000000001</v>
      </c>
      <c r="J38" s="12">
        <v>15.147399999999999</v>
      </c>
      <c r="K38" s="12">
        <v>16.362400000000001</v>
      </c>
      <c r="L38" s="12">
        <v>16.109400000000001</v>
      </c>
      <c r="M38" s="13">
        <f>I38+J38+K38+L38</f>
        <v>61.909200000000006</v>
      </c>
      <c r="N38" s="12">
        <v>17.1556</v>
      </c>
      <c r="O38" s="12">
        <v>17.0899</v>
      </c>
      <c r="P38" s="12">
        <v>17.108600000000003</v>
      </c>
      <c r="Q38" s="12">
        <v>21.084099999999999</v>
      </c>
      <c r="R38" s="13">
        <f>N38+O38+P38+Q38</f>
        <v>72.438199999999995</v>
      </c>
      <c r="S38" s="12">
        <v>18.578499999999998</v>
      </c>
      <c r="T38" s="12">
        <v>19.0108</v>
      </c>
      <c r="U38" s="12">
        <v>19.71</v>
      </c>
      <c r="V38" s="12">
        <v>24.412799999999997</v>
      </c>
      <c r="W38" s="13">
        <f>S38+T38+U38+V38</f>
        <v>81.712099999999992</v>
      </c>
      <c r="X38" s="12">
        <v>23.7256</v>
      </c>
      <c r="Y38" s="12">
        <v>24.697099999999999</v>
      </c>
      <c r="Z38" s="12">
        <v>25.642899999999997</v>
      </c>
      <c r="AA38" s="12">
        <v>27.480799999999999</v>
      </c>
      <c r="AB38" s="13">
        <f>X38+Y38+Z38+AA38</f>
        <v>101.54639999999999</v>
      </c>
      <c r="AC38" s="12">
        <v>34.83</v>
      </c>
      <c r="AD38" s="12">
        <v>33.330200000000005</v>
      </c>
      <c r="AE38" s="12">
        <v>35.259699999999995</v>
      </c>
      <c r="AF38" s="12">
        <v>35.5366</v>
      </c>
      <c r="AG38" s="13">
        <f>AC38+AD38+AE38+AF38</f>
        <v>138.95650000000001</v>
      </c>
      <c r="AH38" s="12">
        <v>33.488500000000002</v>
      </c>
      <c r="AI38" s="12">
        <v>33.566199999999995</v>
      </c>
      <c r="AJ38" s="12">
        <v>37.512599999999999</v>
      </c>
      <c r="AK38" s="13">
        <f>AH38+AI38+AJ38</f>
        <v>104.56729999999999</v>
      </c>
      <c r="AL38" s="12">
        <v>37.042700000000004</v>
      </c>
      <c r="AM38" s="12">
        <v>37.390700000000002</v>
      </c>
      <c r="AN38" s="12">
        <v>38.685200000000002</v>
      </c>
      <c r="AO38" s="12">
        <v>41.18</v>
      </c>
      <c r="AP38" s="13">
        <v>154.29</v>
      </c>
      <c r="AQ38" s="12">
        <v>40.590000000000003</v>
      </c>
      <c r="AR38" s="12">
        <v>42.44</v>
      </c>
      <c r="AS38" s="12">
        <v>42.76</v>
      </c>
      <c r="AT38" s="12">
        <v>41.37</v>
      </c>
      <c r="AU38" s="43">
        <v>167.15</v>
      </c>
      <c r="AV38" s="12">
        <v>42.67</v>
      </c>
      <c r="AW38" s="12">
        <v>47.25</v>
      </c>
      <c r="AX38" s="12">
        <v>45.48</v>
      </c>
      <c r="AY38" s="12">
        <v>48.13</v>
      </c>
      <c r="AZ38" s="43">
        <v>183.54</v>
      </c>
      <c r="BA38" s="12">
        <v>49.54</v>
      </c>
      <c r="BB38" s="12">
        <v>51.73</v>
      </c>
      <c r="BC38" s="12">
        <v>51.54</v>
      </c>
      <c r="BD38" s="12">
        <v>52.87</v>
      </c>
      <c r="BE38" s="43">
        <v>205.67</v>
      </c>
      <c r="BF38" s="12">
        <v>50.77</v>
      </c>
      <c r="BG38" s="12">
        <v>52.3</v>
      </c>
      <c r="BH38" s="12">
        <v>54.92</v>
      </c>
      <c r="BI38" s="12">
        <v>54.79</v>
      </c>
      <c r="BJ38" s="43">
        <v>212.79</v>
      </c>
      <c r="BK38" s="12">
        <v>56.1</v>
      </c>
      <c r="BL38" s="12">
        <v>57.133000000000003</v>
      </c>
      <c r="BM38" s="12">
        <v>57.47</v>
      </c>
      <c r="BN38" s="12">
        <v>58.82</v>
      </c>
      <c r="BO38" s="43">
        <v>229.52</v>
      </c>
      <c r="BP38" s="12">
        <v>61.68</v>
      </c>
      <c r="BQ38" s="12">
        <v>64.849999999999994</v>
      </c>
      <c r="BR38" s="12">
        <v>64.760000000000005</v>
      </c>
      <c r="BS38" s="12">
        <v>72.099999999999994</v>
      </c>
      <c r="BT38" s="43">
        <v>263.39</v>
      </c>
      <c r="BU38" s="12">
        <v>72.05</v>
      </c>
      <c r="BV38" s="12">
        <v>71.92</v>
      </c>
      <c r="BW38" s="12">
        <v>77.239999999999995</v>
      </c>
      <c r="BX38" s="12">
        <v>77.17</v>
      </c>
      <c r="BY38" s="43">
        <v>298.38</v>
      </c>
      <c r="BZ38" s="12">
        <v>86.03</v>
      </c>
      <c r="CA38" s="12">
        <v>89.94</v>
      </c>
      <c r="CB38" s="12">
        <v>91.29</v>
      </c>
      <c r="CC38" s="12">
        <v>91.36</v>
      </c>
      <c r="CD38" s="43">
        <v>358.62</v>
      </c>
      <c r="CE38" s="12">
        <v>93.03</v>
      </c>
      <c r="CF38" s="12">
        <v>104.35</v>
      </c>
      <c r="CG38" s="12">
        <v>109.51</v>
      </c>
      <c r="CH38" s="12">
        <v>121.39</v>
      </c>
      <c r="CI38" s="43">
        <v>428.28</v>
      </c>
      <c r="CJ38" s="43">
        <f>CI38+(CJ74*5%)</f>
        <v>478.28</v>
      </c>
      <c r="CK38" s="43">
        <f>CJ38+(CK74*5%)</f>
        <v>527.78</v>
      </c>
      <c r="CL38" s="43">
        <f>CK38+(CL74*5%)</f>
        <v>580.28</v>
      </c>
      <c r="CM38" s="43">
        <f>CL38+(CM74*5%)</f>
        <v>641.78</v>
      </c>
      <c r="CN38" s="43">
        <f ca="1">CM38+(CN74*5%)</f>
        <v>692.78</v>
      </c>
      <c r="CO38" s="45"/>
      <c r="CP38" s="45"/>
      <c r="CQ38" s="6"/>
      <c r="CR38" s="6"/>
      <c r="CS38" s="6"/>
      <c r="CT38" s="13">
        <f t="shared" si="26"/>
        <v>101.54639999999999</v>
      </c>
      <c r="CU38" s="13">
        <f t="shared" si="27"/>
        <v>138.95650000000001</v>
      </c>
      <c r="CV38" s="13">
        <f t="shared" si="28"/>
        <v>104.56729999999999</v>
      </c>
      <c r="CW38" s="13">
        <f t="shared" si="29"/>
        <v>154.29</v>
      </c>
      <c r="CX38" s="13">
        <f t="shared" si="30"/>
        <v>167.15</v>
      </c>
      <c r="CY38" s="13">
        <f t="shared" si="31"/>
        <v>183.54</v>
      </c>
      <c r="CZ38" s="13">
        <f t="shared" si="32"/>
        <v>205.67</v>
      </c>
      <c r="DA38" s="13">
        <f t="shared" si="33"/>
        <v>212.79</v>
      </c>
      <c r="DB38" s="13">
        <f t="shared" si="34"/>
        <v>229.52</v>
      </c>
      <c r="DC38" s="13">
        <f t="shared" si="35"/>
        <v>263.39</v>
      </c>
      <c r="DD38" s="13">
        <f t="shared" si="36"/>
        <v>298.38</v>
      </c>
      <c r="DE38" s="13">
        <f t="shared" si="37"/>
        <v>358.62</v>
      </c>
      <c r="DF38" s="13">
        <f t="shared" si="38"/>
        <v>428.28</v>
      </c>
      <c r="DG38" s="13">
        <f t="shared" si="38"/>
        <v>478.28</v>
      </c>
      <c r="DH38" s="13">
        <f t="shared" si="38"/>
        <v>527.78</v>
      </c>
      <c r="DI38" s="13">
        <v>195</v>
      </c>
      <c r="DK38" s="13">
        <v>163</v>
      </c>
      <c r="DL38" s="13">
        <v>180</v>
      </c>
      <c r="DM38" s="6"/>
      <c r="DN38" s="13">
        <v>156</v>
      </c>
      <c r="DO38" s="13">
        <v>180</v>
      </c>
      <c r="DQ38" s="12">
        <v>45</v>
      </c>
      <c r="DR38" s="13">
        <v>172</v>
      </c>
      <c r="DS38" s="13">
        <v>185</v>
      </c>
      <c r="DT38" s="13">
        <v>195</v>
      </c>
      <c r="DV38" s="43">
        <v>190</v>
      </c>
      <c r="DW38" s="43">
        <v>215</v>
      </c>
      <c r="DX38" s="43">
        <v>240</v>
      </c>
      <c r="EA38" s="12">
        <v>45</v>
      </c>
      <c r="EB38" s="12">
        <v>50</v>
      </c>
      <c r="EC38" s="12">
        <v>52</v>
      </c>
      <c r="ED38" s="43">
        <v>190</v>
      </c>
      <c r="EE38" s="43">
        <v>215</v>
      </c>
      <c r="EF38" s="43">
        <v>240</v>
      </c>
      <c r="EJ38" s="12">
        <v>47</v>
      </c>
      <c r="EK38" s="12">
        <v>48.079999999999984</v>
      </c>
      <c r="EL38" s="43">
        <v>185</v>
      </c>
      <c r="EM38" s="43">
        <v>200</v>
      </c>
      <c r="EN38" s="43">
        <v>240</v>
      </c>
      <c r="EP38" s="12">
        <v>47.599999999999987</v>
      </c>
      <c r="EQ38" s="43">
        <v>183</v>
      </c>
      <c r="ER38" s="43">
        <v>220</v>
      </c>
      <c r="ES38" s="43">
        <v>230</v>
      </c>
      <c r="EV38" s="12">
        <v>48</v>
      </c>
      <c r="EW38" s="12">
        <v>66.45</v>
      </c>
      <c r="EX38" s="12">
        <v>64.680000000000007</v>
      </c>
      <c r="EY38" s="12">
        <v>67.330000000000013</v>
      </c>
      <c r="EZ38" s="43">
        <v>202.74</v>
      </c>
      <c r="FA38" s="43">
        <v>225.78</v>
      </c>
      <c r="FD38" s="12">
        <v>49.54</v>
      </c>
      <c r="FE38" s="12">
        <v>64.680000000000007</v>
      </c>
      <c r="FF38" s="12">
        <v>67.330000000000013</v>
      </c>
      <c r="FG38" s="43">
        <v>202.74</v>
      </c>
      <c r="FH38" s="43">
        <v>225.78</v>
      </c>
      <c r="FK38" s="43">
        <v>202.74</v>
      </c>
      <c r="FL38" s="43">
        <v>225.78</v>
      </c>
      <c r="FO38" s="12">
        <v>51.73</v>
      </c>
      <c r="FP38" s="12">
        <v>49.74000000000003</v>
      </c>
      <c r="FQ38" s="43">
        <v>202.74</v>
      </c>
      <c r="FR38" s="43">
        <v>225.78</v>
      </c>
      <c r="FU38" s="12">
        <v>49.930000000000028</v>
      </c>
      <c r="FV38" s="43">
        <v>202.74</v>
      </c>
      <c r="FW38" s="43">
        <v>225.78</v>
      </c>
      <c r="FX38" s="43">
        <v>248.82</v>
      </c>
      <c r="FY38" s="43">
        <v>271.86</v>
      </c>
      <c r="GA38" s="43">
        <v>223.67</v>
      </c>
      <c r="GB38" s="43">
        <v>235.67</v>
      </c>
      <c r="GC38" s="43">
        <v>258.70999999999998</v>
      </c>
      <c r="GF38" s="12">
        <v>50.77</v>
      </c>
      <c r="GG38" s="12"/>
      <c r="GH38" s="12"/>
      <c r="GI38" s="43">
        <v>223.67</v>
      </c>
      <c r="GJ38" s="43">
        <v>235.67</v>
      </c>
      <c r="GK38" s="43">
        <v>258.70999999999998</v>
      </c>
      <c r="GN38" s="12">
        <v>52.3</v>
      </c>
      <c r="GO38" s="12">
        <v>68.299999999999983</v>
      </c>
      <c r="GP38" s="43">
        <v>223.67</v>
      </c>
      <c r="GQ38" s="43">
        <v>235.67</v>
      </c>
      <c r="GR38" s="43">
        <v>258.70999999999998</v>
      </c>
      <c r="GV38" s="12">
        <v>58.179999999999978</v>
      </c>
      <c r="GW38" s="43">
        <v>216.17</v>
      </c>
      <c r="GX38" s="43">
        <v>228.17</v>
      </c>
      <c r="GY38" s="43">
        <v>251.20999999999998</v>
      </c>
      <c r="HC38" s="12">
        <v>54.086999999999989</v>
      </c>
      <c r="HD38" s="43">
        <v>224.79</v>
      </c>
      <c r="HE38" s="43">
        <v>247.82999999999998</v>
      </c>
      <c r="HF38" s="43">
        <v>270.87</v>
      </c>
      <c r="HI38" s="12">
        <v>60</v>
      </c>
      <c r="HJ38" s="12">
        <v>63</v>
      </c>
      <c r="HK38" s="12">
        <v>65</v>
      </c>
      <c r="HL38" s="12">
        <v>71.519999999999982</v>
      </c>
      <c r="HM38" s="43">
        <v>259.52</v>
      </c>
      <c r="HN38" s="43">
        <v>282.56</v>
      </c>
      <c r="HO38" s="43">
        <v>305.60000000000002</v>
      </c>
      <c r="HR38" s="12">
        <v>63</v>
      </c>
      <c r="HS38" s="12">
        <v>65</v>
      </c>
      <c r="HT38" s="12">
        <v>69.839999999999975</v>
      </c>
      <c r="HU38" s="43">
        <v>259.52</v>
      </c>
      <c r="HV38" s="43">
        <v>282.56</v>
      </c>
      <c r="HW38" s="43">
        <v>305.60000000000002</v>
      </c>
      <c r="HZ38" s="12">
        <v>65</v>
      </c>
      <c r="IA38" s="43">
        <v>259.52</v>
      </c>
      <c r="IB38" s="43">
        <v>282.56</v>
      </c>
      <c r="IC38" s="43">
        <v>305.60000000000002</v>
      </c>
      <c r="IE38" s="12">
        <v>68.229999999999976</v>
      </c>
      <c r="IF38" s="43">
        <v>259.52</v>
      </c>
      <c r="IG38" s="43">
        <v>289.52</v>
      </c>
      <c r="IH38" s="43">
        <v>312.56</v>
      </c>
      <c r="IK38" s="43">
        <v>293.39</v>
      </c>
      <c r="IL38" s="43">
        <v>316.43</v>
      </c>
      <c r="IO38" s="43">
        <v>288.39</v>
      </c>
      <c r="IP38" s="43">
        <v>311.43</v>
      </c>
      <c r="IS38" s="13">
        <v>1295.3278379999997</v>
      </c>
      <c r="IT38" s="13">
        <v>1718.6355492799996</v>
      </c>
      <c r="IU38" s="13">
        <v>2000.2899753407999</v>
      </c>
      <c r="IX38" s="12">
        <v>75.779999999999987</v>
      </c>
      <c r="IY38" s="43">
        <v>296.99</v>
      </c>
      <c r="IZ38" s="43">
        <v>320.03000000000003</v>
      </c>
      <c r="JA38" s="43">
        <v>343.07000000000005</v>
      </c>
      <c r="JD38" s="43">
        <v>328.38</v>
      </c>
      <c r="JE38" s="43">
        <v>358.38</v>
      </c>
      <c r="JH38" s="43">
        <v>328.38</v>
      </c>
      <c r="JI38" s="43">
        <v>358.38</v>
      </c>
      <c r="JJ38" s="43">
        <v>388.38</v>
      </c>
      <c r="JM38" s="43">
        <v>358.38</v>
      </c>
      <c r="JN38" s="43">
        <v>388.38</v>
      </c>
      <c r="JQ38" s="43">
        <v>358.38</v>
      </c>
      <c r="JR38" s="43">
        <v>400.38</v>
      </c>
      <c r="JS38" s="43">
        <v>430.38</v>
      </c>
      <c r="JV38" s="43">
        <v>400.62</v>
      </c>
      <c r="JW38" s="43">
        <v>430.62</v>
      </c>
      <c r="JY38" s="43">
        <v>400.62</v>
      </c>
      <c r="JZ38" s="43">
        <v>430.62</v>
      </c>
      <c r="KB38" s="43">
        <v>400.62</v>
      </c>
      <c r="KC38" s="43">
        <v>430.62</v>
      </c>
      <c r="KD38" s="43">
        <v>460.62</v>
      </c>
    </row>
    <row r="39" spans="1:290" s="60" customFormat="1" x14ac:dyDescent="0.25">
      <c r="A39" s="226" t="e">
        <f>+B37-B38</f>
        <v>#VALUE!</v>
      </c>
      <c r="B39" s="34" t="s">
        <v>157</v>
      </c>
      <c r="C39" s="35"/>
      <c r="D39" s="35">
        <f t="shared" ref="D39:AI39" si="91">D37-D38</f>
        <v>0</v>
      </c>
      <c r="E39" s="35">
        <f t="shared" si="91"/>
        <v>0</v>
      </c>
      <c r="F39" s="35">
        <f t="shared" si="91"/>
        <v>0</v>
      </c>
      <c r="G39" s="35">
        <f t="shared" si="91"/>
        <v>0</v>
      </c>
      <c r="H39" s="36">
        <f t="shared" si="91"/>
        <v>0</v>
      </c>
      <c r="I39" s="35">
        <f t="shared" si="91"/>
        <v>38.799999999999962</v>
      </c>
      <c r="J39" s="35">
        <f t="shared" si="91"/>
        <v>53.774800000000063</v>
      </c>
      <c r="K39" s="35">
        <f t="shared" si="91"/>
        <v>54.437900000000049</v>
      </c>
      <c r="L39" s="35">
        <f t="shared" si="91"/>
        <v>86.715700000000027</v>
      </c>
      <c r="M39" s="36">
        <f t="shared" si="91"/>
        <v>233.72839999999974</v>
      </c>
      <c r="N39" s="35">
        <f t="shared" si="91"/>
        <v>28.751900000000013</v>
      </c>
      <c r="O39" s="35">
        <f t="shared" si="91"/>
        <v>59.256799999999927</v>
      </c>
      <c r="P39" s="35">
        <f t="shared" si="91"/>
        <v>72.745400000000046</v>
      </c>
      <c r="Q39" s="35">
        <f t="shared" si="91"/>
        <v>142.77720000000008</v>
      </c>
      <c r="R39" s="36">
        <f t="shared" si="91"/>
        <v>303.5313000000001</v>
      </c>
      <c r="S39" s="35">
        <f t="shared" si="91"/>
        <v>54.802199999999935</v>
      </c>
      <c r="T39" s="35">
        <f t="shared" si="91"/>
        <v>86.51260000000002</v>
      </c>
      <c r="U39" s="35">
        <f t="shared" si="91"/>
        <v>100.96000000000004</v>
      </c>
      <c r="V39" s="35">
        <f t="shared" si="91"/>
        <v>150.09689999999981</v>
      </c>
      <c r="W39" s="36">
        <f t="shared" si="91"/>
        <v>392.37169999999981</v>
      </c>
      <c r="X39" s="35">
        <f t="shared" si="91"/>
        <v>52.650000000000077</v>
      </c>
      <c r="Y39" s="35">
        <f t="shared" si="91"/>
        <v>77.482999999999834</v>
      </c>
      <c r="Z39" s="35">
        <f t="shared" si="91"/>
        <v>83.954700000000045</v>
      </c>
      <c r="AA39" s="35">
        <f t="shared" si="91"/>
        <v>164.57650000000015</v>
      </c>
      <c r="AB39" s="36">
        <f t="shared" si="91"/>
        <v>378.66420000000005</v>
      </c>
      <c r="AC39" s="35">
        <f t="shared" si="91"/>
        <v>33.09579999999994</v>
      </c>
      <c r="AD39" s="35">
        <f t="shared" si="91"/>
        <v>49.864299999999773</v>
      </c>
      <c r="AE39" s="35">
        <f t="shared" si="91"/>
        <v>92.858199999999968</v>
      </c>
      <c r="AF39" s="35">
        <f t="shared" si="91"/>
        <v>193.93499999999992</v>
      </c>
      <c r="AG39" s="36">
        <f t="shared" si="91"/>
        <v>369.75329999999894</v>
      </c>
      <c r="AH39" s="35">
        <f t="shared" si="91"/>
        <v>48.85920000000003</v>
      </c>
      <c r="AI39" s="35">
        <f t="shared" si="91"/>
        <v>112.44630000000008</v>
      </c>
      <c r="AJ39" s="35">
        <f t="shared" ref="AJ39:BO39" si="92">AJ37-AJ38</f>
        <v>171.49732999999992</v>
      </c>
      <c r="AK39" s="36">
        <f t="shared" si="92"/>
        <v>332.80282999999923</v>
      </c>
      <c r="AL39" s="35">
        <f t="shared" si="92"/>
        <v>154.95440000000002</v>
      </c>
      <c r="AM39" s="35">
        <f t="shared" si="92"/>
        <v>88.837299999999772</v>
      </c>
      <c r="AN39" s="35">
        <f t="shared" si="92"/>
        <v>138.02819999999991</v>
      </c>
      <c r="AO39" s="35">
        <f t="shared" si="92"/>
        <v>200.59000000000012</v>
      </c>
      <c r="AP39" s="36">
        <f t="shared" si="92"/>
        <v>582.45000000000039</v>
      </c>
      <c r="AQ39" s="35">
        <f t="shared" si="92"/>
        <v>115.1700000000001</v>
      </c>
      <c r="AR39" s="35">
        <f t="shared" si="92"/>
        <v>96.489999999999924</v>
      </c>
      <c r="AS39" s="35">
        <f t="shared" si="92"/>
        <v>147.61000000000001</v>
      </c>
      <c r="AT39" s="35">
        <f t="shared" si="92"/>
        <v>243.51</v>
      </c>
      <c r="AU39" s="36">
        <f t="shared" si="92"/>
        <v>602.78999999999974</v>
      </c>
      <c r="AV39" s="35">
        <f t="shared" si="92"/>
        <v>139.67000000000007</v>
      </c>
      <c r="AW39" s="35">
        <f t="shared" si="92"/>
        <v>107.17000000000013</v>
      </c>
      <c r="AX39" s="35">
        <f t="shared" si="92"/>
        <v>132.3700000000002</v>
      </c>
      <c r="AY39" s="35">
        <f t="shared" si="92"/>
        <v>150.43000000000012</v>
      </c>
      <c r="AZ39" s="36">
        <f t="shared" si="92"/>
        <v>526.92999999999961</v>
      </c>
      <c r="BA39" s="35">
        <f t="shared" si="92"/>
        <v>114.59300000000007</v>
      </c>
      <c r="BB39" s="35">
        <f t="shared" si="92"/>
        <v>128.25000000000023</v>
      </c>
      <c r="BC39" s="35">
        <f t="shared" si="92"/>
        <v>164.54000000000008</v>
      </c>
      <c r="BD39" s="35">
        <f t="shared" si="92"/>
        <v>216.41000000000008</v>
      </c>
      <c r="BE39" s="36">
        <f t="shared" si="92"/>
        <v>610.25999999999942</v>
      </c>
      <c r="BF39" s="35">
        <f t="shared" si="92"/>
        <v>58.84000000000011</v>
      </c>
      <c r="BG39" s="35">
        <f t="shared" si="92"/>
        <v>201.14000000000016</v>
      </c>
      <c r="BH39" s="35">
        <f t="shared" si="92"/>
        <v>348.12999999999994</v>
      </c>
      <c r="BI39" s="35">
        <f t="shared" si="92"/>
        <v>458.18</v>
      </c>
      <c r="BJ39" s="36">
        <f t="shared" si="92"/>
        <v>866.23</v>
      </c>
      <c r="BK39" s="35">
        <f t="shared" si="92"/>
        <v>168.1</v>
      </c>
      <c r="BL39" s="35">
        <f t="shared" si="92"/>
        <v>257.06699999999995</v>
      </c>
      <c r="BM39" s="35">
        <f t="shared" si="92"/>
        <v>262.8900000000001</v>
      </c>
      <c r="BN39" s="35">
        <f t="shared" si="92"/>
        <v>339.32999999999987</v>
      </c>
      <c r="BO39" s="36">
        <f t="shared" si="92"/>
        <v>1027.3899999999996</v>
      </c>
      <c r="BP39" s="35">
        <f t="shared" ref="BP39:CN39" si="93">BP37-BP38</f>
        <v>210.14999999999986</v>
      </c>
      <c r="BQ39" s="35">
        <f t="shared" si="93"/>
        <v>86.599999999999909</v>
      </c>
      <c r="BR39" s="35">
        <f t="shared" si="93"/>
        <v>245.73999999999995</v>
      </c>
      <c r="BS39" s="35">
        <f t="shared" si="93"/>
        <v>415.54999999999973</v>
      </c>
      <c r="BT39" s="36">
        <f t="shared" si="93"/>
        <v>957.93999999999994</v>
      </c>
      <c r="BU39" s="35">
        <f t="shared" si="93"/>
        <v>262.0499999999999</v>
      </c>
      <c r="BV39" s="35">
        <f t="shared" si="93"/>
        <v>295.45</v>
      </c>
      <c r="BW39" s="35">
        <f t="shared" si="93"/>
        <v>317.15000000000009</v>
      </c>
      <c r="BX39" s="35">
        <f t="shared" si="93"/>
        <v>423.86999999999955</v>
      </c>
      <c r="BY39" s="36">
        <f t="shared" si="93"/>
        <v>1298.7600000000016</v>
      </c>
      <c r="BZ39" s="35">
        <f t="shared" si="93"/>
        <v>319.40999999999997</v>
      </c>
      <c r="CA39" s="35">
        <f t="shared" si="93"/>
        <v>276.72000000000003</v>
      </c>
      <c r="CB39" s="35">
        <f t="shared" si="93"/>
        <v>223.4500000000001</v>
      </c>
      <c r="CC39" s="35">
        <f t="shared" si="93"/>
        <v>335.65000000000015</v>
      </c>
      <c r="CD39" s="36">
        <f t="shared" si="93"/>
        <v>1120.0599999999977</v>
      </c>
      <c r="CE39" s="35">
        <f t="shared" si="93"/>
        <v>240.00000000000014</v>
      </c>
      <c r="CF39" s="35">
        <f t="shared" si="93"/>
        <v>202.76000000000013</v>
      </c>
      <c r="CG39" s="35">
        <f t="shared" si="93"/>
        <v>212.03999999999985</v>
      </c>
      <c r="CH39" s="35">
        <f t="shared" si="93"/>
        <v>420.28999999999962</v>
      </c>
      <c r="CI39" s="36">
        <f t="shared" si="93"/>
        <v>1140.7099999999991</v>
      </c>
      <c r="CJ39" s="36">
        <f t="shared" ca="1" si="93"/>
        <v>1401.7103781420581</v>
      </c>
      <c r="CK39" s="36">
        <f t="shared" ca="1" si="93"/>
        <v>1637.8218582008101</v>
      </c>
      <c r="CL39" s="36">
        <f t="shared" ca="1" si="93"/>
        <v>1964.7929303586991</v>
      </c>
      <c r="CM39" s="36">
        <f t="shared" ca="1" si="93"/>
        <v>2261.9762673756077</v>
      </c>
      <c r="CN39" s="36">
        <f t="shared" ca="1" si="93"/>
        <v>2501.8266667816542</v>
      </c>
      <c r="CO39" s="67"/>
      <c r="CP39" s="67"/>
      <c r="CQ39" s="59"/>
      <c r="CR39" s="68"/>
      <c r="CS39" s="68"/>
      <c r="CT39" s="36">
        <f t="shared" si="26"/>
        <v>378.66420000000005</v>
      </c>
      <c r="CU39" s="36">
        <f t="shared" si="27"/>
        <v>369.75329999999894</v>
      </c>
      <c r="CV39" s="36">
        <f t="shared" si="28"/>
        <v>332.80282999999923</v>
      </c>
      <c r="CW39" s="36">
        <f t="shared" si="29"/>
        <v>582.45000000000039</v>
      </c>
      <c r="CX39" s="36">
        <f t="shared" si="30"/>
        <v>602.78999999999974</v>
      </c>
      <c r="CY39" s="36">
        <f t="shared" si="31"/>
        <v>526.92999999999961</v>
      </c>
      <c r="CZ39" s="36">
        <f t="shared" si="32"/>
        <v>610.25999999999942</v>
      </c>
      <c r="DA39" s="36">
        <f t="shared" si="33"/>
        <v>866.23</v>
      </c>
      <c r="DB39" s="36">
        <f t="shared" si="34"/>
        <v>1027.3899999999996</v>
      </c>
      <c r="DC39" s="36">
        <f t="shared" si="35"/>
        <v>957.93999999999994</v>
      </c>
      <c r="DD39" s="36">
        <f t="shared" si="36"/>
        <v>1298.7600000000016</v>
      </c>
      <c r="DE39" s="36">
        <f t="shared" si="37"/>
        <v>1120.0599999999977</v>
      </c>
      <c r="DF39" s="36">
        <f t="shared" si="38"/>
        <v>1140.7099999999991</v>
      </c>
      <c r="DG39" s="36">
        <f t="shared" ca="1" si="38"/>
        <v>1401.7103781420581</v>
      </c>
      <c r="DH39" s="36">
        <f t="shared" ca="1" si="38"/>
        <v>1637.8218582008101</v>
      </c>
      <c r="DI39" s="36">
        <v>828.71166231791005</v>
      </c>
      <c r="DK39" s="36">
        <v>647.91622400000006</v>
      </c>
      <c r="DL39" s="36">
        <v>748.86449536000021</v>
      </c>
      <c r="DM39" s="58"/>
      <c r="DN39" s="36">
        <v>701.78598800000009</v>
      </c>
      <c r="DO39" s="36">
        <v>798.85602632000018</v>
      </c>
      <c r="DQ39" s="35">
        <v>183.70110350000002</v>
      </c>
      <c r="DR39" s="36">
        <v>548.61157800000001</v>
      </c>
      <c r="DS39" s="36">
        <v>679.69360415000006</v>
      </c>
      <c r="DT39" s="36">
        <v>828.71166231791005</v>
      </c>
      <c r="DV39" s="36">
        <v>666.4</v>
      </c>
      <c r="DW39" s="36">
        <v>808.82016599999997</v>
      </c>
      <c r="DX39" s="36">
        <v>921.07858592000002</v>
      </c>
      <c r="EA39" s="35">
        <v>114.37373400000001</v>
      </c>
      <c r="EB39" s="35">
        <v>174.85697499999998</v>
      </c>
      <c r="EC39" s="35">
        <v>232.63132999999999</v>
      </c>
      <c r="ED39" s="36">
        <v>666.4</v>
      </c>
      <c r="EE39" s="36">
        <v>803.82016599999997</v>
      </c>
      <c r="EF39" s="36">
        <v>901.07858592000002</v>
      </c>
      <c r="EJ39" s="35">
        <v>136.82755000000003</v>
      </c>
      <c r="EK39" s="35">
        <v>277.7324499999998</v>
      </c>
      <c r="EL39" s="36">
        <v>661.4</v>
      </c>
      <c r="EM39" s="36">
        <v>800.82016599999997</v>
      </c>
      <c r="EN39" s="36">
        <v>901.07858592000002</v>
      </c>
      <c r="EP39" s="35">
        <v>183.08999999999958</v>
      </c>
      <c r="EQ39" s="36">
        <v>562.30000000000007</v>
      </c>
      <c r="ER39" s="36">
        <v>737.06979999999987</v>
      </c>
      <c r="ES39" s="36">
        <v>877.05587884800002</v>
      </c>
      <c r="EV39" s="35">
        <v>154.37370999999999</v>
      </c>
      <c r="EW39" s="35">
        <v>133.37780000000004</v>
      </c>
      <c r="EX39" s="35">
        <v>175.32987499999996</v>
      </c>
      <c r="EY39" s="35">
        <v>195.63332499999999</v>
      </c>
      <c r="EZ39" s="36">
        <v>723.26</v>
      </c>
      <c r="FA39" s="36">
        <v>834.77</v>
      </c>
      <c r="FD39" s="35">
        <v>130.67502000000007</v>
      </c>
      <c r="FE39" s="35">
        <v>175.32987499999996</v>
      </c>
      <c r="FF39" s="35">
        <v>195.30737499999989</v>
      </c>
      <c r="FG39" s="36">
        <v>599.26</v>
      </c>
      <c r="FH39" s="36">
        <v>759.40000000000009</v>
      </c>
      <c r="FK39" s="36">
        <v>610.76</v>
      </c>
      <c r="FL39" s="36">
        <v>743.5100000000001</v>
      </c>
      <c r="FO39" s="35">
        <v>163.25852999999998</v>
      </c>
      <c r="FP39" s="35">
        <v>179.12797399999974</v>
      </c>
      <c r="FQ39" s="36">
        <v>585.22950400000002</v>
      </c>
      <c r="FR39" s="36">
        <v>723.08904531999985</v>
      </c>
      <c r="FU39" s="35">
        <v>131.88662999999963</v>
      </c>
      <c r="FV39" s="36">
        <v>539.26963000000001</v>
      </c>
      <c r="FW39" s="36">
        <v>343.62485400000014</v>
      </c>
      <c r="FX39" s="36">
        <v>560.03022765000037</v>
      </c>
      <c r="FY39" s="36">
        <v>626.19343352244016</v>
      </c>
      <c r="GA39" s="36">
        <v>407.632248</v>
      </c>
      <c r="GB39" s="36">
        <v>655.77703379999991</v>
      </c>
      <c r="GC39" s="36">
        <v>752.11538592800002</v>
      </c>
      <c r="GF39" s="35">
        <v>130.21600000000001</v>
      </c>
      <c r="GG39" s="35"/>
      <c r="GH39" s="35"/>
      <c r="GI39" s="36">
        <v>502.17387600000006</v>
      </c>
      <c r="GJ39" s="36">
        <v>772.4803254200001</v>
      </c>
      <c r="GK39" s="36">
        <v>880.28416407040004</v>
      </c>
      <c r="GN39" s="35">
        <v>270.76152999999999</v>
      </c>
      <c r="GO39" s="35">
        <v>186.46652299999977</v>
      </c>
      <c r="GP39" s="36">
        <v>717.20805300000006</v>
      </c>
      <c r="GQ39" s="36">
        <v>832.03923948000022</v>
      </c>
      <c r="GR39" s="36">
        <v>946.74413748960023</v>
      </c>
      <c r="GV39" s="35">
        <v>288.70480399999997</v>
      </c>
      <c r="GW39" s="36">
        <v>896.81480400000021</v>
      </c>
      <c r="GX39" s="36">
        <v>764.37911083999995</v>
      </c>
      <c r="GY39" s="36">
        <v>1044.3279350839998</v>
      </c>
      <c r="HC39" s="35">
        <v>340.31658049999999</v>
      </c>
      <c r="HD39" s="36">
        <v>1028.3735805000001</v>
      </c>
      <c r="HE39" s="36">
        <v>1049.1252645100003</v>
      </c>
      <c r="HF39" s="36">
        <v>1176.9265045136003</v>
      </c>
      <c r="HI39" s="35">
        <v>183.01185999999996</v>
      </c>
      <c r="HJ39" s="35">
        <v>253.39341199999996</v>
      </c>
      <c r="HK39" s="35">
        <v>284.34098999999998</v>
      </c>
      <c r="HL39" s="35">
        <v>54.680367000000047</v>
      </c>
      <c r="HM39" s="36">
        <v>775.42662900000005</v>
      </c>
      <c r="HN39" s="36">
        <v>879.00355630000035</v>
      </c>
      <c r="HO39" s="36">
        <v>953.52848496200011</v>
      </c>
      <c r="HR39" s="35">
        <v>109.282185</v>
      </c>
      <c r="HS39" s="35">
        <v>193.31672600000002</v>
      </c>
      <c r="HT39" s="35">
        <v>262.67771800000003</v>
      </c>
      <c r="HU39" s="36">
        <v>775.42662900000005</v>
      </c>
      <c r="HV39" s="36">
        <v>1030.0194115000002</v>
      </c>
      <c r="HW39" s="36">
        <v>1137.0127490300001</v>
      </c>
      <c r="HZ39" s="35">
        <v>193.31672600000002</v>
      </c>
      <c r="IA39" s="36">
        <v>843.07429400000001</v>
      </c>
      <c r="IB39" s="36">
        <v>1067.3581308000003</v>
      </c>
      <c r="IC39" s="36">
        <v>1238.4916823400004</v>
      </c>
      <c r="IE39" s="35">
        <v>295.12366000000037</v>
      </c>
      <c r="IF39" s="36">
        <v>837.61365999999998</v>
      </c>
      <c r="IG39" s="36">
        <v>1129.9623675999999</v>
      </c>
      <c r="IH39" s="36">
        <v>1332.4634788000001</v>
      </c>
      <c r="IK39" s="36">
        <v>1125.8623675999997</v>
      </c>
      <c r="IL39" s="36">
        <v>1328.3634787999999</v>
      </c>
      <c r="IO39" s="36">
        <v>1290.905902</v>
      </c>
      <c r="IP39" s="36">
        <v>1658.8660499200003</v>
      </c>
      <c r="IS39" s="61">
        <v>0.3522014301522014</v>
      </c>
      <c r="IT39" s="61">
        <v>0.32679581096133292</v>
      </c>
      <c r="IU39" s="61">
        <v>0.16388257893233726</v>
      </c>
      <c r="IX39" s="35">
        <v>434.58022999999986</v>
      </c>
      <c r="IY39" s="36">
        <v>1309.2302299999999</v>
      </c>
      <c r="IZ39" s="36">
        <v>1806.2152607999999</v>
      </c>
      <c r="JA39" s="36">
        <v>2100.5384407039996</v>
      </c>
      <c r="JD39" s="36">
        <v>1859.702295</v>
      </c>
      <c r="JE39" s="36">
        <v>2242.6293569999998</v>
      </c>
      <c r="JH39" s="36">
        <v>1660.1129040000001</v>
      </c>
      <c r="JI39" s="36">
        <v>2041.4922008999997</v>
      </c>
      <c r="JJ39" s="36">
        <v>2362.4294252579998</v>
      </c>
      <c r="JM39" s="36">
        <v>1925.9349797399996</v>
      </c>
      <c r="JN39" s="36">
        <v>2229.3268880165997</v>
      </c>
      <c r="JQ39" s="36">
        <v>1146.3354755</v>
      </c>
      <c r="JR39" s="36">
        <v>1426.8010213600005</v>
      </c>
      <c r="JS39" s="36">
        <v>1669.5408930820008</v>
      </c>
      <c r="JV39" s="36">
        <v>1398.3425819999998</v>
      </c>
      <c r="JW39" s="36">
        <v>1638.0210001600003</v>
      </c>
      <c r="JY39" s="36">
        <v>1445.0822859999998</v>
      </c>
      <c r="JZ39" s="36">
        <v>1692.7489444800003</v>
      </c>
      <c r="KB39" s="36">
        <v>1130.0902199999996</v>
      </c>
      <c r="KC39" s="36">
        <v>1465.8863458999999</v>
      </c>
      <c r="KD39" s="36">
        <v>1672.3233885740005</v>
      </c>
    </row>
    <row r="40" spans="1:290" x14ac:dyDescent="0.25">
      <c r="A40" s="7" t="s">
        <v>260</v>
      </c>
      <c r="B40" s="17" t="s">
        <v>137</v>
      </c>
      <c r="C40" s="18"/>
      <c r="D40" s="18"/>
      <c r="E40" s="18"/>
      <c r="F40" s="19"/>
      <c r="G40" s="19"/>
      <c r="H40" s="18"/>
      <c r="I40" s="19" t="e">
        <f t="shared" ref="I40:AK40" si="94">I39/D39-1</f>
        <v>#DIV/0!</v>
      </c>
      <c r="J40" s="19" t="e">
        <f t="shared" si="94"/>
        <v>#DIV/0!</v>
      </c>
      <c r="K40" s="19" t="e">
        <f t="shared" si="94"/>
        <v>#DIV/0!</v>
      </c>
      <c r="L40" s="19" t="e">
        <f t="shared" si="94"/>
        <v>#DIV/0!</v>
      </c>
      <c r="M40" s="19" t="e">
        <f t="shared" si="94"/>
        <v>#DIV/0!</v>
      </c>
      <c r="N40" s="19">
        <f t="shared" si="94"/>
        <v>-0.25897164948453499</v>
      </c>
      <c r="O40" s="19">
        <f t="shared" si="94"/>
        <v>0.10194366134322874</v>
      </c>
      <c r="P40" s="19">
        <f t="shared" si="94"/>
        <v>0.33630062878986844</v>
      </c>
      <c r="Q40" s="19">
        <f t="shared" si="94"/>
        <v>0.64649769303597893</v>
      </c>
      <c r="R40" s="19">
        <f t="shared" si="94"/>
        <v>0.29864962922777227</v>
      </c>
      <c r="S40" s="19">
        <f t="shared" si="94"/>
        <v>0.90603751404254718</v>
      </c>
      <c r="T40" s="19">
        <f t="shared" si="94"/>
        <v>0.45996071336960687</v>
      </c>
      <c r="U40" s="19">
        <f t="shared" si="94"/>
        <v>0.38785407737121491</v>
      </c>
      <c r="V40" s="19">
        <f t="shared" si="94"/>
        <v>5.1266588783080991E-2</v>
      </c>
      <c r="W40" s="19">
        <f t="shared" si="94"/>
        <v>0.29268941950961791</v>
      </c>
      <c r="X40" s="19">
        <f t="shared" si="94"/>
        <v>-3.9272146008734299E-2</v>
      </c>
      <c r="Y40" s="19">
        <f t="shared" si="94"/>
        <v>-0.1043732358061159</v>
      </c>
      <c r="Z40" s="19">
        <f t="shared" si="94"/>
        <v>-0.16843601426307431</v>
      </c>
      <c r="AA40" s="19">
        <f t="shared" si="94"/>
        <v>9.6468348113787572E-2</v>
      </c>
      <c r="AB40" s="19">
        <f t="shared" si="94"/>
        <v>-3.4934986391729428E-2</v>
      </c>
      <c r="AC40" s="19">
        <f t="shared" si="94"/>
        <v>-0.37139981006647882</v>
      </c>
      <c r="AD40" s="19">
        <f t="shared" si="94"/>
        <v>-0.35644851128634825</v>
      </c>
      <c r="AE40" s="19">
        <f t="shared" si="94"/>
        <v>0.1060512395375115</v>
      </c>
      <c r="AF40" s="19">
        <f t="shared" si="94"/>
        <v>0.17838816598967489</v>
      </c>
      <c r="AG40" s="19">
        <f t="shared" si="94"/>
        <v>-2.3532459630461799E-2</v>
      </c>
      <c r="AH40" s="19">
        <f t="shared" si="94"/>
        <v>0.47629608590818528</v>
      </c>
      <c r="AI40" s="19">
        <f t="shared" si="94"/>
        <v>1.2550461953742578</v>
      </c>
      <c r="AJ40" s="19">
        <f t="shared" si="94"/>
        <v>0.84687329713477077</v>
      </c>
      <c r="AK40" s="19">
        <f t="shared" si="94"/>
        <v>0.71605347152396104</v>
      </c>
      <c r="AL40" s="19">
        <f>AL39/AF39-1</f>
        <v>-0.20099827261711356</v>
      </c>
      <c r="AM40" s="19">
        <f t="shared" ref="AM40:BG40" si="95">AM39/AH39-1</f>
        <v>0.81823075285718394</v>
      </c>
      <c r="AN40" s="19">
        <f t="shared" si="95"/>
        <v>0.22750326155684819</v>
      </c>
      <c r="AO40" s="19">
        <f t="shared" si="95"/>
        <v>0.16963920079688832</v>
      </c>
      <c r="AP40" s="19">
        <f t="shared" si="95"/>
        <v>0.75013535792349395</v>
      </c>
      <c r="AQ40" s="19">
        <f t="shared" si="95"/>
        <v>-0.25674908231066629</v>
      </c>
      <c r="AR40" s="19">
        <f t="shared" si="95"/>
        <v>8.614287016827582E-2</v>
      </c>
      <c r="AS40" s="19">
        <f t="shared" si="95"/>
        <v>6.9419147681416549E-2</v>
      </c>
      <c r="AT40" s="19">
        <f t="shared" si="95"/>
        <v>0.21396879206341213</v>
      </c>
      <c r="AU40" s="19">
        <f t="shared" si="95"/>
        <v>3.4921452485190629E-2</v>
      </c>
      <c r="AV40" s="19">
        <f t="shared" si="95"/>
        <v>0.21272900929061334</v>
      </c>
      <c r="AW40" s="19">
        <f t="shared" si="95"/>
        <v>0.11068504508239418</v>
      </c>
      <c r="AX40" s="19">
        <f t="shared" si="95"/>
        <v>-0.10324503759907733</v>
      </c>
      <c r="AY40" s="19">
        <f t="shared" si="95"/>
        <v>-0.38224302903371477</v>
      </c>
      <c r="AZ40" s="19">
        <f t="shared" si="95"/>
        <v>-0.12584813948472962</v>
      </c>
      <c r="BA40" s="19">
        <f t="shared" si="95"/>
        <v>-0.17954464093935696</v>
      </c>
      <c r="BB40" s="19">
        <f t="shared" si="95"/>
        <v>0.19669683680134442</v>
      </c>
      <c r="BC40" s="19">
        <f t="shared" si="95"/>
        <v>0.24303089823978108</v>
      </c>
      <c r="BD40" s="19">
        <f t="shared" si="95"/>
        <v>0.43860931994947761</v>
      </c>
      <c r="BE40" s="19">
        <f t="shared" si="95"/>
        <v>0.15814244776345987</v>
      </c>
      <c r="BF40" s="19">
        <f t="shared" si="95"/>
        <v>-0.48653059087378747</v>
      </c>
      <c r="BG40" s="19">
        <f t="shared" si="95"/>
        <v>0.56834307992202571</v>
      </c>
      <c r="BH40" s="19">
        <f>BH39/BC39-1</f>
        <v>1.115777318585145</v>
      </c>
      <c r="BI40" s="19">
        <f t="shared" ref="BI40:BN40" si="96">BI39/BD39-1</f>
        <v>1.1171849729679768</v>
      </c>
      <c r="BJ40" s="19">
        <f>BJ39/BE39-1</f>
        <v>0.41944417133680867</v>
      </c>
      <c r="BK40" s="19">
        <f t="shared" si="96"/>
        <v>1.85690006798096</v>
      </c>
      <c r="BL40" s="19">
        <f t="shared" si="96"/>
        <v>0.27805011434821392</v>
      </c>
      <c r="BM40" s="19">
        <f t="shared" si="96"/>
        <v>-0.24485106138511437</v>
      </c>
      <c r="BN40" s="19">
        <f t="shared" si="96"/>
        <v>-0.25939587061853453</v>
      </c>
      <c r="BO40" s="19">
        <f>BO39/BJ39-1</f>
        <v>0.18604758551423939</v>
      </c>
      <c r="BP40" s="19">
        <f>BP39/BK39-1</f>
        <v>0.25014872099940444</v>
      </c>
      <c r="BQ40" s="19">
        <f>BQ39/BL39-1</f>
        <v>-0.66312284346104344</v>
      </c>
      <c r="BR40" s="19">
        <f t="shared" ref="BR40:CH40" si="97">BR39/BM39-1</f>
        <v>-6.5236410666058564E-2</v>
      </c>
      <c r="BS40" s="19">
        <f t="shared" si="97"/>
        <v>0.22461910234874582</v>
      </c>
      <c r="BT40" s="19">
        <f>BT39/BO39-1</f>
        <v>-6.7598477695908765E-2</v>
      </c>
      <c r="BU40" s="19">
        <f t="shared" si="97"/>
        <v>0.24696645253390459</v>
      </c>
      <c r="BV40" s="19">
        <f t="shared" si="97"/>
        <v>2.4116628175519663</v>
      </c>
      <c r="BW40" s="19">
        <f t="shared" si="97"/>
        <v>0.29059168226581011</v>
      </c>
      <c r="BX40" s="19">
        <f t="shared" si="97"/>
        <v>2.0021658043556378E-2</v>
      </c>
      <c r="BY40" s="19">
        <f>BY39/BT39-1</f>
        <v>0.35578428711610499</v>
      </c>
      <c r="BZ40" s="19">
        <f t="shared" si="97"/>
        <v>0.2188895248998286</v>
      </c>
      <c r="CA40" s="19">
        <f t="shared" si="97"/>
        <v>-6.3394821458791495E-2</v>
      </c>
      <c r="CB40" s="19">
        <f t="shared" si="97"/>
        <v>-0.29544379631089379</v>
      </c>
      <c r="CC40" s="19">
        <f t="shared" si="97"/>
        <v>-0.20812985113360105</v>
      </c>
      <c r="CD40" s="19">
        <f>CD39/BY39-1</f>
        <v>-0.13759278080631043</v>
      </c>
      <c r="CE40" s="19">
        <f t="shared" si="97"/>
        <v>-0.24861463323001731</v>
      </c>
      <c r="CF40" s="19">
        <f t="shared" si="97"/>
        <v>-0.26727377854871315</v>
      </c>
      <c r="CG40" s="19">
        <f t="shared" si="97"/>
        <v>-5.1062877601254164E-2</v>
      </c>
      <c r="CH40" s="19">
        <f t="shared" si="97"/>
        <v>0.25216743631759098</v>
      </c>
      <c r="CI40" s="19">
        <f>CI39/CD39-1</f>
        <v>1.8436512329697896E-2</v>
      </c>
      <c r="CJ40" s="19">
        <f ca="1">CJ39/CI39-1</f>
        <v>0.22880519864124893</v>
      </c>
      <c r="CK40" s="19">
        <f ca="1">CK39/CJ39-1</f>
        <v>0.16844526782466551</v>
      </c>
      <c r="CL40" s="19">
        <f t="shared" ref="CL40:CN40" ca="1" si="98">CL39/CK39-1</f>
        <v>0.19963775090721714</v>
      </c>
      <c r="CM40" s="19">
        <f t="shared" ca="1" si="98"/>
        <v>0.15125427846620654</v>
      </c>
      <c r="CN40" s="19">
        <f t="shared" ca="1" si="98"/>
        <v>0.10603577184491253</v>
      </c>
      <c r="CO40" s="20"/>
      <c r="CP40" s="20"/>
      <c r="CQ40" s="69"/>
      <c r="CR40" s="69"/>
      <c r="CS40" s="65"/>
      <c r="CT40" s="19">
        <f t="shared" si="26"/>
        <v>-3.4934986391729428E-2</v>
      </c>
      <c r="CU40" s="19">
        <f t="shared" si="27"/>
        <v>-2.3532459630461799E-2</v>
      </c>
      <c r="CV40" s="19">
        <f t="shared" si="28"/>
        <v>0.71605347152396104</v>
      </c>
      <c r="CW40" s="19">
        <f t="shared" si="29"/>
        <v>0.75013535792349395</v>
      </c>
      <c r="CX40" s="19">
        <f t="shared" si="30"/>
        <v>3.4921452485190629E-2</v>
      </c>
      <c r="CY40" s="19">
        <f t="shared" si="31"/>
        <v>-0.12584813948472962</v>
      </c>
      <c r="CZ40" s="19">
        <f t="shared" si="32"/>
        <v>0.15814244776345987</v>
      </c>
      <c r="DA40" s="19">
        <f t="shared" si="33"/>
        <v>0.41944417133680867</v>
      </c>
      <c r="DB40" s="19">
        <f t="shared" si="34"/>
        <v>0.18604758551423939</v>
      </c>
      <c r="DC40" s="19">
        <f t="shared" si="35"/>
        <v>-6.7598477695908765E-2</v>
      </c>
      <c r="DD40" s="19">
        <f t="shared" si="36"/>
        <v>0.35578428711610499</v>
      </c>
      <c r="DE40" s="19">
        <f t="shared" si="37"/>
        <v>-0.13759278080631043</v>
      </c>
      <c r="DF40" s="19">
        <f t="shared" si="38"/>
        <v>1.8436512329697896E-2</v>
      </c>
      <c r="DG40" s="19">
        <f t="shared" ca="1" si="38"/>
        <v>0.22880519864124893</v>
      </c>
      <c r="DH40" s="19">
        <f t="shared" ca="1" si="38"/>
        <v>0.16844526782466551</v>
      </c>
      <c r="DI40" s="19">
        <v>0.21924299016211357</v>
      </c>
      <c r="DK40" s="19">
        <v>0.11239801528028104</v>
      </c>
      <c r="DL40" s="19">
        <v>0.155804512405604</v>
      </c>
      <c r="DM40" s="6"/>
      <c r="DN40" s="19">
        <v>0.20488623572838804</v>
      </c>
      <c r="DO40" s="19">
        <v>0.13831857571941164</v>
      </c>
      <c r="DQ40" s="19">
        <v>-8.4196103993220417E-2</v>
      </c>
      <c r="DR40" s="19">
        <v>-5.8096698429050297E-2</v>
      </c>
      <c r="DS40" s="19">
        <v>0.23893412280482362</v>
      </c>
      <c r="DT40" s="19">
        <v>0.21924299016211357</v>
      </c>
      <c r="DV40" s="19">
        <v>0.10552597090197291</v>
      </c>
      <c r="DW40" s="19">
        <v>0.21371573529411769</v>
      </c>
      <c r="DX40" s="19">
        <v>0.13879280542072947</v>
      </c>
      <c r="EA40" s="19">
        <v>0.185342874909318</v>
      </c>
      <c r="EB40" s="19">
        <v>0.18458759569134853</v>
      </c>
      <c r="EC40" s="19">
        <v>-4.4674428154901191E-2</v>
      </c>
      <c r="ED40" s="19">
        <v>0.10552597090197291</v>
      </c>
      <c r="EE40" s="19">
        <v>0.2062127340936375</v>
      </c>
      <c r="EF40" s="19">
        <v>0.12099524748673707</v>
      </c>
      <c r="EJ40" s="19">
        <v>-7.304688029266293E-2</v>
      </c>
      <c r="EK40" s="19">
        <v>0.1405381709170046</v>
      </c>
      <c r="EL40" s="19">
        <v>9.7231208215133424E-2</v>
      </c>
      <c r="EM40" s="19">
        <v>0.21079553371635917</v>
      </c>
      <c r="EN40" s="19">
        <v>0.12519467438086473</v>
      </c>
      <c r="EP40" s="19">
        <v>-0.24812122705433215</v>
      </c>
      <c r="EQ40" s="19">
        <v>-6.717098823802603E-2</v>
      </c>
      <c r="ER40" s="19">
        <v>0.31081237773430526</v>
      </c>
      <c r="ES40" s="19">
        <v>0.18992241826757805</v>
      </c>
      <c r="EV40" s="19">
        <v>0.10527464738311676</v>
      </c>
      <c r="EW40" s="19">
        <v>0.2445441821405232</v>
      </c>
      <c r="EX40" s="19">
        <v>0.32454389212056878</v>
      </c>
      <c r="EY40" s="19">
        <v>0.30049408362693497</v>
      </c>
      <c r="EZ40" s="19">
        <v>0.37259218492019919</v>
      </c>
      <c r="FA40" s="19">
        <v>0.15417692116251414</v>
      </c>
      <c r="FD40" s="19">
        <v>0.21932462442847744</v>
      </c>
      <c r="FE40" s="19">
        <v>0.32454389212056878</v>
      </c>
      <c r="FF40" s="19">
        <v>0.29832729508741429</v>
      </c>
      <c r="FG40" s="19">
        <v>0.13726680963315885</v>
      </c>
      <c r="FH40" s="19">
        <v>0.26722958315255507</v>
      </c>
      <c r="FK40" s="19">
        <v>0.15909134040574724</v>
      </c>
      <c r="FL40" s="19">
        <v>0.21735215141790576</v>
      </c>
      <c r="FO40" s="19">
        <v>0.23334992823147038</v>
      </c>
      <c r="FP40" s="19">
        <v>0.19077294422654778</v>
      </c>
      <c r="FQ40" s="19">
        <v>0.11063994078909989</v>
      </c>
      <c r="FR40" s="19">
        <v>0.23556492004886986</v>
      </c>
      <c r="FU40" s="19">
        <v>-0.12326909526025709</v>
      </c>
      <c r="FV40" s="19">
        <v>2.3417968231075115E-2</v>
      </c>
      <c r="FW40" s="19">
        <v>-0.36279583554519812</v>
      </c>
      <c r="FX40" s="19">
        <v>0.62977218071077057</v>
      </c>
      <c r="FY40" s="19">
        <v>0.11814220484146709</v>
      </c>
      <c r="GA40" s="19">
        <v>-0.33203511945727981</v>
      </c>
      <c r="GB40" s="19">
        <v>0.60874670004027731</v>
      </c>
      <c r="GC40" s="19">
        <v>0.14690717601034731</v>
      </c>
      <c r="GF40" s="19">
        <v>1.5329434697854083E-2</v>
      </c>
      <c r="GG40" s="19"/>
      <c r="GH40" s="19"/>
      <c r="GI40" s="19">
        <v>-0.17711487562678119</v>
      </c>
      <c r="GJ40" s="19">
        <v>0.53827262296695011</v>
      </c>
      <c r="GK40" s="19">
        <v>0.13955544899060901</v>
      </c>
      <c r="GN40" s="19">
        <v>0.6455666099428703</v>
      </c>
      <c r="GO40" s="19">
        <v>-0.13836457187745621</v>
      </c>
      <c r="GP40" s="19">
        <v>0.17524998033625128</v>
      </c>
      <c r="GQ40" s="19">
        <v>0.16010861283511013</v>
      </c>
      <c r="GR40" s="19">
        <v>0.13785996208698892</v>
      </c>
      <c r="GV40" s="19">
        <v>0.33406406358301299</v>
      </c>
      <c r="GW40" s="19">
        <v>0.46956183266149032</v>
      </c>
      <c r="GX40" s="19">
        <v>-0.1476734020996382</v>
      </c>
      <c r="GY40" s="19">
        <v>0.36624342590466052</v>
      </c>
      <c r="HC40" s="19">
        <v>-0.25724261098258328</v>
      </c>
      <c r="HD40" s="19">
        <v>0.18718305819470582</v>
      </c>
      <c r="HE40" s="19">
        <v>2.0179129844925203E-2</v>
      </c>
      <c r="HF40" s="19">
        <v>0.12181695010775506</v>
      </c>
      <c r="HI40" s="19">
        <v>8.8708268887566666E-2</v>
      </c>
      <c r="HJ40" s="19">
        <v>-1.4290391220965759E-2</v>
      </c>
      <c r="HK40" s="19">
        <v>8.1596827570466157E-2</v>
      </c>
      <c r="HL40" s="19">
        <v>-0.83885784634426641</v>
      </c>
      <c r="HM40" s="19">
        <v>-0.2452460808456377</v>
      </c>
      <c r="HN40" s="19">
        <v>0.13357411704260724</v>
      </c>
      <c r="HO40" s="19">
        <v>8.478342109979442E-2</v>
      </c>
      <c r="HR40" s="19">
        <v>-0.57488831705353072</v>
      </c>
      <c r="HS40" s="19">
        <v>-0.2646478527140631</v>
      </c>
      <c r="HT40" s="19">
        <v>-0.22589303038340225</v>
      </c>
      <c r="HU40" s="19">
        <v>-0.2452460808456377</v>
      </c>
      <c r="HV40" s="19">
        <v>0.32832607622506615</v>
      </c>
      <c r="HW40" s="19">
        <v>0.10387506908650135</v>
      </c>
      <c r="HZ40" s="19">
        <v>-0.2646478527140631</v>
      </c>
      <c r="IA40" s="19">
        <v>-0.17940188828001025</v>
      </c>
      <c r="IB40" s="19">
        <v>0.26603092799316252</v>
      </c>
      <c r="IC40" s="19">
        <v>0.16033376858405823</v>
      </c>
      <c r="IE40" s="19">
        <v>-0.13027536616273105</v>
      </c>
      <c r="IF40" s="19">
        <v>-0.18471694293306318</v>
      </c>
      <c r="IG40" s="19">
        <v>0.34902571622339584</v>
      </c>
      <c r="IH40" s="19">
        <v>0.17921049143442302</v>
      </c>
      <c r="IK40" s="19">
        <v>0.17517261032942311</v>
      </c>
      <c r="IL40" s="19">
        <v>0.17986311384727394</v>
      </c>
      <c r="IO40" s="19">
        <v>0.34758534146188702</v>
      </c>
      <c r="IP40" s="19">
        <v>0.28504025533535771</v>
      </c>
      <c r="IS40" s="13">
        <v>336.78523787999995</v>
      </c>
      <c r="IT40" s="13">
        <v>446.84524281279994</v>
      </c>
      <c r="IU40" s="13">
        <v>520.07539358860799</v>
      </c>
      <c r="IX40" s="19">
        <v>4.5795283359403527E-2</v>
      </c>
      <c r="IY40" s="19">
        <v>0.36671423053635932</v>
      </c>
      <c r="IZ40" s="19">
        <v>0.37960094367817954</v>
      </c>
      <c r="JA40" s="19">
        <v>0.16295022320520069</v>
      </c>
      <c r="JD40" s="19">
        <v>0.43190604499676444</v>
      </c>
      <c r="JE40" s="19">
        <v>0.20590772137537194</v>
      </c>
      <c r="JH40" s="19">
        <v>0.27822916012196108</v>
      </c>
      <c r="JI40" s="19">
        <v>0.22973093937230171</v>
      </c>
      <c r="JJ40" s="19">
        <v>0.15720717630785641</v>
      </c>
      <c r="JM40" s="19">
        <v>0.27925221592844496</v>
      </c>
      <c r="JN40" s="19">
        <v>0.15752967336288681</v>
      </c>
      <c r="JQ40" s="19">
        <v>-0.1173615791216247</v>
      </c>
      <c r="JR40" s="19">
        <v>0.24466271161822783</v>
      </c>
      <c r="JS40" s="19">
        <v>0.17012874821930324</v>
      </c>
      <c r="JV40" s="19">
        <v>0.24845328107423059</v>
      </c>
      <c r="JW40" s="19">
        <v>0.17140178754851121</v>
      </c>
      <c r="JY40" s="19">
        <v>0.29018292412906699</v>
      </c>
      <c r="JZ40" s="19">
        <v>0.17138585178117705</v>
      </c>
      <c r="KB40" s="19">
        <v>8.9550738353318948E-3</v>
      </c>
      <c r="KC40" s="19">
        <v>0.29714098923889498</v>
      </c>
      <c r="KD40" s="19">
        <v>0.14082745449631418</v>
      </c>
    </row>
    <row r="41" spans="1:290" x14ac:dyDescent="0.25">
      <c r="A41" s="7" t="s">
        <v>259</v>
      </c>
      <c r="B41" s="11" t="s">
        <v>158</v>
      </c>
      <c r="C41" s="12"/>
      <c r="D41" s="12"/>
      <c r="E41" s="12"/>
      <c r="F41" s="12"/>
      <c r="G41" s="12"/>
      <c r="H41" s="13"/>
      <c r="I41" s="12">
        <v>13.15</v>
      </c>
      <c r="J41" s="12">
        <v>19.350000000000001</v>
      </c>
      <c r="K41" s="12">
        <v>15</v>
      </c>
      <c r="L41" s="12">
        <v>23.04</v>
      </c>
      <c r="M41" s="13">
        <f>I41+J41+K41+L41</f>
        <v>70.539999999999992</v>
      </c>
      <c r="N41" s="12">
        <v>9.9</v>
      </c>
      <c r="O41" s="12">
        <v>19.45</v>
      </c>
      <c r="P41" s="12">
        <v>23.5</v>
      </c>
      <c r="Q41" s="12">
        <v>45.319800000000001</v>
      </c>
      <c r="R41" s="13">
        <f>N41+O41+P41+Q41</f>
        <v>98.169800000000009</v>
      </c>
      <c r="S41" s="12">
        <v>17.75</v>
      </c>
      <c r="T41" s="12">
        <v>28.259899999999998</v>
      </c>
      <c r="U41" s="12">
        <v>33</v>
      </c>
      <c r="V41" s="12">
        <v>43.7</v>
      </c>
      <c r="W41" s="13">
        <f>S41+T41+U41+V41</f>
        <v>122.7099</v>
      </c>
      <c r="X41" s="12">
        <v>17.57</v>
      </c>
      <c r="Y41" s="12">
        <v>26.05</v>
      </c>
      <c r="Z41" s="12">
        <v>28.542999999999999</v>
      </c>
      <c r="AA41" s="12">
        <v>30.919400000000003</v>
      </c>
      <c r="AB41" s="13">
        <f>X41+Y41+Z41+AA41</f>
        <v>103.08240000000001</v>
      </c>
      <c r="AC41" s="12">
        <v>11.25</v>
      </c>
      <c r="AD41" s="12">
        <v>26.7</v>
      </c>
      <c r="AE41" s="12">
        <v>50.55</v>
      </c>
      <c r="AF41" s="12">
        <v>71.539999999999992</v>
      </c>
      <c r="AG41" s="13">
        <f>AC41+AD41+AE41+AF41</f>
        <v>160.04</v>
      </c>
      <c r="AH41" s="12">
        <v>16.899999999999999</v>
      </c>
      <c r="AI41" s="12">
        <v>38.25</v>
      </c>
      <c r="AJ41" s="12">
        <v>62.602899999999998</v>
      </c>
      <c r="AK41" s="13">
        <f>AH41+AI41+AJ41</f>
        <v>117.7529</v>
      </c>
      <c r="AL41" s="12">
        <v>53.4</v>
      </c>
      <c r="AM41" s="12">
        <v>31.25</v>
      </c>
      <c r="AN41" s="12">
        <v>47.85</v>
      </c>
      <c r="AO41" s="12">
        <v>73.28</v>
      </c>
      <c r="AP41" s="13">
        <v>205.78</v>
      </c>
      <c r="AQ41" s="12">
        <v>40.32</v>
      </c>
      <c r="AR41" s="12">
        <v>30.5</v>
      </c>
      <c r="AS41" s="12">
        <v>52.51</v>
      </c>
      <c r="AT41" s="12">
        <v>85.22</v>
      </c>
      <c r="AU41" s="13">
        <v>208.56</v>
      </c>
      <c r="AV41" s="12">
        <v>49.37</v>
      </c>
      <c r="AW41" s="12">
        <f>57.71-18.6</f>
        <v>39.11</v>
      </c>
      <c r="AX41" s="12">
        <v>47.59</v>
      </c>
      <c r="AY41" s="12">
        <v>48.86</v>
      </c>
      <c r="AZ41" s="13">
        <f>215.75-18.6</f>
        <v>197.15</v>
      </c>
      <c r="BA41" s="12">
        <v>39.950000000000003</v>
      </c>
      <c r="BB41" s="12">
        <f>-14.04+33.63</f>
        <v>19.590000000000003</v>
      </c>
      <c r="BC41" s="12">
        <v>41.91</v>
      </c>
      <c r="BD41" s="12">
        <f>106.1-42.45</f>
        <v>63.649999999999991</v>
      </c>
      <c r="BE41" s="13">
        <f>173.92-42.45</f>
        <v>131.46999999999997</v>
      </c>
      <c r="BF41" s="12">
        <v>14.64</v>
      </c>
      <c r="BG41" s="12">
        <v>52.7</v>
      </c>
      <c r="BH41" s="12">
        <v>88.62</v>
      </c>
      <c r="BI41" s="12">
        <v>78.099999999999994</v>
      </c>
      <c r="BJ41" s="13">
        <v>234.08</v>
      </c>
      <c r="BK41" s="12">
        <v>42.96</v>
      </c>
      <c r="BL41" s="12">
        <v>67.47</v>
      </c>
      <c r="BM41" s="12">
        <v>67.819999999999993</v>
      </c>
      <c r="BN41" s="12">
        <v>85.08</v>
      </c>
      <c r="BO41" s="13">
        <v>263.33</v>
      </c>
      <c r="BP41" s="12">
        <v>54.3</v>
      </c>
      <c r="BQ41" s="12">
        <v>23.14</v>
      </c>
      <c r="BR41" s="12">
        <v>63.29</v>
      </c>
      <c r="BS41" s="12">
        <v>105.23</v>
      </c>
      <c r="BT41" s="13">
        <v>245.96</v>
      </c>
      <c r="BU41" s="12">
        <v>67.83</v>
      </c>
      <c r="BV41" s="12">
        <v>76.290000000000006</v>
      </c>
      <c r="BW41" s="12">
        <v>81.8</v>
      </c>
      <c r="BX41" s="12">
        <v>109.74</v>
      </c>
      <c r="BY41" s="13">
        <v>335.6</v>
      </c>
      <c r="BZ41" s="12">
        <v>83.57</v>
      </c>
      <c r="CA41" s="12">
        <v>62.93</v>
      </c>
      <c r="CB41" s="12">
        <v>58.44</v>
      </c>
      <c r="CC41" s="12">
        <v>73.209999999999994</v>
      </c>
      <c r="CD41" s="13">
        <v>278.10000000000002</v>
      </c>
      <c r="CE41" s="12">
        <v>62.88</v>
      </c>
      <c r="CF41" s="12">
        <v>52.89</v>
      </c>
      <c r="CG41" s="12">
        <v>52.7</v>
      </c>
      <c r="CH41" s="12">
        <v>119.46</v>
      </c>
      <c r="CI41" s="13">
        <v>287.93</v>
      </c>
      <c r="CJ41" s="13">
        <f ca="1">CJ39*CJ58</f>
        <v>364.4446983169351</v>
      </c>
      <c r="CK41" s="13">
        <f ca="1">CK39*CK58</f>
        <v>425.83368313221064</v>
      </c>
      <c r="CL41" s="13">
        <f ca="1">CL39*CL58</f>
        <v>510.84616189326181</v>
      </c>
      <c r="CM41" s="13">
        <f ca="1">CM39*CM58</f>
        <v>588.11382951765802</v>
      </c>
      <c r="CN41" s="13">
        <f ca="1">CN39*CN58</f>
        <v>650.47493336323009</v>
      </c>
      <c r="CO41" s="15"/>
      <c r="CP41" s="15"/>
      <c r="CQ41" s="6"/>
      <c r="CR41" s="11"/>
      <c r="CS41" s="11" t="s">
        <v>159</v>
      </c>
      <c r="CT41" s="13">
        <f t="shared" si="26"/>
        <v>103.08240000000001</v>
      </c>
      <c r="CU41" s="13">
        <f t="shared" si="27"/>
        <v>160.04</v>
      </c>
      <c r="CV41" s="13">
        <f t="shared" si="28"/>
        <v>117.7529</v>
      </c>
      <c r="CW41" s="13">
        <f t="shared" si="29"/>
        <v>205.78</v>
      </c>
      <c r="CX41" s="13">
        <f t="shared" si="30"/>
        <v>208.56</v>
      </c>
      <c r="CY41" s="13">
        <f t="shared" si="31"/>
        <v>197.15</v>
      </c>
      <c r="CZ41" s="13">
        <f t="shared" si="32"/>
        <v>131.46999999999997</v>
      </c>
      <c r="DA41" s="13">
        <f t="shared" si="33"/>
        <v>234.08</v>
      </c>
      <c r="DB41" s="13">
        <f t="shared" si="34"/>
        <v>263.33</v>
      </c>
      <c r="DC41" s="13">
        <f t="shared" si="35"/>
        <v>245.96</v>
      </c>
      <c r="DD41" s="13">
        <f t="shared" si="36"/>
        <v>335.6</v>
      </c>
      <c r="DE41" s="13">
        <f t="shared" si="37"/>
        <v>278.10000000000002</v>
      </c>
      <c r="DF41" s="13">
        <f t="shared" si="38"/>
        <v>287.93</v>
      </c>
      <c r="DG41" s="13">
        <f t="shared" ca="1" si="38"/>
        <v>364.4446983169351</v>
      </c>
      <c r="DH41" s="13">
        <f t="shared" ca="1" si="38"/>
        <v>425.83368313221064</v>
      </c>
      <c r="DI41" s="13">
        <v>286.73423516199688</v>
      </c>
      <c r="DK41" s="13">
        <v>220.29151616000004</v>
      </c>
      <c r="DL41" s="13">
        <v>254.61392842240008</v>
      </c>
      <c r="DM41" s="6"/>
      <c r="DN41" s="13">
        <v>231.58937604000005</v>
      </c>
      <c r="DO41" s="13">
        <v>263.62248868560005</v>
      </c>
      <c r="DQ41" s="12">
        <v>63.560581810999999</v>
      </c>
      <c r="DR41" s="13">
        <v>189.81960598799998</v>
      </c>
      <c r="DS41" s="13">
        <v>235.17398703590001</v>
      </c>
      <c r="DT41" s="13">
        <v>286.73423516199688</v>
      </c>
      <c r="DV41" s="13">
        <v>221.91120000000001</v>
      </c>
      <c r="DW41" s="13">
        <v>266.91065478000002</v>
      </c>
      <c r="DX41" s="13">
        <v>303.95593335360002</v>
      </c>
      <c r="EA41" s="12">
        <v>39.916433166000004</v>
      </c>
      <c r="EB41" s="12">
        <v>61.02508427499999</v>
      </c>
      <c r="EC41" s="12">
        <v>81.18833416999999</v>
      </c>
      <c r="ED41" s="13">
        <v>221.91120000000001</v>
      </c>
      <c r="EE41" s="13">
        <v>265.26065477999998</v>
      </c>
      <c r="EF41" s="13">
        <v>297.35593335359999</v>
      </c>
      <c r="EJ41" s="12">
        <v>47.752814950000008</v>
      </c>
      <c r="EK41" s="12">
        <v>88.64318505</v>
      </c>
      <c r="EL41" s="13">
        <v>224.876</v>
      </c>
      <c r="EM41" s="13">
        <v>272.27885644000003</v>
      </c>
      <c r="EN41" s="13">
        <v>297.35593335359999</v>
      </c>
      <c r="EP41" s="12">
        <v>55.112000000000037</v>
      </c>
      <c r="EQ41" s="13">
        <v>191.18200000000004</v>
      </c>
      <c r="ER41" s="13">
        <v>250.60373199999998</v>
      </c>
      <c r="ES41" s="13">
        <v>289.42844001984002</v>
      </c>
      <c r="EV41" s="12">
        <v>52.487061400000002</v>
      </c>
      <c r="EW41" s="12">
        <v>45.348452000000016</v>
      </c>
      <c r="EX41" s="12">
        <v>59.612157499999988</v>
      </c>
      <c r="EY41" s="12">
        <v>66.515330500000005</v>
      </c>
      <c r="EZ41" s="13">
        <v>245.90840000000003</v>
      </c>
      <c r="FA41" s="13">
        <v>275.47410000000002</v>
      </c>
      <c r="FD41" s="12">
        <v>33.975505200000022</v>
      </c>
      <c r="FE41" s="12">
        <v>59.612157499999988</v>
      </c>
      <c r="FF41" s="12">
        <v>66.404507499999966</v>
      </c>
      <c r="FG41" s="13">
        <v>155.80760000000001</v>
      </c>
      <c r="FH41" s="13">
        <v>197.44400000000002</v>
      </c>
      <c r="FK41" s="13">
        <v>158.79760000000002</v>
      </c>
      <c r="FL41" s="13">
        <v>193.31260000000003</v>
      </c>
      <c r="FO41" s="12">
        <v>55.507900199999995</v>
      </c>
      <c r="FP41" s="12">
        <v>37.111770840000005</v>
      </c>
      <c r="FQ41" s="13">
        <v>152.15967104000001</v>
      </c>
      <c r="FR41" s="13">
        <v>188.00315178319997</v>
      </c>
      <c r="FU41" s="12">
        <v>33.367407499999999</v>
      </c>
      <c r="FV41" s="13">
        <v>134.8174075</v>
      </c>
      <c r="FW41" s="13">
        <v>89.342462040000044</v>
      </c>
      <c r="FX41" s="13">
        <v>145.6078591890001</v>
      </c>
      <c r="FY41" s="13">
        <v>162.81029271583444</v>
      </c>
      <c r="GA41" s="13">
        <v>101.908062</v>
      </c>
      <c r="GB41" s="13">
        <v>163.94425844999998</v>
      </c>
      <c r="GC41" s="13">
        <v>195.55000034128003</v>
      </c>
      <c r="GF41" s="12">
        <v>32.554000000000002</v>
      </c>
      <c r="GG41" s="12"/>
      <c r="GH41" s="12"/>
      <c r="GI41" s="13">
        <v>125.54346900000002</v>
      </c>
      <c r="GJ41" s="13">
        <v>193.12008135500002</v>
      </c>
      <c r="GK41" s="13">
        <v>228.87388265830401</v>
      </c>
      <c r="GN41" s="12">
        <v>67.690382499999998</v>
      </c>
      <c r="GO41" s="12"/>
      <c r="GP41" s="13">
        <v>179.30201325000002</v>
      </c>
      <c r="GQ41" s="13">
        <v>208.00980987000005</v>
      </c>
      <c r="GR41" s="13">
        <v>246.15347574729606</v>
      </c>
      <c r="GV41" s="12">
        <v>68.243701000000044</v>
      </c>
      <c r="GW41" s="13">
        <v>224.20370100000005</v>
      </c>
      <c r="GX41" s="13">
        <v>191.09477770999999</v>
      </c>
      <c r="GY41" s="13">
        <v>271.52526312183994</v>
      </c>
      <c r="HC41" s="13">
        <v>78.843395125000029</v>
      </c>
      <c r="HD41" s="13">
        <v>257.09339512500003</v>
      </c>
      <c r="HE41" s="13">
        <v>272.7725687726001</v>
      </c>
      <c r="HF41" s="13">
        <v>306.0008911735361</v>
      </c>
      <c r="HI41" s="12">
        <v>45.752964999999989</v>
      </c>
      <c r="HJ41" s="12">
        <v>63.348352999999989</v>
      </c>
      <c r="HK41" s="12">
        <v>71.085247499999994</v>
      </c>
      <c r="HL41" s="12">
        <v>21.424358040000044</v>
      </c>
      <c r="HM41" s="13">
        <v>201.61092354000002</v>
      </c>
      <c r="HN41" s="13">
        <v>228.54092463800009</v>
      </c>
      <c r="HO41" s="13">
        <v>247.91740609012004</v>
      </c>
      <c r="HR41" s="12">
        <v>27.32054625</v>
      </c>
      <c r="HS41" s="12">
        <v>48.329181500000004</v>
      </c>
      <c r="HT41" s="12">
        <v>71.661195790000022</v>
      </c>
      <c r="HU41" s="13">
        <v>201.61092354000002</v>
      </c>
      <c r="HV41" s="13">
        <v>267.80504699000005</v>
      </c>
      <c r="HW41" s="13">
        <v>295.62331474780007</v>
      </c>
      <c r="HZ41" s="12">
        <v>48.329181500000004</v>
      </c>
      <c r="IA41" s="13">
        <v>219.19931644000002</v>
      </c>
      <c r="IB41" s="13">
        <v>277.51311400800006</v>
      </c>
      <c r="IC41" s="13">
        <v>322.00783740840012</v>
      </c>
      <c r="IE41" s="12">
        <v>77.049551600000001</v>
      </c>
      <c r="IF41" s="13">
        <v>217.77955159999999</v>
      </c>
      <c r="IG41" s="13">
        <v>293.79021557599998</v>
      </c>
      <c r="IH41" s="13">
        <v>346.44050448800004</v>
      </c>
      <c r="IK41" s="13">
        <v>292.72421557599995</v>
      </c>
      <c r="IL41" s="13">
        <v>345.37450448800001</v>
      </c>
      <c r="IO41" s="13">
        <v>335.63553452000002</v>
      </c>
      <c r="IP41" s="13">
        <v>431.30517297920005</v>
      </c>
      <c r="IS41" s="13"/>
      <c r="IT41" s="13"/>
      <c r="IU41" s="13"/>
      <c r="IX41" s="26">
        <v>114.4798598</v>
      </c>
      <c r="IY41" s="13">
        <v>340.3998598</v>
      </c>
      <c r="IZ41" s="13">
        <v>469.61596780799999</v>
      </c>
      <c r="JA41" s="13">
        <v>546.13999458303988</v>
      </c>
      <c r="JD41" s="13">
        <v>483.52259670000001</v>
      </c>
      <c r="JE41" s="13">
        <v>583.08363281999993</v>
      </c>
      <c r="JH41" s="13">
        <v>431.62935504000001</v>
      </c>
      <c r="JI41" s="13">
        <v>530.78797223399999</v>
      </c>
      <c r="JJ41" s="13">
        <v>614.23165056708001</v>
      </c>
      <c r="JM41" s="13">
        <v>500.74309473239992</v>
      </c>
      <c r="JN41" s="13">
        <v>579.62499088431593</v>
      </c>
      <c r="JQ41" s="13">
        <v>298.04722363000002</v>
      </c>
      <c r="JR41" s="13">
        <v>370.96826555360013</v>
      </c>
      <c r="JS41" s="13">
        <v>434.08063220132021</v>
      </c>
      <c r="JV41" s="13">
        <v>363.56907131999998</v>
      </c>
      <c r="JW41" s="13">
        <v>425.88546004160008</v>
      </c>
      <c r="JY41" s="13">
        <v>375.72139435999998</v>
      </c>
      <c r="JZ41" s="13">
        <v>440.1147255648001</v>
      </c>
      <c r="KB41" s="13">
        <v>293.82345719999989</v>
      </c>
      <c r="KC41" s="13">
        <v>381.13044993400001</v>
      </c>
      <c r="KD41" s="13">
        <v>434.80408102924014</v>
      </c>
    </row>
    <row r="42" spans="1:290" x14ac:dyDescent="0.25">
      <c r="A42" s="7" t="s">
        <v>259</v>
      </c>
      <c r="B42" s="11" t="s">
        <v>160</v>
      </c>
      <c r="C42" s="12"/>
      <c r="D42" s="12"/>
      <c r="E42" s="12"/>
      <c r="F42" s="12"/>
      <c r="G42" s="12"/>
      <c r="H42" s="13">
        <v>0</v>
      </c>
      <c r="I42" s="12"/>
      <c r="J42" s="12"/>
      <c r="K42" s="12"/>
      <c r="L42" s="12"/>
      <c r="M42" s="13">
        <f>I42+J42+K42+L42</f>
        <v>0</v>
      </c>
      <c r="N42" s="12"/>
      <c r="O42" s="12"/>
      <c r="P42" s="12"/>
      <c r="Q42" s="12"/>
      <c r="R42" s="13">
        <f>N42+O42+P42+Q42</f>
        <v>0</v>
      </c>
      <c r="S42" s="12"/>
      <c r="T42" s="12"/>
      <c r="U42" s="12"/>
      <c r="V42" s="12"/>
      <c r="W42" s="13">
        <f>S42+T42+U42+V42</f>
        <v>0</v>
      </c>
      <c r="X42" s="23"/>
      <c r="Y42" s="23"/>
      <c r="Z42" s="23"/>
      <c r="AA42" s="23"/>
      <c r="AB42" s="13">
        <f>X42+Y42+Z42+AA42</f>
        <v>0</v>
      </c>
      <c r="AC42" s="23"/>
      <c r="AD42" s="23"/>
      <c r="AE42" s="23"/>
      <c r="AF42" s="23"/>
      <c r="AG42" s="13">
        <f>AC42+AD42+AE42+AF42</f>
        <v>0</v>
      </c>
      <c r="AH42" s="23"/>
      <c r="AI42" s="23"/>
      <c r="AJ42" s="23"/>
      <c r="AK42" s="13">
        <f>AH42+AI42+AJ42</f>
        <v>0</v>
      </c>
      <c r="AL42" s="23"/>
      <c r="AM42" s="23"/>
      <c r="AN42" s="23"/>
      <c r="AO42" s="23"/>
      <c r="AP42" s="13"/>
      <c r="AQ42" s="23"/>
      <c r="AR42" s="23"/>
      <c r="AS42" s="23"/>
      <c r="AT42" s="23"/>
      <c r="AU42" s="13"/>
      <c r="AV42" s="23"/>
      <c r="AW42" s="23"/>
      <c r="AX42" s="23"/>
      <c r="AY42" s="23"/>
      <c r="AZ42" s="13"/>
      <c r="BA42" s="23"/>
      <c r="BB42" s="23"/>
      <c r="BC42" s="23"/>
      <c r="BD42" s="23"/>
      <c r="BE42" s="42"/>
      <c r="BF42" s="23"/>
      <c r="BG42" s="23"/>
      <c r="BH42" s="23"/>
      <c r="BI42" s="23"/>
      <c r="BJ42" s="42"/>
      <c r="BK42" s="23"/>
      <c r="BL42" s="23"/>
      <c r="BM42" s="23"/>
      <c r="BN42" s="23"/>
      <c r="BO42" s="42"/>
      <c r="BP42" s="23"/>
      <c r="BQ42" s="23"/>
      <c r="BR42" s="23"/>
      <c r="BS42" s="23"/>
      <c r="BT42" s="42"/>
      <c r="BU42" s="23"/>
      <c r="BV42" s="23"/>
      <c r="BW42" s="23"/>
      <c r="BX42" s="23"/>
      <c r="BY42" s="42"/>
      <c r="BZ42" s="23"/>
      <c r="CA42" s="23"/>
      <c r="CB42" s="23"/>
      <c r="CC42" s="23"/>
      <c r="CD42" s="42"/>
      <c r="CE42" s="23"/>
      <c r="CF42" s="23"/>
      <c r="CG42" s="23"/>
      <c r="CH42" s="23"/>
      <c r="CI42" s="42"/>
      <c r="CJ42" s="42"/>
      <c r="CK42" s="42"/>
      <c r="CL42" s="42"/>
      <c r="CM42" s="42"/>
      <c r="CN42" s="42"/>
      <c r="CO42" s="74"/>
      <c r="CP42" s="74"/>
      <c r="CQ42" s="6"/>
      <c r="CR42" s="11" t="s">
        <v>161</v>
      </c>
      <c r="CS42" s="75">
        <f>BY44/12.7*35</f>
        <v>2654.37795275591</v>
      </c>
      <c r="CT42" s="13">
        <f t="shared" si="26"/>
        <v>0</v>
      </c>
      <c r="CU42" s="13">
        <f t="shared" si="27"/>
        <v>0</v>
      </c>
      <c r="CV42" s="13">
        <f t="shared" si="28"/>
        <v>0</v>
      </c>
      <c r="CW42" s="13">
        <f t="shared" si="29"/>
        <v>0</v>
      </c>
      <c r="CX42" s="13">
        <f t="shared" si="30"/>
        <v>0</v>
      </c>
      <c r="CY42" s="13">
        <f t="shared" si="31"/>
        <v>0</v>
      </c>
      <c r="CZ42" s="13">
        <f t="shared" si="32"/>
        <v>0</v>
      </c>
      <c r="DA42" s="13">
        <f t="shared" si="33"/>
        <v>0</v>
      </c>
      <c r="DB42" s="13">
        <f t="shared" si="34"/>
        <v>0</v>
      </c>
      <c r="DC42" s="13">
        <f t="shared" si="35"/>
        <v>0</v>
      </c>
      <c r="DD42" s="13">
        <f t="shared" si="36"/>
        <v>0</v>
      </c>
      <c r="DE42" s="13">
        <f t="shared" si="37"/>
        <v>0</v>
      </c>
      <c r="DF42" s="13">
        <f t="shared" si="38"/>
        <v>0</v>
      </c>
      <c r="DG42" s="13">
        <f t="shared" si="38"/>
        <v>0</v>
      </c>
      <c r="DH42" s="13">
        <f t="shared" si="38"/>
        <v>0</v>
      </c>
      <c r="DI42" s="13"/>
      <c r="DK42" s="13"/>
      <c r="DL42" s="13"/>
      <c r="DM42" s="6"/>
      <c r="DN42" s="13"/>
      <c r="DO42" s="13"/>
      <c r="DQ42" s="23"/>
      <c r="DR42" s="13"/>
      <c r="DS42" s="13"/>
      <c r="DT42" s="13"/>
      <c r="DV42" s="13"/>
      <c r="DW42" s="13"/>
      <c r="DX42" s="13"/>
      <c r="EA42" s="23"/>
      <c r="EB42" s="23"/>
      <c r="EC42" s="23"/>
      <c r="ED42" s="13"/>
      <c r="EE42" s="13"/>
      <c r="EF42" s="13"/>
      <c r="EJ42" s="23"/>
      <c r="EK42" s="23"/>
      <c r="EL42" s="13"/>
      <c r="EM42" s="13"/>
      <c r="EN42" s="13"/>
      <c r="EP42" s="23"/>
      <c r="EQ42" s="13"/>
      <c r="ER42" s="13"/>
      <c r="ES42" s="13"/>
      <c r="EV42" s="23"/>
      <c r="EW42" s="23"/>
      <c r="EX42" s="23"/>
      <c r="EY42" s="23"/>
      <c r="EZ42" s="42"/>
      <c r="FA42" s="13"/>
      <c r="FD42" s="23"/>
      <c r="FE42" s="23"/>
      <c r="FF42" s="23"/>
      <c r="FG42" s="42"/>
      <c r="FH42" s="13"/>
      <c r="FK42" s="42"/>
      <c r="FL42" s="13"/>
      <c r="FO42" s="23"/>
      <c r="FP42" s="23"/>
      <c r="FQ42" s="42"/>
      <c r="FR42" s="13"/>
      <c r="FU42" s="23"/>
      <c r="FV42" s="42"/>
      <c r="FW42" s="13"/>
      <c r="FX42" s="13"/>
      <c r="FY42" s="13"/>
      <c r="GA42" s="13"/>
      <c r="GB42" s="13"/>
      <c r="GC42" s="13"/>
      <c r="GF42" s="23"/>
      <c r="GG42" s="23"/>
      <c r="GH42" s="23"/>
      <c r="GI42" s="13"/>
      <c r="GJ42" s="13"/>
      <c r="GK42" s="13"/>
      <c r="GN42" s="23"/>
      <c r="GO42" s="23"/>
      <c r="GP42" s="13"/>
      <c r="GQ42" s="13"/>
      <c r="GR42" s="13"/>
      <c r="GV42" s="23"/>
      <c r="GW42" s="13"/>
      <c r="GX42" s="13"/>
      <c r="GY42" s="13"/>
      <c r="HC42" s="13"/>
      <c r="HD42" s="13"/>
      <c r="HE42" s="13"/>
      <c r="HF42" s="13"/>
      <c r="HI42" s="23"/>
      <c r="HJ42" s="23"/>
      <c r="HK42" s="23"/>
      <c r="HL42" s="23"/>
      <c r="HM42" s="13"/>
      <c r="HN42" s="13"/>
      <c r="HO42" s="13"/>
      <c r="HR42" s="23"/>
      <c r="HS42" s="23"/>
      <c r="HT42" s="23"/>
      <c r="HU42" s="13"/>
      <c r="HV42" s="13"/>
      <c r="HW42" s="13"/>
      <c r="HZ42" s="23"/>
      <c r="IA42" s="13"/>
      <c r="IB42" s="13"/>
      <c r="IC42" s="13"/>
      <c r="IE42" s="23"/>
      <c r="IF42" s="13"/>
      <c r="IG42" s="13"/>
      <c r="IH42" s="13"/>
      <c r="IK42" s="13"/>
      <c r="IL42" s="13"/>
      <c r="IO42" s="13"/>
      <c r="IP42" s="13"/>
      <c r="IS42" s="13">
        <v>0</v>
      </c>
      <c r="IT42" s="13">
        <v>0</v>
      </c>
      <c r="IU42" s="13">
        <v>0</v>
      </c>
      <c r="IX42" s="13"/>
      <c r="IY42" s="13"/>
      <c r="IZ42" s="13"/>
      <c r="JA42" s="13"/>
      <c r="JD42" s="13"/>
      <c r="JE42" s="13"/>
      <c r="JH42" s="13"/>
      <c r="JI42" s="13"/>
      <c r="JJ42" s="13"/>
      <c r="JM42" s="13"/>
      <c r="JN42" s="13"/>
      <c r="JQ42" s="13"/>
      <c r="JR42" s="13"/>
      <c r="JS42" s="13"/>
      <c r="JV42" s="13"/>
      <c r="JW42" s="13"/>
      <c r="JY42" s="13"/>
      <c r="JZ42" s="13"/>
      <c r="KB42" s="13"/>
      <c r="KC42" s="13"/>
      <c r="KD42" s="13"/>
    </row>
    <row r="43" spans="1:290" x14ac:dyDescent="0.25">
      <c r="A43" s="7" t="s">
        <v>259</v>
      </c>
      <c r="B43" s="11" t="s">
        <v>162</v>
      </c>
      <c r="C43" s="12"/>
      <c r="D43" s="12"/>
      <c r="E43" s="12"/>
      <c r="F43" s="12"/>
      <c r="G43" s="12"/>
      <c r="H43" s="13">
        <v>0</v>
      </c>
      <c r="I43" s="12">
        <v>0</v>
      </c>
      <c r="J43" s="12">
        <v>0</v>
      </c>
      <c r="K43" s="12">
        <v>0</v>
      </c>
      <c r="L43" s="12">
        <v>9.6941999999999986</v>
      </c>
      <c r="M43" s="13">
        <f>I43+J43+K43+L43</f>
        <v>9.6941999999999986</v>
      </c>
      <c r="N43" s="12">
        <v>0</v>
      </c>
      <c r="O43" s="12">
        <v>0</v>
      </c>
      <c r="P43" s="12">
        <v>0</v>
      </c>
      <c r="Q43" s="12">
        <v>3.7201999999999997</v>
      </c>
      <c r="R43" s="13">
        <f>N43+O43+P43+Q43</f>
        <v>3.7201999999999997</v>
      </c>
      <c r="S43" s="12">
        <v>0</v>
      </c>
      <c r="T43" s="12">
        <v>0</v>
      </c>
      <c r="U43" s="12">
        <v>0</v>
      </c>
      <c r="V43" s="12">
        <v>7.3935000000000004</v>
      </c>
      <c r="W43" s="13">
        <f>S43+T43+U43+V43</f>
        <v>7.3935000000000004</v>
      </c>
      <c r="X43" s="23">
        <v>0</v>
      </c>
      <c r="Y43" s="23">
        <v>0</v>
      </c>
      <c r="Z43" s="23">
        <v>0</v>
      </c>
      <c r="AA43" s="23">
        <v>26.099499999999999</v>
      </c>
      <c r="AB43" s="13">
        <f>X43+Y43+Z43+AA43</f>
        <v>26.099499999999999</v>
      </c>
      <c r="AC43" s="23">
        <v>0</v>
      </c>
      <c r="AD43" s="23">
        <v>0</v>
      </c>
      <c r="AE43" s="23">
        <v>0</v>
      </c>
      <c r="AF43" s="23">
        <v>0</v>
      </c>
      <c r="AG43" s="13">
        <f>AC43+AD43+AE43+AF43</f>
        <v>0</v>
      </c>
      <c r="AH43" s="23">
        <v>0</v>
      </c>
      <c r="AI43" s="23">
        <v>0</v>
      </c>
      <c r="AJ43" s="23">
        <v>0</v>
      </c>
      <c r="AK43" s="13">
        <f>AH43+AI43+AJ43</f>
        <v>0</v>
      </c>
      <c r="AL43" s="12">
        <v>0</v>
      </c>
      <c r="AM43" s="12">
        <v>0</v>
      </c>
      <c r="AN43" s="12">
        <v>0</v>
      </c>
      <c r="AO43" s="12">
        <v>0</v>
      </c>
      <c r="AP43" s="13">
        <v>0</v>
      </c>
      <c r="AQ43" s="12">
        <v>-0.44</v>
      </c>
      <c r="AR43" s="12">
        <v>6.17</v>
      </c>
      <c r="AS43" s="12">
        <v>-0.73</v>
      </c>
      <c r="AT43" s="12">
        <v>-7.86</v>
      </c>
      <c r="AU43" s="13">
        <v>-2.86</v>
      </c>
      <c r="AV43" s="12">
        <v>-0.59</v>
      </c>
      <c r="AW43" s="12">
        <v>-2.19</v>
      </c>
      <c r="AX43" s="12">
        <v>-1.43</v>
      </c>
      <c r="AY43" s="12">
        <v>0</v>
      </c>
      <c r="AZ43" s="13">
        <v>0</v>
      </c>
      <c r="BA43" s="12">
        <v>0</v>
      </c>
      <c r="BB43" s="12">
        <v>0</v>
      </c>
      <c r="BC43" s="12">
        <v>0</v>
      </c>
      <c r="BD43" s="12">
        <v>0</v>
      </c>
      <c r="BE43" s="13">
        <v>0</v>
      </c>
      <c r="BF43" s="12"/>
      <c r="BG43" s="12"/>
      <c r="BH43" s="12"/>
      <c r="BI43" s="12"/>
      <c r="BJ43" s="13">
        <v>0</v>
      </c>
      <c r="BK43" s="12"/>
      <c r="BL43" s="12"/>
      <c r="BM43" s="12"/>
      <c r="BN43" s="12"/>
      <c r="BO43" s="13">
        <v>0</v>
      </c>
      <c r="BP43" s="12"/>
      <c r="BQ43" s="12"/>
      <c r="BR43" s="12"/>
      <c r="BS43" s="12"/>
      <c r="BT43" s="13"/>
      <c r="BU43" s="12"/>
      <c r="BV43" s="12"/>
      <c r="BW43" s="12"/>
      <c r="BX43" s="12"/>
      <c r="BY43" s="13">
        <v>0</v>
      </c>
      <c r="BZ43" s="12"/>
      <c r="CA43" s="12"/>
      <c r="CB43" s="12"/>
      <c r="CC43" s="12"/>
      <c r="CD43" s="13">
        <v>0</v>
      </c>
      <c r="CE43" s="12"/>
      <c r="CF43" s="12"/>
      <c r="CG43" s="12"/>
      <c r="CH43" s="12"/>
      <c r="CI43" s="13">
        <v>0</v>
      </c>
      <c r="CJ43" s="13">
        <v>0</v>
      </c>
      <c r="CK43" s="13">
        <v>0</v>
      </c>
      <c r="CL43" s="13">
        <v>1</v>
      </c>
      <c r="CM43" s="13">
        <v>2</v>
      </c>
      <c r="CN43" s="13">
        <v>3</v>
      </c>
      <c r="CO43" s="15"/>
      <c r="CP43" s="15"/>
      <c r="CQ43" s="6"/>
      <c r="CR43" s="11" t="s">
        <v>163</v>
      </c>
      <c r="CS43" s="75">
        <f>12000*0.3*0.75/12.7</f>
        <v>212.5984251968504</v>
      </c>
      <c r="CT43" s="13">
        <f t="shared" si="26"/>
        <v>26.099499999999999</v>
      </c>
      <c r="CU43" s="13">
        <f t="shared" si="27"/>
        <v>0</v>
      </c>
      <c r="CV43" s="13">
        <f t="shared" si="28"/>
        <v>0</v>
      </c>
      <c r="CW43" s="13">
        <f t="shared" si="29"/>
        <v>0</v>
      </c>
      <c r="CX43" s="13">
        <f t="shared" si="30"/>
        <v>-2.86</v>
      </c>
      <c r="CY43" s="13">
        <f t="shared" si="31"/>
        <v>0</v>
      </c>
      <c r="CZ43" s="13">
        <f t="shared" si="32"/>
        <v>0</v>
      </c>
      <c r="DA43" s="13">
        <f t="shared" si="33"/>
        <v>0</v>
      </c>
      <c r="DB43" s="13">
        <f t="shared" si="34"/>
        <v>0</v>
      </c>
      <c r="DC43" s="13">
        <f t="shared" si="35"/>
        <v>0</v>
      </c>
      <c r="DD43" s="13">
        <f t="shared" si="36"/>
        <v>0</v>
      </c>
      <c r="DE43" s="13">
        <f t="shared" si="37"/>
        <v>0</v>
      </c>
      <c r="DF43" s="13">
        <f t="shared" si="38"/>
        <v>0</v>
      </c>
      <c r="DG43" s="13">
        <f t="shared" si="38"/>
        <v>0</v>
      </c>
      <c r="DH43" s="13">
        <f t="shared" si="38"/>
        <v>0</v>
      </c>
      <c r="DI43" s="13">
        <v>0</v>
      </c>
      <c r="DK43" s="13">
        <v>0</v>
      </c>
      <c r="DL43" s="13">
        <v>0</v>
      </c>
      <c r="DM43" s="6"/>
      <c r="DN43" s="13">
        <v>0</v>
      </c>
      <c r="DO43" s="13">
        <v>0</v>
      </c>
      <c r="DQ43" s="23"/>
      <c r="DR43" s="13">
        <v>0</v>
      </c>
      <c r="DS43" s="13">
        <v>0</v>
      </c>
      <c r="DT43" s="13">
        <v>0</v>
      </c>
      <c r="DV43" s="13">
        <v>0</v>
      </c>
      <c r="DW43" s="13">
        <v>0</v>
      </c>
      <c r="DX43" s="13">
        <v>0</v>
      </c>
      <c r="EA43" s="12"/>
      <c r="EB43" s="12"/>
      <c r="EC43" s="12"/>
      <c r="ED43" s="13">
        <v>0</v>
      </c>
      <c r="EE43" s="13">
        <v>0</v>
      </c>
      <c r="EF43" s="13">
        <v>0</v>
      </c>
      <c r="EJ43" s="12"/>
      <c r="EK43" s="12">
        <v>2.78</v>
      </c>
      <c r="EL43" s="13">
        <v>0</v>
      </c>
      <c r="EM43" s="13">
        <v>0</v>
      </c>
      <c r="EN43" s="13">
        <v>0</v>
      </c>
      <c r="EP43" s="12">
        <v>4.21</v>
      </c>
      <c r="EQ43" s="13">
        <v>0</v>
      </c>
      <c r="ER43" s="13">
        <v>0</v>
      </c>
      <c r="ES43" s="13">
        <v>0</v>
      </c>
      <c r="EV43" s="12">
        <v>0</v>
      </c>
      <c r="EW43" s="12">
        <v>0</v>
      </c>
      <c r="EX43" s="12">
        <v>0</v>
      </c>
      <c r="EY43" s="12">
        <v>0</v>
      </c>
      <c r="EZ43" s="13">
        <v>0</v>
      </c>
      <c r="FA43" s="13">
        <v>0</v>
      </c>
      <c r="FD43" s="12">
        <v>0</v>
      </c>
      <c r="FE43" s="12">
        <v>0</v>
      </c>
      <c r="FF43" s="12">
        <v>0</v>
      </c>
      <c r="FG43" s="13">
        <v>0</v>
      </c>
      <c r="FH43" s="13">
        <v>0</v>
      </c>
      <c r="FK43" s="13">
        <v>0</v>
      </c>
      <c r="FL43" s="13">
        <v>0</v>
      </c>
      <c r="FO43" s="12">
        <v>0</v>
      </c>
      <c r="FP43" s="12">
        <v>0</v>
      </c>
      <c r="FQ43" s="13">
        <v>0</v>
      </c>
      <c r="FR43" s="13">
        <v>0</v>
      </c>
      <c r="FU43" s="12">
        <v>0</v>
      </c>
      <c r="FV43" s="13">
        <v>0</v>
      </c>
      <c r="FW43" s="13">
        <v>0</v>
      </c>
      <c r="FX43" s="13">
        <v>0</v>
      </c>
      <c r="FY43" s="13">
        <v>0</v>
      </c>
      <c r="GA43" s="13">
        <v>0</v>
      </c>
      <c r="GB43" s="13">
        <v>0</v>
      </c>
      <c r="GC43" s="13">
        <v>0</v>
      </c>
      <c r="GF43" s="12"/>
      <c r="GG43" s="12"/>
      <c r="GH43" s="12"/>
      <c r="GI43" s="13">
        <v>0</v>
      </c>
      <c r="GJ43" s="13">
        <v>0</v>
      </c>
      <c r="GK43" s="13">
        <v>0</v>
      </c>
      <c r="GN43" s="12"/>
      <c r="GO43" s="12"/>
      <c r="GP43" s="13">
        <v>0</v>
      </c>
      <c r="GQ43" s="13">
        <v>0</v>
      </c>
      <c r="GR43" s="13">
        <v>0</v>
      </c>
      <c r="GV43" s="12"/>
      <c r="GW43" s="13">
        <v>0</v>
      </c>
      <c r="GX43" s="13">
        <v>0</v>
      </c>
      <c r="GY43" s="13">
        <v>0</v>
      </c>
      <c r="HC43" s="13"/>
      <c r="HD43" s="13">
        <v>0</v>
      </c>
      <c r="HE43" s="13">
        <v>0</v>
      </c>
      <c r="HF43" s="13">
        <v>0</v>
      </c>
      <c r="HI43" s="12"/>
      <c r="HJ43" s="12"/>
      <c r="HK43" s="12"/>
      <c r="HL43" s="12"/>
      <c r="HM43" s="13">
        <v>0</v>
      </c>
      <c r="HN43" s="13">
        <v>0</v>
      </c>
      <c r="HO43" s="13">
        <v>0</v>
      </c>
      <c r="HR43" s="12"/>
      <c r="HS43" s="12"/>
      <c r="HT43" s="12"/>
      <c r="HU43" s="13">
        <v>0</v>
      </c>
      <c r="HV43" s="13">
        <v>0</v>
      </c>
      <c r="HW43" s="13">
        <v>0</v>
      </c>
      <c r="HZ43" s="12"/>
      <c r="IA43" s="13">
        <v>0</v>
      </c>
      <c r="IB43" s="13">
        <v>0</v>
      </c>
      <c r="IC43" s="13">
        <v>0</v>
      </c>
      <c r="IE43" s="12"/>
      <c r="IF43" s="13">
        <v>0</v>
      </c>
      <c r="IG43" s="13">
        <v>0</v>
      </c>
      <c r="IH43" s="13">
        <v>0</v>
      </c>
      <c r="IK43" s="13">
        <v>0</v>
      </c>
      <c r="IL43" s="13">
        <v>0</v>
      </c>
      <c r="IO43" s="13">
        <v>0</v>
      </c>
      <c r="IP43" s="13">
        <v>0</v>
      </c>
      <c r="IS43" s="36">
        <v>958.54260011999975</v>
      </c>
      <c r="IT43" s="36">
        <v>1271.7903064671996</v>
      </c>
      <c r="IU43" s="36">
        <v>1480.2145817521919</v>
      </c>
      <c r="IX43" s="13"/>
      <c r="IY43" s="13">
        <v>0</v>
      </c>
      <c r="IZ43" s="13">
        <v>0</v>
      </c>
      <c r="JA43" s="13">
        <v>0</v>
      </c>
      <c r="JD43" s="13">
        <v>0</v>
      </c>
      <c r="JE43" s="13">
        <v>0</v>
      </c>
      <c r="JH43" s="13">
        <v>0</v>
      </c>
      <c r="JI43" s="13">
        <v>0</v>
      </c>
      <c r="JJ43" s="13">
        <v>0</v>
      </c>
      <c r="JM43" s="13">
        <v>0</v>
      </c>
      <c r="JN43" s="13">
        <v>0</v>
      </c>
      <c r="JQ43" s="13">
        <v>0</v>
      </c>
      <c r="JR43" s="13">
        <v>0</v>
      </c>
      <c r="JS43" s="13">
        <v>0</v>
      </c>
      <c r="JV43" s="13">
        <v>0</v>
      </c>
      <c r="JW43" s="13">
        <v>0</v>
      </c>
      <c r="JY43" s="13">
        <v>0</v>
      </c>
      <c r="JZ43" s="13">
        <v>0</v>
      </c>
      <c r="KB43" s="13">
        <v>0</v>
      </c>
      <c r="KC43" s="13">
        <v>0</v>
      </c>
      <c r="KD43" s="13">
        <v>0</v>
      </c>
    </row>
    <row r="44" spans="1:290" x14ac:dyDescent="0.25">
      <c r="A44" s="226" t="e">
        <f>+B39-B41-B42-B43</f>
        <v>#VALUE!</v>
      </c>
      <c r="B44" s="34" t="s">
        <v>164</v>
      </c>
      <c r="C44" s="35"/>
      <c r="D44" s="35">
        <f t="shared" ref="D44:BJ44" si="99">D39-D41-D42-D43</f>
        <v>0</v>
      </c>
      <c r="E44" s="35">
        <f t="shared" si="99"/>
        <v>0</v>
      </c>
      <c r="F44" s="35">
        <f t="shared" si="99"/>
        <v>0</v>
      </c>
      <c r="G44" s="35">
        <f t="shared" si="99"/>
        <v>0</v>
      </c>
      <c r="H44" s="36">
        <f>H39-H41-H42-H43</f>
        <v>0</v>
      </c>
      <c r="I44" s="35">
        <f t="shared" si="99"/>
        <v>25.649999999999963</v>
      </c>
      <c r="J44" s="35">
        <f t="shared" si="99"/>
        <v>34.424800000000062</v>
      </c>
      <c r="K44" s="35">
        <f t="shared" si="99"/>
        <v>39.437900000000049</v>
      </c>
      <c r="L44" s="35">
        <f t="shared" si="99"/>
        <v>53.981500000000025</v>
      </c>
      <c r="M44" s="36">
        <f>M39-M41-M42-M43</f>
        <v>153.49419999999975</v>
      </c>
      <c r="N44" s="35">
        <f t="shared" si="99"/>
        <v>18.851900000000015</v>
      </c>
      <c r="O44" s="35">
        <f t="shared" si="99"/>
        <v>39.806799999999924</v>
      </c>
      <c r="P44" s="35">
        <f t="shared" si="99"/>
        <v>49.245400000000046</v>
      </c>
      <c r="Q44" s="35">
        <f t="shared" si="99"/>
        <v>93.737200000000072</v>
      </c>
      <c r="R44" s="36">
        <f>R39-R41-R42-R43</f>
        <v>201.64130000000009</v>
      </c>
      <c r="S44" s="35">
        <f t="shared" si="99"/>
        <v>37.052199999999935</v>
      </c>
      <c r="T44" s="35">
        <f t="shared" si="99"/>
        <v>58.252700000000019</v>
      </c>
      <c r="U44" s="35">
        <f t="shared" si="99"/>
        <v>67.960000000000036</v>
      </c>
      <c r="V44" s="35">
        <f t="shared" si="99"/>
        <v>99.0033999999998</v>
      </c>
      <c r="W44" s="36">
        <f>W39-W41-W42-W43</f>
        <v>262.26829999999978</v>
      </c>
      <c r="X44" s="35">
        <f t="shared" si="99"/>
        <v>35.080000000000076</v>
      </c>
      <c r="Y44" s="35">
        <f t="shared" si="99"/>
        <v>51.432999999999836</v>
      </c>
      <c r="Z44" s="35">
        <f t="shared" si="99"/>
        <v>55.411700000000046</v>
      </c>
      <c r="AA44" s="35">
        <f t="shared" si="99"/>
        <v>107.55760000000015</v>
      </c>
      <c r="AB44" s="36">
        <f>AB39-AB41-AB42-AB43</f>
        <v>249.48230000000004</v>
      </c>
      <c r="AC44" s="35">
        <f t="shared" si="99"/>
        <v>21.84579999999994</v>
      </c>
      <c r="AD44" s="35">
        <f t="shared" si="99"/>
        <v>23.164299999999773</v>
      </c>
      <c r="AE44" s="35">
        <f t="shared" si="99"/>
        <v>42.308199999999971</v>
      </c>
      <c r="AF44" s="35">
        <f t="shared" si="99"/>
        <v>122.39499999999992</v>
      </c>
      <c r="AG44" s="36">
        <f>AG39-AG41-AG42-AG43</f>
        <v>209.71329999999895</v>
      </c>
      <c r="AH44" s="35">
        <f t="shared" si="99"/>
        <v>31.959200000000031</v>
      </c>
      <c r="AI44" s="35">
        <f t="shared" si="99"/>
        <v>74.196300000000079</v>
      </c>
      <c r="AJ44" s="35">
        <f t="shared" si="99"/>
        <v>108.89442999999991</v>
      </c>
      <c r="AK44" s="36">
        <f>AK39-AK41-AK42-AK43</f>
        <v>215.04992999999922</v>
      </c>
      <c r="AL44" s="35">
        <f>AL39-AL41-AL42-AL43</f>
        <v>101.55440000000002</v>
      </c>
      <c r="AM44" s="35">
        <f>AM39-AM41-AM42-AM43</f>
        <v>57.587299999999772</v>
      </c>
      <c r="AN44" s="35">
        <f>AN39-AN41-AN42-AN43</f>
        <v>90.178199999999919</v>
      </c>
      <c r="AO44" s="35">
        <f>AO39-AO41-AO42-AO43</f>
        <v>127.31000000000012</v>
      </c>
      <c r="AP44" s="36">
        <f t="shared" si="99"/>
        <v>376.67000000000041</v>
      </c>
      <c r="AQ44" s="35">
        <f>AQ39-AQ41-AQ42-AQ43</f>
        <v>75.290000000000106</v>
      </c>
      <c r="AR44" s="35">
        <f>AR39-AR41-AR42-AR43</f>
        <v>59.819999999999922</v>
      </c>
      <c r="AS44" s="35">
        <f>AS39-AS41-AS42-AS43</f>
        <v>95.830000000000027</v>
      </c>
      <c r="AT44" s="35">
        <f>AT39-AT41-AT42-AT43</f>
        <v>166.15</v>
      </c>
      <c r="AU44" s="36">
        <f t="shared" si="99"/>
        <v>397.08999999999975</v>
      </c>
      <c r="AV44" s="35">
        <f t="shared" si="99"/>
        <v>90.890000000000072</v>
      </c>
      <c r="AW44" s="35">
        <f t="shared" si="99"/>
        <v>70.250000000000128</v>
      </c>
      <c r="AX44" s="35">
        <f t="shared" si="99"/>
        <v>86.210000000000207</v>
      </c>
      <c r="AY44" s="35">
        <f t="shared" si="99"/>
        <v>101.57000000000012</v>
      </c>
      <c r="AZ44" s="36">
        <f t="shared" si="99"/>
        <v>329.77999999999963</v>
      </c>
      <c r="BA44" s="35">
        <f>BA39-BA41-BA42-BA43</f>
        <v>74.643000000000072</v>
      </c>
      <c r="BB44" s="35">
        <f>BB39-BB41-BB42-BB43</f>
        <v>108.66000000000022</v>
      </c>
      <c r="BC44" s="35">
        <f>BC39-BC41-BC42-BC43</f>
        <v>122.63000000000008</v>
      </c>
      <c r="BD44" s="35">
        <f>BD39-BD41-BD42-BD43</f>
        <v>152.7600000000001</v>
      </c>
      <c r="BE44" s="36">
        <f t="shared" si="99"/>
        <v>478.78999999999945</v>
      </c>
      <c r="BF44" s="35">
        <f>BF39-BF41-BF42-BF43</f>
        <v>44.200000000000109</v>
      </c>
      <c r="BG44" s="35">
        <f>BG39-BG41-BG42-BG43</f>
        <v>148.44000000000017</v>
      </c>
      <c r="BH44" s="35">
        <f>BH39-BH41-BH42-BH43</f>
        <v>259.50999999999993</v>
      </c>
      <c r="BI44" s="35">
        <f>BI39-BI41-BI42-BI43</f>
        <v>380.08000000000004</v>
      </c>
      <c r="BJ44" s="36">
        <f t="shared" si="99"/>
        <v>632.15</v>
      </c>
      <c r="BK44" s="35">
        <f>BK39-BK41-BK42-BK43</f>
        <v>125.13999999999999</v>
      </c>
      <c r="BL44" s="35">
        <f>BL39-BL41-BL42-BL43</f>
        <v>189.59699999999995</v>
      </c>
      <c r="BM44" s="35">
        <f>BM39-BM41-BM42-BM43</f>
        <v>195.07000000000011</v>
      </c>
      <c r="BN44" s="35">
        <f>BN39-BN41-BN42-BN43</f>
        <v>254.24999999999989</v>
      </c>
      <c r="BO44" s="36">
        <f t="shared" ref="BO44:CC44" si="100">BO39-BO41-BO42-BO43</f>
        <v>764.05999999999972</v>
      </c>
      <c r="BP44" s="35">
        <f t="shared" si="100"/>
        <v>155.84999999999985</v>
      </c>
      <c r="BQ44" s="35">
        <f t="shared" si="100"/>
        <v>63.459999999999908</v>
      </c>
      <c r="BR44" s="35">
        <f t="shared" si="100"/>
        <v>182.44999999999996</v>
      </c>
      <c r="BS44" s="35">
        <f t="shared" si="100"/>
        <v>310.31999999999971</v>
      </c>
      <c r="BT44" s="36">
        <f t="shared" si="100"/>
        <v>711.9799999999999</v>
      </c>
      <c r="BU44" s="35">
        <f t="shared" si="100"/>
        <v>194.21999999999991</v>
      </c>
      <c r="BV44" s="35">
        <f t="shared" si="100"/>
        <v>219.15999999999997</v>
      </c>
      <c r="BW44" s="35">
        <f t="shared" si="100"/>
        <v>235.35000000000008</v>
      </c>
      <c r="BX44" s="35">
        <f t="shared" si="100"/>
        <v>314.12999999999954</v>
      </c>
      <c r="BY44" s="36">
        <f>BY39-BY41-BY42-BY43</f>
        <v>963.16000000000156</v>
      </c>
      <c r="BZ44" s="35">
        <f t="shared" si="100"/>
        <v>235.83999999999997</v>
      </c>
      <c r="CA44" s="35">
        <f t="shared" si="100"/>
        <v>213.79000000000002</v>
      </c>
      <c r="CB44" s="35">
        <f t="shared" si="100"/>
        <v>165.0100000000001</v>
      </c>
      <c r="CC44" s="35">
        <f t="shared" si="100"/>
        <v>262.44000000000017</v>
      </c>
      <c r="CD44" s="36">
        <f>CD39-CD41-CD42-CD43</f>
        <v>841.95999999999765</v>
      </c>
      <c r="CE44" s="35">
        <f t="shared" ref="CE44:CH44" si="101">CE39-CE41-CE42-CE43</f>
        <v>177.12000000000015</v>
      </c>
      <c r="CF44" s="35">
        <f t="shared" si="101"/>
        <v>149.87000000000012</v>
      </c>
      <c r="CG44" s="35">
        <f t="shared" si="101"/>
        <v>159.33999999999986</v>
      </c>
      <c r="CH44" s="35">
        <f t="shared" si="101"/>
        <v>300.82999999999964</v>
      </c>
      <c r="CI44" s="36">
        <f>CI39-CI41-CI42-CI43</f>
        <v>852.77999999999906</v>
      </c>
      <c r="CJ44" s="36">
        <f ca="1">CJ39-CJ41-CJ42-CJ43</f>
        <v>1037.265679825123</v>
      </c>
      <c r="CK44" s="36">
        <f ca="1">CK39-CK41-CK42-CK43</f>
        <v>1211.9881750685995</v>
      </c>
      <c r="CL44" s="36">
        <f t="shared" ref="CL44:CN44" ca="1" si="102">CL39-CL41-CL42-CL43</f>
        <v>1452.9467684654373</v>
      </c>
      <c r="CM44" s="36">
        <f t="shared" ca="1" si="102"/>
        <v>1671.8624378579498</v>
      </c>
      <c r="CN44" s="36">
        <f t="shared" ca="1" si="102"/>
        <v>1848.3517334184241</v>
      </c>
      <c r="CO44" s="67"/>
      <c r="CP44" s="67"/>
      <c r="CQ44" s="41"/>
      <c r="CR44" s="11" t="s">
        <v>165</v>
      </c>
      <c r="CS44" s="75">
        <f>CS42+CS43</f>
        <v>2866.9763779527602</v>
      </c>
      <c r="CT44" s="36">
        <f t="shared" si="26"/>
        <v>249.48230000000004</v>
      </c>
      <c r="CU44" s="36">
        <f t="shared" si="27"/>
        <v>209.71329999999895</v>
      </c>
      <c r="CV44" s="36">
        <f t="shared" si="28"/>
        <v>215.04992999999922</v>
      </c>
      <c r="CW44" s="36">
        <f t="shared" si="29"/>
        <v>376.67000000000041</v>
      </c>
      <c r="CX44" s="36">
        <f t="shared" si="30"/>
        <v>397.08999999999975</v>
      </c>
      <c r="CY44" s="36">
        <f t="shared" si="31"/>
        <v>329.77999999999963</v>
      </c>
      <c r="CZ44" s="36">
        <f t="shared" si="32"/>
        <v>478.78999999999945</v>
      </c>
      <c r="DA44" s="36">
        <f t="shared" si="33"/>
        <v>632.15</v>
      </c>
      <c r="DB44" s="36">
        <f t="shared" si="34"/>
        <v>764.05999999999972</v>
      </c>
      <c r="DC44" s="36">
        <f t="shared" si="35"/>
        <v>711.9799999999999</v>
      </c>
      <c r="DD44" s="36">
        <f t="shared" si="36"/>
        <v>963.16000000000156</v>
      </c>
      <c r="DE44" s="36">
        <f t="shared" si="37"/>
        <v>841.95999999999765</v>
      </c>
      <c r="DF44" s="36">
        <f t="shared" si="38"/>
        <v>852.77999999999906</v>
      </c>
      <c r="DG44" s="36">
        <f t="shared" ca="1" si="38"/>
        <v>1037.265679825123</v>
      </c>
      <c r="DH44" s="36">
        <f t="shared" ca="1" si="38"/>
        <v>1211.9881750685995</v>
      </c>
      <c r="DI44" s="36">
        <v>541.97742715591312</v>
      </c>
      <c r="DK44" s="36">
        <v>427.62470784000004</v>
      </c>
      <c r="DL44" s="36">
        <v>494.25056693760013</v>
      </c>
      <c r="DM44" s="6"/>
      <c r="DN44" s="36">
        <v>470.19661196000004</v>
      </c>
      <c r="DO44" s="36">
        <v>535.23353763440014</v>
      </c>
      <c r="DQ44" s="35">
        <v>120.14052168900002</v>
      </c>
      <c r="DR44" s="36">
        <v>358.79197201200003</v>
      </c>
      <c r="DS44" s="36">
        <v>444.51961711410001</v>
      </c>
      <c r="DT44" s="36">
        <v>541.97742715591312</v>
      </c>
      <c r="DV44" s="36">
        <v>444.48879999999997</v>
      </c>
      <c r="DW44" s="36">
        <v>541.90951122000001</v>
      </c>
      <c r="DX44" s="36">
        <v>617.12265256640001</v>
      </c>
      <c r="EA44" s="35">
        <v>74.457300834000009</v>
      </c>
      <c r="EB44" s="35">
        <v>113.83189072499999</v>
      </c>
      <c r="EC44" s="35">
        <v>151.44299583</v>
      </c>
      <c r="ED44" s="36">
        <v>444.48879999999997</v>
      </c>
      <c r="EE44" s="36">
        <v>538.55951121999999</v>
      </c>
      <c r="EF44" s="36">
        <v>603.72265256640003</v>
      </c>
      <c r="EJ44" s="35">
        <v>89.074735050000015</v>
      </c>
      <c r="EK44" s="35">
        <v>186.3092649499998</v>
      </c>
      <c r="EL44" s="36">
        <v>436.524</v>
      </c>
      <c r="EM44" s="36">
        <v>528.54130955999995</v>
      </c>
      <c r="EN44" s="36">
        <v>603.72265256640003</v>
      </c>
      <c r="EP44" s="35">
        <v>123.76799999999955</v>
      </c>
      <c r="EQ44" s="36">
        <v>371.11800000000005</v>
      </c>
      <c r="ER44" s="36">
        <v>486.46606799999989</v>
      </c>
      <c r="ES44" s="36">
        <v>587.62743882815994</v>
      </c>
      <c r="EV44" s="35">
        <v>101.88664859999999</v>
      </c>
      <c r="EW44" s="35">
        <v>88.029348000000027</v>
      </c>
      <c r="EX44" s="35">
        <v>115.71771749999996</v>
      </c>
      <c r="EY44" s="35">
        <v>129.11799449999998</v>
      </c>
      <c r="EZ44" s="36">
        <v>477.35159999999996</v>
      </c>
      <c r="FA44" s="36">
        <v>559.29589999999996</v>
      </c>
      <c r="FD44" s="35">
        <v>96.69951480000006</v>
      </c>
      <c r="FE44" s="35">
        <v>115.71771749999996</v>
      </c>
      <c r="FF44" s="35">
        <v>128.90286749999993</v>
      </c>
      <c r="FG44" s="36">
        <v>443.45240000000001</v>
      </c>
      <c r="FH44" s="36">
        <v>561.95600000000013</v>
      </c>
      <c r="FK44" s="36">
        <v>451.9624</v>
      </c>
      <c r="FL44" s="36">
        <v>550.19740000000002</v>
      </c>
      <c r="FO44" s="35">
        <v>107.75062979999998</v>
      </c>
      <c r="FP44" s="35">
        <v>142.01620315999975</v>
      </c>
      <c r="FQ44" s="36">
        <v>433.06983295999999</v>
      </c>
      <c r="FR44" s="36">
        <v>535.08589353679986</v>
      </c>
      <c r="FU44" s="35">
        <v>98.519222499999628</v>
      </c>
      <c r="FV44" s="36">
        <v>404.4522225</v>
      </c>
      <c r="FW44" s="36">
        <v>254.2823919600001</v>
      </c>
      <c r="FX44" s="36">
        <v>414.42236846100025</v>
      </c>
      <c r="FY44" s="36">
        <v>463.38314080660575</v>
      </c>
      <c r="GA44" s="36">
        <v>305.72418600000003</v>
      </c>
      <c r="GB44" s="36">
        <v>491.83277534999991</v>
      </c>
      <c r="GC44" s="36">
        <v>556.56538558672003</v>
      </c>
      <c r="GF44" s="35">
        <v>97.662000000000006</v>
      </c>
      <c r="GG44" s="35"/>
      <c r="GH44" s="35"/>
      <c r="GI44" s="36">
        <v>376.63040700000005</v>
      </c>
      <c r="GJ44" s="36">
        <v>579.36024406500007</v>
      </c>
      <c r="GK44" s="36">
        <v>651.41028141209608</v>
      </c>
      <c r="GN44" s="35">
        <v>203.0711475</v>
      </c>
      <c r="GO44" s="35"/>
      <c r="GP44" s="36">
        <v>537.90603974999999</v>
      </c>
      <c r="GQ44" s="36">
        <v>624.02942961000019</v>
      </c>
      <c r="GR44" s="36">
        <v>700.59066174230418</v>
      </c>
      <c r="GV44" s="35">
        <v>220.46110299999992</v>
      </c>
      <c r="GW44" s="36">
        <v>672.61110300000018</v>
      </c>
      <c r="GX44" s="36">
        <v>573.28433312999994</v>
      </c>
      <c r="GY44" s="36">
        <v>772.80267196215982</v>
      </c>
      <c r="HC44" s="35">
        <v>261.47318537499996</v>
      </c>
      <c r="HD44" s="36">
        <v>771.28018537500009</v>
      </c>
      <c r="HE44" s="36">
        <v>776.35269573740015</v>
      </c>
      <c r="HF44" s="36">
        <v>870.92561334006427</v>
      </c>
      <c r="HI44" s="35">
        <v>137.25889499999997</v>
      </c>
      <c r="HJ44" s="35">
        <v>190.04505899999998</v>
      </c>
      <c r="HK44" s="35">
        <v>213.2557425</v>
      </c>
      <c r="HL44" s="35">
        <v>33.256008960000003</v>
      </c>
      <c r="HM44" s="36">
        <v>573.81570546</v>
      </c>
      <c r="HN44" s="36">
        <v>650.46263166200026</v>
      </c>
      <c r="HO44" s="36">
        <v>705.61107887188007</v>
      </c>
      <c r="HR44" s="35">
        <v>81.961638749999992</v>
      </c>
      <c r="HS44" s="35">
        <v>144.98754450000001</v>
      </c>
      <c r="HT44" s="35">
        <v>191.01652221000001</v>
      </c>
      <c r="HU44" s="36">
        <v>573.81570546</v>
      </c>
      <c r="HV44" s="36">
        <v>762.21436451000011</v>
      </c>
      <c r="HW44" s="36">
        <v>841.3894342822</v>
      </c>
      <c r="HZ44" s="35">
        <v>144.98754450000001</v>
      </c>
      <c r="IA44" s="36">
        <v>623.87497755999993</v>
      </c>
      <c r="IB44" s="36">
        <v>789.84501679200025</v>
      </c>
      <c r="IC44" s="36">
        <v>916.48384493160029</v>
      </c>
      <c r="IE44" s="35">
        <v>218.07410840000037</v>
      </c>
      <c r="IF44" s="36">
        <v>619.83410839999999</v>
      </c>
      <c r="IG44" s="36">
        <v>836.17215202399984</v>
      </c>
      <c r="IH44" s="36">
        <v>986.02297431200009</v>
      </c>
      <c r="IK44" s="36">
        <v>833.13815202399974</v>
      </c>
      <c r="IL44" s="36">
        <v>982.98897431199998</v>
      </c>
      <c r="IO44" s="36">
        <v>955.27036748</v>
      </c>
      <c r="IP44" s="36">
        <v>1227.5608769408002</v>
      </c>
      <c r="IS44" s="13"/>
      <c r="IT44" s="13"/>
      <c r="IU44" s="13"/>
      <c r="IX44" s="35">
        <v>320.10037019999987</v>
      </c>
      <c r="IY44" s="36">
        <v>968.83037019999983</v>
      </c>
      <c r="IZ44" s="36">
        <v>1336.5992929919998</v>
      </c>
      <c r="JA44" s="36">
        <v>1554.3984461209598</v>
      </c>
      <c r="JD44" s="36">
        <v>1376.1796982999999</v>
      </c>
      <c r="JE44" s="36">
        <v>1659.54572418</v>
      </c>
      <c r="JH44" s="36">
        <v>1228.48354896</v>
      </c>
      <c r="JI44" s="36">
        <v>1510.7042286659998</v>
      </c>
      <c r="JJ44" s="36">
        <v>1748.1977746909197</v>
      </c>
      <c r="JM44" s="36">
        <v>1425.1918850075997</v>
      </c>
      <c r="JN44" s="36">
        <v>1649.7018971322836</v>
      </c>
      <c r="JQ44" s="36">
        <v>848.28825187000007</v>
      </c>
      <c r="JR44" s="36">
        <v>1055.8327558064004</v>
      </c>
      <c r="JS44" s="36">
        <v>1235.4602608806806</v>
      </c>
      <c r="JV44" s="36">
        <v>1034.7735106799998</v>
      </c>
      <c r="JW44" s="36">
        <v>1212.1355401184003</v>
      </c>
      <c r="JY44" s="36">
        <v>1069.3608916399999</v>
      </c>
      <c r="JZ44" s="36">
        <v>1252.6342189152001</v>
      </c>
      <c r="KB44" s="36">
        <v>836.2667627999997</v>
      </c>
      <c r="KC44" s="36">
        <v>1084.755895966</v>
      </c>
      <c r="KD44" s="36">
        <v>1237.5193075447605</v>
      </c>
    </row>
    <row r="45" spans="1:290" x14ac:dyDescent="0.25">
      <c r="B45" s="11" t="s">
        <v>166</v>
      </c>
      <c r="C45" s="12"/>
      <c r="D45" s="12"/>
      <c r="E45" s="12"/>
      <c r="F45" s="12"/>
      <c r="G45" s="12"/>
      <c r="H45" s="13"/>
      <c r="I45" s="12"/>
      <c r="J45" s="12"/>
      <c r="K45" s="12"/>
      <c r="L45" s="12"/>
      <c r="M45" s="13"/>
      <c r="N45" s="12"/>
      <c r="O45" s="12"/>
      <c r="P45" s="12"/>
      <c r="Q45" s="12"/>
      <c r="R45" s="13"/>
      <c r="S45" s="12"/>
      <c r="T45" s="12"/>
      <c r="U45" s="12"/>
      <c r="V45" s="12"/>
      <c r="W45" s="13"/>
      <c r="X45" s="23"/>
      <c r="Y45" s="23"/>
      <c r="Z45" s="23"/>
      <c r="AA45" s="23"/>
      <c r="AB45" s="13"/>
      <c r="AC45" s="23"/>
      <c r="AD45" s="23"/>
      <c r="AE45" s="23"/>
      <c r="AF45" s="23"/>
      <c r="AG45" s="13"/>
      <c r="AH45" s="23"/>
      <c r="AI45" s="23"/>
      <c r="AJ45" s="23"/>
      <c r="AK45" s="13"/>
      <c r="AL45" s="23"/>
      <c r="AM45" s="23"/>
      <c r="AN45" s="23"/>
      <c r="AO45" s="23"/>
      <c r="AP45" s="13"/>
      <c r="AQ45" s="23"/>
      <c r="AR45" s="23"/>
      <c r="AS45" s="23"/>
      <c r="AT45" s="23"/>
      <c r="AU45" s="13"/>
      <c r="AV45" s="23"/>
      <c r="AW45" s="23"/>
      <c r="AX45" s="23"/>
      <c r="AY45" s="23"/>
      <c r="AZ45" s="13"/>
      <c r="BA45" s="23"/>
      <c r="BB45" s="23"/>
      <c r="BC45" s="23"/>
      <c r="BD45" s="23"/>
      <c r="BE45" s="13"/>
      <c r="BF45" s="23"/>
      <c r="BG45" s="23"/>
      <c r="BH45" s="23"/>
      <c r="BI45" s="23"/>
      <c r="BJ45" s="13"/>
      <c r="BK45" s="23"/>
      <c r="BL45" s="23"/>
      <c r="BM45" s="23"/>
      <c r="BN45" s="23"/>
      <c r="BO45" s="13"/>
      <c r="BP45" s="23"/>
      <c r="BQ45" s="23"/>
      <c r="BR45" s="23"/>
      <c r="BS45" s="23"/>
      <c r="BT45" s="13"/>
      <c r="BU45" s="23"/>
      <c r="BV45" s="23"/>
      <c r="BW45" s="23"/>
      <c r="BX45" s="23"/>
      <c r="BY45" s="13"/>
      <c r="BZ45" s="23"/>
      <c r="CA45" s="23"/>
      <c r="CB45" s="23"/>
      <c r="CC45" s="23"/>
      <c r="CD45" s="13"/>
      <c r="CE45" s="23"/>
      <c r="CF45" s="23"/>
      <c r="CG45" s="23"/>
      <c r="CH45" s="23"/>
      <c r="CI45" s="13"/>
      <c r="CJ45" s="13"/>
      <c r="CK45" s="13"/>
      <c r="CL45" s="13"/>
      <c r="CM45" s="13"/>
      <c r="CN45" s="13"/>
      <c r="CO45" s="15"/>
      <c r="CP45" s="15"/>
      <c r="CQ45" s="6"/>
      <c r="CT45" s="13">
        <f t="shared" si="26"/>
        <v>0</v>
      </c>
      <c r="CU45" s="13">
        <f t="shared" si="27"/>
        <v>0</v>
      </c>
      <c r="CV45" s="13">
        <f t="shared" si="28"/>
        <v>0</v>
      </c>
      <c r="CW45" s="13">
        <f t="shared" si="29"/>
        <v>0</v>
      </c>
      <c r="CX45" s="13">
        <f t="shared" si="30"/>
        <v>0</v>
      </c>
      <c r="CY45" s="13">
        <f t="shared" si="31"/>
        <v>0</v>
      </c>
      <c r="CZ45" s="13">
        <f t="shared" si="32"/>
        <v>0</v>
      </c>
      <c r="DA45" s="13">
        <f t="shared" si="33"/>
        <v>0</v>
      </c>
      <c r="DB45" s="13">
        <f t="shared" si="34"/>
        <v>0</v>
      </c>
      <c r="DC45" s="13">
        <f t="shared" si="35"/>
        <v>0</v>
      </c>
      <c r="DD45" s="13">
        <f t="shared" si="36"/>
        <v>0</v>
      </c>
      <c r="DE45" s="13">
        <f t="shared" si="37"/>
        <v>0</v>
      </c>
      <c r="DF45" s="13">
        <f t="shared" si="38"/>
        <v>0</v>
      </c>
      <c r="DG45" s="13">
        <f t="shared" si="38"/>
        <v>0</v>
      </c>
      <c r="DH45" s="13">
        <f t="shared" si="38"/>
        <v>0</v>
      </c>
      <c r="DI45" s="13"/>
      <c r="DK45" s="13"/>
      <c r="DL45" s="13"/>
      <c r="DM45" s="6"/>
      <c r="DN45" s="13"/>
      <c r="DO45" s="13"/>
      <c r="DQ45" s="23"/>
      <c r="DR45" s="13"/>
      <c r="DS45" s="13"/>
      <c r="DT45" s="13"/>
      <c r="DV45" s="13"/>
      <c r="DW45" s="13"/>
      <c r="DX45" s="13"/>
      <c r="EA45" s="23"/>
      <c r="EB45" s="23"/>
      <c r="EC45" s="23"/>
      <c r="ED45" s="13"/>
      <c r="EE45" s="13"/>
      <c r="EF45" s="13"/>
      <c r="EJ45" s="23"/>
      <c r="EK45" s="23"/>
      <c r="EL45" s="13"/>
      <c r="EM45" s="13"/>
      <c r="EN45" s="13"/>
      <c r="EP45" s="23"/>
      <c r="EQ45" s="13"/>
      <c r="ER45" s="13"/>
      <c r="ES45" s="13"/>
      <c r="EV45" s="23"/>
      <c r="EW45" s="23"/>
      <c r="EX45" s="23"/>
      <c r="EY45" s="23"/>
      <c r="EZ45" s="13"/>
      <c r="FA45" s="13"/>
      <c r="FD45" s="23"/>
      <c r="FE45" s="23"/>
      <c r="FF45" s="23"/>
      <c r="FG45" s="13"/>
      <c r="FH45" s="13"/>
      <c r="FK45" s="13"/>
      <c r="FL45" s="13"/>
      <c r="FO45" s="23"/>
      <c r="FP45" s="23"/>
      <c r="FQ45" s="13"/>
      <c r="FR45" s="13"/>
      <c r="FU45" s="23"/>
      <c r="FV45" s="13"/>
      <c r="FW45" s="13"/>
      <c r="FX45" s="13"/>
      <c r="FY45" s="13"/>
      <c r="GA45" s="13"/>
      <c r="GB45" s="13"/>
      <c r="GC45" s="13"/>
      <c r="GF45" s="23"/>
      <c r="GG45" s="23"/>
      <c r="GH45" s="23"/>
      <c r="GI45" s="13"/>
      <c r="GJ45" s="13"/>
      <c r="GK45" s="13"/>
      <c r="GN45" s="23"/>
      <c r="GO45" s="23"/>
      <c r="GP45" s="13"/>
      <c r="GQ45" s="13"/>
      <c r="GR45" s="13"/>
      <c r="GV45" s="23">
        <v>0.44318606310552355</v>
      </c>
      <c r="GW45" s="13"/>
      <c r="GX45" s="13"/>
      <c r="GY45" s="13"/>
      <c r="HC45" s="13"/>
      <c r="HD45" s="13"/>
      <c r="HE45" s="13"/>
      <c r="HF45" s="13"/>
      <c r="HI45" s="23"/>
      <c r="HJ45" s="23"/>
      <c r="HK45" s="23"/>
      <c r="HL45" s="23"/>
      <c r="HM45" s="13"/>
      <c r="HN45" s="13"/>
      <c r="HO45" s="13"/>
      <c r="HR45" s="23"/>
      <c r="HS45" s="23"/>
      <c r="HT45" s="23"/>
      <c r="HU45" s="13"/>
      <c r="HV45" s="13"/>
      <c r="HW45" s="13"/>
      <c r="HZ45" s="23"/>
      <c r="IA45" s="13"/>
      <c r="IB45" s="13"/>
      <c r="IC45" s="13"/>
      <c r="IE45" s="23"/>
      <c r="IF45" s="13"/>
      <c r="IG45" s="13"/>
      <c r="IH45" s="13"/>
      <c r="IK45" s="13"/>
      <c r="IL45" s="13"/>
      <c r="IO45" s="13"/>
      <c r="IP45" s="13"/>
      <c r="IS45" s="76">
        <v>150</v>
      </c>
      <c r="IT45" s="76">
        <v>200</v>
      </c>
      <c r="IU45" s="76">
        <v>250</v>
      </c>
      <c r="IX45" s="13"/>
      <c r="IY45" s="13"/>
      <c r="IZ45" s="13"/>
      <c r="JA45" s="13"/>
      <c r="JD45" s="13"/>
      <c r="JE45" s="13"/>
      <c r="JH45" s="13"/>
      <c r="JI45" s="13"/>
      <c r="JJ45" s="13"/>
      <c r="JM45" s="13"/>
      <c r="JN45" s="13"/>
      <c r="JQ45" s="13"/>
      <c r="JR45" s="13"/>
      <c r="JS45" s="13"/>
      <c r="JV45" s="13"/>
      <c r="JW45" s="13"/>
      <c r="JY45" s="13"/>
      <c r="JZ45" s="13"/>
      <c r="KB45" s="13"/>
      <c r="KC45" s="13"/>
      <c r="KD45" s="13"/>
    </row>
    <row r="46" spans="1:290" x14ac:dyDescent="0.25">
      <c r="A46" s="7" t="s">
        <v>259</v>
      </c>
      <c r="B46" s="11" t="s">
        <v>167</v>
      </c>
      <c r="C46" s="12"/>
      <c r="D46" s="12"/>
      <c r="E46" s="12"/>
      <c r="F46" s="12"/>
      <c r="G46" s="12"/>
      <c r="H46" s="13"/>
      <c r="I46" s="77">
        <v>5.46</v>
      </c>
      <c r="J46" s="77">
        <v>5.601</v>
      </c>
      <c r="K46" s="77">
        <v>8.8340999999999994</v>
      </c>
      <c r="L46" s="77">
        <v>6.2409999999999997</v>
      </c>
      <c r="M46" s="78">
        <f>I46+J46+K46+L46</f>
        <v>26.136099999999999</v>
      </c>
      <c r="N46" s="77">
        <v>4.74</v>
      </c>
      <c r="O46" s="77">
        <v>-2.1684999999999999</v>
      </c>
      <c r="P46" s="77">
        <v>5.4340000000000002</v>
      </c>
      <c r="Q46" s="77">
        <v>1.306</v>
      </c>
      <c r="R46" s="78">
        <f>N46+O46+P46+Q46</f>
        <v>9.3115000000000023</v>
      </c>
      <c r="S46" s="77">
        <v>1.9131</v>
      </c>
      <c r="T46" s="77">
        <v>8.0869999999999997</v>
      </c>
      <c r="U46" s="77">
        <v>7.8676000000000004</v>
      </c>
      <c r="V46" s="77">
        <v>3.8110999999999997</v>
      </c>
      <c r="W46" s="78">
        <f>S46+T46+U46+V46</f>
        <v>21.678799999999999</v>
      </c>
      <c r="X46" s="77">
        <v>7.9329999999999998</v>
      </c>
      <c r="Y46" s="77">
        <v>-4.0259999999999998</v>
      </c>
      <c r="Z46" s="77">
        <v>2.9226999999999999</v>
      </c>
      <c r="AA46" s="77">
        <v>2.2591999999999999</v>
      </c>
      <c r="AB46" s="78">
        <f>X46+Y46+Z46+AA46</f>
        <v>9.0888999999999989</v>
      </c>
      <c r="AC46" s="77">
        <v>3.2213000000000003</v>
      </c>
      <c r="AD46" s="77">
        <v>-17.6737</v>
      </c>
      <c r="AE46" s="77">
        <v>6.1409000000000002</v>
      </c>
      <c r="AF46" s="77">
        <v>18.9574</v>
      </c>
      <c r="AG46" s="78">
        <f>AC46+AD46+AE46+AF46</f>
        <v>10.645899999999999</v>
      </c>
      <c r="AH46" s="77">
        <v>-7.4161000000000001</v>
      </c>
      <c r="AI46" s="77">
        <v>7.9295</v>
      </c>
      <c r="AJ46" s="77">
        <v>16.224700000000002</v>
      </c>
      <c r="AK46" s="78">
        <f>AH46+AI46+AJ46</f>
        <v>16.738100000000003</v>
      </c>
      <c r="AL46" s="77">
        <v>13.6777</v>
      </c>
      <c r="AM46" s="77">
        <v>8.5792000000000002</v>
      </c>
      <c r="AN46" s="77">
        <v>10.622400000000001</v>
      </c>
      <c r="AO46" s="77">
        <v>20.85</v>
      </c>
      <c r="AP46" s="78">
        <v>53.73</v>
      </c>
      <c r="AQ46" s="77">
        <v>3.09</v>
      </c>
      <c r="AR46" s="77">
        <v>11</v>
      </c>
      <c r="AS46" s="77">
        <v>8.39</v>
      </c>
      <c r="AT46" s="77">
        <v>12.17</v>
      </c>
      <c r="AU46" s="78">
        <v>34.659999999999997</v>
      </c>
      <c r="AV46" s="77">
        <v>5.99</v>
      </c>
      <c r="AW46" s="77">
        <v>2.5299999999999998</v>
      </c>
      <c r="AX46" s="77">
        <v>-5.23</v>
      </c>
      <c r="AY46" s="77">
        <v>11.09</v>
      </c>
      <c r="AZ46" s="78">
        <v>14.38</v>
      </c>
      <c r="BA46" s="77">
        <v>12.48</v>
      </c>
      <c r="BB46" s="77">
        <v>10.99</v>
      </c>
      <c r="BC46" s="77">
        <v>0.76</v>
      </c>
      <c r="BD46" s="77">
        <v>6.97</v>
      </c>
      <c r="BE46" s="78">
        <v>31.21</v>
      </c>
      <c r="BF46" s="77">
        <v>-3.65</v>
      </c>
      <c r="BG46" s="77">
        <v>26.51</v>
      </c>
      <c r="BH46" s="77">
        <v>52.79</v>
      </c>
      <c r="BI46" s="77">
        <v>70.34</v>
      </c>
      <c r="BJ46" s="78">
        <v>145.99</v>
      </c>
      <c r="BK46" s="77">
        <v>45.02</v>
      </c>
      <c r="BL46" s="77">
        <v>39.11</v>
      </c>
      <c r="BM46" s="77">
        <v>50.65</v>
      </c>
      <c r="BN46" s="77">
        <v>69.61</v>
      </c>
      <c r="BO46" s="78">
        <v>204.39</v>
      </c>
      <c r="BP46" s="77">
        <v>58</v>
      </c>
      <c r="BQ46" s="77">
        <v>18.559999999999999</v>
      </c>
      <c r="BR46" s="77">
        <v>27.58</v>
      </c>
      <c r="BS46" s="77">
        <v>49.11</v>
      </c>
      <c r="BT46" s="78">
        <v>153.25</v>
      </c>
      <c r="BU46" s="77">
        <v>21.32</v>
      </c>
      <c r="BV46" s="77">
        <v>24.03</v>
      </c>
      <c r="BW46" s="77">
        <v>20.82</v>
      </c>
      <c r="BX46" s="77">
        <v>40.69</v>
      </c>
      <c r="BY46" s="78">
        <v>106.86</v>
      </c>
      <c r="BZ46" s="77">
        <v>37.53</v>
      </c>
      <c r="CA46" s="77">
        <v>27.81</v>
      </c>
      <c r="CB46" s="77">
        <v>21.96</v>
      </c>
      <c r="CC46" s="77">
        <v>32.76</v>
      </c>
      <c r="CD46" s="78">
        <v>120.06</v>
      </c>
      <c r="CE46" s="77">
        <v>25.18</v>
      </c>
      <c r="CF46" s="77">
        <v>14.87</v>
      </c>
      <c r="CG46" s="77">
        <v>9.41</v>
      </c>
      <c r="CH46" s="77">
        <v>51.74</v>
      </c>
      <c r="CI46" s="78">
        <v>101.2</v>
      </c>
      <c r="CJ46" s="78">
        <v>80</v>
      </c>
      <c r="CK46" s="78">
        <v>100</v>
      </c>
      <c r="CL46" s="78">
        <v>100</v>
      </c>
      <c r="CM46" s="78">
        <v>100</v>
      </c>
      <c r="CN46" s="78">
        <v>100</v>
      </c>
      <c r="CO46" s="79"/>
      <c r="CP46" s="79"/>
      <c r="CQ46" s="6"/>
      <c r="CR46" s="11" t="s">
        <v>168</v>
      </c>
      <c r="CS46" s="80">
        <f>CS44/1954-1</f>
        <v>0.46723458441799393</v>
      </c>
      <c r="CT46" s="78">
        <f t="shared" si="26"/>
        <v>9.0888999999999989</v>
      </c>
      <c r="CU46" s="78">
        <f t="shared" si="27"/>
        <v>10.645899999999999</v>
      </c>
      <c r="CV46" s="78">
        <f t="shared" si="28"/>
        <v>16.738100000000003</v>
      </c>
      <c r="CW46" s="78">
        <f t="shared" si="29"/>
        <v>53.73</v>
      </c>
      <c r="CX46" s="78">
        <f t="shared" si="30"/>
        <v>34.659999999999997</v>
      </c>
      <c r="CY46" s="78">
        <f t="shared" si="31"/>
        <v>14.38</v>
      </c>
      <c r="CZ46" s="78">
        <f t="shared" si="32"/>
        <v>31.21</v>
      </c>
      <c r="DA46" s="78">
        <f t="shared" si="33"/>
        <v>145.99</v>
      </c>
      <c r="DB46" s="78">
        <f t="shared" si="34"/>
        <v>204.39</v>
      </c>
      <c r="DC46" s="78">
        <f t="shared" si="35"/>
        <v>153.25</v>
      </c>
      <c r="DD46" s="78">
        <f t="shared" si="36"/>
        <v>106.86</v>
      </c>
      <c r="DE46" s="78">
        <f t="shared" si="37"/>
        <v>120.06</v>
      </c>
      <c r="DF46" s="78">
        <f t="shared" si="38"/>
        <v>101.2</v>
      </c>
      <c r="DG46" s="78">
        <f t="shared" si="38"/>
        <v>80</v>
      </c>
      <c r="DH46" s="78">
        <f t="shared" si="38"/>
        <v>100</v>
      </c>
      <c r="DI46" s="78">
        <v>50</v>
      </c>
      <c r="DK46" s="78">
        <v>70</v>
      </c>
      <c r="DL46" s="78">
        <v>70</v>
      </c>
      <c r="DM46" s="6"/>
      <c r="DN46" s="78">
        <v>70</v>
      </c>
      <c r="DO46" s="78">
        <v>70</v>
      </c>
      <c r="DQ46" s="77">
        <v>15</v>
      </c>
      <c r="DR46" s="78">
        <v>37.5</v>
      </c>
      <c r="DS46" s="78">
        <v>45</v>
      </c>
      <c r="DT46" s="78">
        <v>50</v>
      </c>
      <c r="DV46" s="78">
        <v>45</v>
      </c>
      <c r="DW46" s="78">
        <v>50</v>
      </c>
      <c r="DX46" s="78">
        <v>50</v>
      </c>
      <c r="EA46" s="77">
        <v>9</v>
      </c>
      <c r="EB46" s="77">
        <v>10</v>
      </c>
      <c r="EC46" s="77">
        <v>12</v>
      </c>
      <c r="ED46" s="78">
        <v>45</v>
      </c>
      <c r="EE46" s="78">
        <v>50</v>
      </c>
      <c r="EF46" s="78">
        <v>50</v>
      </c>
      <c r="EJ46" s="77">
        <v>3</v>
      </c>
      <c r="EK46" s="77">
        <v>6.48</v>
      </c>
      <c r="EL46" s="78">
        <v>18</v>
      </c>
      <c r="EM46" s="78">
        <v>25</v>
      </c>
      <c r="EN46" s="78">
        <v>30</v>
      </c>
      <c r="EP46" s="77">
        <v>1.7100000000000004</v>
      </c>
      <c r="EQ46" s="78">
        <v>5</v>
      </c>
      <c r="ER46" s="78">
        <v>10</v>
      </c>
      <c r="ES46" s="78">
        <v>15</v>
      </c>
      <c r="EV46" s="77">
        <v>8</v>
      </c>
      <c r="EW46" s="77">
        <v>30</v>
      </c>
      <c r="EX46" s="77">
        <v>30</v>
      </c>
      <c r="EY46" s="77">
        <v>30</v>
      </c>
      <c r="EZ46" s="78">
        <v>30</v>
      </c>
      <c r="FA46" s="78">
        <v>30</v>
      </c>
      <c r="FD46" s="77">
        <v>12</v>
      </c>
      <c r="FE46" s="77">
        <v>30</v>
      </c>
      <c r="FF46" s="77">
        <v>30</v>
      </c>
      <c r="FG46" s="78">
        <v>40</v>
      </c>
      <c r="FH46" s="78">
        <v>40</v>
      </c>
      <c r="FK46" s="78">
        <v>40</v>
      </c>
      <c r="FL46" s="78">
        <v>40</v>
      </c>
      <c r="FO46" s="77">
        <v>30</v>
      </c>
      <c r="FP46" s="77">
        <v>30</v>
      </c>
      <c r="FQ46" s="78">
        <v>40</v>
      </c>
      <c r="FR46" s="78">
        <v>40</v>
      </c>
      <c r="FU46" s="77">
        <v>2.7699999999999996</v>
      </c>
      <c r="FV46" s="78">
        <v>27</v>
      </c>
      <c r="FW46" s="78">
        <v>15</v>
      </c>
      <c r="FX46" s="78">
        <v>20</v>
      </c>
      <c r="FY46" s="78">
        <v>40</v>
      </c>
      <c r="GA46" s="78">
        <v>15</v>
      </c>
      <c r="GB46" s="78">
        <v>20</v>
      </c>
      <c r="GC46" s="78">
        <v>40</v>
      </c>
      <c r="GF46" s="77">
        <v>25.8</v>
      </c>
      <c r="GG46" s="77"/>
      <c r="GH46" s="77"/>
      <c r="GI46" s="78">
        <v>70</v>
      </c>
      <c r="GJ46" s="78">
        <v>50</v>
      </c>
      <c r="GK46" s="78">
        <v>50</v>
      </c>
      <c r="GN46" s="77">
        <v>51.3</v>
      </c>
      <c r="GO46" s="25"/>
      <c r="GP46" s="78">
        <v>70</v>
      </c>
      <c r="GQ46" s="78">
        <v>50</v>
      </c>
      <c r="GR46" s="78">
        <v>50</v>
      </c>
      <c r="GV46" s="77">
        <v>69.599999999999994</v>
      </c>
      <c r="GW46" s="78">
        <v>110</v>
      </c>
      <c r="GX46" s="78">
        <v>75</v>
      </c>
      <c r="GY46" s="78">
        <v>65</v>
      </c>
      <c r="HC46" s="13">
        <v>45.219999999999992</v>
      </c>
      <c r="HD46" s="78">
        <v>180</v>
      </c>
      <c r="HE46" s="78">
        <v>180</v>
      </c>
      <c r="HF46" s="76">
        <v>180</v>
      </c>
      <c r="HI46" s="77">
        <v>70</v>
      </c>
      <c r="HJ46" s="77">
        <v>70</v>
      </c>
      <c r="HK46" s="77">
        <v>70</v>
      </c>
      <c r="HL46" s="77">
        <v>70</v>
      </c>
      <c r="HM46" s="78">
        <v>280</v>
      </c>
      <c r="HN46" s="76">
        <v>280</v>
      </c>
      <c r="HO46" s="76">
        <v>280</v>
      </c>
      <c r="HR46" s="77">
        <v>70</v>
      </c>
      <c r="HS46" s="77">
        <v>70</v>
      </c>
      <c r="HT46" s="77">
        <v>82</v>
      </c>
      <c r="HU46" s="78">
        <v>280</v>
      </c>
      <c r="HV46" s="76">
        <v>280</v>
      </c>
      <c r="HW46" s="76">
        <v>280</v>
      </c>
      <c r="HZ46" s="77">
        <v>35</v>
      </c>
      <c r="IA46" s="78">
        <v>150</v>
      </c>
      <c r="IB46" s="76">
        <v>150</v>
      </c>
      <c r="IC46" s="76">
        <v>150</v>
      </c>
      <c r="IE46" s="77">
        <v>30.86</v>
      </c>
      <c r="IF46" s="78">
        <v>135</v>
      </c>
      <c r="IG46" s="76">
        <v>150</v>
      </c>
      <c r="IH46" s="76">
        <v>150</v>
      </c>
      <c r="IK46" s="76">
        <v>150</v>
      </c>
      <c r="IL46" s="76">
        <v>150</v>
      </c>
      <c r="IO46" s="76">
        <v>200</v>
      </c>
      <c r="IP46" s="76">
        <v>200</v>
      </c>
      <c r="IS46" s="36">
        <v>1108.5426001199999</v>
      </c>
      <c r="IT46" s="36">
        <v>1471.7903064671996</v>
      </c>
      <c r="IU46" s="36">
        <v>1730.2145817521919</v>
      </c>
      <c r="IX46" s="26">
        <v>23.830000000000005</v>
      </c>
      <c r="IY46" s="76">
        <v>90</v>
      </c>
      <c r="IZ46" s="76">
        <v>115</v>
      </c>
      <c r="JA46" s="76">
        <v>150</v>
      </c>
      <c r="JD46" s="76">
        <v>150</v>
      </c>
      <c r="JE46" s="76">
        <v>180</v>
      </c>
      <c r="JH46" s="76">
        <v>150</v>
      </c>
      <c r="JI46" s="76">
        <v>180</v>
      </c>
      <c r="JJ46" s="76">
        <v>200</v>
      </c>
      <c r="JM46" s="76">
        <v>180</v>
      </c>
      <c r="JN46" s="76">
        <v>200</v>
      </c>
      <c r="JQ46" s="76">
        <v>115</v>
      </c>
      <c r="JR46" s="76">
        <v>125</v>
      </c>
      <c r="JS46" s="76">
        <v>140</v>
      </c>
      <c r="JV46" s="76">
        <v>125</v>
      </c>
      <c r="JW46" s="76">
        <v>140</v>
      </c>
      <c r="JY46" s="76">
        <v>125</v>
      </c>
      <c r="JZ46" s="76">
        <v>140</v>
      </c>
      <c r="KB46" s="76">
        <v>125</v>
      </c>
      <c r="KC46" s="76">
        <v>140</v>
      </c>
      <c r="KD46" s="76">
        <v>150</v>
      </c>
    </row>
    <row r="47" spans="1:290" x14ac:dyDescent="0.25">
      <c r="A47" s="226" t="e">
        <f>+B44-B45+B46</f>
        <v>#VALUE!</v>
      </c>
      <c r="B47" s="34" t="s">
        <v>169</v>
      </c>
      <c r="C47" s="35"/>
      <c r="D47" s="35">
        <f t="shared" ref="D47:BO47" si="103">D44-D45+D46</f>
        <v>0</v>
      </c>
      <c r="E47" s="35">
        <f t="shared" si="103"/>
        <v>0</v>
      </c>
      <c r="F47" s="35">
        <f t="shared" si="103"/>
        <v>0</v>
      </c>
      <c r="G47" s="35">
        <f t="shared" si="103"/>
        <v>0</v>
      </c>
      <c r="H47" s="36">
        <f t="shared" si="103"/>
        <v>0</v>
      </c>
      <c r="I47" s="35">
        <f t="shared" si="103"/>
        <v>31.109999999999964</v>
      </c>
      <c r="J47" s="35">
        <f t="shared" si="103"/>
        <v>40.025800000000061</v>
      </c>
      <c r="K47" s="35">
        <f t="shared" si="103"/>
        <v>48.272000000000048</v>
      </c>
      <c r="L47" s="35">
        <f t="shared" si="103"/>
        <v>60.222500000000025</v>
      </c>
      <c r="M47" s="36">
        <f t="shared" si="103"/>
        <v>179.63029999999975</v>
      </c>
      <c r="N47" s="35">
        <f t="shared" si="103"/>
        <v>23.591900000000017</v>
      </c>
      <c r="O47" s="35">
        <f t="shared" si="103"/>
        <v>37.638299999999923</v>
      </c>
      <c r="P47" s="35">
        <f t="shared" si="103"/>
        <v>54.679400000000044</v>
      </c>
      <c r="Q47" s="35">
        <f t="shared" si="103"/>
        <v>95.04320000000007</v>
      </c>
      <c r="R47" s="36">
        <f t="shared" si="103"/>
        <v>210.95280000000008</v>
      </c>
      <c r="S47" s="35">
        <f t="shared" si="103"/>
        <v>38.965299999999935</v>
      </c>
      <c r="T47" s="35">
        <f t="shared" si="103"/>
        <v>66.339700000000022</v>
      </c>
      <c r="U47" s="35">
        <f t="shared" si="103"/>
        <v>75.827600000000032</v>
      </c>
      <c r="V47" s="35">
        <f t="shared" si="103"/>
        <v>102.8144999999998</v>
      </c>
      <c r="W47" s="36">
        <f t="shared" si="103"/>
        <v>283.94709999999981</v>
      </c>
      <c r="X47" s="35">
        <f t="shared" si="103"/>
        <v>43.013000000000076</v>
      </c>
      <c r="Y47" s="35">
        <f t="shared" si="103"/>
        <v>47.40699999999984</v>
      </c>
      <c r="Z47" s="35">
        <f t="shared" si="103"/>
        <v>58.334400000000045</v>
      </c>
      <c r="AA47" s="35">
        <f t="shared" si="103"/>
        <v>109.81680000000014</v>
      </c>
      <c r="AB47" s="36">
        <f t="shared" si="103"/>
        <v>258.57120000000003</v>
      </c>
      <c r="AC47" s="35">
        <f t="shared" si="103"/>
        <v>25.06709999999994</v>
      </c>
      <c r="AD47" s="35">
        <f t="shared" si="103"/>
        <v>5.4905999999997732</v>
      </c>
      <c r="AE47" s="35">
        <f t="shared" si="103"/>
        <v>48.449099999999973</v>
      </c>
      <c r="AF47" s="35">
        <f t="shared" si="103"/>
        <v>141.35239999999993</v>
      </c>
      <c r="AG47" s="36">
        <f t="shared" si="103"/>
        <v>220.35919999999896</v>
      </c>
      <c r="AH47" s="35">
        <f t="shared" si="103"/>
        <v>24.543100000000031</v>
      </c>
      <c r="AI47" s="35">
        <f t="shared" si="103"/>
        <v>82.125800000000083</v>
      </c>
      <c r="AJ47" s="35">
        <f t="shared" si="103"/>
        <v>125.11912999999991</v>
      </c>
      <c r="AK47" s="36">
        <f t="shared" si="103"/>
        <v>231.78802999999922</v>
      </c>
      <c r="AL47" s="35">
        <f t="shared" si="103"/>
        <v>115.23210000000002</v>
      </c>
      <c r="AM47" s="35">
        <f t="shared" si="103"/>
        <v>66.166499999999772</v>
      </c>
      <c r="AN47" s="35">
        <f t="shared" si="103"/>
        <v>100.80059999999992</v>
      </c>
      <c r="AO47" s="35">
        <f t="shared" si="103"/>
        <v>148.16000000000011</v>
      </c>
      <c r="AP47" s="36">
        <f t="shared" si="103"/>
        <v>430.40000000000043</v>
      </c>
      <c r="AQ47" s="35">
        <f t="shared" si="103"/>
        <v>78.380000000000109</v>
      </c>
      <c r="AR47" s="35">
        <f t="shared" si="103"/>
        <v>70.819999999999922</v>
      </c>
      <c r="AS47" s="35">
        <f t="shared" si="103"/>
        <v>104.22000000000003</v>
      </c>
      <c r="AT47" s="35">
        <f t="shared" si="103"/>
        <v>178.32</v>
      </c>
      <c r="AU47" s="36">
        <f t="shared" si="103"/>
        <v>431.74999999999977</v>
      </c>
      <c r="AV47" s="35">
        <f t="shared" si="103"/>
        <v>96.880000000000067</v>
      </c>
      <c r="AW47" s="35">
        <f t="shared" si="103"/>
        <v>72.780000000000129</v>
      </c>
      <c r="AX47" s="35">
        <f t="shared" si="103"/>
        <v>80.980000000000203</v>
      </c>
      <c r="AY47" s="35">
        <f t="shared" si="103"/>
        <v>112.66000000000012</v>
      </c>
      <c r="AZ47" s="36">
        <f t="shared" si="103"/>
        <v>344.15999999999963</v>
      </c>
      <c r="BA47" s="35">
        <f t="shared" si="103"/>
        <v>87.123000000000076</v>
      </c>
      <c r="BB47" s="35">
        <f t="shared" si="103"/>
        <v>119.65000000000022</v>
      </c>
      <c r="BC47" s="35">
        <f t="shared" si="103"/>
        <v>123.39000000000009</v>
      </c>
      <c r="BD47" s="35">
        <f t="shared" si="103"/>
        <v>159.7300000000001</v>
      </c>
      <c r="BE47" s="36">
        <f t="shared" si="103"/>
        <v>509.99999999999943</v>
      </c>
      <c r="BF47" s="35">
        <f t="shared" si="103"/>
        <v>40.550000000000111</v>
      </c>
      <c r="BG47" s="35">
        <f t="shared" si="103"/>
        <v>174.95000000000016</v>
      </c>
      <c r="BH47" s="35">
        <f t="shared" si="103"/>
        <v>312.29999999999995</v>
      </c>
      <c r="BI47" s="35">
        <f t="shared" si="103"/>
        <v>450.42000000000007</v>
      </c>
      <c r="BJ47" s="36">
        <f t="shared" si="103"/>
        <v>778.14</v>
      </c>
      <c r="BK47" s="35">
        <f t="shared" si="103"/>
        <v>170.16</v>
      </c>
      <c r="BL47" s="35">
        <f t="shared" si="103"/>
        <v>228.70699999999994</v>
      </c>
      <c r="BM47" s="35">
        <f t="shared" si="103"/>
        <v>245.72000000000011</v>
      </c>
      <c r="BN47" s="35">
        <f t="shared" si="103"/>
        <v>323.8599999999999</v>
      </c>
      <c r="BO47" s="36">
        <f t="shared" si="103"/>
        <v>968.4499999999997</v>
      </c>
      <c r="BP47" s="35">
        <f t="shared" ref="BP47:CN47" si="104">BP44-BP45+BP46</f>
        <v>213.84999999999985</v>
      </c>
      <c r="BQ47" s="35">
        <f t="shared" si="104"/>
        <v>82.019999999999911</v>
      </c>
      <c r="BR47" s="35">
        <f t="shared" si="104"/>
        <v>210.02999999999997</v>
      </c>
      <c r="BS47" s="35">
        <f t="shared" si="104"/>
        <v>359.42999999999972</v>
      </c>
      <c r="BT47" s="36">
        <f t="shared" si="104"/>
        <v>865.2299999999999</v>
      </c>
      <c r="BU47" s="35">
        <f t="shared" si="104"/>
        <v>215.53999999999991</v>
      </c>
      <c r="BV47" s="35">
        <f t="shared" si="104"/>
        <v>243.18999999999997</v>
      </c>
      <c r="BW47" s="35">
        <f t="shared" si="104"/>
        <v>256.17000000000007</v>
      </c>
      <c r="BX47" s="35">
        <f t="shared" si="104"/>
        <v>354.81999999999954</v>
      </c>
      <c r="BY47" s="36">
        <f t="shared" si="104"/>
        <v>1070.0200000000016</v>
      </c>
      <c r="BZ47" s="35">
        <f t="shared" si="104"/>
        <v>273.37</v>
      </c>
      <c r="CA47" s="35">
        <f t="shared" si="104"/>
        <v>241.60000000000002</v>
      </c>
      <c r="CB47" s="35">
        <f t="shared" si="104"/>
        <v>186.97000000000011</v>
      </c>
      <c r="CC47" s="35">
        <f t="shared" si="104"/>
        <v>295.20000000000016</v>
      </c>
      <c r="CD47" s="36">
        <f t="shared" si="104"/>
        <v>962.01999999999771</v>
      </c>
      <c r="CE47" s="35">
        <f t="shared" si="104"/>
        <v>202.30000000000015</v>
      </c>
      <c r="CF47" s="35">
        <f t="shared" si="104"/>
        <v>164.74000000000012</v>
      </c>
      <c r="CG47" s="35">
        <f t="shared" si="104"/>
        <v>168.74999999999986</v>
      </c>
      <c r="CH47" s="35">
        <f t="shared" si="104"/>
        <v>352.56999999999965</v>
      </c>
      <c r="CI47" s="36">
        <f t="shared" si="104"/>
        <v>953.97999999999911</v>
      </c>
      <c r="CJ47" s="36">
        <f t="shared" ca="1" si="104"/>
        <v>1117.265679825123</v>
      </c>
      <c r="CK47" s="36">
        <f t="shared" ca="1" si="104"/>
        <v>1311.9881750685995</v>
      </c>
      <c r="CL47" s="36">
        <f t="shared" ca="1" si="104"/>
        <v>1552.9467684654373</v>
      </c>
      <c r="CM47" s="36">
        <f t="shared" ca="1" si="104"/>
        <v>1771.8624378579498</v>
      </c>
      <c r="CN47" s="36">
        <f t="shared" ca="1" si="104"/>
        <v>1948.3517334184241</v>
      </c>
      <c r="CO47" s="67"/>
      <c r="CP47" s="67"/>
      <c r="CQ47" s="6"/>
      <c r="CR47" s="6"/>
      <c r="CS47" s="6"/>
      <c r="CT47" s="36">
        <f t="shared" si="26"/>
        <v>258.57120000000003</v>
      </c>
      <c r="CU47" s="36">
        <f t="shared" si="27"/>
        <v>220.35919999999896</v>
      </c>
      <c r="CV47" s="36">
        <f t="shared" si="28"/>
        <v>231.78802999999922</v>
      </c>
      <c r="CW47" s="36">
        <f t="shared" si="29"/>
        <v>430.40000000000043</v>
      </c>
      <c r="CX47" s="36">
        <f t="shared" si="30"/>
        <v>431.74999999999977</v>
      </c>
      <c r="CY47" s="36">
        <f t="shared" si="31"/>
        <v>344.15999999999963</v>
      </c>
      <c r="CZ47" s="36">
        <f t="shared" si="32"/>
        <v>509.99999999999943</v>
      </c>
      <c r="DA47" s="36">
        <f t="shared" si="33"/>
        <v>778.14</v>
      </c>
      <c r="DB47" s="36">
        <f t="shared" si="34"/>
        <v>968.4499999999997</v>
      </c>
      <c r="DC47" s="36">
        <f t="shared" si="35"/>
        <v>865.2299999999999</v>
      </c>
      <c r="DD47" s="36">
        <f t="shared" si="36"/>
        <v>1070.0200000000016</v>
      </c>
      <c r="DE47" s="36">
        <f t="shared" si="37"/>
        <v>962.01999999999771</v>
      </c>
      <c r="DF47" s="36">
        <f t="shared" si="38"/>
        <v>953.97999999999911</v>
      </c>
      <c r="DG47" s="36">
        <f t="shared" ca="1" si="38"/>
        <v>1117.265679825123</v>
      </c>
      <c r="DH47" s="36">
        <f t="shared" ca="1" si="38"/>
        <v>1311.9881750685995</v>
      </c>
      <c r="DI47" s="36">
        <v>591.97742715591312</v>
      </c>
      <c r="DK47" s="36">
        <v>497.62470784000004</v>
      </c>
      <c r="DL47" s="36">
        <v>564.25056693760007</v>
      </c>
      <c r="DM47" s="6"/>
      <c r="DN47" s="36">
        <v>540.19661196000004</v>
      </c>
      <c r="DO47" s="36">
        <v>605.23353763440014</v>
      </c>
      <c r="DQ47" s="35">
        <v>135.14052168900002</v>
      </c>
      <c r="DR47" s="36">
        <v>396.29197201200003</v>
      </c>
      <c r="DS47" s="36">
        <v>489.51961711410001</v>
      </c>
      <c r="DT47" s="36">
        <v>591.97742715591312</v>
      </c>
      <c r="DV47" s="36">
        <v>489.48879999999997</v>
      </c>
      <c r="DW47" s="36">
        <v>591.90951122000001</v>
      </c>
      <c r="DX47" s="36">
        <v>667.12265256640001</v>
      </c>
      <c r="EA47" s="35">
        <v>83.457300834000009</v>
      </c>
      <c r="EB47" s="35">
        <v>123.83189072499999</v>
      </c>
      <c r="EC47" s="35">
        <v>163.44299583</v>
      </c>
      <c r="ED47" s="36">
        <v>489.48879999999997</v>
      </c>
      <c r="EE47" s="36">
        <v>588.55951121999999</v>
      </c>
      <c r="EF47" s="36">
        <v>653.72265256640003</v>
      </c>
      <c r="EJ47" s="35">
        <v>92.074735050000015</v>
      </c>
      <c r="EK47" s="35">
        <v>192.78926494999979</v>
      </c>
      <c r="EL47" s="36">
        <v>454.524</v>
      </c>
      <c r="EM47" s="36">
        <v>553.54130955999995</v>
      </c>
      <c r="EN47" s="36">
        <v>633.72265256640003</v>
      </c>
      <c r="EP47" s="35">
        <v>125.47799999999954</v>
      </c>
      <c r="EQ47" s="36">
        <v>376.11800000000005</v>
      </c>
      <c r="ER47" s="36">
        <v>496.46606799999989</v>
      </c>
      <c r="ES47" s="36">
        <v>602.62743882815994</v>
      </c>
      <c r="EV47" s="35">
        <v>109.88664859999999</v>
      </c>
      <c r="EW47" s="35">
        <v>118.02934800000003</v>
      </c>
      <c r="EX47" s="35">
        <v>145.71771749999996</v>
      </c>
      <c r="EY47" s="35">
        <v>159.11799449999998</v>
      </c>
      <c r="EZ47" s="36">
        <v>507.35159999999996</v>
      </c>
      <c r="FA47" s="36">
        <v>589.29589999999996</v>
      </c>
      <c r="FD47" s="35">
        <v>108.69951480000006</v>
      </c>
      <c r="FE47" s="35">
        <v>145.71771749999996</v>
      </c>
      <c r="FF47" s="35">
        <v>158.90286749999993</v>
      </c>
      <c r="FG47" s="36">
        <v>483.45240000000001</v>
      </c>
      <c r="FH47" s="36">
        <v>601.95600000000013</v>
      </c>
      <c r="FK47" s="36">
        <v>491.9624</v>
      </c>
      <c r="FL47" s="36">
        <v>590.19740000000002</v>
      </c>
      <c r="FO47" s="35">
        <v>137.75062979999998</v>
      </c>
      <c r="FP47" s="35">
        <v>172.01620315999975</v>
      </c>
      <c r="FQ47" s="36">
        <v>473.06983295999999</v>
      </c>
      <c r="FR47" s="36">
        <v>575.08589353679986</v>
      </c>
      <c r="FU47" s="35">
        <v>101.28922249999962</v>
      </c>
      <c r="FV47" s="36">
        <v>431.4522225</v>
      </c>
      <c r="FW47" s="36">
        <v>269.2823919600001</v>
      </c>
      <c r="FX47" s="36">
        <v>434.42236846100025</v>
      </c>
      <c r="FY47" s="36">
        <v>503.38314080660575</v>
      </c>
      <c r="GA47" s="36">
        <v>320.72418600000003</v>
      </c>
      <c r="GB47" s="36">
        <v>511.83277534999991</v>
      </c>
      <c r="GC47" s="36">
        <v>596.56538558672003</v>
      </c>
      <c r="GF47" s="35">
        <v>123.462</v>
      </c>
      <c r="GG47" s="35"/>
      <c r="GH47" s="35"/>
      <c r="GI47" s="36">
        <v>446.63040700000005</v>
      </c>
      <c r="GJ47" s="36">
        <v>629.36024406500007</v>
      </c>
      <c r="GK47" s="36">
        <v>701.41028141209608</v>
      </c>
      <c r="GN47" s="35">
        <v>254.37114750000001</v>
      </c>
      <c r="GO47" s="81"/>
      <c r="GP47" s="36">
        <v>607.90603974999999</v>
      </c>
      <c r="GQ47" s="36">
        <v>674.02942961000019</v>
      </c>
      <c r="GR47" s="36">
        <v>750.59066174230418</v>
      </c>
      <c r="GV47" s="35">
        <v>289.6179169368944</v>
      </c>
      <c r="GW47" s="36">
        <v>782.61110300000018</v>
      </c>
      <c r="GX47" s="36">
        <v>648.28433312999994</v>
      </c>
      <c r="GY47" s="36">
        <v>837.80267196215982</v>
      </c>
      <c r="HC47" s="35">
        <v>306.69318537499993</v>
      </c>
      <c r="HD47" s="36">
        <v>951.28018537500009</v>
      </c>
      <c r="HE47" s="36">
        <v>956.35269573740015</v>
      </c>
      <c r="HF47" s="36">
        <v>1050.9256133400643</v>
      </c>
      <c r="HI47" s="35">
        <v>207.25889499999997</v>
      </c>
      <c r="HJ47" s="35">
        <v>260.04505899999998</v>
      </c>
      <c r="HK47" s="35">
        <v>283.2557425</v>
      </c>
      <c r="HL47" s="35">
        <v>103.25600896</v>
      </c>
      <c r="HM47" s="36">
        <v>853.81570546</v>
      </c>
      <c r="HN47" s="36">
        <v>930.46263166200026</v>
      </c>
      <c r="HO47" s="36">
        <v>985.61107887188007</v>
      </c>
      <c r="HR47" s="35">
        <v>151.96163874999999</v>
      </c>
      <c r="HS47" s="35">
        <v>214.98754450000001</v>
      </c>
      <c r="HT47" s="35">
        <v>273.01652221000001</v>
      </c>
      <c r="HU47" s="36">
        <v>853.81570546</v>
      </c>
      <c r="HV47" s="36">
        <v>1042.21436451</v>
      </c>
      <c r="HW47" s="36">
        <v>1121.3894342822</v>
      </c>
      <c r="HZ47" s="35">
        <v>179.98754450000001</v>
      </c>
      <c r="IA47" s="36">
        <v>773.87497755999993</v>
      </c>
      <c r="IB47" s="36">
        <v>939.84501679200025</v>
      </c>
      <c r="IC47" s="36">
        <v>1066.4838449316003</v>
      </c>
      <c r="IE47" s="35">
        <v>248.93410840000035</v>
      </c>
      <c r="IF47" s="36">
        <v>754.83410839999999</v>
      </c>
      <c r="IG47" s="36">
        <v>986.17215202399984</v>
      </c>
      <c r="IH47" s="36">
        <v>1136.0229743120001</v>
      </c>
      <c r="IK47" s="36">
        <v>983.13815202399974</v>
      </c>
      <c r="IL47" s="36">
        <v>1132.988974312</v>
      </c>
      <c r="IO47" s="36">
        <v>1155.27036748</v>
      </c>
      <c r="IP47" s="36">
        <v>1427.5608769408002</v>
      </c>
      <c r="IS47" s="19">
        <v>0.28121146992129264</v>
      </c>
      <c r="IT47" s="19">
        <v>0.32768042140002396</v>
      </c>
      <c r="IU47" s="19">
        <v>0.17558498255454547</v>
      </c>
      <c r="IX47" s="35">
        <v>343.93037019999986</v>
      </c>
      <c r="IY47" s="36">
        <v>1058.8303701999998</v>
      </c>
      <c r="IZ47" s="36">
        <v>1451.5992929919998</v>
      </c>
      <c r="JA47" s="36">
        <v>1704.3984461209598</v>
      </c>
      <c r="JD47" s="36">
        <v>1526.1796982999999</v>
      </c>
      <c r="JE47" s="36">
        <v>1839.54572418</v>
      </c>
      <c r="JH47" s="36">
        <v>1378.48354896</v>
      </c>
      <c r="JI47" s="36">
        <v>1690.7042286659998</v>
      </c>
      <c r="JJ47" s="36">
        <v>1948.1977746909197</v>
      </c>
      <c r="JM47" s="36">
        <v>1605.1918850075997</v>
      </c>
      <c r="JN47" s="36">
        <v>1849.7018971322836</v>
      </c>
      <c r="JQ47" s="36">
        <v>963.28825187000007</v>
      </c>
      <c r="JR47" s="36">
        <v>1180.8327558064004</v>
      </c>
      <c r="JS47" s="36">
        <v>1375.4602608806806</v>
      </c>
      <c r="JV47" s="36">
        <v>1159.7735106799998</v>
      </c>
      <c r="JW47" s="36">
        <v>1352.1355401184003</v>
      </c>
      <c r="JY47" s="36">
        <v>1194.3608916399999</v>
      </c>
      <c r="JZ47" s="36">
        <v>1392.6342189152001</v>
      </c>
      <c r="KB47" s="36">
        <v>961.2667627999997</v>
      </c>
      <c r="KC47" s="36">
        <v>1224.755895966</v>
      </c>
      <c r="KD47" s="36">
        <v>1387.5193075447605</v>
      </c>
    </row>
    <row r="48" spans="1:290" x14ac:dyDescent="0.25">
      <c r="A48" s="7" t="s">
        <v>259</v>
      </c>
      <c r="B48" s="11" t="s">
        <v>170</v>
      </c>
      <c r="C48" s="12"/>
      <c r="D48" s="12"/>
      <c r="E48" s="12"/>
      <c r="F48" s="12"/>
      <c r="G48" s="12"/>
      <c r="H48" s="13"/>
      <c r="I48" s="77">
        <v>14.65</v>
      </c>
      <c r="J48" s="77">
        <v>1.5618000000000003</v>
      </c>
      <c r="K48" s="77">
        <v>0</v>
      </c>
      <c r="L48" s="77">
        <v>0</v>
      </c>
      <c r="M48" s="78">
        <f>I48+J48+K48+L48</f>
        <v>16.2118</v>
      </c>
      <c r="N48" s="77">
        <v>8.9567999999999977</v>
      </c>
      <c r="O48" s="77">
        <v>21.647600000000001</v>
      </c>
      <c r="P48" s="77">
        <v>0</v>
      </c>
      <c r="Q48" s="77">
        <v>0</v>
      </c>
      <c r="R48" s="78">
        <f>N48+O48+P48+Q48</f>
        <v>30.604399999999998</v>
      </c>
      <c r="S48" s="77">
        <v>0</v>
      </c>
      <c r="T48" s="77">
        <v>0</v>
      </c>
      <c r="U48" s="77">
        <v>0</v>
      </c>
      <c r="V48" s="77">
        <v>6.1239000000000008</v>
      </c>
      <c r="W48" s="78">
        <f>S48+T48+U48+V48</f>
        <v>6.1239000000000008</v>
      </c>
      <c r="X48" s="77">
        <v>0</v>
      </c>
      <c r="Y48" s="77">
        <v>15.238399999999999</v>
      </c>
      <c r="Z48" s="77">
        <v>0</v>
      </c>
      <c r="AA48" s="77">
        <v>9.6801999999999992</v>
      </c>
      <c r="AB48" s="78">
        <f>X48+Y48+Z48+AA48</f>
        <v>24.918599999999998</v>
      </c>
      <c r="AC48" s="77">
        <v>0</v>
      </c>
      <c r="AD48" s="77">
        <v>29.768600000000003</v>
      </c>
      <c r="AE48" s="77">
        <v>53.784400000000005</v>
      </c>
      <c r="AF48" s="77">
        <v>18.443100000000001</v>
      </c>
      <c r="AG48" s="78">
        <f>AC48+AD48+AE48+AF48</f>
        <v>101.99610000000001</v>
      </c>
      <c r="AH48" s="77">
        <v>0</v>
      </c>
      <c r="AI48" s="77">
        <v>0</v>
      </c>
      <c r="AJ48" s="77">
        <v>-7.6890000000000001</v>
      </c>
      <c r="AK48" s="78">
        <f>AH48+AI48+AJ48</f>
        <v>-7.6890000000000001</v>
      </c>
      <c r="AL48" s="77">
        <v>0</v>
      </c>
      <c r="AM48" s="77">
        <v>0</v>
      </c>
      <c r="AN48" s="77">
        <v>0</v>
      </c>
      <c r="AO48" s="77">
        <v>0</v>
      </c>
      <c r="AP48" s="78">
        <v>0</v>
      </c>
      <c r="AQ48" s="77"/>
      <c r="AR48" s="77"/>
      <c r="AS48" s="77"/>
      <c r="AT48" s="77"/>
      <c r="AU48" s="78">
        <v>0</v>
      </c>
      <c r="AV48" s="77">
        <f>55.88-16.41</f>
        <v>39.47</v>
      </c>
      <c r="AW48" s="82">
        <v>34.6</v>
      </c>
      <c r="AX48" s="77"/>
      <c r="AY48" s="77">
        <v>11.31</v>
      </c>
      <c r="AZ48" s="78">
        <f>67.19-18.6+55.86</f>
        <v>104.44999999999999</v>
      </c>
      <c r="BA48" s="77">
        <v>0</v>
      </c>
      <c r="BB48" s="77">
        <f>33.63-9.7-4</f>
        <v>19.930000000000003</v>
      </c>
      <c r="BC48" s="77">
        <v>0</v>
      </c>
      <c r="BD48" s="77">
        <v>-42.45</v>
      </c>
      <c r="BE48" s="78">
        <v>-42.45</v>
      </c>
      <c r="BF48" s="77"/>
      <c r="BG48" s="77"/>
      <c r="BH48" s="77"/>
      <c r="BI48" s="77"/>
      <c r="BJ48" s="78">
        <v>0</v>
      </c>
      <c r="BK48" s="77"/>
      <c r="BL48" s="77"/>
      <c r="BM48" s="77"/>
      <c r="BN48" s="77"/>
      <c r="BO48" s="78">
        <v>0</v>
      </c>
      <c r="BP48" s="77"/>
      <c r="BQ48" s="77"/>
      <c r="BR48" s="77"/>
      <c r="BS48" s="77"/>
      <c r="BT48" s="78">
        <v>0</v>
      </c>
      <c r="BU48" s="77"/>
      <c r="BV48" s="77"/>
      <c r="BW48" s="77"/>
      <c r="BX48" s="77"/>
      <c r="BY48" s="78">
        <v>0</v>
      </c>
      <c r="BZ48" s="77"/>
      <c r="CA48" s="77"/>
      <c r="CB48" s="77"/>
      <c r="CC48" s="77"/>
      <c r="CD48" s="78">
        <v>0</v>
      </c>
      <c r="CE48" s="77"/>
      <c r="CF48" s="77"/>
      <c r="CG48" s="77">
        <v>-15.38</v>
      </c>
      <c r="CH48" s="77">
        <f>15.4-14.4</f>
        <v>1</v>
      </c>
      <c r="CI48" s="78">
        <f>SUM(CE48:CH48)</f>
        <v>-14.38</v>
      </c>
      <c r="CJ48" s="78">
        <v>0</v>
      </c>
      <c r="CK48" s="78">
        <v>0</v>
      </c>
      <c r="CL48" s="78">
        <v>0</v>
      </c>
      <c r="CM48" s="78">
        <v>0</v>
      </c>
      <c r="CN48" s="78">
        <v>0</v>
      </c>
      <c r="CO48" s="79"/>
      <c r="CP48" s="79"/>
      <c r="CQ48" s="6"/>
      <c r="CR48" s="6"/>
      <c r="CS48" s="6"/>
      <c r="CT48" s="78">
        <f t="shared" si="26"/>
        <v>24.918599999999998</v>
      </c>
      <c r="CU48" s="78">
        <f t="shared" si="27"/>
        <v>101.99610000000001</v>
      </c>
      <c r="CV48" s="78">
        <f t="shared" si="28"/>
        <v>-7.6890000000000001</v>
      </c>
      <c r="CW48" s="78">
        <f t="shared" si="29"/>
        <v>0</v>
      </c>
      <c r="CX48" s="78">
        <f t="shared" si="30"/>
        <v>0</v>
      </c>
      <c r="CY48" s="78">
        <f t="shared" si="31"/>
        <v>104.44999999999999</v>
      </c>
      <c r="CZ48" s="78">
        <f t="shared" si="32"/>
        <v>-42.45</v>
      </c>
      <c r="DA48" s="78">
        <f t="shared" si="33"/>
        <v>0</v>
      </c>
      <c r="DB48" s="78">
        <f t="shared" si="34"/>
        <v>0</v>
      </c>
      <c r="DC48" s="78">
        <f t="shared" si="35"/>
        <v>0</v>
      </c>
      <c r="DD48" s="78">
        <f t="shared" si="36"/>
        <v>0</v>
      </c>
      <c r="DE48" s="78">
        <f t="shared" si="37"/>
        <v>0</v>
      </c>
      <c r="DF48" s="78">
        <f t="shared" ref="DF48:DH53" si="105">CI48</f>
        <v>-14.38</v>
      </c>
      <c r="DG48" s="78">
        <f t="shared" si="105"/>
        <v>0</v>
      </c>
      <c r="DH48" s="78">
        <f t="shared" si="105"/>
        <v>0</v>
      </c>
      <c r="DI48" s="78">
        <v>0</v>
      </c>
      <c r="DK48" s="78">
        <v>0</v>
      </c>
      <c r="DL48" s="78">
        <v>0</v>
      </c>
      <c r="DM48" s="6"/>
      <c r="DN48" s="78">
        <v>0</v>
      </c>
      <c r="DO48" s="78">
        <v>0</v>
      </c>
      <c r="DQ48" s="77">
        <v>0</v>
      </c>
      <c r="DR48" s="78">
        <v>0</v>
      </c>
      <c r="DS48" s="78">
        <v>0</v>
      </c>
      <c r="DT48" s="78">
        <v>0</v>
      </c>
      <c r="DV48" s="78">
        <v>0</v>
      </c>
      <c r="DW48" s="78">
        <v>0</v>
      </c>
      <c r="DX48" s="78">
        <v>0</v>
      </c>
      <c r="EA48" s="77"/>
      <c r="EB48" s="77"/>
      <c r="EC48" s="77"/>
      <c r="ED48" s="78">
        <v>0</v>
      </c>
      <c r="EE48" s="78">
        <v>0</v>
      </c>
      <c r="EF48" s="78">
        <v>0</v>
      </c>
      <c r="EJ48" s="77"/>
      <c r="EK48" s="77"/>
      <c r="EL48" s="78">
        <v>74.069999999999993</v>
      </c>
      <c r="EM48" s="78">
        <v>0</v>
      </c>
      <c r="EN48" s="78">
        <v>0</v>
      </c>
      <c r="EP48" s="77"/>
      <c r="EQ48" s="78">
        <v>74.069999999999993</v>
      </c>
      <c r="ER48" s="78">
        <v>0</v>
      </c>
      <c r="ES48" s="78">
        <v>0</v>
      </c>
      <c r="EV48" s="77">
        <v>0</v>
      </c>
      <c r="EW48" s="77">
        <v>0</v>
      </c>
      <c r="EX48" s="77">
        <v>0</v>
      </c>
      <c r="EY48" s="77">
        <v>0</v>
      </c>
      <c r="EZ48" s="78">
        <v>0</v>
      </c>
      <c r="FA48" s="78">
        <v>0</v>
      </c>
      <c r="FD48" s="77">
        <v>0</v>
      </c>
      <c r="FE48" s="77">
        <v>0</v>
      </c>
      <c r="FF48" s="77">
        <v>0</v>
      </c>
      <c r="FG48" s="78">
        <v>0</v>
      </c>
      <c r="FH48" s="78">
        <v>0</v>
      </c>
      <c r="FK48" s="78">
        <v>0</v>
      </c>
      <c r="FL48" s="78">
        <v>0</v>
      </c>
      <c r="FO48" s="77">
        <v>0</v>
      </c>
      <c r="FP48" s="77">
        <v>0</v>
      </c>
      <c r="FQ48" s="78">
        <v>0</v>
      </c>
      <c r="FR48" s="78">
        <v>0</v>
      </c>
      <c r="FU48" s="77">
        <v>0</v>
      </c>
      <c r="FV48" s="78">
        <v>0</v>
      </c>
      <c r="FW48" s="78">
        <v>0</v>
      </c>
      <c r="FX48" s="78">
        <v>0</v>
      </c>
      <c r="FY48" s="78">
        <v>0</v>
      </c>
      <c r="GA48" s="78">
        <v>0</v>
      </c>
      <c r="GB48" s="78">
        <v>0</v>
      </c>
      <c r="GC48" s="78">
        <v>0</v>
      </c>
      <c r="GF48" s="77"/>
      <c r="GG48" s="77"/>
      <c r="GH48" s="77"/>
      <c r="GI48" s="78">
        <v>0</v>
      </c>
      <c r="GJ48" s="78">
        <v>0</v>
      </c>
      <c r="GK48" s="78">
        <v>0</v>
      </c>
      <c r="GN48" s="77"/>
      <c r="GO48" s="77"/>
      <c r="GP48" s="78">
        <v>0</v>
      </c>
      <c r="GQ48" s="78">
        <v>0</v>
      </c>
      <c r="GR48" s="78">
        <v>0</v>
      </c>
      <c r="GV48" s="24"/>
      <c r="GW48" s="78">
        <v>0</v>
      </c>
      <c r="GX48" s="78">
        <v>0</v>
      </c>
      <c r="GY48" s="78">
        <v>0</v>
      </c>
      <c r="HC48" s="78"/>
      <c r="HD48" s="78">
        <v>0</v>
      </c>
      <c r="HE48" s="78">
        <v>0</v>
      </c>
      <c r="HF48" s="78">
        <v>0</v>
      </c>
      <c r="HI48" s="24"/>
      <c r="HJ48" s="24"/>
      <c r="HK48" s="24"/>
      <c r="HL48" s="24"/>
      <c r="HM48" s="78">
        <v>0</v>
      </c>
      <c r="HN48" s="78">
        <v>0</v>
      </c>
      <c r="HO48" s="78">
        <v>0</v>
      </c>
      <c r="HR48" s="24"/>
      <c r="HS48" s="24"/>
      <c r="HT48" s="24"/>
      <c r="HU48" s="78">
        <v>0</v>
      </c>
      <c r="HV48" s="78">
        <v>0</v>
      </c>
      <c r="HW48" s="78">
        <v>0</v>
      </c>
      <c r="HZ48" s="24"/>
      <c r="IA48" s="78">
        <v>0</v>
      </c>
      <c r="IB48" s="78">
        <v>0</v>
      </c>
      <c r="IC48" s="78">
        <v>0</v>
      </c>
      <c r="IE48" s="24"/>
      <c r="IF48" s="78">
        <v>0</v>
      </c>
      <c r="IG48" s="78">
        <v>0</v>
      </c>
      <c r="IH48" s="78">
        <v>0</v>
      </c>
      <c r="IK48" s="78">
        <v>0</v>
      </c>
      <c r="IL48" s="78">
        <v>0</v>
      </c>
      <c r="IO48" s="78">
        <v>0</v>
      </c>
      <c r="IP48" s="78">
        <v>0</v>
      </c>
      <c r="IS48" s="36">
        <v>1108.5426001199999</v>
      </c>
      <c r="IT48" s="36">
        <v>1471.7903064671996</v>
      </c>
      <c r="IU48" s="36">
        <v>1730.2145817521919</v>
      </c>
      <c r="IX48" s="78"/>
      <c r="IY48" s="78">
        <v>0</v>
      </c>
      <c r="IZ48" s="78">
        <v>0</v>
      </c>
      <c r="JA48" s="78">
        <v>0</v>
      </c>
      <c r="JD48" s="78">
        <v>0</v>
      </c>
      <c r="JE48" s="78">
        <v>0</v>
      </c>
      <c r="JH48" s="78">
        <v>0</v>
      </c>
      <c r="JI48" s="78">
        <v>0</v>
      </c>
      <c r="JJ48" s="78">
        <v>0</v>
      </c>
      <c r="JM48" s="78">
        <v>0</v>
      </c>
      <c r="JN48" s="78">
        <v>0</v>
      </c>
      <c r="JQ48" s="78">
        <v>0</v>
      </c>
      <c r="JR48" s="78">
        <v>0</v>
      </c>
      <c r="JS48" s="78">
        <v>0</v>
      </c>
      <c r="JV48" s="78">
        <v>0</v>
      </c>
      <c r="JW48" s="78">
        <v>0</v>
      </c>
      <c r="JY48" s="78">
        <v>0</v>
      </c>
      <c r="JZ48" s="78">
        <v>0</v>
      </c>
      <c r="KB48" s="78">
        <v>0</v>
      </c>
      <c r="KC48" s="78">
        <v>0</v>
      </c>
      <c r="KD48" s="78">
        <v>0</v>
      </c>
    </row>
    <row r="49" spans="1:290" x14ac:dyDescent="0.25">
      <c r="A49" s="226" t="e">
        <f>+B47+B48</f>
        <v>#VALUE!</v>
      </c>
      <c r="B49" s="34" t="s">
        <v>171</v>
      </c>
      <c r="C49" s="35"/>
      <c r="D49" s="35">
        <f>D47-D48</f>
        <v>0</v>
      </c>
      <c r="E49" s="35">
        <f>E47-E48</f>
        <v>0</v>
      </c>
      <c r="F49" s="35">
        <f>F47-F48</f>
        <v>0</v>
      </c>
      <c r="G49" s="35">
        <f>G47-G48</f>
        <v>0</v>
      </c>
      <c r="H49" s="36">
        <f>H47-H48</f>
        <v>0</v>
      </c>
      <c r="I49" s="35">
        <f t="shared" ref="I49:BT49" si="106">I47+I48</f>
        <v>45.759999999999962</v>
      </c>
      <c r="J49" s="35">
        <f t="shared" si="106"/>
        <v>41.587600000000059</v>
      </c>
      <c r="K49" s="35">
        <f t="shared" si="106"/>
        <v>48.272000000000048</v>
      </c>
      <c r="L49" s="35">
        <f t="shared" si="106"/>
        <v>60.222500000000025</v>
      </c>
      <c r="M49" s="36">
        <f t="shared" si="106"/>
        <v>195.84209999999976</v>
      </c>
      <c r="N49" s="35">
        <f t="shared" si="106"/>
        <v>32.548700000000011</v>
      </c>
      <c r="O49" s="35">
        <f t="shared" si="106"/>
        <v>59.285899999999927</v>
      </c>
      <c r="P49" s="35">
        <f t="shared" si="106"/>
        <v>54.679400000000044</v>
      </c>
      <c r="Q49" s="35">
        <f t="shared" si="106"/>
        <v>95.04320000000007</v>
      </c>
      <c r="R49" s="36">
        <f t="shared" si="106"/>
        <v>241.55720000000008</v>
      </c>
      <c r="S49" s="35">
        <f t="shared" si="106"/>
        <v>38.965299999999935</v>
      </c>
      <c r="T49" s="35">
        <f t="shared" si="106"/>
        <v>66.339700000000022</v>
      </c>
      <c r="U49" s="35">
        <f t="shared" si="106"/>
        <v>75.827600000000032</v>
      </c>
      <c r="V49" s="35">
        <f t="shared" si="106"/>
        <v>108.9383999999998</v>
      </c>
      <c r="W49" s="36">
        <f t="shared" si="106"/>
        <v>290.0709999999998</v>
      </c>
      <c r="X49" s="35">
        <f t="shared" si="106"/>
        <v>43.013000000000076</v>
      </c>
      <c r="Y49" s="35">
        <f t="shared" si="106"/>
        <v>62.645399999999839</v>
      </c>
      <c r="Z49" s="35">
        <f t="shared" si="106"/>
        <v>58.334400000000045</v>
      </c>
      <c r="AA49" s="35">
        <f t="shared" si="106"/>
        <v>119.49700000000014</v>
      </c>
      <c r="AB49" s="36">
        <f t="shared" si="106"/>
        <v>283.48980000000006</v>
      </c>
      <c r="AC49" s="35">
        <f t="shared" si="106"/>
        <v>25.06709999999994</v>
      </c>
      <c r="AD49" s="35">
        <f t="shared" si="106"/>
        <v>35.25919999999978</v>
      </c>
      <c r="AE49" s="35">
        <f t="shared" si="106"/>
        <v>102.23349999999998</v>
      </c>
      <c r="AF49" s="35">
        <f t="shared" si="106"/>
        <v>159.79549999999995</v>
      </c>
      <c r="AG49" s="36">
        <f t="shared" si="106"/>
        <v>322.35529999999898</v>
      </c>
      <c r="AH49" s="35">
        <f t="shared" si="106"/>
        <v>24.543100000000031</v>
      </c>
      <c r="AI49" s="35">
        <f t="shared" si="106"/>
        <v>82.125800000000083</v>
      </c>
      <c r="AJ49" s="35">
        <f t="shared" si="106"/>
        <v>117.43012999999991</v>
      </c>
      <c r="AK49" s="36">
        <f t="shared" si="106"/>
        <v>224.09902999999923</v>
      </c>
      <c r="AL49" s="35">
        <f t="shared" si="106"/>
        <v>115.23210000000002</v>
      </c>
      <c r="AM49" s="35">
        <f t="shared" si="106"/>
        <v>66.166499999999772</v>
      </c>
      <c r="AN49" s="35">
        <f t="shared" si="106"/>
        <v>100.80059999999992</v>
      </c>
      <c r="AO49" s="35">
        <f t="shared" si="106"/>
        <v>148.16000000000011</v>
      </c>
      <c r="AP49" s="36">
        <f t="shared" si="106"/>
        <v>430.40000000000043</v>
      </c>
      <c r="AQ49" s="35">
        <f t="shared" si="106"/>
        <v>78.380000000000109</v>
      </c>
      <c r="AR49" s="35">
        <f t="shared" si="106"/>
        <v>70.819999999999922</v>
      </c>
      <c r="AS49" s="35">
        <f t="shared" si="106"/>
        <v>104.22000000000003</v>
      </c>
      <c r="AT49" s="35">
        <f t="shared" si="106"/>
        <v>178.32</v>
      </c>
      <c r="AU49" s="36">
        <f t="shared" si="106"/>
        <v>431.74999999999977</v>
      </c>
      <c r="AV49" s="35">
        <f t="shared" si="106"/>
        <v>136.35000000000008</v>
      </c>
      <c r="AW49" s="35">
        <f t="shared" si="106"/>
        <v>107.38000000000014</v>
      </c>
      <c r="AX49" s="35">
        <f t="shared" si="106"/>
        <v>80.980000000000203</v>
      </c>
      <c r="AY49" s="35">
        <f t="shared" si="106"/>
        <v>123.97000000000013</v>
      </c>
      <c r="AZ49" s="36">
        <f t="shared" si="106"/>
        <v>448.60999999999962</v>
      </c>
      <c r="BA49" s="35">
        <f t="shared" si="106"/>
        <v>87.123000000000076</v>
      </c>
      <c r="BB49" s="35">
        <f t="shared" si="106"/>
        <v>139.58000000000021</v>
      </c>
      <c r="BC49" s="35">
        <f t="shared" si="106"/>
        <v>123.39000000000009</v>
      </c>
      <c r="BD49" s="35">
        <f t="shared" si="106"/>
        <v>117.2800000000001</v>
      </c>
      <c r="BE49" s="36">
        <f t="shared" si="106"/>
        <v>467.54999999999944</v>
      </c>
      <c r="BF49" s="35">
        <f t="shared" si="106"/>
        <v>40.550000000000111</v>
      </c>
      <c r="BG49" s="35">
        <f t="shared" si="106"/>
        <v>174.95000000000016</v>
      </c>
      <c r="BH49" s="35">
        <f t="shared" si="106"/>
        <v>312.29999999999995</v>
      </c>
      <c r="BI49" s="35">
        <f t="shared" si="106"/>
        <v>450.42000000000007</v>
      </c>
      <c r="BJ49" s="36">
        <f t="shared" si="106"/>
        <v>778.14</v>
      </c>
      <c r="BK49" s="35">
        <f t="shared" si="106"/>
        <v>170.16</v>
      </c>
      <c r="BL49" s="35">
        <f t="shared" si="106"/>
        <v>228.70699999999994</v>
      </c>
      <c r="BM49" s="35">
        <f t="shared" si="106"/>
        <v>245.72000000000011</v>
      </c>
      <c r="BN49" s="35">
        <f t="shared" si="106"/>
        <v>323.8599999999999</v>
      </c>
      <c r="BO49" s="36">
        <f t="shared" si="106"/>
        <v>968.4499999999997</v>
      </c>
      <c r="BP49" s="35">
        <f t="shared" si="106"/>
        <v>213.84999999999985</v>
      </c>
      <c r="BQ49" s="35">
        <f t="shared" si="106"/>
        <v>82.019999999999911</v>
      </c>
      <c r="BR49" s="35">
        <f t="shared" si="106"/>
        <v>210.02999999999997</v>
      </c>
      <c r="BS49" s="35">
        <f t="shared" si="106"/>
        <v>359.42999999999972</v>
      </c>
      <c r="BT49" s="36">
        <f t="shared" si="106"/>
        <v>865.2299999999999</v>
      </c>
      <c r="BU49" s="35">
        <f t="shared" ref="BU49:CN49" si="107">BU47+BU48</f>
        <v>215.53999999999991</v>
      </c>
      <c r="BV49" s="35">
        <f t="shared" si="107"/>
        <v>243.18999999999997</v>
      </c>
      <c r="BW49" s="35">
        <f t="shared" si="107"/>
        <v>256.17000000000007</v>
      </c>
      <c r="BX49" s="35">
        <f t="shared" si="107"/>
        <v>354.81999999999954</v>
      </c>
      <c r="BY49" s="36">
        <f t="shared" si="107"/>
        <v>1070.0200000000016</v>
      </c>
      <c r="BZ49" s="35">
        <f t="shared" si="107"/>
        <v>273.37</v>
      </c>
      <c r="CA49" s="35">
        <f t="shared" si="107"/>
        <v>241.60000000000002</v>
      </c>
      <c r="CB49" s="35">
        <f t="shared" si="107"/>
        <v>186.97000000000011</v>
      </c>
      <c r="CC49" s="35">
        <f t="shared" si="107"/>
        <v>295.20000000000016</v>
      </c>
      <c r="CD49" s="36">
        <f t="shared" si="107"/>
        <v>962.01999999999771</v>
      </c>
      <c r="CE49" s="35">
        <f t="shared" si="107"/>
        <v>202.30000000000015</v>
      </c>
      <c r="CF49" s="35">
        <f t="shared" si="107"/>
        <v>164.74000000000012</v>
      </c>
      <c r="CG49" s="35">
        <f t="shared" si="107"/>
        <v>153.36999999999986</v>
      </c>
      <c r="CH49" s="35">
        <f t="shared" si="107"/>
        <v>353.56999999999965</v>
      </c>
      <c r="CI49" s="36">
        <f t="shared" si="107"/>
        <v>939.59999999999911</v>
      </c>
      <c r="CJ49" s="36">
        <f t="shared" ca="1" si="107"/>
        <v>1117.265679825123</v>
      </c>
      <c r="CK49" s="36">
        <f t="shared" ca="1" si="107"/>
        <v>1311.9881750685995</v>
      </c>
      <c r="CL49" s="36">
        <f t="shared" ca="1" si="107"/>
        <v>1552.9467684654373</v>
      </c>
      <c r="CM49" s="36">
        <f t="shared" ca="1" si="107"/>
        <v>1771.8624378579498</v>
      </c>
      <c r="CN49" s="36">
        <f t="shared" ca="1" si="107"/>
        <v>1948.3517334184241</v>
      </c>
      <c r="CO49" s="67"/>
      <c r="CP49" s="67"/>
      <c r="CQ49" s="39"/>
      <c r="CR49" s="39">
        <f>CI49/JE49-1</f>
        <v>-0.48922172053166157</v>
      </c>
      <c r="CS49" s="39" t="e">
        <f ca="1">CJ49/JF49-1</f>
        <v>#DIV/0!</v>
      </c>
      <c r="CT49" s="36">
        <f t="shared" si="26"/>
        <v>283.48980000000006</v>
      </c>
      <c r="CU49" s="36">
        <f t="shared" si="27"/>
        <v>322.35529999999898</v>
      </c>
      <c r="CV49" s="36">
        <f t="shared" si="28"/>
        <v>224.09902999999923</v>
      </c>
      <c r="CW49" s="36">
        <f t="shared" si="29"/>
        <v>430.40000000000043</v>
      </c>
      <c r="CX49" s="36">
        <f t="shared" si="30"/>
        <v>431.74999999999977</v>
      </c>
      <c r="CY49" s="36">
        <f t="shared" si="31"/>
        <v>448.60999999999962</v>
      </c>
      <c r="CZ49" s="36">
        <f t="shared" si="32"/>
        <v>467.54999999999944</v>
      </c>
      <c r="DA49" s="36">
        <f t="shared" si="33"/>
        <v>778.14</v>
      </c>
      <c r="DB49" s="36">
        <f t="shared" si="34"/>
        <v>968.4499999999997</v>
      </c>
      <c r="DC49" s="36">
        <f t="shared" si="35"/>
        <v>865.2299999999999</v>
      </c>
      <c r="DD49" s="36">
        <f t="shared" si="36"/>
        <v>1070.0200000000016</v>
      </c>
      <c r="DE49" s="36">
        <f t="shared" si="37"/>
        <v>962.01999999999771</v>
      </c>
      <c r="DF49" s="36">
        <f t="shared" si="105"/>
        <v>939.59999999999911</v>
      </c>
      <c r="DG49" s="36">
        <f t="shared" ca="1" si="105"/>
        <v>1117.265679825123</v>
      </c>
      <c r="DH49" s="36">
        <f t="shared" ca="1" si="105"/>
        <v>1311.9881750685995</v>
      </c>
      <c r="DI49" s="36">
        <v>591.97742715591312</v>
      </c>
      <c r="DK49" s="36">
        <v>497.62470784000004</v>
      </c>
      <c r="DL49" s="36">
        <v>564.25056693760007</v>
      </c>
      <c r="DM49" s="6"/>
      <c r="DN49" s="36">
        <v>540.19661196000004</v>
      </c>
      <c r="DO49" s="36">
        <v>605.23353763440014</v>
      </c>
      <c r="DQ49" s="35">
        <v>135.14052168900002</v>
      </c>
      <c r="DR49" s="36">
        <v>396.29197201200003</v>
      </c>
      <c r="DS49" s="36">
        <v>489.51961711410001</v>
      </c>
      <c r="DT49" s="36">
        <v>591.97742715591312</v>
      </c>
      <c r="DV49" s="36">
        <v>489.48879999999997</v>
      </c>
      <c r="DW49" s="36">
        <v>591.90951122000001</v>
      </c>
      <c r="DX49" s="36">
        <v>667.12265256640001</v>
      </c>
      <c r="EA49" s="35">
        <v>83.457300834000009</v>
      </c>
      <c r="EB49" s="35">
        <v>123.83189072499999</v>
      </c>
      <c r="EC49" s="35">
        <v>163.44299583</v>
      </c>
      <c r="ED49" s="36">
        <v>489.48879999999997</v>
      </c>
      <c r="EE49" s="36">
        <v>588.55951121999999</v>
      </c>
      <c r="EF49" s="36">
        <v>653.72265256640003</v>
      </c>
      <c r="EJ49" s="35">
        <v>92.074735050000015</v>
      </c>
      <c r="EK49" s="35">
        <v>192.78926494999979</v>
      </c>
      <c r="EL49" s="36">
        <v>528.59400000000005</v>
      </c>
      <c r="EM49" s="36">
        <v>553.54130955999995</v>
      </c>
      <c r="EN49" s="36">
        <v>633.72265256640003</v>
      </c>
      <c r="EP49" s="35">
        <v>125.47799999999954</v>
      </c>
      <c r="EQ49" s="36">
        <v>450.18800000000005</v>
      </c>
      <c r="ER49" s="36">
        <v>496.46606799999989</v>
      </c>
      <c r="ES49" s="36">
        <v>602.62743882815994</v>
      </c>
      <c r="EV49" s="35">
        <v>109.88664859999999</v>
      </c>
      <c r="EW49" s="35">
        <v>118.02934800000003</v>
      </c>
      <c r="EX49" s="35">
        <v>145.71771749999996</v>
      </c>
      <c r="EY49" s="35">
        <v>159.11799449999998</v>
      </c>
      <c r="EZ49" s="36">
        <v>507.35159999999996</v>
      </c>
      <c r="FA49" s="36">
        <v>589.29589999999996</v>
      </c>
      <c r="FD49" s="35">
        <v>108.69951480000006</v>
      </c>
      <c r="FE49" s="35">
        <v>145.71771749999996</v>
      </c>
      <c r="FF49" s="35">
        <v>158.90286749999993</v>
      </c>
      <c r="FG49" s="36">
        <v>483.45240000000001</v>
      </c>
      <c r="FH49" s="36">
        <v>601.95600000000013</v>
      </c>
      <c r="FK49" s="36">
        <v>491.9624</v>
      </c>
      <c r="FL49" s="36">
        <v>590.19740000000002</v>
      </c>
      <c r="FO49" s="35">
        <v>137.75062979999998</v>
      </c>
      <c r="FP49" s="35">
        <v>172.01620315999975</v>
      </c>
      <c r="FQ49" s="36">
        <v>473.06983295999999</v>
      </c>
      <c r="FR49" s="36">
        <v>575.08589353679986</v>
      </c>
      <c r="FU49" s="35">
        <v>101.28922249999962</v>
      </c>
      <c r="FV49" s="36">
        <v>431.4522225</v>
      </c>
      <c r="FW49" s="36">
        <v>269.2823919600001</v>
      </c>
      <c r="FX49" s="36">
        <v>434.42236846100025</v>
      </c>
      <c r="FY49" s="36">
        <v>503.38314080660575</v>
      </c>
      <c r="GA49" s="36">
        <v>320.72418600000003</v>
      </c>
      <c r="GB49" s="36">
        <v>511.83277534999991</v>
      </c>
      <c r="GC49" s="36">
        <v>596.56538558672003</v>
      </c>
      <c r="GF49" s="35">
        <v>123.462</v>
      </c>
      <c r="GG49" s="35"/>
      <c r="GH49" s="35"/>
      <c r="GI49" s="36">
        <v>446.63040700000005</v>
      </c>
      <c r="GJ49" s="36">
        <v>629.36024406500007</v>
      </c>
      <c r="GK49" s="36">
        <v>701.41028141209608</v>
      </c>
      <c r="GN49" s="35">
        <v>254.37114750000001</v>
      </c>
      <c r="GO49" s="35"/>
      <c r="GP49" s="36">
        <v>607.90603974999999</v>
      </c>
      <c r="GQ49" s="36">
        <v>674.02942961000019</v>
      </c>
      <c r="GR49" s="36">
        <v>750.59066174230418</v>
      </c>
      <c r="GV49" s="35"/>
      <c r="GW49" s="36">
        <v>782.61110300000018</v>
      </c>
      <c r="GX49" s="36">
        <v>648.28433312999994</v>
      </c>
      <c r="GY49" s="36">
        <v>837.80267196215982</v>
      </c>
      <c r="HC49" s="35">
        <v>306.69318537499993</v>
      </c>
      <c r="HD49" s="36">
        <v>951.28018537500009</v>
      </c>
      <c r="HE49" s="36">
        <v>956.35269573740015</v>
      </c>
      <c r="HF49" s="36">
        <v>1050.9256133400643</v>
      </c>
      <c r="HI49" s="35">
        <v>207.25889499999997</v>
      </c>
      <c r="HJ49" s="35">
        <v>260.04505899999998</v>
      </c>
      <c r="HK49" s="35">
        <v>283.2557425</v>
      </c>
      <c r="HL49" s="35">
        <v>103.25600896</v>
      </c>
      <c r="HM49" s="36">
        <v>853.81570546</v>
      </c>
      <c r="HN49" s="36">
        <v>930.46263166200026</v>
      </c>
      <c r="HO49" s="36">
        <v>985.61107887188007</v>
      </c>
      <c r="HR49" s="35">
        <v>151.96163874999999</v>
      </c>
      <c r="HS49" s="35">
        <v>214.98754450000001</v>
      </c>
      <c r="HT49" s="35">
        <v>273.01652221000001</v>
      </c>
      <c r="HU49" s="36">
        <v>853.81570546</v>
      </c>
      <c r="HV49" s="36">
        <v>1042.21436451</v>
      </c>
      <c r="HW49" s="36">
        <v>1121.3894342822</v>
      </c>
      <c r="HZ49" s="35">
        <v>179.98754450000001</v>
      </c>
      <c r="IA49" s="36">
        <v>773.87497755999993</v>
      </c>
      <c r="IB49" s="36">
        <v>939.84501679200025</v>
      </c>
      <c r="IC49" s="36">
        <v>1066.4838449316003</v>
      </c>
      <c r="IE49" s="35">
        <v>248.93410840000035</v>
      </c>
      <c r="IF49" s="36">
        <v>754.83410839999999</v>
      </c>
      <c r="IG49" s="36">
        <v>986.17215202399984</v>
      </c>
      <c r="IH49" s="36">
        <v>1136.0229743120001</v>
      </c>
      <c r="IK49" s="36">
        <v>983.13815202399974</v>
      </c>
      <c r="IL49" s="36">
        <v>1132.988974312</v>
      </c>
      <c r="IO49" s="36">
        <v>1155.27036748</v>
      </c>
      <c r="IP49" s="36">
        <v>1427.5608769408002</v>
      </c>
      <c r="IS49" s="19">
        <v>0.28121146992129264</v>
      </c>
      <c r="IT49" s="19">
        <v>0.32768042140002396</v>
      </c>
      <c r="IU49" s="19">
        <v>0.17558498255454547</v>
      </c>
      <c r="IX49" s="62">
        <v>343.93037019999986</v>
      </c>
      <c r="IY49" s="36">
        <v>1058.8303701999998</v>
      </c>
      <c r="IZ49" s="36">
        <v>1451.5992929919998</v>
      </c>
      <c r="JA49" s="36">
        <v>1704.3984461209598</v>
      </c>
      <c r="JD49" s="36">
        <v>1526.1796982999999</v>
      </c>
      <c r="JE49" s="36">
        <v>1839.54572418</v>
      </c>
      <c r="JH49" s="36">
        <v>1378.48354896</v>
      </c>
      <c r="JI49" s="36">
        <v>1690.7042286659998</v>
      </c>
      <c r="JJ49" s="36">
        <v>1948.1977746909197</v>
      </c>
      <c r="JM49" s="36">
        <v>1605.1918850075997</v>
      </c>
      <c r="JN49" s="36">
        <v>1849.7018971322836</v>
      </c>
      <c r="JQ49" s="83">
        <v>963.28825187000007</v>
      </c>
      <c r="JR49" s="83">
        <v>1180.8327558064004</v>
      </c>
      <c r="JS49" s="83">
        <v>1375.4602608806806</v>
      </c>
      <c r="JV49" s="83">
        <v>1159.7735106799998</v>
      </c>
      <c r="JW49" s="83">
        <v>1352.1355401184003</v>
      </c>
      <c r="JY49" s="83">
        <v>1194.3608916399999</v>
      </c>
      <c r="JZ49" s="83">
        <v>1392.6342189152001</v>
      </c>
      <c r="KB49" s="83">
        <v>961.2667627999997</v>
      </c>
      <c r="KC49" s="83">
        <v>1224.755895966</v>
      </c>
      <c r="KD49" s="83">
        <v>1387.5193075447605</v>
      </c>
    </row>
    <row r="50" spans="1:290" x14ac:dyDescent="0.25">
      <c r="A50" s="7" t="s">
        <v>260</v>
      </c>
      <c r="B50" s="17" t="s">
        <v>137</v>
      </c>
      <c r="C50" s="18"/>
      <c r="D50" s="18"/>
      <c r="E50" s="18"/>
      <c r="F50" s="19"/>
      <c r="G50" s="19"/>
      <c r="H50" s="18"/>
      <c r="I50" s="19" t="e">
        <f t="shared" ref="I50:AJ50" si="108">I49/D49-1</f>
        <v>#DIV/0!</v>
      </c>
      <c r="J50" s="19" t="e">
        <f t="shared" si="108"/>
        <v>#DIV/0!</v>
      </c>
      <c r="K50" s="19" t="e">
        <f t="shared" si="108"/>
        <v>#DIV/0!</v>
      </c>
      <c r="L50" s="19" t="e">
        <f t="shared" si="108"/>
        <v>#DIV/0!</v>
      </c>
      <c r="M50" s="19" t="e">
        <f t="shared" si="108"/>
        <v>#DIV/0!</v>
      </c>
      <c r="N50" s="19">
        <f t="shared" si="108"/>
        <v>-0.28870847902097818</v>
      </c>
      <c r="O50" s="19">
        <f t="shared" si="108"/>
        <v>0.42556675547518585</v>
      </c>
      <c r="P50" s="19">
        <f t="shared" si="108"/>
        <v>0.13273533311236307</v>
      </c>
      <c r="Q50" s="19">
        <f t="shared" si="108"/>
        <v>0.57820083855701832</v>
      </c>
      <c r="R50" s="19">
        <f t="shared" si="108"/>
        <v>0.23342835886666036</v>
      </c>
      <c r="S50" s="19">
        <f t="shared" si="108"/>
        <v>0.19713844178108264</v>
      </c>
      <c r="T50" s="19">
        <f t="shared" si="108"/>
        <v>0.1189793863296349</v>
      </c>
      <c r="U50" s="19">
        <f t="shared" si="108"/>
        <v>0.38676722860894541</v>
      </c>
      <c r="V50" s="19">
        <f t="shared" si="108"/>
        <v>0.14619878118581564</v>
      </c>
      <c r="W50" s="19">
        <f t="shared" si="108"/>
        <v>0.20083773118747739</v>
      </c>
      <c r="X50" s="19">
        <f t="shared" si="108"/>
        <v>0.10387960570046029</v>
      </c>
      <c r="Y50" s="19">
        <f t="shared" si="108"/>
        <v>-5.5687619931959031E-2</v>
      </c>
      <c r="Z50" s="19">
        <f t="shared" si="108"/>
        <v>-0.23069700214697519</v>
      </c>
      <c r="AA50" s="19">
        <f t="shared" si="108"/>
        <v>9.6922664551713167E-2</v>
      </c>
      <c r="AB50" s="19">
        <f t="shared" si="108"/>
        <v>-2.2688238396805449E-2</v>
      </c>
      <c r="AC50" s="19">
        <f t="shared" si="108"/>
        <v>-0.41722037523539635</v>
      </c>
      <c r="AD50" s="19">
        <f t="shared" si="108"/>
        <v>-0.43716218589074585</v>
      </c>
      <c r="AE50" s="19">
        <f t="shared" si="108"/>
        <v>0.75254223922762375</v>
      </c>
      <c r="AF50" s="19">
        <f t="shared" si="108"/>
        <v>0.33723440755834666</v>
      </c>
      <c r="AG50" s="19">
        <f t="shared" si="108"/>
        <v>0.13709664333601745</v>
      </c>
      <c r="AH50" s="19">
        <f t="shared" si="108"/>
        <v>-2.090389394863823E-2</v>
      </c>
      <c r="AI50" s="19">
        <f t="shared" si="108"/>
        <v>1.3292020238689646</v>
      </c>
      <c r="AJ50" s="19">
        <f t="shared" si="108"/>
        <v>0.14864628521961909</v>
      </c>
      <c r="AK50" s="19">
        <f>AK49/AG49-1</f>
        <v>-0.30480736628186367</v>
      </c>
      <c r="AL50" s="19">
        <f>AL49/AF49-1</f>
        <v>-0.27887769054823164</v>
      </c>
      <c r="AM50" s="19">
        <f t="shared" ref="AM50:BN50" si="109">AM49/AH49-1</f>
        <v>1.6959308318834903</v>
      </c>
      <c r="AN50" s="19">
        <f t="shared" si="109"/>
        <v>0.22739260987411769</v>
      </c>
      <c r="AO50" s="19">
        <f t="shared" si="109"/>
        <v>0.26168641727638575</v>
      </c>
      <c r="AP50" s="19">
        <f t="shared" si="109"/>
        <v>0.92057948666713063</v>
      </c>
      <c r="AQ50" s="19">
        <f t="shared" si="109"/>
        <v>-0.31980758833692957</v>
      </c>
      <c r="AR50" s="19">
        <f t="shared" si="109"/>
        <v>7.0330151965120713E-2</v>
      </c>
      <c r="AS50" s="19">
        <f t="shared" si="109"/>
        <v>3.3922417128470661E-2</v>
      </c>
      <c r="AT50" s="19">
        <f t="shared" si="109"/>
        <v>0.20356371490280689</v>
      </c>
      <c r="AU50" s="19">
        <f t="shared" si="109"/>
        <v>3.1366171003701648E-3</v>
      </c>
      <c r="AV50" s="19">
        <f t="shared" si="109"/>
        <v>0.73960193927022067</v>
      </c>
      <c r="AW50" s="19">
        <f t="shared" si="109"/>
        <v>0.51623835074837987</v>
      </c>
      <c r="AX50" s="19">
        <f t="shared" si="109"/>
        <v>-0.22298982920744403</v>
      </c>
      <c r="AY50" s="19">
        <f t="shared" si="109"/>
        <v>-0.30478914311350302</v>
      </c>
      <c r="AZ50" s="19">
        <f t="shared" si="109"/>
        <v>3.90503763752168E-2</v>
      </c>
      <c r="BA50" s="19">
        <f t="shared" si="109"/>
        <v>-0.36103410341034081</v>
      </c>
      <c r="BB50" s="19">
        <f t="shared" si="109"/>
        <v>0.29986962190352062</v>
      </c>
      <c r="BC50" s="19">
        <f t="shared" si="109"/>
        <v>0.52370955791553198</v>
      </c>
      <c r="BD50" s="19">
        <f t="shared" si="109"/>
        <v>-5.3964668871501309E-2</v>
      </c>
      <c r="BE50" s="19">
        <f t="shared" si="109"/>
        <v>4.2219299614363992E-2</v>
      </c>
      <c r="BF50" s="19">
        <f t="shared" si="109"/>
        <v>-0.53456607325275673</v>
      </c>
      <c r="BG50" s="19">
        <f t="shared" si="109"/>
        <v>0.25340306634188203</v>
      </c>
      <c r="BH50" s="19">
        <f t="shared" si="109"/>
        <v>1.5309992706053954</v>
      </c>
      <c r="BI50" s="19">
        <f t="shared" si="109"/>
        <v>2.8405525238744858</v>
      </c>
      <c r="BJ50" s="19">
        <f>BJ49/BE49-1</f>
        <v>0.66429258902791344</v>
      </c>
      <c r="BK50" s="19">
        <f t="shared" si="109"/>
        <v>3.1963008631319241</v>
      </c>
      <c r="BL50" s="19">
        <f t="shared" si="109"/>
        <v>0.307270648756786</v>
      </c>
      <c r="BM50" s="19">
        <f t="shared" si="109"/>
        <v>-0.21319244316362429</v>
      </c>
      <c r="BN50" s="19">
        <f t="shared" si="109"/>
        <v>-0.28098219439634153</v>
      </c>
      <c r="BO50" s="19">
        <f>BO49/BJ49-1</f>
        <v>0.24457038579175938</v>
      </c>
      <c r="BP50" s="19">
        <f>BP49/BK49-1</f>
        <v>0.25675834508697615</v>
      </c>
      <c r="BQ50" s="19">
        <f>BQ49/BL49-1</f>
        <v>-0.64137520932896708</v>
      </c>
      <c r="BR50" s="19">
        <f t="shared" ref="BR50:CH50" si="110">BR49/BM49-1</f>
        <v>-0.14524662217157791</v>
      </c>
      <c r="BS50" s="19">
        <f t="shared" si="110"/>
        <v>0.10983140863335961</v>
      </c>
      <c r="BT50" s="19">
        <f>BT49/BO49-1</f>
        <v>-0.10658268366978141</v>
      </c>
      <c r="BU50" s="19">
        <f t="shared" si="110"/>
        <v>7.902735562310248E-3</v>
      </c>
      <c r="BV50" s="19">
        <f t="shared" si="110"/>
        <v>1.9650085345037822</v>
      </c>
      <c r="BW50" s="19">
        <f t="shared" si="110"/>
        <v>0.21968290244250865</v>
      </c>
      <c r="BX50" s="19">
        <f t="shared" si="110"/>
        <v>-1.2825863172245433E-2</v>
      </c>
      <c r="BY50" s="19">
        <f>BY49/BT49-1</f>
        <v>0.23668851056944584</v>
      </c>
      <c r="BZ50" s="19">
        <f t="shared" si="110"/>
        <v>0.26830286721722252</v>
      </c>
      <c r="CA50" s="19">
        <f t="shared" si="110"/>
        <v>-6.5380977836257959E-3</v>
      </c>
      <c r="CB50" s="19">
        <f t="shared" si="110"/>
        <v>-0.27013311472850032</v>
      </c>
      <c r="CC50" s="19">
        <f t="shared" si="110"/>
        <v>-0.16802885970351011</v>
      </c>
      <c r="CD50" s="19">
        <f>CD49/BY49-1</f>
        <v>-0.10093269284686612</v>
      </c>
      <c r="CE50" s="19">
        <f t="shared" si="110"/>
        <v>-0.25997732011559371</v>
      </c>
      <c r="CF50" s="19">
        <f t="shared" si="110"/>
        <v>-0.31812913907284723</v>
      </c>
      <c r="CG50" s="19">
        <f t="shared" si="110"/>
        <v>-0.17970797454137155</v>
      </c>
      <c r="CH50" s="19">
        <f t="shared" si="110"/>
        <v>0.19773035230352121</v>
      </c>
      <c r="CI50" s="19">
        <f>CI49/CD49-1</f>
        <v>-2.3305128791499818E-2</v>
      </c>
      <c r="CJ50" s="19">
        <f ca="1">CJ49/CI49-1</f>
        <v>0.18908650470958288</v>
      </c>
      <c r="CK50" s="19">
        <f ca="1">CK49/CJ49-1</f>
        <v>0.17428486237396545</v>
      </c>
      <c r="CL50" s="19">
        <f t="shared" ref="CL50:CN50" ca="1" si="111">CL49/CK49-1</f>
        <v>0.18365911978150185</v>
      </c>
      <c r="CM50" s="19">
        <f t="shared" ca="1" si="111"/>
        <v>0.14096791586026902</v>
      </c>
      <c r="CN50" s="19">
        <f t="shared" ca="1" si="111"/>
        <v>9.9606657824879985E-2</v>
      </c>
      <c r="CO50" s="20"/>
      <c r="CP50" s="20"/>
      <c r="CQ50" s="6"/>
      <c r="CR50" s="6"/>
      <c r="CS50" s="65"/>
      <c r="CT50" s="19">
        <f t="shared" si="26"/>
        <v>-2.2688238396805449E-2</v>
      </c>
      <c r="CU50" s="19">
        <f t="shared" si="27"/>
        <v>0.13709664333601745</v>
      </c>
      <c r="CV50" s="19">
        <f t="shared" si="28"/>
        <v>-0.30480736628186367</v>
      </c>
      <c r="CW50" s="19">
        <f t="shared" si="29"/>
        <v>0.92057948666713063</v>
      </c>
      <c r="CX50" s="19">
        <f t="shared" si="30"/>
        <v>3.1366171003701648E-3</v>
      </c>
      <c r="CY50" s="19">
        <f t="shared" si="31"/>
        <v>3.90503763752168E-2</v>
      </c>
      <c r="CZ50" s="19">
        <f t="shared" si="32"/>
        <v>4.2219299614363992E-2</v>
      </c>
      <c r="DA50" s="19">
        <f t="shared" si="33"/>
        <v>0.66429258902791344</v>
      </c>
      <c r="DB50" s="19">
        <f t="shared" si="34"/>
        <v>0.24457038579175938</v>
      </c>
      <c r="DC50" s="19">
        <f t="shared" si="35"/>
        <v>-0.10658268366978141</v>
      </c>
      <c r="DD50" s="19">
        <f t="shared" si="36"/>
        <v>0.23668851056944584</v>
      </c>
      <c r="DE50" s="19">
        <f t="shared" si="37"/>
        <v>-0.10093269284686612</v>
      </c>
      <c r="DF50" s="19">
        <f t="shared" si="105"/>
        <v>-2.3305128791499818E-2</v>
      </c>
      <c r="DG50" s="19">
        <f t="shared" ca="1" si="105"/>
        <v>0.18908650470958288</v>
      </c>
      <c r="DH50" s="19">
        <f t="shared" ca="1" si="105"/>
        <v>0.17428486237396545</v>
      </c>
      <c r="DI50" s="19">
        <v>0.20930276634436007</v>
      </c>
      <c r="DK50" s="19">
        <v>0.1561912356877313</v>
      </c>
      <c r="DL50" s="19">
        <v>0.13388776330419283</v>
      </c>
      <c r="DM50" s="6"/>
      <c r="DN50" s="19">
        <v>0.25510365232341892</v>
      </c>
      <c r="DO50" s="19">
        <v>0.12039491591482965</v>
      </c>
      <c r="DQ50" s="19">
        <v>-8.7874448643359027E-2</v>
      </c>
      <c r="DR50" s="19">
        <v>-7.9247276923792631E-2</v>
      </c>
      <c r="DS50" s="19">
        <v>0.23524989574928101</v>
      </c>
      <c r="DT50" s="19">
        <v>0.20930276634436007</v>
      </c>
      <c r="DV50" s="19">
        <v>0.13373202084539715</v>
      </c>
      <c r="DW50" s="19">
        <v>0.20924015262453421</v>
      </c>
      <c r="DX50" s="19">
        <v>0.12706864802928441</v>
      </c>
      <c r="EA50" s="19">
        <v>0.17844254213499156</v>
      </c>
      <c r="EB50" s="19">
        <v>0.18817780392439043</v>
      </c>
      <c r="EC50" s="19">
        <v>-8.3428690948855966E-2</v>
      </c>
      <c r="ED50" s="19">
        <v>0.13373202084539715</v>
      </c>
      <c r="EE50" s="19">
        <v>0.202396277953653</v>
      </c>
      <c r="EF50" s="19">
        <v>0.11071631687902905</v>
      </c>
      <c r="EJ50" s="19">
        <v>-0.11653487766263682</v>
      </c>
      <c r="EK50" s="19">
        <v>8.1142131841631882E-2</v>
      </c>
      <c r="EL50" s="19">
        <v>0.22430573248407715</v>
      </c>
      <c r="EM50" s="19">
        <v>4.7195597301520342E-2</v>
      </c>
      <c r="EN50" s="19">
        <v>0.14485159756213095</v>
      </c>
      <c r="EP50" s="19">
        <v>-0.29633243606998905</v>
      </c>
      <c r="EQ50" s="19">
        <v>4.2705269253040523E-2</v>
      </c>
      <c r="ER50" s="19">
        <v>0.10279720472335963</v>
      </c>
      <c r="ES50" s="19">
        <v>0.21383409193669212</v>
      </c>
      <c r="EV50" s="19">
        <v>-0.1940839853318671</v>
      </c>
      <c r="EW50" s="19">
        <v>9.917440864220417E-2</v>
      </c>
      <c r="EX50" s="19">
        <v>0.79942846999258577</v>
      </c>
      <c r="EY50" s="19">
        <v>0.28352016213599907</v>
      </c>
      <c r="EZ50" s="19">
        <v>0.13094135217672465</v>
      </c>
      <c r="FA50" s="19">
        <v>0.16151382985684881</v>
      </c>
      <c r="FD50" s="19">
        <v>1.2288273421493079E-2</v>
      </c>
      <c r="FE50" s="19">
        <v>0.79942846999258577</v>
      </c>
      <c r="FF50" s="19">
        <v>0.28178484714043539</v>
      </c>
      <c r="FG50" s="19">
        <v>7.7667461715076325E-2</v>
      </c>
      <c r="FH50" s="19">
        <v>0.24511947815338209</v>
      </c>
      <c r="FK50" s="19">
        <v>9.6637168141593843E-2</v>
      </c>
      <c r="FL50" s="19">
        <v>0.19967989423581978</v>
      </c>
      <c r="FO50" s="19">
        <v>0.70104507038774555</v>
      </c>
      <c r="FP50" s="19">
        <v>0.38756314559973837</v>
      </c>
      <c r="FQ50" s="19">
        <v>5.4523601703039049E-2</v>
      </c>
      <c r="FR50" s="19">
        <v>0.21564693723648576</v>
      </c>
      <c r="FU50" s="19">
        <v>-0.18295375897394917</v>
      </c>
      <c r="FV50" s="19">
        <v>-3.8246533737544053E-2</v>
      </c>
      <c r="FW50" s="19">
        <v>-0.37586973037321625</v>
      </c>
      <c r="FX50" s="19">
        <v>0.61325946824451294</v>
      </c>
      <c r="FY50" s="19">
        <v>0.15874130190374025</v>
      </c>
      <c r="GA50" s="19">
        <v>-0.31403232595444253</v>
      </c>
      <c r="GB50" s="19">
        <v>0.59586584888861438</v>
      </c>
      <c r="GC50" s="19">
        <v>0.16554744892758877</v>
      </c>
      <c r="GF50" s="19">
        <v>-0.11547499641782621</v>
      </c>
      <c r="GG50" s="19"/>
      <c r="GH50" s="19"/>
      <c r="GI50" s="19">
        <v>-4.4743007165007898E-2</v>
      </c>
      <c r="GJ50" s="19">
        <v>0.40912986263606554</v>
      </c>
      <c r="GK50" s="19">
        <v>0.11448139285336678</v>
      </c>
      <c r="GN50" s="19">
        <v>1.0615215779236555</v>
      </c>
      <c r="GO50" s="19"/>
      <c r="GP50" s="19">
        <v>0.30019471660785091</v>
      </c>
      <c r="GQ50" s="19">
        <v>0.10877238509950216</v>
      </c>
      <c r="GR50" s="19">
        <v>0.11358737284899134</v>
      </c>
      <c r="GV50" s="19"/>
      <c r="GW50" s="19">
        <v>0.67385542294941958</v>
      </c>
      <c r="GX50" s="19">
        <v>-0.171639233528738</v>
      </c>
      <c r="GY50" s="19">
        <v>0.29233829840857184</v>
      </c>
      <c r="HC50" s="19">
        <v>-0.31909509929621271</v>
      </c>
      <c r="HD50" s="19">
        <v>0.22250518592412694</v>
      </c>
      <c r="HE50" s="19">
        <v>5.3322989802424559E-3</v>
      </c>
      <c r="HF50" s="19">
        <v>9.8889162987869428E-2</v>
      </c>
      <c r="HI50" s="19">
        <v>0.21802359543958616</v>
      </c>
      <c r="HJ50" s="19">
        <v>0.13702273651440522</v>
      </c>
      <c r="HK50" s="19">
        <v>0.15275819021650605</v>
      </c>
      <c r="HL50" s="19">
        <v>-0.68117084863830035</v>
      </c>
      <c r="HM50" s="19">
        <v>-0.11836883116319863</v>
      </c>
      <c r="HN50" s="19">
        <v>8.9769871544710167E-2</v>
      </c>
      <c r="HO50" s="19">
        <v>5.9269921578014584E-2</v>
      </c>
      <c r="HR50" s="19">
        <v>-0.33556192530180518</v>
      </c>
      <c r="HS50" s="19">
        <v>-0.12507103817353116</v>
      </c>
      <c r="HT50" s="19">
        <v>-0.15699215028098534</v>
      </c>
      <c r="HU50" s="19">
        <v>-0.11836883116319863</v>
      </c>
      <c r="HV50" s="19">
        <v>0.22065494678210285</v>
      </c>
      <c r="HW50" s="19">
        <v>7.5968123706896318E-2</v>
      </c>
      <c r="HZ50" s="19">
        <v>-0.26750958611427667</v>
      </c>
      <c r="IA50" s="19">
        <v>-0.20091385455108657</v>
      </c>
      <c r="IB50" s="19">
        <v>0.21446621747003358</v>
      </c>
      <c r="IC50" s="19">
        <v>0.13474437367541725</v>
      </c>
      <c r="IE50" s="19">
        <v>-0.23135271907614263</v>
      </c>
      <c r="IF50" s="19">
        <v>-0.22057503392018152</v>
      </c>
      <c r="IG50" s="19">
        <v>0.30647534478053773</v>
      </c>
      <c r="IH50" s="19">
        <v>0.15195199132367443</v>
      </c>
      <c r="IK50" s="19">
        <v>0.13614245666277647</v>
      </c>
      <c r="IL50" s="19">
        <v>0.15242092068088331</v>
      </c>
      <c r="IO50" s="19">
        <v>0.33521765019705763</v>
      </c>
      <c r="IP50" s="19">
        <v>0.23569418650869545</v>
      </c>
      <c r="IS50" s="13">
        <v>25.41</v>
      </c>
      <c r="IT50" s="13">
        <v>25.41</v>
      </c>
      <c r="IU50" s="13">
        <v>25.41</v>
      </c>
      <c r="IX50" s="19">
        <v>-4.3122804996800101E-2</v>
      </c>
      <c r="IY50" s="19">
        <v>0.22375596107393414</v>
      </c>
      <c r="IZ50" s="19">
        <v>0.37094603049382768</v>
      </c>
      <c r="JA50" s="19">
        <v>0.1741521605510683</v>
      </c>
      <c r="JD50" s="19">
        <v>0.42630950664473355</v>
      </c>
      <c r="JE50" s="19">
        <v>0.2053270831927958</v>
      </c>
      <c r="JH50" s="19">
        <v>0.28827830223733941</v>
      </c>
      <c r="JI50" s="19">
        <v>0.22649576046196218</v>
      </c>
      <c r="JJ50" s="19">
        <v>0.15229958123904819</v>
      </c>
      <c r="JM50" s="19">
        <v>0.27997361194560355</v>
      </c>
      <c r="JN50" s="19">
        <v>0.15232447560219642</v>
      </c>
      <c r="JQ50" s="19">
        <v>-9.9747432879760511E-2</v>
      </c>
      <c r="JR50" s="19">
        <v>0.22583531306863569</v>
      </c>
      <c r="JS50" s="19">
        <v>0.16482224440104343</v>
      </c>
      <c r="JV50" s="19">
        <v>0.20556070630548495</v>
      </c>
      <c r="JW50" s="19">
        <v>0.16586172012638434</v>
      </c>
      <c r="JY50" s="19">
        <v>0.24151357730608791</v>
      </c>
      <c r="JZ50" s="19">
        <v>0.16600788644623754</v>
      </c>
      <c r="KB50" s="19">
        <v>-7.8297457433107454E-4</v>
      </c>
      <c r="KC50" s="19">
        <v>0.27410615176010378</v>
      </c>
      <c r="KD50" s="19">
        <v>0.13289457280006345</v>
      </c>
    </row>
    <row r="51" spans="1:290" x14ac:dyDescent="0.25">
      <c r="A51" s="7" t="s">
        <v>261</v>
      </c>
      <c r="B51" s="11" t="s">
        <v>172</v>
      </c>
      <c r="C51" s="12"/>
      <c r="D51" s="12"/>
      <c r="E51" s="12"/>
      <c r="F51" s="12"/>
      <c r="G51" s="12"/>
      <c r="H51" s="13"/>
      <c r="I51" s="12">
        <v>25.41</v>
      </c>
      <c r="J51" s="12">
        <v>25.41</v>
      </c>
      <c r="K51" s="12">
        <v>25.41</v>
      </c>
      <c r="L51" s="12">
        <v>25.41</v>
      </c>
      <c r="M51" s="13">
        <f>L51</f>
        <v>25.41</v>
      </c>
      <c r="N51" s="12">
        <v>25.41</v>
      </c>
      <c r="O51" s="84">
        <v>25.41</v>
      </c>
      <c r="P51" s="84">
        <v>25.41</v>
      </c>
      <c r="Q51" s="84">
        <v>25.41</v>
      </c>
      <c r="R51" s="85">
        <f>Q51</f>
        <v>25.41</v>
      </c>
      <c r="S51" s="84">
        <v>25.41</v>
      </c>
      <c r="T51" s="84">
        <v>25.41</v>
      </c>
      <c r="U51" s="84">
        <v>25.41</v>
      </c>
      <c r="V51" s="84">
        <v>25.41</v>
      </c>
      <c r="W51" s="85">
        <f>V51</f>
        <v>25.41</v>
      </c>
      <c r="X51" s="84">
        <v>25.41</v>
      </c>
      <c r="Y51" s="84">
        <v>25.41</v>
      </c>
      <c r="Z51" s="84">
        <v>25.41</v>
      </c>
      <c r="AA51" s="84">
        <v>25.41</v>
      </c>
      <c r="AB51" s="85">
        <f>AA51</f>
        <v>25.41</v>
      </c>
      <c r="AC51" s="84">
        <v>25.41</v>
      </c>
      <c r="AD51" s="84">
        <v>25.41</v>
      </c>
      <c r="AE51" s="84">
        <v>25.41</v>
      </c>
      <c r="AF51" s="84">
        <v>25.41</v>
      </c>
      <c r="AG51" s="85">
        <f>AF51</f>
        <v>25.41</v>
      </c>
      <c r="AH51" s="84">
        <v>25.41</v>
      </c>
      <c r="AI51" s="84">
        <v>25.41</v>
      </c>
      <c r="AJ51" s="84">
        <f>AI51</f>
        <v>25.41</v>
      </c>
      <c r="AK51" s="85">
        <f>AJ51</f>
        <v>25.41</v>
      </c>
      <c r="AL51" s="84">
        <v>25.41</v>
      </c>
      <c r="AM51" s="84">
        <v>25.41</v>
      </c>
      <c r="AN51" s="84">
        <v>25.41</v>
      </c>
      <c r="AO51" s="84">
        <v>25.41</v>
      </c>
      <c r="AP51" s="85">
        <f>AK51</f>
        <v>25.41</v>
      </c>
      <c r="AQ51" s="84">
        <v>25.41</v>
      </c>
      <c r="AR51" s="84">
        <v>25.41</v>
      </c>
      <c r="AS51" s="84">
        <v>25.41</v>
      </c>
      <c r="AT51" s="84">
        <v>25.41</v>
      </c>
      <c r="AU51" s="85">
        <f>AP51</f>
        <v>25.41</v>
      </c>
      <c r="AV51" s="12">
        <v>25.41</v>
      </c>
      <c r="AW51" s="12">
        <v>25.41</v>
      </c>
      <c r="AX51" s="12">
        <v>25.41</v>
      </c>
      <c r="AY51" s="12">
        <v>25.41</v>
      </c>
      <c r="AZ51" s="13">
        <f>AU51</f>
        <v>25.41</v>
      </c>
      <c r="BA51" s="12">
        <f t="shared" ref="BA51:BD51" si="112">AV51</f>
        <v>25.41</v>
      </c>
      <c r="BB51" s="12">
        <f t="shared" si="112"/>
        <v>25.41</v>
      </c>
      <c r="BC51" s="12">
        <f t="shared" si="112"/>
        <v>25.41</v>
      </c>
      <c r="BD51" s="12">
        <f t="shared" si="112"/>
        <v>25.41</v>
      </c>
      <c r="BE51" s="13">
        <v>25.41</v>
      </c>
      <c r="BF51" s="12">
        <f>BG51</f>
        <v>25.41</v>
      </c>
      <c r="BG51" s="12">
        <v>25.41</v>
      </c>
      <c r="BH51" s="12">
        <f>BG51</f>
        <v>25.41</v>
      </c>
      <c r="BI51" s="12">
        <v>25.42</v>
      </c>
      <c r="BJ51" s="13">
        <f>BE51</f>
        <v>25.41</v>
      </c>
      <c r="BK51" s="12">
        <v>25.42</v>
      </c>
      <c r="BL51" s="12">
        <f t="shared" ref="BL51:BN51" si="113">BK51</f>
        <v>25.42</v>
      </c>
      <c r="BM51" s="12">
        <f t="shared" si="113"/>
        <v>25.42</v>
      </c>
      <c r="BN51" s="12">
        <f t="shared" si="113"/>
        <v>25.42</v>
      </c>
      <c r="BO51" s="13">
        <v>25.41</v>
      </c>
      <c r="BP51" s="12">
        <v>25.41</v>
      </c>
      <c r="BQ51" s="12">
        <v>25.41</v>
      </c>
      <c r="BR51" s="12">
        <f>BQ51</f>
        <v>25.41</v>
      </c>
      <c r="BS51" s="12">
        <v>25.4</v>
      </c>
      <c r="BT51" s="13">
        <f>BO51</f>
        <v>25.41</v>
      </c>
      <c r="BU51" s="12">
        <v>25.4</v>
      </c>
      <c r="BV51" s="12">
        <f t="shared" ref="BV51:BX51" si="114">BU51</f>
        <v>25.4</v>
      </c>
      <c r="BW51" s="12">
        <f t="shared" si="114"/>
        <v>25.4</v>
      </c>
      <c r="BX51" s="12">
        <f t="shared" si="114"/>
        <v>25.4</v>
      </c>
      <c r="BY51" s="13">
        <f>BT51</f>
        <v>25.41</v>
      </c>
      <c r="BZ51" s="12"/>
      <c r="CA51" s="12"/>
      <c r="CB51" s="12"/>
      <c r="CC51" s="12"/>
      <c r="CD51" s="13">
        <f>BY51</f>
        <v>25.41</v>
      </c>
      <c r="CE51" s="12"/>
      <c r="CF51" s="12"/>
      <c r="CG51" s="12"/>
      <c r="CH51" s="12"/>
      <c r="CI51" s="13">
        <v>25.41</v>
      </c>
      <c r="CJ51" s="13">
        <f>CI51</f>
        <v>25.41</v>
      </c>
      <c r="CK51" s="13">
        <f>CJ51</f>
        <v>25.41</v>
      </c>
      <c r="CL51" s="13">
        <f t="shared" ref="CL51:CN51" si="115">CK51</f>
        <v>25.41</v>
      </c>
      <c r="CM51" s="13">
        <f t="shared" si="115"/>
        <v>25.41</v>
      </c>
      <c r="CN51" s="13">
        <f t="shared" si="115"/>
        <v>25.41</v>
      </c>
      <c r="CO51" s="15"/>
      <c r="CP51" s="15"/>
      <c r="CQ51" s="5"/>
      <c r="CR51" s="5"/>
      <c r="CS51" s="6"/>
      <c r="CT51" s="13">
        <f t="shared" si="26"/>
        <v>25.41</v>
      </c>
      <c r="CU51" s="13">
        <f t="shared" si="27"/>
        <v>25.41</v>
      </c>
      <c r="CV51" s="13">
        <f t="shared" si="28"/>
        <v>25.41</v>
      </c>
      <c r="CW51" s="13">
        <f t="shared" si="29"/>
        <v>25.41</v>
      </c>
      <c r="CX51" s="13">
        <f t="shared" si="30"/>
        <v>25.41</v>
      </c>
      <c r="CY51" s="13">
        <f t="shared" si="31"/>
        <v>25.41</v>
      </c>
      <c r="CZ51" s="13">
        <f t="shared" si="32"/>
        <v>25.41</v>
      </c>
      <c r="DA51" s="13">
        <f t="shared" si="33"/>
        <v>25.41</v>
      </c>
      <c r="DB51" s="13">
        <f t="shared" si="34"/>
        <v>25.41</v>
      </c>
      <c r="DC51" s="13">
        <f t="shared" si="35"/>
        <v>25.41</v>
      </c>
      <c r="DD51" s="13">
        <f t="shared" si="36"/>
        <v>25.41</v>
      </c>
      <c r="DE51" s="13">
        <f t="shared" si="37"/>
        <v>25.41</v>
      </c>
      <c r="DF51" s="13">
        <f t="shared" si="105"/>
        <v>25.41</v>
      </c>
      <c r="DG51" s="13">
        <f t="shared" si="105"/>
        <v>25.41</v>
      </c>
      <c r="DH51" s="13">
        <f t="shared" si="105"/>
        <v>25.41</v>
      </c>
      <c r="DI51" s="13">
        <v>25.41</v>
      </c>
      <c r="DK51" s="13">
        <v>25.41</v>
      </c>
      <c r="DL51" s="13">
        <v>25.41</v>
      </c>
      <c r="DM51" s="6"/>
      <c r="DN51" s="13">
        <v>25.41</v>
      </c>
      <c r="DO51" s="13">
        <v>25.41</v>
      </c>
      <c r="DQ51" s="12">
        <v>25.41</v>
      </c>
      <c r="DR51" s="13">
        <v>25.41</v>
      </c>
      <c r="DS51" s="13">
        <v>25.41</v>
      </c>
      <c r="DT51" s="13">
        <v>25.41</v>
      </c>
      <c r="DV51" s="13">
        <v>25.41</v>
      </c>
      <c r="DW51" s="13">
        <v>25.41</v>
      </c>
      <c r="DX51" s="13">
        <v>25.41</v>
      </c>
      <c r="EA51" s="12">
        <v>25.41</v>
      </c>
      <c r="EB51" s="12">
        <v>25.41</v>
      </c>
      <c r="EC51" s="12">
        <v>25.41</v>
      </c>
      <c r="ED51" s="13">
        <v>25.41</v>
      </c>
      <c r="EE51" s="13">
        <v>25.41</v>
      </c>
      <c r="EF51" s="13">
        <v>25.41</v>
      </c>
      <c r="EJ51" s="12">
        <v>25.41</v>
      </c>
      <c r="EK51" s="12">
        <v>25.41</v>
      </c>
      <c r="EL51" s="13">
        <v>25.41</v>
      </c>
      <c r="EM51" s="13">
        <v>25.41</v>
      </c>
      <c r="EN51" s="13">
        <v>25.41</v>
      </c>
      <c r="EP51" s="12">
        <v>25.41</v>
      </c>
      <c r="EQ51" s="13">
        <v>25.41</v>
      </c>
      <c r="ER51" s="13">
        <v>25.41</v>
      </c>
      <c r="ES51" s="13">
        <v>25.41</v>
      </c>
      <c r="EV51" s="12">
        <v>25.41</v>
      </c>
      <c r="EW51" s="12">
        <v>25.41</v>
      </c>
      <c r="EX51" s="12">
        <v>25.41</v>
      </c>
      <c r="EY51" s="12">
        <v>25.41</v>
      </c>
      <c r="EZ51" s="13">
        <v>25.41</v>
      </c>
      <c r="FA51" s="13">
        <v>25.41</v>
      </c>
      <c r="FD51" s="12">
        <v>25.41</v>
      </c>
      <c r="FE51" s="12">
        <v>25.41</v>
      </c>
      <c r="FF51" s="12">
        <v>25.41</v>
      </c>
      <c r="FG51" s="13">
        <v>25.41</v>
      </c>
      <c r="FH51" s="13">
        <v>25.41</v>
      </c>
      <c r="FK51" s="13">
        <v>25.41</v>
      </c>
      <c r="FL51" s="13">
        <v>25.41</v>
      </c>
      <c r="FO51" s="12">
        <v>25.41</v>
      </c>
      <c r="FP51" s="12">
        <v>25.41</v>
      </c>
      <c r="FQ51" s="13">
        <v>25.41</v>
      </c>
      <c r="FR51" s="13">
        <v>25.41</v>
      </c>
      <c r="FU51" s="12">
        <v>25.41</v>
      </c>
      <c r="FV51" s="13">
        <v>25.41</v>
      </c>
      <c r="FW51" s="13">
        <v>25.41</v>
      </c>
      <c r="FX51" s="13">
        <v>25.41</v>
      </c>
      <c r="FY51" s="13">
        <v>25.41</v>
      </c>
      <c r="GA51" s="13">
        <v>25.41</v>
      </c>
      <c r="GB51" s="13">
        <v>25.41</v>
      </c>
      <c r="GC51" s="13">
        <v>25.41</v>
      </c>
      <c r="GF51" s="12"/>
      <c r="GG51" s="12"/>
      <c r="GH51" s="12"/>
      <c r="GI51" s="13">
        <v>25.41</v>
      </c>
      <c r="GJ51" s="13">
        <v>25.41</v>
      </c>
      <c r="GK51" s="13">
        <v>25.41</v>
      </c>
      <c r="GN51" s="12">
        <v>25.41</v>
      </c>
      <c r="GO51" s="12"/>
      <c r="GP51" s="13">
        <v>25.41</v>
      </c>
      <c r="GQ51" s="13">
        <v>25.41</v>
      </c>
      <c r="GR51" s="13">
        <v>25.41</v>
      </c>
      <c r="GV51" s="12"/>
      <c r="GW51" s="13">
        <v>25.41</v>
      </c>
      <c r="GX51" s="13">
        <v>25.41</v>
      </c>
      <c r="GY51" s="13">
        <v>25.41</v>
      </c>
      <c r="HC51" s="13"/>
      <c r="HD51" s="13">
        <v>25.41</v>
      </c>
      <c r="HE51" s="13">
        <v>25.41</v>
      </c>
      <c r="HF51" s="13">
        <v>25.41</v>
      </c>
      <c r="HI51" s="12"/>
      <c r="HJ51" s="12"/>
      <c r="HK51" s="12"/>
      <c r="HL51" s="12"/>
      <c r="HM51" s="13">
        <v>25.41</v>
      </c>
      <c r="HN51" s="13">
        <v>25.41</v>
      </c>
      <c r="HO51" s="13">
        <v>25.41</v>
      </c>
      <c r="HR51" s="12"/>
      <c r="HS51" s="12"/>
      <c r="HT51" s="12"/>
      <c r="HU51" s="13">
        <v>25.41</v>
      </c>
      <c r="HV51" s="13">
        <v>25.41</v>
      </c>
      <c r="HW51" s="13">
        <v>25.41</v>
      </c>
      <c r="HZ51" s="12"/>
      <c r="IA51" s="13">
        <v>25.41</v>
      </c>
      <c r="IB51" s="13">
        <v>25.41</v>
      </c>
      <c r="IC51" s="13">
        <v>25.41</v>
      </c>
      <c r="IE51" s="12"/>
      <c r="IF51" s="13">
        <v>25.41</v>
      </c>
      <c r="IG51" s="13">
        <v>25.41</v>
      </c>
      <c r="IH51" s="13">
        <v>25.41</v>
      </c>
      <c r="IK51" s="13">
        <v>25.41</v>
      </c>
      <c r="IL51" s="13">
        <v>25.41</v>
      </c>
      <c r="IO51" s="13">
        <v>25.41</v>
      </c>
      <c r="IP51" s="13">
        <v>25.41</v>
      </c>
      <c r="IS51" s="13">
        <v>2</v>
      </c>
      <c r="IT51" s="13">
        <v>2</v>
      </c>
      <c r="IU51" s="13">
        <v>2</v>
      </c>
      <c r="IX51" s="13">
        <v>25.4</v>
      </c>
      <c r="IY51" s="13">
        <v>25.41</v>
      </c>
      <c r="IZ51" s="13">
        <v>25.41</v>
      </c>
      <c r="JA51" s="13">
        <v>25.41</v>
      </c>
      <c r="JD51" s="13">
        <v>25.41</v>
      </c>
      <c r="JE51" s="13">
        <v>25.41</v>
      </c>
      <c r="JH51" s="13">
        <v>25.41</v>
      </c>
      <c r="JI51" s="13">
        <v>25.41</v>
      </c>
      <c r="JJ51" s="13">
        <v>25.41</v>
      </c>
      <c r="JM51" s="13">
        <v>25.41</v>
      </c>
      <c r="JN51" s="13">
        <v>25.41</v>
      </c>
      <c r="JQ51" s="13">
        <v>25.41</v>
      </c>
      <c r="JR51" s="13">
        <v>25.41</v>
      </c>
      <c r="JS51" s="13">
        <v>25.41</v>
      </c>
      <c r="JV51" s="13">
        <v>25.41</v>
      </c>
      <c r="JW51" s="13">
        <v>25.41</v>
      </c>
      <c r="JY51" s="13">
        <v>25.41</v>
      </c>
      <c r="JZ51" s="13">
        <v>25.41</v>
      </c>
      <c r="KB51" s="13">
        <v>25.41</v>
      </c>
      <c r="KC51" s="13">
        <v>25.41</v>
      </c>
      <c r="KD51" s="13">
        <v>25.41</v>
      </c>
    </row>
    <row r="52" spans="1:290" s="86" customFormat="1" x14ac:dyDescent="0.25">
      <c r="A52" s="7" t="s">
        <v>261</v>
      </c>
      <c r="B52" s="11" t="s">
        <v>173</v>
      </c>
      <c r="C52" s="44"/>
      <c r="D52" s="44"/>
      <c r="E52" s="44"/>
      <c r="F52" s="44"/>
      <c r="G52" s="44"/>
      <c r="H52" s="43"/>
      <c r="I52" s="44"/>
      <c r="J52" s="44"/>
      <c r="K52" s="44"/>
      <c r="L52" s="44"/>
      <c r="M52" s="43">
        <v>520.92999999999995</v>
      </c>
      <c r="N52" s="44"/>
      <c r="O52" s="44"/>
      <c r="P52" s="44"/>
      <c r="Q52" s="44"/>
      <c r="R52" s="43">
        <v>669.99</v>
      </c>
      <c r="S52" s="44"/>
      <c r="T52" s="44"/>
      <c r="U52" s="44"/>
      <c r="V52" s="44"/>
      <c r="W52" s="43">
        <v>852.29</v>
      </c>
      <c r="X52" s="44"/>
      <c r="Y52" s="44"/>
      <c r="Z52" s="44"/>
      <c r="AA52" s="44"/>
      <c r="AB52" s="43">
        <v>1012.51</v>
      </c>
      <c r="AC52" s="44"/>
      <c r="AD52" s="44"/>
      <c r="AE52" s="44"/>
      <c r="AF52" s="44"/>
      <c r="AG52" s="43">
        <v>1186.0999999999999</v>
      </c>
      <c r="AH52" s="44"/>
      <c r="AI52" s="44"/>
      <c r="AJ52" s="44"/>
      <c r="AK52" s="43">
        <v>1312.6</v>
      </c>
      <c r="AL52" s="44"/>
      <c r="AM52" s="44"/>
      <c r="AN52" s="44"/>
      <c r="AO52" s="44"/>
      <c r="AP52" s="43">
        <v>1670.31</v>
      </c>
      <c r="AQ52" s="44"/>
      <c r="AR52" s="44"/>
      <c r="AS52" s="44"/>
      <c r="AT52" s="44"/>
      <c r="AU52" s="43">
        <v>1869.49</v>
      </c>
      <c r="AV52" s="44"/>
      <c r="AW52" s="44"/>
      <c r="AX52" s="44"/>
      <c r="AY52" s="44"/>
      <c r="AZ52" s="43">
        <v>2128.56</v>
      </c>
      <c r="BA52" s="44"/>
      <c r="BB52" s="44">
        <v>2216.5100000000002</v>
      </c>
      <c r="BC52" s="44"/>
      <c r="BD52" s="44"/>
      <c r="BE52" s="43">
        <v>2235.7800000000002</v>
      </c>
      <c r="BF52" s="44"/>
      <c r="BG52" s="44">
        <v>2328.1999999999998</v>
      </c>
      <c r="BH52" s="44"/>
      <c r="BI52" s="44"/>
      <c r="BJ52" s="43">
        <v>3143.8</v>
      </c>
      <c r="BK52" s="44"/>
      <c r="BL52" s="44"/>
      <c r="BM52" s="44"/>
      <c r="BN52" s="44"/>
      <c r="BO52" s="43">
        <v>3818.95</v>
      </c>
      <c r="BP52" s="44"/>
      <c r="BQ52" s="44">
        <v>3885.9</v>
      </c>
      <c r="BR52" s="44"/>
      <c r="BS52" s="44">
        <v>4402.12</v>
      </c>
      <c r="BT52" s="43">
        <v>4402.12</v>
      </c>
      <c r="BU52" s="44">
        <v>4402.12</v>
      </c>
      <c r="BV52" s="44"/>
      <c r="BW52" s="44"/>
      <c r="BX52" s="44"/>
      <c r="BY52" s="43">
        <v>5108.83</v>
      </c>
      <c r="BZ52" s="44"/>
      <c r="CA52" s="44"/>
      <c r="CB52" s="44"/>
      <c r="CC52" s="44"/>
      <c r="CD52" s="43">
        <v>5635</v>
      </c>
      <c r="CE52" s="44"/>
      <c r="CF52" s="44"/>
      <c r="CG52" s="44"/>
      <c r="CH52" s="44"/>
      <c r="CI52" s="43">
        <v>6143.66</v>
      </c>
      <c r="CJ52" s="43">
        <f ca="1">+CI52+(CJ49*0.6)</f>
        <v>6814.0194078950735</v>
      </c>
      <c r="CK52" s="43">
        <f ca="1">+CJ52+(CK49*0.6)</f>
        <v>7601.2123129362335</v>
      </c>
      <c r="CL52" s="43">
        <f ca="1">+CK52+(CL49*0.6)</f>
        <v>8532.9803740154966</v>
      </c>
      <c r="CM52" s="43">
        <f ca="1">+CL52+(CM49*0.6)</f>
        <v>9596.0978367302669</v>
      </c>
      <c r="CN52" s="43">
        <f ca="1">+CM52+(CN49*0.6)</f>
        <v>10765.108876781322</v>
      </c>
      <c r="CO52" s="45"/>
      <c r="CP52" s="45"/>
      <c r="CQ52" s="31"/>
      <c r="CR52" s="31"/>
      <c r="CS52" s="31"/>
      <c r="CT52" s="43">
        <f t="shared" si="26"/>
        <v>1012.51</v>
      </c>
      <c r="CU52" s="43">
        <f t="shared" si="27"/>
        <v>1186.0999999999999</v>
      </c>
      <c r="CV52" s="43">
        <f t="shared" si="28"/>
        <v>1312.6</v>
      </c>
      <c r="CW52" s="43">
        <f t="shared" si="29"/>
        <v>1670.31</v>
      </c>
      <c r="CX52" s="43">
        <f t="shared" si="30"/>
        <v>1869.49</v>
      </c>
      <c r="CY52" s="43">
        <f t="shared" si="31"/>
        <v>2128.56</v>
      </c>
      <c r="CZ52" s="43">
        <f t="shared" si="32"/>
        <v>2235.7800000000002</v>
      </c>
      <c r="DA52" s="43">
        <f t="shared" si="33"/>
        <v>3143.8</v>
      </c>
      <c r="DB52" s="43">
        <f t="shared" si="34"/>
        <v>3818.95</v>
      </c>
      <c r="DC52" s="43">
        <f t="shared" si="35"/>
        <v>4402.12</v>
      </c>
      <c r="DD52" s="43">
        <f t="shared" si="36"/>
        <v>5108.83</v>
      </c>
      <c r="DE52" s="43">
        <f t="shared" si="37"/>
        <v>5635</v>
      </c>
      <c r="DF52" s="43">
        <f t="shared" si="105"/>
        <v>6143.66</v>
      </c>
      <c r="DG52" s="43">
        <f t="shared" ca="1" si="105"/>
        <v>6814.0194078950735</v>
      </c>
      <c r="DH52" s="43">
        <f t="shared" ca="1" si="105"/>
        <v>7601.2123129362335</v>
      </c>
      <c r="DI52" s="43">
        <v>2484.4689589551072</v>
      </c>
      <c r="DK52" s="43">
        <v>1944.003589312</v>
      </c>
      <c r="DL52" s="43">
        <v>2254.34140112768</v>
      </c>
      <c r="DM52" s="31"/>
      <c r="DN52" s="43">
        <v>1967.418136578</v>
      </c>
      <c r="DO52" s="43">
        <v>2300.2965822769202</v>
      </c>
      <c r="DQ52" s="44"/>
      <c r="DR52" s="43">
        <v>1888.2705846066001</v>
      </c>
      <c r="DS52" s="43">
        <v>2157.506374019355</v>
      </c>
      <c r="DT52" s="43">
        <v>2483.0939589551072</v>
      </c>
      <c r="DV52" s="43">
        <v>2138.7088400000002</v>
      </c>
      <c r="DW52" s="43">
        <v>2464.2590711710004</v>
      </c>
      <c r="DX52" s="43">
        <v>2831.1765300825205</v>
      </c>
      <c r="EA52" s="44"/>
      <c r="EB52" s="44"/>
      <c r="EC52" s="44"/>
      <c r="ED52" s="43">
        <v>2138.7088400000002</v>
      </c>
      <c r="EE52" s="43">
        <v>2462.4165711710002</v>
      </c>
      <c r="EF52" s="43">
        <v>2821.9640300825204</v>
      </c>
      <c r="EJ52" s="44"/>
      <c r="EK52" s="44"/>
      <c r="EL52" s="43">
        <v>2160.2166999999999</v>
      </c>
      <c r="EM52" s="43">
        <v>2464.6644202580001</v>
      </c>
      <c r="EN52" s="43">
        <v>2813.2118791695202</v>
      </c>
      <c r="EP52" s="44"/>
      <c r="EQ52" s="43">
        <v>2117.0934000000002</v>
      </c>
      <c r="ER52" s="43">
        <v>2390.1497374</v>
      </c>
      <c r="ES52" s="43">
        <v>2721.5948287554879</v>
      </c>
      <c r="EV52" s="44"/>
      <c r="EW52" s="44"/>
      <c r="EX52" s="44"/>
      <c r="EY52" s="44"/>
      <c r="EZ52" s="43">
        <v>2407.60338</v>
      </c>
      <c r="FA52" s="43">
        <v>2731.7161249999999</v>
      </c>
      <c r="FD52" s="44"/>
      <c r="FE52" s="44"/>
      <c r="FF52" s="44"/>
      <c r="FG52" s="43">
        <v>2394.4588199999998</v>
      </c>
      <c r="FH52" s="43">
        <v>2725.5346199999999</v>
      </c>
      <c r="FK52" s="43">
        <v>2399.1393199999998</v>
      </c>
      <c r="FL52" s="43">
        <v>2723.7478899999996</v>
      </c>
      <c r="FO52" s="44"/>
      <c r="FP52" s="44"/>
      <c r="FQ52" s="43">
        <v>2388.7484081279999</v>
      </c>
      <c r="FR52" s="43">
        <v>2705.0456495732396</v>
      </c>
      <c r="FU52" s="44"/>
      <c r="FV52" s="43">
        <v>2365.8587223750001</v>
      </c>
      <c r="FW52" s="43">
        <v>2513.9640379530001</v>
      </c>
      <c r="FX52" s="43">
        <v>2752.8963406065504</v>
      </c>
      <c r="FY52" s="43">
        <v>3029.7570680501835</v>
      </c>
      <c r="GA52" s="43">
        <v>2476.3231395000003</v>
      </c>
      <c r="GB52" s="43">
        <v>2860.1977210125001</v>
      </c>
      <c r="GC52" s="43">
        <v>3307.6217602025399</v>
      </c>
      <c r="GF52" s="44"/>
      <c r="GG52" s="44"/>
      <c r="GH52" s="44"/>
      <c r="GI52" s="43">
        <v>2570.7528052500002</v>
      </c>
      <c r="GJ52" s="43">
        <v>3042.7729882987501</v>
      </c>
      <c r="GK52" s="43">
        <v>3568.8306993578221</v>
      </c>
      <c r="GN52" s="44"/>
      <c r="GO52" s="44"/>
      <c r="GP52" s="43">
        <v>2691.7095298125</v>
      </c>
      <c r="GQ52" s="43">
        <v>3197.2316020200001</v>
      </c>
      <c r="GR52" s="43">
        <v>3760.1745983267283</v>
      </c>
      <c r="GV52" s="44"/>
      <c r="GW52" s="43">
        <v>2822.7383272500001</v>
      </c>
      <c r="GX52" s="43">
        <v>3308.9515770974999</v>
      </c>
      <c r="GY52" s="43">
        <v>3937.3035810691199</v>
      </c>
      <c r="HC52" s="43"/>
      <c r="HD52" s="43">
        <v>3809.6961297625003</v>
      </c>
      <c r="HE52" s="43">
        <v>4479.1430167786802</v>
      </c>
      <c r="HF52" s="43">
        <v>5214.7909461167255</v>
      </c>
      <c r="HI52" s="44"/>
      <c r="HJ52" s="44"/>
      <c r="HK52" s="44"/>
      <c r="HL52" s="44"/>
      <c r="HM52" s="43">
        <v>4416.6209938219999</v>
      </c>
      <c r="HN52" s="43">
        <v>5067.9448359854005</v>
      </c>
      <c r="HO52" s="43">
        <v>5757.8725911957163</v>
      </c>
      <c r="HR52" s="44"/>
      <c r="HS52" s="44"/>
      <c r="HT52" s="44"/>
      <c r="HU52" s="43">
        <v>4416.6209938219999</v>
      </c>
      <c r="HV52" s="43">
        <v>5146.1710489790003</v>
      </c>
      <c r="HW52" s="43">
        <v>5931.1436529765406</v>
      </c>
      <c r="HZ52" s="44"/>
      <c r="IA52" s="43">
        <v>4360.662484292</v>
      </c>
      <c r="IB52" s="43">
        <v>5018.5539960464002</v>
      </c>
      <c r="IC52" s="43">
        <v>5765.0926874985207</v>
      </c>
      <c r="IE52" s="44"/>
      <c r="IF52" s="43">
        <v>4347.3338758800001</v>
      </c>
      <c r="IG52" s="43">
        <v>5037.6543822967997</v>
      </c>
      <c r="IH52" s="43">
        <v>5832.8704643151996</v>
      </c>
      <c r="IK52" s="43">
        <v>5090.3167064167992</v>
      </c>
      <c r="IL52" s="43">
        <v>5883.4089884351988</v>
      </c>
      <c r="IO52" s="43">
        <v>5210.8092572360001</v>
      </c>
      <c r="IP52" s="43">
        <v>6210.10187109456</v>
      </c>
      <c r="IS52" s="43">
        <v>0</v>
      </c>
      <c r="IT52" s="43">
        <v>0</v>
      </c>
      <c r="IU52" s="43">
        <v>0</v>
      </c>
      <c r="IX52" s="43"/>
      <c r="IY52" s="43">
        <v>5143.3012591400002</v>
      </c>
      <c r="IZ52" s="43">
        <v>6159.4207642343999</v>
      </c>
      <c r="JA52" s="43">
        <v>7352.4996765190717</v>
      </c>
      <c r="JD52" s="43">
        <v>6177.1557888099996</v>
      </c>
      <c r="JE52" s="43">
        <v>7464.8377957359999</v>
      </c>
      <c r="JH52" s="43">
        <v>6073.768484272</v>
      </c>
      <c r="JI52" s="43">
        <v>7257.2614443381999</v>
      </c>
      <c r="JJ52" s="43">
        <v>8620.999886621843</v>
      </c>
      <c r="JM52" s="43">
        <v>7110.3217292353193</v>
      </c>
      <c r="JN52" s="43">
        <v>8405.113057227918</v>
      </c>
      <c r="JQ52" s="43">
        <v>5783.1317763090001</v>
      </c>
      <c r="JR52" s="43">
        <v>6609.7147053734807</v>
      </c>
      <c r="JS52" s="43">
        <v>7572.536887989957</v>
      </c>
      <c r="JV52" s="43">
        <v>6594.0854574759987</v>
      </c>
      <c r="JW52" s="43">
        <v>7540.5803355588787</v>
      </c>
      <c r="JY52" s="43">
        <v>6618.296624147999</v>
      </c>
      <c r="JZ52" s="43">
        <v>7593.140577388639</v>
      </c>
      <c r="KB52" s="43">
        <v>6455.1307339599989</v>
      </c>
      <c r="KC52" s="43">
        <v>7312.4598611361989</v>
      </c>
      <c r="KD52" s="43">
        <v>8283.7233764175307</v>
      </c>
    </row>
    <row r="53" spans="1:290" s="86" customFormat="1" x14ac:dyDescent="0.25">
      <c r="A53" s="7" t="s">
        <v>261</v>
      </c>
      <c r="B53" s="11" t="s">
        <v>174</v>
      </c>
      <c r="C53" s="44"/>
      <c r="D53" s="44"/>
      <c r="E53" s="44"/>
      <c r="F53" s="44"/>
      <c r="G53" s="44"/>
      <c r="H53" s="43"/>
      <c r="I53" s="44"/>
      <c r="J53" s="44"/>
      <c r="K53" s="44"/>
      <c r="L53" s="44"/>
      <c r="M53" s="43"/>
      <c r="N53" s="44"/>
      <c r="O53" s="44"/>
      <c r="P53" s="44"/>
      <c r="Q53" s="44"/>
      <c r="R53" s="43"/>
      <c r="S53" s="44"/>
      <c r="T53" s="44"/>
      <c r="U53" s="44"/>
      <c r="V53" s="44"/>
      <c r="W53" s="43"/>
      <c r="X53" s="44"/>
      <c r="Y53" s="44"/>
      <c r="Z53" s="44"/>
      <c r="AA53" s="44"/>
      <c r="AB53" s="43">
        <v>512.5</v>
      </c>
      <c r="AC53" s="44"/>
      <c r="AD53" s="44"/>
      <c r="AE53" s="44"/>
      <c r="AF53" s="44"/>
      <c r="AG53" s="43">
        <v>429.9</v>
      </c>
      <c r="AH53" s="44"/>
      <c r="AI53" s="44"/>
      <c r="AJ53" s="44"/>
      <c r="AK53" s="43">
        <v>348.9</v>
      </c>
      <c r="AL53" s="44"/>
      <c r="AM53" s="44">
        <v>379</v>
      </c>
      <c r="AN53" s="44"/>
      <c r="AO53" s="44"/>
      <c r="AP53" s="43">
        <v>300</v>
      </c>
      <c r="AQ53" s="44"/>
      <c r="AR53" s="44"/>
      <c r="AS53" s="44">
        <v>395</v>
      </c>
      <c r="AT53" s="44"/>
      <c r="AU53" s="43">
        <f>1.35+231.01+48.5</f>
        <v>280.86</v>
      </c>
      <c r="AV53" s="44">
        <v>106</v>
      </c>
      <c r="AW53" s="44"/>
      <c r="AX53" s="44">
        <v>259</v>
      </c>
      <c r="AY53" s="44"/>
      <c r="AZ53" s="43">
        <v>162</v>
      </c>
      <c r="BA53" s="44"/>
      <c r="BB53" s="44"/>
      <c r="BC53" s="44">
        <v>223</v>
      </c>
      <c r="BD53" s="44"/>
      <c r="BE53" s="43">
        <f>0.88+410.06</f>
        <v>410.94</v>
      </c>
      <c r="BF53" s="44"/>
      <c r="BG53" s="44"/>
      <c r="BH53" s="44">
        <v>-432</v>
      </c>
      <c r="BI53" s="44"/>
      <c r="BJ53" s="43">
        <v>0</v>
      </c>
      <c r="BK53" s="44"/>
      <c r="BL53" s="44"/>
      <c r="BM53" s="44"/>
      <c r="BN53" s="44"/>
      <c r="BO53" s="43">
        <v>0</v>
      </c>
      <c r="BP53" s="44">
        <v>-533</v>
      </c>
      <c r="BQ53" s="44">
        <f>-463.42-37.4</f>
        <v>-500.82</v>
      </c>
      <c r="BR53" s="44">
        <v>-687</v>
      </c>
      <c r="BS53" s="44">
        <v>-737</v>
      </c>
      <c r="BT53" s="43">
        <v>0</v>
      </c>
      <c r="BU53" s="44">
        <v>-951</v>
      </c>
      <c r="BV53" s="44">
        <v>-583</v>
      </c>
      <c r="BW53" s="44">
        <v>-586</v>
      </c>
      <c r="BX53" s="44"/>
      <c r="BY53" s="43">
        <v>0</v>
      </c>
      <c r="BZ53" s="44"/>
      <c r="CA53" s="44"/>
      <c r="CB53" s="44"/>
      <c r="CC53" s="44"/>
      <c r="CD53" s="43">
        <v>0</v>
      </c>
      <c r="CE53" s="44"/>
      <c r="CF53" s="44"/>
      <c r="CG53" s="44"/>
      <c r="CH53" s="44"/>
      <c r="CI53" s="43">
        <v>0</v>
      </c>
      <c r="CJ53" s="43">
        <v>0</v>
      </c>
      <c r="CK53" s="43">
        <v>0</v>
      </c>
      <c r="CL53" s="43">
        <v>0</v>
      </c>
      <c r="CM53" s="43">
        <v>0</v>
      </c>
      <c r="CN53" s="43">
        <v>0</v>
      </c>
      <c r="CO53" s="45"/>
      <c r="CP53" s="45"/>
      <c r="CQ53" s="31"/>
      <c r="CR53" s="31"/>
      <c r="CS53" s="31"/>
      <c r="CT53" s="43">
        <f t="shared" si="26"/>
        <v>512.5</v>
      </c>
      <c r="CU53" s="43">
        <f t="shared" si="27"/>
        <v>429.9</v>
      </c>
      <c r="CV53" s="43">
        <f t="shared" si="28"/>
        <v>348.9</v>
      </c>
      <c r="CW53" s="43">
        <f t="shared" si="29"/>
        <v>300</v>
      </c>
      <c r="CX53" s="43">
        <f t="shared" si="30"/>
        <v>280.86</v>
      </c>
      <c r="CY53" s="43">
        <f t="shared" si="31"/>
        <v>162</v>
      </c>
      <c r="CZ53" s="43">
        <f t="shared" si="32"/>
        <v>410.94</v>
      </c>
      <c r="DA53" s="43">
        <f t="shared" si="33"/>
        <v>0</v>
      </c>
      <c r="DB53" s="43">
        <f t="shared" si="34"/>
        <v>0</v>
      </c>
      <c r="DC53" s="43">
        <f t="shared" si="35"/>
        <v>0</v>
      </c>
      <c r="DD53" s="43">
        <f t="shared" si="36"/>
        <v>0</v>
      </c>
      <c r="DE53" s="43">
        <f t="shared" si="37"/>
        <v>0</v>
      </c>
      <c r="DF53" s="43">
        <f t="shared" si="105"/>
        <v>0</v>
      </c>
      <c r="DG53" s="43">
        <f t="shared" si="105"/>
        <v>0</v>
      </c>
      <c r="DH53" s="43">
        <f t="shared" si="105"/>
        <v>0</v>
      </c>
      <c r="DI53" s="43">
        <v>200</v>
      </c>
      <c r="DK53" s="43">
        <v>250</v>
      </c>
      <c r="DL53" s="43">
        <v>200</v>
      </c>
      <c r="DM53" s="31"/>
      <c r="DN53" s="43">
        <v>250</v>
      </c>
      <c r="DO53" s="43">
        <v>200</v>
      </c>
      <c r="DQ53" s="44"/>
      <c r="DR53" s="43">
        <v>250</v>
      </c>
      <c r="DS53" s="43">
        <v>200</v>
      </c>
      <c r="DT53" s="43">
        <v>200</v>
      </c>
      <c r="DV53" s="43">
        <v>200</v>
      </c>
      <c r="DW53" s="43">
        <v>200</v>
      </c>
      <c r="DX53" s="43">
        <v>200</v>
      </c>
      <c r="EA53" s="44"/>
      <c r="EB53" s="44"/>
      <c r="EC53" s="44"/>
      <c r="ED53" s="43">
        <v>200</v>
      </c>
      <c r="EE53" s="43">
        <v>200</v>
      </c>
      <c r="EF53" s="43">
        <v>200</v>
      </c>
      <c r="EJ53" s="44"/>
      <c r="EK53" s="44"/>
      <c r="EL53" s="43">
        <v>200</v>
      </c>
      <c r="EM53" s="43">
        <v>200</v>
      </c>
      <c r="EN53" s="43">
        <v>200</v>
      </c>
      <c r="EP53" s="44"/>
      <c r="EQ53" s="43">
        <v>200</v>
      </c>
      <c r="ER53" s="43">
        <v>200</v>
      </c>
      <c r="ES53" s="43">
        <v>200</v>
      </c>
      <c r="EV53" s="44"/>
      <c r="EW53" s="44"/>
      <c r="EX53" s="44"/>
      <c r="EY53" s="44"/>
      <c r="EZ53" s="43">
        <v>200</v>
      </c>
      <c r="FA53" s="43">
        <v>200</v>
      </c>
      <c r="FD53" s="44"/>
      <c r="FE53" s="44"/>
      <c r="FF53" s="44"/>
      <c r="FG53" s="43">
        <v>200</v>
      </c>
      <c r="FH53" s="43">
        <v>200</v>
      </c>
      <c r="FK53" s="43">
        <v>200</v>
      </c>
      <c r="FL53" s="43">
        <v>200</v>
      </c>
      <c r="FO53" s="44"/>
      <c r="FP53" s="44"/>
      <c r="FQ53" s="43">
        <v>200</v>
      </c>
      <c r="FR53" s="43">
        <v>200</v>
      </c>
      <c r="FU53" s="44"/>
      <c r="FV53" s="43">
        <v>200</v>
      </c>
      <c r="FW53" s="43">
        <v>200</v>
      </c>
      <c r="FX53" s="43">
        <v>200</v>
      </c>
      <c r="FY53" s="43">
        <v>200</v>
      </c>
      <c r="GA53" s="43">
        <v>0</v>
      </c>
      <c r="GB53" s="43">
        <v>0</v>
      </c>
      <c r="GC53" s="43">
        <v>0</v>
      </c>
      <c r="GF53" s="44"/>
      <c r="GG53" s="44"/>
      <c r="GH53" s="44"/>
      <c r="GI53" s="43">
        <v>0</v>
      </c>
      <c r="GJ53" s="43">
        <v>0</v>
      </c>
      <c r="GK53" s="43">
        <v>0</v>
      </c>
      <c r="GN53" s="44"/>
      <c r="GO53" s="44"/>
      <c r="GP53" s="43">
        <v>0</v>
      </c>
      <c r="GQ53" s="43">
        <v>0</v>
      </c>
      <c r="GR53" s="43">
        <v>0</v>
      </c>
      <c r="GV53" s="44"/>
      <c r="GW53" s="43">
        <v>0</v>
      </c>
      <c r="GX53" s="43">
        <v>0</v>
      </c>
      <c r="GY53" s="43">
        <v>0</v>
      </c>
      <c r="HC53" s="43"/>
      <c r="HD53" s="43">
        <v>0</v>
      </c>
      <c r="HE53" s="43">
        <v>0</v>
      </c>
      <c r="HF53" s="43">
        <v>0</v>
      </c>
      <c r="HI53" s="44"/>
      <c r="HJ53" s="44"/>
      <c r="HK53" s="44"/>
      <c r="HL53" s="44"/>
      <c r="HM53" s="43">
        <v>0</v>
      </c>
      <c r="HN53" s="43">
        <v>0</v>
      </c>
      <c r="HO53" s="43">
        <v>0</v>
      </c>
      <c r="HR53" s="44"/>
      <c r="HS53" s="44"/>
      <c r="HT53" s="44"/>
      <c r="HU53" s="43">
        <v>0</v>
      </c>
      <c r="HV53" s="43">
        <v>0</v>
      </c>
      <c r="HW53" s="43">
        <v>0</v>
      </c>
      <c r="HZ53" s="44"/>
      <c r="IA53" s="43">
        <v>0</v>
      </c>
      <c r="IB53" s="43">
        <v>0</v>
      </c>
      <c r="IC53" s="43">
        <v>0</v>
      </c>
      <c r="IE53" s="44"/>
      <c r="IF53" s="43">
        <v>0</v>
      </c>
      <c r="IG53" s="43">
        <v>0</v>
      </c>
      <c r="IH53" s="43">
        <v>0</v>
      </c>
      <c r="IK53" s="43">
        <v>0</v>
      </c>
      <c r="IL53" s="43">
        <v>0</v>
      </c>
      <c r="IO53" s="43">
        <v>0</v>
      </c>
      <c r="IP53" s="43">
        <v>0</v>
      </c>
      <c r="IS53" s="43">
        <v>409.5639370392758</v>
      </c>
      <c r="IT53" s="43">
        <v>490.65431205124275</v>
      </c>
      <c r="IU53" s="43">
        <v>585.98293914502733</v>
      </c>
      <c r="IX53" s="43"/>
      <c r="IY53" s="43">
        <v>0</v>
      </c>
      <c r="IZ53" s="43">
        <v>0</v>
      </c>
      <c r="JA53" s="43">
        <v>0</v>
      </c>
      <c r="JD53" s="43">
        <v>0</v>
      </c>
      <c r="JE53" s="43">
        <v>0</v>
      </c>
      <c r="JH53" s="43">
        <v>0</v>
      </c>
      <c r="JI53" s="43">
        <v>0</v>
      </c>
      <c r="JJ53" s="43">
        <v>0</v>
      </c>
      <c r="JM53" s="43">
        <v>0</v>
      </c>
      <c r="JN53" s="43">
        <v>0</v>
      </c>
      <c r="JQ53" s="43">
        <v>0</v>
      </c>
      <c r="JR53" s="43">
        <v>0</v>
      </c>
      <c r="JS53" s="43">
        <v>0</v>
      </c>
      <c r="JV53" s="43">
        <v>0</v>
      </c>
      <c r="JW53" s="43">
        <v>0</v>
      </c>
      <c r="JY53" s="43">
        <v>0</v>
      </c>
      <c r="JZ53" s="43">
        <v>0</v>
      </c>
      <c r="KB53" s="43">
        <v>0</v>
      </c>
      <c r="KC53" s="43">
        <v>0</v>
      </c>
      <c r="KD53" s="43">
        <v>0</v>
      </c>
    </row>
    <row r="54" spans="1:290" s="86" customFormat="1" x14ac:dyDescent="0.25">
      <c r="A54" s="7" t="s">
        <v>261</v>
      </c>
      <c r="B54" s="11" t="s">
        <v>175</v>
      </c>
      <c r="C54" s="44"/>
      <c r="D54" s="44"/>
      <c r="E54" s="44"/>
      <c r="F54" s="44"/>
      <c r="G54" s="44"/>
      <c r="H54" s="43"/>
      <c r="I54" s="44"/>
      <c r="J54" s="44"/>
      <c r="K54" s="44"/>
      <c r="L54" s="44"/>
      <c r="M54" s="43"/>
      <c r="N54" s="44"/>
      <c r="O54" s="44"/>
      <c r="P54" s="44"/>
      <c r="Q54" s="44"/>
      <c r="R54" s="43"/>
      <c r="S54" s="44"/>
      <c r="T54" s="44"/>
      <c r="U54" s="44"/>
      <c r="V54" s="44"/>
      <c r="W54" s="43"/>
      <c r="X54" s="44"/>
      <c r="Y54" s="44"/>
      <c r="Z54" s="44"/>
      <c r="AA54" s="44"/>
      <c r="AB54" s="43"/>
      <c r="AC54" s="44"/>
      <c r="AD54" s="44"/>
      <c r="AE54" s="44"/>
      <c r="AF54" s="44"/>
      <c r="AG54" s="43"/>
      <c r="AH54" s="44"/>
      <c r="AI54" s="44"/>
      <c r="AJ54" s="44"/>
      <c r="AK54" s="43"/>
      <c r="AL54" s="44"/>
      <c r="AM54" s="44"/>
      <c r="AN54" s="44"/>
      <c r="AO54" s="44"/>
      <c r="AP54" s="43"/>
      <c r="AQ54" s="44"/>
      <c r="AR54" s="44"/>
      <c r="AS54" s="44"/>
      <c r="AT54" s="44"/>
      <c r="AU54" s="43"/>
      <c r="AV54" s="44"/>
      <c r="AW54" s="44"/>
      <c r="AX54" s="44"/>
      <c r="AY54" s="44"/>
      <c r="AZ54" s="43"/>
      <c r="BA54" s="44"/>
      <c r="BB54" s="44"/>
      <c r="BC54" s="44"/>
      <c r="BD54" s="44"/>
      <c r="BE54" s="43">
        <v>438</v>
      </c>
      <c r="BF54" s="44"/>
      <c r="BG54" s="44"/>
      <c r="BH54" s="44"/>
      <c r="BI54" s="44"/>
      <c r="BJ54" s="43">
        <v>1105</v>
      </c>
      <c r="BK54" s="44"/>
      <c r="BL54" s="44"/>
      <c r="BM54" s="44"/>
      <c r="BN54" s="44"/>
      <c r="BO54" s="43">
        <v>1002</v>
      </c>
      <c r="BP54" s="44"/>
      <c r="BQ54" s="44"/>
      <c r="BR54" s="44"/>
      <c r="BS54" s="44"/>
      <c r="BT54" s="43">
        <v>1323</v>
      </c>
      <c r="BU54" s="44"/>
      <c r="BV54" s="44"/>
      <c r="BW54" s="44"/>
      <c r="BX54" s="44"/>
      <c r="BY54" s="43">
        <v>1825</v>
      </c>
      <c r="BZ54" s="44"/>
      <c r="CA54" s="44"/>
      <c r="CB54" s="44"/>
      <c r="CC54" s="44"/>
      <c r="CD54" s="43">
        <v>1672</v>
      </c>
      <c r="CE54" s="44"/>
      <c r="CF54" s="44"/>
      <c r="CG54" s="44"/>
      <c r="CH54" s="44"/>
      <c r="CI54" s="43">
        <v>1420</v>
      </c>
      <c r="CJ54" s="43">
        <f ca="1">CI54+CJ73-CJ74-CJ75-CJ36</f>
        <v>1401.815971401923</v>
      </c>
      <c r="CK54" s="43">
        <f ca="1">CJ54+CK73-CK74-CK75-CK36</f>
        <v>1509.9926910231575</v>
      </c>
      <c r="CL54" s="43">
        <f ca="1">CK54+CL73-CL74-CL75-CL36</f>
        <v>1657.4900007063752</v>
      </c>
      <c r="CM54" s="43">
        <f ca="1">CL54+CM73-CM74-CM75-CM36</f>
        <v>1933.051863789487</v>
      </c>
      <c r="CN54" s="43">
        <f ca="1">CM54+CN73-CN74-CN75-CN36</f>
        <v>2563.0304673026394</v>
      </c>
      <c r="CO54" s="45"/>
      <c r="CP54" s="45"/>
      <c r="CQ54" s="31"/>
      <c r="CR54" s="31"/>
      <c r="CS54" s="31"/>
      <c r="CT54" s="43"/>
      <c r="CU54" s="43"/>
      <c r="CV54" s="43"/>
      <c r="CW54" s="43"/>
      <c r="CX54" s="43"/>
      <c r="CY54" s="43"/>
      <c r="CZ54" s="43"/>
      <c r="DA54" s="43"/>
      <c r="DB54" s="43">
        <f t="shared" si="34"/>
        <v>1002</v>
      </c>
      <c r="DC54" s="43"/>
      <c r="DD54" s="43"/>
      <c r="DE54" s="43"/>
      <c r="DF54" s="43"/>
      <c r="DG54" s="43"/>
      <c r="DH54" s="43"/>
      <c r="DI54" s="43"/>
      <c r="DK54" s="43"/>
      <c r="DL54" s="43"/>
      <c r="DM54" s="31"/>
      <c r="DN54" s="43"/>
      <c r="DO54" s="43"/>
      <c r="DQ54" s="44"/>
      <c r="DR54" s="43"/>
      <c r="DS54" s="43"/>
      <c r="DT54" s="43"/>
      <c r="DV54" s="43"/>
      <c r="DW54" s="43"/>
      <c r="DX54" s="43"/>
      <c r="EA54" s="44"/>
      <c r="EB54" s="44"/>
      <c r="EC54" s="44"/>
      <c r="ED54" s="43"/>
      <c r="EE54" s="43"/>
      <c r="EF54" s="43"/>
      <c r="EJ54" s="44"/>
      <c r="EK54" s="44"/>
      <c r="EL54" s="43"/>
      <c r="EM54" s="43"/>
      <c r="EN54" s="43"/>
      <c r="EP54" s="44"/>
      <c r="EQ54" s="43"/>
      <c r="ER54" s="43"/>
      <c r="ES54" s="43"/>
      <c r="EV54" s="44"/>
      <c r="EW54" s="44"/>
      <c r="EX54" s="44"/>
      <c r="EY54" s="44"/>
      <c r="EZ54" s="43"/>
      <c r="FA54" s="43"/>
      <c r="FD54" s="44"/>
      <c r="FE54" s="44"/>
      <c r="FF54" s="44"/>
      <c r="FG54" s="43"/>
      <c r="FH54" s="43"/>
      <c r="FK54" s="43"/>
      <c r="FL54" s="43"/>
      <c r="FO54" s="44"/>
      <c r="FP54" s="44"/>
      <c r="FQ54" s="43"/>
      <c r="FR54" s="43"/>
      <c r="FU54" s="44"/>
      <c r="FV54" s="43"/>
      <c r="FW54" s="43"/>
      <c r="FX54" s="43"/>
      <c r="FY54" s="43"/>
      <c r="GA54" s="43"/>
      <c r="GB54" s="43"/>
      <c r="GC54" s="43"/>
      <c r="GF54" s="44"/>
      <c r="GG54" s="44"/>
      <c r="GH54" s="44"/>
      <c r="GI54" s="43"/>
      <c r="GJ54" s="43"/>
      <c r="GK54" s="43"/>
      <c r="GN54" s="44"/>
      <c r="GO54" s="44"/>
      <c r="GP54" s="43"/>
      <c r="GQ54" s="43"/>
      <c r="GR54" s="43"/>
      <c r="GV54" s="44"/>
      <c r="GW54" s="43"/>
      <c r="GX54" s="43"/>
      <c r="GY54" s="43"/>
      <c r="HC54" s="43"/>
      <c r="HD54" s="43"/>
      <c r="HE54" s="43"/>
      <c r="HF54" s="43"/>
      <c r="HI54" s="44"/>
      <c r="HJ54" s="44"/>
      <c r="HK54" s="44"/>
      <c r="HL54" s="44"/>
      <c r="HM54" s="43"/>
      <c r="HN54" s="43"/>
      <c r="HO54" s="43"/>
      <c r="HR54" s="44"/>
      <c r="HS54" s="44"/>
      <c r="HT54" s="44"/>
      <c r="HU54" s="43"/>
      <c r="HV54" s="43"/>
      <c r="HW54" s="43"/>
      <c r="HZ54" s="44"/>
      <c r="IA54" s="43"/>
      <c r="IB54" s="43"/>
      <c r="IC54" s="43"/>
      <c r="IE54" s="44"/>
      <c r="IF54" s="43"/>
      <c r="IG54" s="43"/>
      <c r="IH54" s="43"/>
      <c r="IK54" s="43"/>
      <c r="IL54" s="43"/>
      <c r="IO54" s="43"/>
      <c r="IP54" s="43"/>
      <c r="IS54" s="43"/>
      <c r="IT54" s="43"/>
      <c r="IU54" s="43"/>
      <c r="IX54" s="43"/>
      <c r="IY54" s="43"/>
      <c r="IZ54" s="43"/>
      <c r="JA54" s="43"/>
      <c r="JD54" s="43"/>
      <c r="JE54" s="43"/>
      <c r="JH54" s="43"/>
      <c r="JI54" s="43"/>
      <c r="JJ54" s="43"/>
      <c r="JM54" s="43"/>
      <c r="JN54" s="43"/>
      <c r="JQ54" s="43"/>
      <c r="JR54" s="43"/>
      <c r="JS54" s="43"/>
      <c r="JV54" s="43"/>
      <c r="JW54" s="43"/>
      <c r="JY54" s="43"/>
      <c r="JZ54" s="43"/>
      <c r="KB54" s="43"/>
      <c r="KC54" s="43"/>
      <c r="KD54" s="43"/>
    </row>
    <row r="55" spans="1:290" s="86" customFormat="1" x14ac:dyDescent="0.25">
      <c r="A55" s="7" t="s">
        <v>261</v>
      </c>
      <c r="B55" s="11" t="s">
        <v>176</v>
      </c>
      <c r="C55" s="44"/>
      <c r="D55" s="44"/>
      <c r="E55" s="44"/>
      <c r="F55" s="44"/>
      <c r="G55" s="44"/>
      <c r="H55" s="43"/>
      <c r="I55" s="44"/>
      <c r="J55" s="44"/>
      <c r="K55" s="44"/>
      <c r="L55" s="44"/>
      <c r="M55" s="43"/>
      <c r="N55" s="44"/>
      <c r="O55" s="44"/>
      <c r="P55" s="44"/>
      <c r="Q55" s="44"/>
      <c r="R55" s="43"/>
      <c r="S55" s="44"/>
      <c r="T55" s="44"/>
      <c r="U55" s="44"/>
      <c r="V55" s="44"/>
      <c r="W55" s="43"/>
      <c r="X55" s="44"/>
      <c r="Y55" s="44"/>
      <c r="Z55" s="44"/>
      <c r="AA55" s="44"/>
      <c r="AB55" s="43"/>
      <c r="AC55" s="44"/>
      <c r="AD55" s="44"/>
      <c r="AE55" s="44"/>
      <c r="AF55" s="44"/>
      <c r="AG55" s="43"/>
      <c r="AH55" s="44"/>
      <c r="AI55" s="44"/>
      <c r="AJ55" s="44"/>
      <c r="AK55" s="43"/>
      <c r="AL55" s="44"/>
      <c r="AM55" s="44"/>
      <c r="AN55" s="44"/>
      <c r="AO55" s="44"/>
      <c r="AP55" s="43"/>
      <c r="AQ55" s="44"/>
      <c r="AR55" s="44"/>
      <c r="AS55" s="44"/>
      <c r="AT55" s="44"/>
      <c r="AU55" s="43"/>
      <c r="AV55" s="44"/>
      <c r="AW55" s="44"/>
      <c r="AX55" s="44"/>
      <c r="AY55" s="44"/>
      <c r="AZ55" s="43"/>
      <c r="BA55" s="44"/>
      <c r="BB55" s="44"/>
      <c r="BC55" s="44"/>
      <c r="BD55" s="44"/>
      <c r="BE55" s="43"/>
      <c r="BF55" s="44"/>
      <c r="BG55" s="44"/>
      <c r="BH55" s="44"/>
      <c r="BI55" s="44"/>
      <c r="BJ55" s="43"/>
      <c r="BK55" s="44"/>
      <c r="BL55" s="44"/>
      <c r="BM55" s="44"/>
      <c r="BN55" s="44"/>
      <c r="BO55" s="43"/>
      <c r="BP55" s="44"/>
      <c r="BQ55" s="44"/>
      <c r="BR55" s="44"/>
      <c r="BS55" s="44"/>
      <c r="BT55" s="43"/>
      <c r="BU55" s="44"/>
      <c r="BV55" s="44"/>
      <c r="BW55" s="44"/>
      <c r="BX55" s="44"/>
      <c r="BY55" s="43"/>
      <c r="BZ55" s="44"/>
      <c r="CA55" s="44"/>
      <c r="CB55" s="44"/>
      <c r="CC55" s="44"/>
      <c r="CD55" s="43">
        <v>2500.9899999999998</v>
      </c>
      <c r="CE55" s="44"/>
      <c r="CF55" s="44"/>
      <c r="CG55" s="44"/>
      <c r="CH55" s="44"/>
      <c r="CI55" s="43">
        <v>3392.29</v>
      </c>
      <c r="CJ55" s="43"/>
      <c r="CK55" s="43"/>
      <c r="CL55" s="43"/>
      <c r="CM55" s="43"/>
      <c r="CN55" s="43"/>
      <c r="CO55" s="45"/>
      <c r="CP55" s="45"/>
      <c r="CQ55" s="31"/>
      <c r="CR55" s="31"/>
      <c r="CS55" s="31"/>
      <c r="CT55" s="43"/>
      <c r="CU55" s="43"/>
      <c r="CV55" s="43"/>
      <c r="CW55" s="43"/>
      <c r="CX55" s="43"/>
      <c r="CY55" s="43"/>
      <c r="CZ55" s="43"/>
      <c r="DA55" s="43"/>
      <c r="DB55" s="43"/>
      <c r="DC55" s="43"/>
      <c r="DD55" s="43"/>
      <c r="DE55" s="43"/>
      <c r="DF55" s="43">
        <f t="shared" ref="DF55:DH65" si="116">CI55</f>
        <v>3392.29</v>
      </c>
      <c r="DG55" s="43"/>
      <c r="DH55" s="43"/>
      <c r="DI55" s="43"/>
      <c r="DK55" s="43"/>
      <c r="DL55" s="43"/>
      <c r="DM55" s="31"/>
      <c r="DN55" s="43"/>
      <c r="DO55" s="43"/>
      <c r="DQ55" s="44"/>
      <c r="DR55" s="43"/>
      <c r="DS55" s="43"/>
      <c r="DT55" s="43"/>
      <c r="DV55" s="43"/>
      <c r="DW55" s="43"/>
      <c r="DX55" s="43"/>
      <c r="EA55" s="44"/>
      <c r="EB55" s="44"/>
      <c r="EC55" s="44"/>
      <c r="ED55" s="43"/>
      <c r="EE55" s="43"/>
      <c r="EF55" s="43"/>
      <c r="EJ55" s="44"/>
      <c r="EK55" s="44"/>
      <c r="EL55" s="43"/>
      <c r="EM55" s="43"/>
      <c r="EN55" s="43"/>
      <c r="EP55" s="44"/>
      <c r="EQ55" s="43"/>
      <c r="ER55" s="43"/>
      <c r="ES55" s="43"/>
      <c r="EV55" s="44"/>
      <c r="EW55" s="44"/>
      <c r="EX55" s="44"/>
      <c r="EY55" s="44"/>
      <c r="EZ55" s="43"/>
      <c r="FA55" s="43"/>
      <c r="FD55" s="44"/>
      <c r="FE55" s="44"/>
      <c r="FF55" s="44"/>
      <c r="FG55" s="43"/>
      <c r="FH55" s="43"/>
      <c r="FK55" s="43"/>
      <c r="FL55" s="43"/>
      <c r="FO55" s="44"/>
      <c r="FP55" s="44"/>
      <c r="FQ55" s="43"/>
      <c r="FR55" s="43"/>
      <c r="FU55" s="44"/>
      <c r="FV55" s="43"/>
      <c r="FW55" s="43"/>
      <c r="FX55" s="43"/>
      <c r="FY55" s="43"/>
      <c r="GA55" s="43"/>
      <c r="GB55" s="43"/>
      <c r="GC55" s="43"/>
      <c r="GF55" s="44"/>
      <c r="GG55" s="44"/>
      <c r="GH55" s="44"/>
      <c r="GI55" s="43"/>
      <c r="GJ55" s="43"/>
      <c r="GK55" s="43"/>
      <c r="GN55" s="44"/>
      <c r="GO55" s="44"/>
      <c r="GP55" s="43"/>
      <c r="GQ55" s="43"/>
      <c r="GR55" s="43"/>
      <c r="GV55" s="44"/>
      <c r="GW55" s="43"/>
      <c r="GX55" s="43"/>
      <c r="GY55" s="43"/>
      <c r="HC55" s="43"/>
      <c r="HD55" s="43"/>
      <c r="HE55" s="43"/>
      <c r="HF55" s="43"/>
      <c r="HI55" s="44"/>
      <c r="HJ55" s="44"/>
      <c r="HK55" s="44"/>
      <c r="HL55" s="44"/>
      <c r="HM55" s="43"/>
      <c r="HN55" s="43"/>
      <c r="HO55" s="43"/>
      <c r="HR55" s="44"/>
      <c r="HS55" s="44"/>
      <c r="HT55" s="44"/>
      <c r="HU55" s="43"/>
      <c r="HV55" s="43"/>
      <c r="HW55" s="43"/>
      <c r="HZ55" s="44"/>
      <c r="IA55" s="43"/>
      <c r="IB55" s="43"/>
      <c r="IC55" s="43"/>
      <c r="IE55" s="44"/>
      <c r="IF55" s="43"/>
      <c r="IG55" s="43"/>
      <c r="IH55" s="43"/>
      <c r="IK55" s="43"/>
      <c r="IL55" s="43"/>
      <c r="IO55" s="43"/>
      <c r="IP55" s="43"/>
      <c r="IS55" s="43"/>
      <c r="IT55" s="43"/>
      <c r="IU55" s="43"/>
      <c r="IX55" s="43"/>
      <c r="IY55" s="43"/>
      <c r="IZ55" s="43"/>
      <c r="JA55" s="43"/>
      <c r="JD55" s="43"/>
      <c r="JE55" s="43"/>
      <c r="JH55" s="43"/>
      <c r="JI55" s="43"/>
      <c r="JJ55" s="43"/>
      <c r="JM55" s="43"/>
      <c r="JN55" s="43"/>
      <c r="JQ55" s="43"/>
      <c r="JR55" s="43"/>
      <c r="JS55" s="43"/>
      <c r="JV55" s="43"/>
      <c r="JW55" s="43"/>
      <c r="JY55" s="43"/>
      <c r="JZ55" s="43"/>
      <c r="KB55" s="43"/>
      <c r="KC55" s="43"/>
      <c r="KD55" s="43"/>
    </row>
    <row r="56" spans="1:290" x14ac:dyDescent="0.25">
      <c r="A56" s="226" t="e">
        <f>+(B51+B52)/B64</f>
        <v>#VALUE!</v>
      </c>
      <c r="B56" s="11" t="s">
        <v>177</v>
      </c>
      <c r="C56" s="23"/>
      <c r="D56" s="23"/>
      <c r="E56" s="23"/>
      <c r="F56" s="23"/>
      <c r="G56" s="23"/>
      <c r="H56" s="87"/>
      <c r="I56" s="23"/>
      <c r="J56" s="23"/>
      <c r="K56" s="23"/>
      <c r="L56" s="23"/>
      <c r="M56" s="43">
        <f>(M51+M52)/(M51/M63)</f>
        <v>43.001967729240448</v>
      </c>
      <c r="N56" s="23"/>
      <c r="O56" s="23"/>
      <c r="P56" s="23"/>
      <c r="Q56" s="23"/>
      <c r="R56" s="43">
        <f>(R51+R52)/(R51/R63)</f>
        <v>54.734356552538365</v>
      </c>
      <c r="S56" s="23"/>
      <c r="T56" s="23"/>
      <c r="U56" s="23"/>
      <c r="V56" s="23"/>
      <c r="W56" s="43">
        <f>(W51+W52)/(W51/W63)</f>
        <v>69.083038173947259</v>
      </c>
      <c r="X56" s="23"/>
      <c r="Y56" s="23"/>
      <c r="Z56" s="23"/>
      <c r="AA56" s="23"/>
      <c r="AB56" s="43">
        <f>(AB51+AB52)/(AB51/AB63)</f>
        <v>81.693821330184974</v>
      </c>
      <c r="AC56" s="23"/>
      <c r="AD56" s="23"/>
      <c r="AE56" s="23"/>
      <c r="AF56" s="23"/>
      <c r="AG56" s="43">
        <f>(AG51+AG52)/(AG51/AG63)</f>
        <v>95.356946084218805</v>
      </c>
      <c r="AH56" s="23"/>
      <c r="AI56" s="23"/>
      <c r="AJ56" s="23"/>
      <c r="AK56" s="43">
        <f>(AK51+AK52)/(AK51/AK63)</f>
        <v>105.31365604092876</v>
      </c>
      <c r="AL56" s="23"/>
      <c r="AM56" s="23"/>
      <c r="AN56" s="23"/>
      <c r="AO56" s="23"/>
      <c r="AP56" s="43">
        <f>(AP51+AP52)/(AP51/AP63)</f>
        <v>133.46871310507674</v>
      </c>
      <c r="AQ56" s="23"/>
      <c r="AR56" s="23"/>
      <c r="AS56" s="23"/>
      <c r="AT56" s="23"/>
      <c r="AU56" s="43">
        <f>(AU51+AU52)/(AU51/AU63)</f>
        <v>149.14600550964187</v>
      </c>
      <c r="AV56" s="23"/>
      <c r="AW56" s="23"/>
      <c r="AX56" s="23"/>
      <c r="AY56" s="23"/>
      <c r="AZ56" s="43">
        <f t="shared" ref="AZ56:BE56" si="117">(AZ51+AZ52)/(AZ51/AZ63)</f>
        <v>169.5371900826446</v>
      </c>
      <c r="BA56" s="23">
        <f t="shared" si="117"/>
        <v>2</v>
      </c>
      <c r="BB56" s="23">
        <f t="shared" si="117"/>
        <v>176.45966155057064</v>
      </c>
      <c r="BC56" s="23">
        <f t="shared" si="117"/>
        <v>2</v>
      </c>
      <c r="BD56" s="23">
        <f t="shared" si="117"/>
        <v>2</v>
      </c>
      <c r="BE56" s="43">
        <f t="shared" si="117"/>
        <v>177.97638724911454</v>
      </c>
      <c r="BF56" s="23"/>
      <c r="BG56" s="23"/>
      <c r="BH56" s="23"/>
      <c r="BI56" s="23"/>
      <c r="BJ56" s="43">
        <f>(BJ51+BJ52)/(BJ51/BJ63)</f>
        <v>249.44588744588745</v>
      </c>
      <c r="BK56" s="23"/>
      <c r="BL56" s="23"/>
      <c r="BM56" s="23"/>
      <c r="BN56" s="23"/>
      <c r="BO56" s="43">
        <f>(BO51+BO52)/(BO51/BO63)</f>
        <v>302.58638331365603</v>
      </c>
      <c r="BP56" s="23"/>
      <c r="BQ56" s="23"/>
      <c r="BR56" s="23"/>
      <c r="BS56" s="23"/>
      <c r="BT56" s="43">
        <f>(BT51+BT52)/(BT51/BT63)</f>
        <v>348.487209759937</v>
      </c>
      <c r="BU56" s="23"/>
      <c r="BV56" s="23"/>
      <c r="BW56" s="23"/>
      <c r="BX56" s="23"/>
      <c r="BY56" s="43">
        <f>(BY51+BY52)/(BY51/BY63)</f>
        <v>404.11176702085788</v>
      </c>
      <c r="BZ56" s="23"/>
      <c r="CA56" s="23"/>
      <c r="CB56" s="23"/>
      <c r="CC56" s="23"/>
      <c r="CD56" s="43">
        <f>(CD51+CD52)/(CD51/CD63)</f>
        <v>445.52617079889808</v>
      </c>
      <c r="CE56" s="23"/>
      <c r="CF56" s="23"/>
      <c r="CG56" s="23"/>
      <c r="CH56" s="23"/>
      <c r="CI56" s="43">
        <f t="shared" ref="CI56:CN56" si="118">(CI51+CI52)/(CI51/CI63)</f>
        <v>485.56237701692243</v>
      </c>
      <c r="CJ56" s="43">
        <f t="shared" ca="1" si="118"/>
        <v>538.32580935813246</v>
      </c>
      <c r="CK56" s="43">
        <f t="shared" ca="1" si="118"/>
        <v>600.2851092433084</v>
      </c>
      <c r="CL56" s="43">
        <f t="shared" ca="1" si="118"/>
        <v>673.62379960767385</v>
      </c>
      <c r="CM56" s="43">
        <f t="shared" ca="1" si="118"/>
        <v>757.30089230462545</v>
      </c>
      <c r="CN56" s="43">
        <f t="shared" ca="1" si="118"/>
        <v>849.31278054162306</v>
      </c>
      <c r="CO56" s="45"/>
      <c r="CP56" s="45"/>
      <c r="CQ56" s="6">
        <f ca="1">CK56*(1.12^3)</f>
        <v>843.35735795898302</v>
      </c>
      <c r="CR56" s="6"/>
      <c r="CS56" s="6" t="s">
        <v>178</v>
      </c>
      <c r="CT56" s="87">
        <f t="shared" ref="CT56:CT65" si="119">AB56</f>
        <v>81.693821330184974</v>
      </c>
      <c r="CU56" s="87">
        <f t="shared" ref="CU56:CU65" si="120">AG56</f>
        <v>95.356946084218805</v>
      </c>
      <c r="CV56" s="87">
        <f t="shared" ref="CV56:CV65" si="121">AK56</f>
        <v>105.31365604092876</v>
      </c>
      <c r="CW56" s="87">
        <f t="shared" ref="CW56:CW65" si="122">AP56</f>
        <v>133.46871310507674</v>
      </c>
      <c r="CX56" s="87">
        <f t="shared" ref="CX56:CX65" si="123">AU56</f>
        <v>149.14600550964187</v>
      </c>
      <c r="CY56" s="87">
        <f t="shared" ref="CY56:CY65" si="124">AZ56</f>
        <v>169.5371900826446</v>
      </c>
      <c r="CZ56" s="87">
        <f t="shared" ref="CZ56:CZ65" si="125">BE56</f>
        <v>177.97638724911454</v>
      </c>
      <c r="DA56" s="87">
        <f t="shared" ref="DA56:DA65" si="126">BJ56</f>
        <v>249.44588744588745</v>
      </c>
      <c r="DB56" s="87">
        <f t="shared" ref="DB56:DB65" si="127">BO56</f>
        <v>302.58638331365603</v>
      </c>
      <c r="DC56" s="87">
        <f t="shared" ref="DC56:DC65" si="128">BT56</f>
        <v>348.487209759937</v>
      </c>
      <c r="DD56" s="87">
        <f t="shared" ref="DD56:DD65" si="129">BY56</f>
        <v>404.11176702085788</v>
      </c>
      <c r="DE56" s="87">
        <f t="shared" ref="DE56:DE65" si="130">CD56</f>
        <v>445.52617079889808</v>
      </c>
      <c r="DF56" s="87">
        <f t="shared" si="116"/>
        <v>485.56237701692243</v>
      </c>
      <c r="DG56" s="87">
        <f t="shared" ca="1" si="116"/>
        <v>538.32580935813246</v>
      </c>
      <c r="DH56" s="87">
        <f t="shared" ca="1" si="116"/>
        <v>600.2851092433084</v>
      </c>
      <c r="DI56" s="87"/>
      <c r="DK56" s="87"/>
      <c r="DL56" s="87"/>
      <c r="DM56" s="6"/>
      <c r="DN56" s="87"/>
      <c r="DO56" s="87"/>
      <c r="DQ56" s="23"/>
      <c r="DR56" s="43">
        <v>150.62420972897286</v>
      </c>
      <c r="DS56" s="43">
        <v>171.81553514516764</v>
      </c>
      <c r="DT56" s="43">
        <v>197.44226359347556</v>
      </c>
      <c r="DV56" s="43">
        <v>170.33599685163321</v>
      </c>
      <c r="DW56" s="43">
        <v>195.9597852161354</v>
      </c>
      <c r="DX56" s="43">
        <v>224.83955372550338</v>
      </c>
      <c r="EA56" s="23"/>
      <c r="EB56" s="23"/>
      <c r="EC56" s="23"/>
      <c r="ED56" s="43">
        <v>170.33599685163321</v>
      </c>
      <c r="EE56" s="43">
        <v>195.81476357111373</v>
      </c>
      <c r="EF56" s="43">
        <v>224.11444550039514</v>
      </c>
      <c r="EJ56" s="23"/>
      <c r="EK56" s="23"/>
      <c r="EL56" s="43">
        <v>172.02886265249899</v>
      </c>
      <c r="EM56" s="43">
        <v>195.99168990617866</v>
      </c>
      <c r="EN56" s="43">
        <v>223.42557096965919</v>
      </c>
      <c r="EP56" s="23"/>
      <c r="EQ56" s="43">
        <v>168.63466351829987</v>
      </c>
      <c r="ER56" s="43">
        <v>190.12670109405744</v>
      </c>
      <c r="ES56" s="43">
        <v>216.2144690086964</v>
      </c>
      <c r="EV56" s="23">
        <v>2</v>
      </c>
      <c r="EW56" s="23">
        <v>2</v>
      </c>
      <c r="EX56" s="23">
        <v>2</v>
      </c>
      <c r="EY56" s="23">
        <v>2</v>
      </c>
      <c r="EZ56" s="43">
        <v>191.50046280991734</v>
      </c>
      <c r="FA56" s="43">
        <v>217.01110783156236</v>
      </c>
      <c r="FD56" s="23">
        <v>2</v>
      </c>
      <c r="FE56" s="23">
        <v>2</v>
      </c>
      <c r="FF56" s="23">
        <v>2</v>
      </c>
      <c r="FG56" s="43">
        <v>190.46586540731994</v>
      </c>
      <c r="FH56" s="43">
        <v>216.52456670602123</v>
      </c>
      <c r="FK56" s="43">
        <v>190.83426367571818</v>
      </c>
      <c r="FL56" s="43">
        <v>216.38393467138917</v>
      </c>
      <c r="FO56" s="23">
        <v>2</v>
      </c>
      <c r="FP56" s="23">
        <v>2</v>
      </c>
      <c r="FQ56" s="43">
        <v>190.01640363069657</v>
      </c>
      <c r="FR56" s="43">
        <v>214.91189685739783</v>
      </c>
      <c r="FU56" s="23">
        <v>2</v>
      </c>
      <c r="FV56" s="43">
        <v>188.21477547225501</v>
      </c>
      <c r="FW56" s="43">
        <v>199.87202187744981</v>
      </c>
      <c r="FX56" s="43">
        <v>218.67818501428968</v>
      </c>
      <c r="FY56" s="43">
        <v>240.46966297128557</v>
      </c>
      <c r="GA56" s="43">
        <v>196.90933801652892</v>
      </c>
      <c r="GB56" s="43">
        <v>227.12378756493507</v>
      </c>
      <c r="GC56" s="43">
        <v>262.34016215683113</v>
      </c>
      <c r="GF56" s="23"/>
      <c r="GG56" s="23"/>
      <c r="GH56" s="23"/>
      <c r="GI56" s="43">
        <v>204.34181859504133</v>
      </c>
      <c r="GJ56" s="43">
        <v>241.49413524586777</v>
      </c>
      <c r="GK56" s="43">
        <v>282.89970085461016</v>
      </c>
      <c r="GN56" s="23"/>
      <c r="GO56" s="23"/>
      <c r="GP56" s="43">
        <v>213.86222194510034</v>
      </c>
      <c r="GQ56" s="43">
        <v>253.65144447225501</v>
      </c>
      <c r="GR56" s="43">
        <v>297.96022025397309</v>
      </c>
      <c r="GV56" s="23"/>
      <c r="GW56" s="43">
        <v>224.17538978748524</v>
      </c>
      <c r="GX56" s="43">
        <v>262.44483094037781</v>
      </c>
      <c r="GY56" s="43">
        <v>311.90189540095395</v>
      </c>
      <c r="HC56" s="43"/>
      <c r="HD56" s="43">
        <v>301.85801887150728</v>
      </c>
      <c r="HE56" s="43">
        <v>354.5496274520803</v>
      </c>
      <c r="HF56" s="43">
        <v>412.45186510167065</v>
      </c>
      <c r="HI56" s="23"/>
      <c r="HJ56" s="23"/>
      <c r="HK56" s="23"/>
      <c r="HL56" s="23"/>
      <c r="HM56" s="43">
        <v>349.62857094230617</v>
      </c>
      <c r="HN56" s="43">
        <v>400.8937297115624</v>
      </c>
      <c r="HO56" s="43">
        <v>455.1973704207569</v>
      </c>
      <c r="HR56" s="23"/>
      <c r="HS56" s="23"/>
      <c r="HT56" s="23"/>
      <c r="HU56" s="43">
        <v>349.62857094230617</v>
      </c>
      <c r="HV56" s="43">
        <v>407.05084997866982</v>
      </c>
      <c r="HW56" s="43">
        <v>468.83539181239985</v>
      </c>
      <c r="HZ56" s="23"/>
      <c r="IA56" s="43">
        <v>345.22412312412433</v>
      </c>
      <c r="IB56" s="43">
        <v>397.00621771321528</v>
      </c>
      <c r="IC56" s="43">
        <v>455.76565820531448</v>
      </c>
      <c r="IE56" s="23"/>
      <c r="IF56" s="43">
        <v>344.17503942384889</v>
      </c>
      <c r="IG56" s="43">
        <v>398.50959325437225</v>
      </c>
      <c r="IH56" s="43">
        <v>461.10039073712704</v>
      </c>
      <c r="IK56" s="43">
        <v>402.65460105602511</v>
      </c>
      <c r="IL56" s="43">
        <v>465.07823600434466</v>
      </c>
      <c r="IO56" s="43">
        <v>412.13846967619048</v>
      </c>
      <c r="IP56" s="43">
        <v>490.79196151865881</v>
      </c>
      <c r="IS56" s="88">
        <v>0.13932022084267204</v>
      </c>
      <c r="IT56" s="88">
        <v>0.15436358719847734</v>
      </c>
      <c r="IU56" s="88">
        <v>0.15317100326700095</v>
      </c>
      <c r="IX56" s="43"/>
      <c r="IY56" s="43">
        <v>406.82497120346318</v>
      </c>
      <c r="IZ56" s="43">
        <v>486.80289368236123</v>
      </c>
      <c r="JA56" s="43">
        <v>580.70914415734524</v>
      </c>
      <c r="JD56" s="43">
        <v>488.19880273986615</v>
      </c>
      <c r="JE56" s="43">
        <v>589.55118423738679</v>
      </c>
      <c r="JH56" s="43">
        <v>480.06127385061001</v>
      </c>
      <c r="JI56" s="43">
        <v>573.21302198647777</v>
      </c>
      <c r="JJ56" s="43">
        <v>680.55174235512345</v>
      </c>
      <c r="JM56" s="43">
        <v>561.6475190267862</v>
      </c>
      <c r="JN56" s="43">
        <v>663.55946928200854</v>
      </c>
      <c r="JQ56" s="43">
        <v>457.18549990625735</v>
      </c>
      <c r="JR56" s="43">
        <v>522.24515587355222</v>
      </c>
      <c r="JS56" s="43">
        <v>598.02809035733628</v>
      </c>
      <c r="JV56" s="43">
        <v>521.01499074978346</v>
      </c>
      <c r="JW56" s="43">
        <v>595.51281665162367</v>
      </c>
      <c r="JY56" s="43">
        <v>522.92063157402583</v>
      </c>
      <c r="JZ56" s="43">
        <v>599.64978964097907</v>
      </c>
      <c r="KB56" s="43">
        <v>510.07797984730411</v>
      </c>
      <c r="KC56" s="43">
        <v>577.55764353689085</v>
      </c>
      <c r="KD56" s="43">
        <v>654.00498830519723</v>
      </c>
    </row>
    <row r="57" spans="1:290" x14ac:dyDescent="0.25">
      <c r="A57" s="226" t="e">
        <f>+B28/B9</f>
        <v>#VALUE!</v>
      </c>
      <c r="B57" s="11" t="s">
        <v>179</v>
      </c>
      <c r="C57" s="89"/>
      <c r="D57" s="89" t="e">
        <f t="shared" ref="D57:AI57" si="131">D28/D9</f>
        <v>#DIV/0!</v>
      </c>
      <c r="E57" s="89" t="e">
        <f t="shared" si="131"/>
        <v>#DIV/0!</v>
      </c>
      <c r="F57" s="89" t="e">
        <f t="shared" si="131"/>
        <v>#DIV/0!</v>
      </c>
      <c r="G57" s="89" t="e">
        <f t="shared" si="131"/>
        <v>#DIV/0!</v>
      </c>
      <c r="H57" s="88" t="e">
        <f t="shared" si="131"/>
        <v>#DIV/0!</v>
      </c>
      <c r="I57" s="89">
        <f t="shared" si="131"/>
        <v>0.12959155701754377</v>
      </c>
      <c r="J57" s="89">
        <f t="shared" si="131"/>
        <v>0.13652552290714548</v>
      </c>
      <c r="K57" s="89">
        <f t="shared" si="131"/>
        <v>0.12630906381362045</v>
      </c>
      <c r="L57" s="89">
        <f t="shared" si="131"/>
        <v>0.15219880561214785</v>
      </c>
      <c r="M57" s="88">
        <f t="shared" si="131"/>
        <v>0.13731839061689236</v>
      </c>
      <c r="N57" s="89">
        <f t="shared" si="131"/>
        <v>0.12131140648305763</v>
      </c>
      <c r="O57" s="89">
        <f t="shared" si="131"/>
        <v>0.1239301077929785</v>
      </c>
      <c r="P57" s="89">
        <f t="shared" si="131"/>
        <v>0.13624627854836946</v>
      </c>
      <c r="Q57" s="89">
        <f t="shared" si="131"/>
        <v>0.18955707455845755</v>
      </c>
      <c r="R57" s="88">
        <f t="shared" si="131"/>
        <v>0.1477506301022436</v>
      </c>
      <c r="S57" s="89">
        <f t="shared" si="131"/>
        <v>0.13727227996811719</v>
      </c>
      <c r="T57" s="89">
        <f t="shared" si="131"/>
        <v>0.14644517598994539</v>
      </c>
      <c r="U57" s="89">
        <f t="shared" si="131"/>
        <v>0.14640100653954305</v>
      </c>
      <c r="V57" s="89">
        <f t="shared" si="131"/>
        <v>0.18127617123189174</v>
      </c>
      <c r="W57" s="88">
        <f t="shared" si="131"/>
        <v>0.15542912791532013</v>
      </c>
      <c r="X57" s="89">
        <f t="shared" si="131"/>
        <v>0.13046623487552772</v>
      </c>
      <c r="Y57" s="89">
        <f t="shared" si="131"/>
        <v>0.13258227107041046</v>
      </c>
      <c r="Z57" s="89">
        <f t="shared" si="131"/>
        <v>0.12792135850289407</v>
      </c>
      <c r="AA57" s="89">
        <f t="shared" si="131"/>
        <v>0.1660135847099582</v>
      </c>
      <c r="AB57" s="88">
        <f t="shared" si="131"/>
        <v>0.14175711897137228</v>
      </c>
      <c r="AC57" s="89">
        <f t="shared" si="131"/>
        <v>0.10717712080201047</v>
      </c>
      <c r="AD57" s="89">
        <f t="shared" si="131"/>
        <v>9.7088870406646821E-2</v>
      </c>
      <c r="AE57" s="89">
        <f t="shared" si="131"/>
        <v>0.13338249182152528</v>
      </c>
      <c r="AF57" s="89">
        <f t="shared" si="131"/>
        <v>0.19091824920780928</v>
      </c>
      <c r="AG57" s="88">
        <f t="shared" si="131"/>
        <v>0.13708887929728536</v>
      </c>
      <c r="AH57" s="89">
        <f t="shared" si="131"/>
        <v>0.11747500992175566</v>
      </c>
      <c r="AI57" s="89">
        <f t="shared" si="131"/>
        <v>0.15484764797368147</v>
      </c>
      <c r="AJ57" s="89">
        <f t="shared" ref="AJ57:BO57" si="132">AJ28/AJ9</f>
        <v>0.17931502696268306</v>
      </c>
      <c r="AK57" s="88">
        <f t="shared" si="132"/>
        <v>0.1550113320904225</v>
      </c>
      <c r="AL57" s="89">
        <f t="shared" si="132"/>
        <v>0.16910008472799895</v>
      </c>
      <c r="AM57" s="89">
        <f t="shared" si="132"/>
        <v>0.15099718262127879</v>
      </c>
      <c r="AN57" s="89">
        <f t="shared" si="132"/>
        <v>0.16686091687845758</v>
      </c>
      <c r="AO57" s="89">
        <f t="shared" si="132"/>
        <v>0.18916601046287712</v>
      </c>
      <c r="AP57" s="88">
        <f t="shared" si="132"/>
        <v>0.17073635332768605</v>
      </c>
      <c r="AQ57" s="89">
        <f t="shared" si="132"/>
        <v>0.13657180242067393</v>
      </c>
      <c r="AR57" s="89">
        <f t="shared" si="132"/>
        <v>0.1364472162720603</v>
      </c>
      <c r="AS57" s="89">
        <f t="shared" si="132"/>
        <v>0.15468199953062664</v>
      </c>
      <c r="AT57" s="89">
        <f t="shared" si="132"/>
        <v>0.19490776613243069</v>
      </c>
      <c r="AU57" s="88">
        <f t="shared" si="132"/>
        <v>0.15849054324254114</v>
      </c>
      <c r="AV57" s="89">
        <f t="shared" si="132"/>
        <v>0.13798663902326658</v>
      </c>
      <c r="AW57" s="89">
        <f t="shared" si="132"/>
        <v>0.12900301136547623</v>
      </c>
      <c r="AX57" s="89">
        <f t="shared" si="132"/>
        <v>0.12709342193630499</v>
      </c>
      <c r="AY57" s="89">
        <f t="shared" si="132"/>
        <v>0.131882344487919</v>
      </c>
      <c r="AZ57" s="88">
        <f t="shared" si="132"/>
        <v>0.13115111111911024</v>
      </c>
      <c r="BA57" s="89">
        <f t="shared" si="132"/>
        <v>0.11648048172612965</v>
      </c>
      <c r="BB57" s="89">
        <f t="shared" si="132"/>
        <v>0.14564266749960972</v>
      </c>
      <c r="BC57" s="89">
        <f t="shared" si="132"/>
        <v>0.16087292109632137</v>
      </c>
      <c r="BD57" s="89">
        <f t="shared" si="132"/>
        <v>0.19114429321421336</v>
      </c>
      <c r="BE57" s="88">
        <f t="shared" si="132"/>
        <v>0.15144224663161282</v>
      </c>
      <c r="BF57" s="89">
        <f t="shared" si="132"/>
        <v>0.11113219721410417</v>
      </c>
      <c r="BG57" s="89">
        <f t="shared" si="132"/>
        <v>0.1861025036733151</v>
      </c>
      <c r="BH57" s="89">
        <f t="shared" si="132"/>
        <v>0.21778934808547562</v>
      </c>
      <c r="BI57" s="89">
        <f t="shared" si="132"/>
        <v>0.24454209220997891</v>
      </c>
      <c r="BJ57" s="88">
        <f t="shared" si="132"/>
        <v>0.17055840278367673</v>
      </c>
      <c r="BK57" s="89">
        <f t="shared" si="132"/>
        <v>0.16542232951835956</v>
      </c>
      <c r="BL57" s="89">
        <f t="shared" si="132"/>
        <v>0.16115299656735146</v>
      </c>
      <c r="BM57" s="89">
        <f t="shared" si="132"/>
        <v>0.16342520474420477</v>
      </c>
      <c r="BN57" s="89">
        <f t="shared" si="132"/>
        <v>0.1530763485055277</v>
      </c>
      <c r="BO57" s="88">
        <f t="shared" si="132"/>
        <v>0.15980171932451798</v>
      </c>
      <c r="BP57" s="89">
        <f t="shared" ref="BP57:BY57" si="133">BP28/BP9</f>
        <v>0.12190047053917073</v>
      </c>
      <c r="BQ57" s="89">
        <f t="shared" si="133"/>
        <v>7.0511837438895761E-2</v>
      </c>
      <c r="BR57" s="89">
        <f t="shared" si="133"/>
        <v>0.13128432386582475</v>
      </c>
      <c r="BS57" s="89">
        <f t="shared" si="133"/>
        <v>0.1848439364199668</v>
      </c>
      <c r="BT57" s="88">
        <f t="shared" si="133"/>
        <v>0.13036801648428678</v>
      </c>
      <c r="BU57" s="89">
        <f t="shared" si="133"/>
        <v>0.13577333254523805</v>
      </c>
      <c r="BV57" s="89">
        <f t="shared" si="133"/>
        <v>0.15429962446235745</v>
      </c>
      <c r="BW57" s="89">
        <f t="shared" si="133"/>
        <v>0.15468539463476386</v>
      </c>
      <c r="BX57" s="89">
        <f t="shared" si="133"/>
        <v>0.16312764097091303</v>
      </c>
      <c r="BY57" s="88">
        <f t="shared" si="133"/>
        <v>0.15270675905295517</v>
      </c>
      <c r="BZ57" s="89"/>
      <c r="CA57" s="89"/>
      <c r="CB57" s="89"/>
      <c r="CC57" s="89"/>
      <c r="CD57" s="88">
        <f>CD28/CD9</f>
        <v>0.13715352399186292</v>
      </c>
      <c r="CE57" s="89"/>
      <c r="CF57" s="89"/>
      <c r="CG57" s="89"/>
      <c r="CH57" s="89"/>
      <c r="CI57" s="88">
        <f t="shared" ref="CI57:CN57" si="134">CI28/CI9</f>
        <v>0.1384608938746692</v>
      </c>
      <c r="CJ57" s="88">
        <f t="shared" si="134"/>
        <v>0.14720852497864137</v>
      </c>
      <c r="CK57" s="88">
        <f t="shared" si="134"/>
        <v>0.14808478582797779</v>
      </c>
      <c r="CL57" s="88">
        <f t="shared" si="134"/>
        <v>0.14561546415266385</v>
      </c>
      <c r="CM57" s="88">
        <f t="shared" si="134"/>
        <v>0.15083592015350042</v>
      </c>
      <c r="CN57" s="88">
        <f t="shared" si="134"/>
        <v>0.15055581130490178</v>
      </c>
      <c r="CO57" s="90"/>
      <c r="CP57" s="90"/>
      <c r="CQ57" s="6"/>
      <c r="CR57" s="6" t="s">
        <v>180</v>
      </c>
      <c r="CS57" s="30">
        <v>25</v>
      </c>
      <c r="CT57" s="88">
        <f t="shared" si="119"/>
        <v>0.14175711897137228</v>
      </c>
      <c r="CU57" s="88">
        <f t="shared" si="120"/>
        <v>0.13708887929728536</v>
      </c>
      <c r="CV57" s="88">
        <f t="shared" si="121"/>
        <v>0.1550113320904225</v>
      </c>
      <c r="CW57" s="88">
        <f t="shared" si="122"/>
        <v>0.17073635332768605</v>
      </c>
      <c r="CX57" s="88">
        <f t="shared" si="123"/>
        <v>0.15849054324254114</v>
      </c>
      <c r="CY57" s="88">
        <f t="shared" si="124"/>
        <v>0.13115111111911024</v>
      </c>
      <c r="CZ57" s="88">
        <f t="shared" si="125"/>
        <v>0.15144224663161282</v>
      </c>
      <c r="DA57" s="88">
        <f t="shared" si="126"/>
        <v>0.17055840278367673</v>
      </c>
      <c r="DB57" s="88">
        <f t="shared" si="127"/>
        <v>0.15980171932451798</v>
      </c>
      <c r="DC57" s="88">
        <f t="shared" si="128"/>
        <v>0.13036801648428678</v>
      </c>
      <c r="DD57" s="88">
        <f t="shared" si="129"/>
        <v>0.15270675905295517</v>
      </c>
      <c r="DE57" s="88">
        <f t="shared" si="130"/>
        <v>0.13715352399186292</v>
      </c>
      <c r="DF57" s="88">
        <f t="shared" si="116"/>
        <v>0.1384608938746692</v>
      </c>
      <c r="DG57" s="88">
        <f t="shared" si="116"/>
        <v>0.14720852497864137</v>
      </c>
      <c r="DH57" s="88">
        <f t="shared" si="116"/>
        <v>0.14808478582797779</v>
      </c>
      <c r="DI57" s="88">
        <v>0.14499999999999999</v>
      </c>
      <c r="DK57" s="88">
        <v>0.16</v>
      </c>
      <c r="DL57" s="88">
        <v>0.16</v>
      </c>
      <c r="DM57" s="6"/>
      <c r="DN57" s="88">
        <v>0.17</v>
      </c>
      <c r="DO57" s="88">
        <v>0.17</v>
      </c>
      <c r="DQ57" s="89">
        <v>0.155</v>
      </c>
      <c r="DR57" s="88">
        <v>0.14499999999999999</v>
      </c>
      <c r="DS57" s="88">
        <v>0.14499999999999999</v>
      </c>
      <c r="DT57" s="88">
        <v>0.14499999999999999</v>
      </c>
      <c r="DV57" s="88">
        <v>0.152</v>
      </c>
      <c r="DW57" s="88">
        <v>0.1547</v>
      </c>
      <c r="DX57" s="88">
        <v>0.15469999999999998</v>
      </c>
      <c r="EA57" s="89">
        <v>0.13500000000000001</v>
      </c>
      <c r="EB57" s="89">
        <v>0.155</v>
      </c>
      <c r="EC57" s="89">
        <v>0.17</v>
      </c>
      <c r="ED57" s="88">
        <v>0.152</v>
      </c>
      <c r="EE57" s="88">
        <v>0.1547</v>
      </c>
      <c r="EF57" s="88">
        <v>0.15469999999999998</v>
      </c>
      <c r="EJ57" s="89">
        <v>0.13500000000000001</v>
      </c>
      <c r="EK57" s="89">
        <v>0.19355132411667161</v>
      </c>
      <c r="EL57" s="88">
        <v>0.152</v>
      </c>
      <c r="EM57" s="88">
        <v>0.1547</v>
      </c>
      <c r="EN57" s="88">
        <v>0.15469999999999998</v>
      </c>
      <c r="EP57" s="89">
        <v>0.14642821171375309</v>
      </c>
      <c r="EQ57" s="88">
        <v>0.13500000000000001</v>
      </c>
      <c r="ER57" s="88">
        <v>0.15</v>
      </c>
      <c r="ES57" s="88">
        <v>0.1547</v>
      </c>
      <c r="EV57" s="89">
        <v>0.14349999999999999</v>
      </c>
      <c r="EW57" s="89">
        <v>0.15</v>
      </c>
      <c r="EX57" s="89">
        <v>0.15</v>
      </c>
      <c r="EY57" s="89">
        <v>0.15</v>
      </c>
      <c r="EZ57" s="88">
        <v>0.15</v>
      </c>
      <c r="FA57" s="88">
        <v>0.15</v>
      </c>
      <c r="FD57" s="89">
        <v>0.13500000000000001</v>
      </c>
      <c r="FE57" s="89">
        <v>0.15</v>
      </c>
      <c r="FF57" s="89">
        <v>0.15</v>
      </c>
      <c r="FG57" s="88">
        <v>0.13</v>
      </c>
      <c r="FH57" s="88">
        <v>0.14000000000000001</v>
      </c>
      <c r="FK57" s="88">
        <v>0.13500000000000001</v>
      </c>
      <c r="FL57" s="88">
        <v>0.14000000000000001</v>
      </c>
      <c r="FO57" s="89">
        <v>0.14499999999999999</v>
      </c>
      <c r="FP57" s="89">
        <v>0.11999763539213075</v>
      </c>
      <c r="FQ57" s="88">
        <v>0.13081467278688524</v>
      </c>
      <c r="FR57" s="88">
        <v>0.13705048679425144</v>
      </c>
      <c r="FU57" s="89">
        <v>0.12582716441517713</v>
      </c>
      <c r="FV57" s="88">
        <v>0.13668894228476819</v>
      </c>
      <c r="FW57" s="88">
        <v>0.12886812615935408</v>
      </c>
      <c r="FX57" s="88">
        <v>0.15111604738539089</v>
      </c>
      <c r="FY57" s="88">
        <v>0.15141419646848012</v>
      </c>
      <c r="GA57" s="88">
        <v>0.14385580191889774</v>
      </c>
      <c r="GB57" s="88">
        <v>0.17646487654181556</v>
      </c>
      <c r="GC57" s="88">
        <v>0.17410610371336838</v>
      </c>
      <c r="GF57" s="89"/>
      <c r="GG57" s="89"/>
      <c r="GH57" s="89"/>
      <c r="GI57" s="88">
        <v>0.15270042296422423</v>
      </c>
      <c r="GJ57" s="88">
        <v>0.177513173636828</v>
      </c>
      <c r="GK57" s="88">
        <v>0.17487659234764644</v>
      </c>
      <c r="GN57" s="89"/>
      <c r="GO57" s="89"/>
      <c r="GP57" s="88">
        <v>0.17531235137925924</v>
      </c>
      <c r="GQ57" s="88">
        <v>0.16709940111799687</v>
      </c>
      <c r="GR57" s="88">
        <v>0.16489983181408252</v>
      </c>
      <c r="GV57" s="89"/>
      <c r="GW57" s="88">
        <v>0.18363174607901125</v>
      </c>
      <c r="GX57" s="88">
        <v>0.14654327373138487</v>
      </c>
      <c r="GY57" s="88">
        <v>0.16243006572991264</v>
      </c>
      <c r="HC57" s="88"/>
      <c r="HD57" s="88">
        <v>0.1636038948355715</v>
      </c>
      <c r="HE57" s="88">
        <v>0.14270637134846559</v>
      </c>
      <c r="HF57" s="88">
        <v>0.14134274849119366</v>
      </c>
      <c r="HI57" s="89"/>
      <c r="HJ57" s="89"/>
      <c r="HK57" s="89"/>
      <c r="HL57" s="89"/>
      <c r="HM57" s="88">
        <v>0.11042231876232809</v>
      </c>
      <c r="HN57" s="88">
        <v>0.10922945085992126</v>
      </c>
      <c r="HO57" s="88">
        <v>0.10819620522933025</v>
      </c>
      <c r="HR57" s="89"/>
      <c r="HS57" s="89"/>
      <c r="HT57" s="89"/>
      <c r="HU57" s="88">
        <v>0.12983077969812171</v>
      </c>
      <c r="HV57" s="88">
        <v>0.15384070476729894</v>
      </c>
      <c r="HW57" s="88">
        <v>0.15406290467989517</v>
      </c>
      <c r="HZ57" s="89"/>
      <c r="IA57" s="88">
        <v>0.12010756595641188</v>
      </c>
      <c r="IB57" s="88">
        <v>0.1432300206454353</v>
      </c>
      <c r="IC57" s="88">
        <v>0.14974709142339443</v>
      </c>
      <c r="IE57" s="89"/>
      <c r="IF57" s="88">
        <v>0.11420138604538418</v>
      </c>
      <c r="IG57" s="88">
        <v>0.14365963993624301</v>
      </c>
      <c r="IH57" s="88">
        <v>0.15051943398595286</v>
      </c>
      <c r="IK57" s="88">
        <v>0.14365963993624301</v>
      </c>
      <c r="IL57" s="88">
        <v>0.15051943398595286</v>
      </c>
      <c r="IO57" s="88">
        <v>0.13912427943882955</v>
      </c>
      <c r="IP57" s="88">
        <v>0.15364713616098044</v>
      </c>
      <c r="IS57" s="88">
        <v>0.26</v>
      </c>
      <c r="IT57" s="88">
        <v>0.26</v>
      </c>
      <c r="IU57" s="88">
        <v>0.26</v>
      </c>
      <c r="IX57" s="89">
        <v>0.1690357540199402</v>
      </c>
      <c r="IY57" s="88">
        <v>0.15435391701065473</v>
      </c>
      <c r="IZ57" s="88">
        <v>0.17560620430742327</v>
      </c>
      <c r="JA57" s="88">
        <v>0.17424935499445562</v>
      </c>
      <c r="JD57" s="88">
        <v>0.17237299686289398</v>
      </c>
      <c r="JE57" s="88">
        <v>0.17119546351397658</v>
      </c>
      <c r="JH57" s="88">
        <v>0.15737296489986918</v>
      </c>
      <c r="JI57" s="88">
        <v>0.1586824808233368</v>
      </c>
      <c r="JJ57" s="88">
        <v>0.15695866873768122</v>
      </c>
      <c r="JM57" s="88">
        <v>0.16219974569954299</v>
      </c>
      <c r="JN57" s="88">
        <v>0.16050870725824343</v>
      </c>
      <c r="JQ57" s="88">
        <v>0.13364022669515316</v>
      </c>
      <c r="JR57" s="88">
        <v>0.14589955688693051</v>
      </c>
      <c r="JS57" s="88">
        <v>0.15072088506341585</v>
      </c>
      <c r="JV57" s="88">
        <v>0.14606604270396473</v>
      </c>
      <c r="JW57" s="88">
        <v>0.1509036805724476</v>
      </c>
      <c r="JY57" s="88">
        <v>0.1463243723058387</v>
      </c>
      <c r="JZ57" s="88">
        <v>0.15121829244334187</v>
      </c>
      <c r="KB57" s="88">
        <v>0.12451898176906734</v>
      </c>
      <c r="KC57" s="88">
        <v>0.13790349436424762</v>
      </c>
      <c r="KD57" s="88">
        <v>0.13816708665496857</v>
      </c>
    </row>
    <row r="58" spans="1:290" x14ac:dyDescent="0.25">
      <c r="A58" s="226" t="e">
        <f>+B41/B39</f>
        <v>#VALUE!</v>
      </c>
      <c r="B58" s="11" t="s">
        <v>181</v>
      </c>
      <c r="C58" s="89"/>
      <c r="D58" s="89" t="e">
        <f t="shared" ref="D58:BO58" si="135">(D41+D42+D43)/D39</f>
        <v>#DIV/0!</v>
      </c>
      <c r="E58" s="89" t="e">
        <f t="shared" si="135"/>
        <v>#DIV/0!</v>
      </c>
      <c r="F58" s="89" t="e">
        <f t="shared" si="135"/>
        <v>#DIV/0!</v>
      </c>
      <c r="G58" s="89" t="e">
        <f t="shared" si="135"/>
        <v>#DIV/0!</v>
      </c>
      <c r="H58" s="88" t="e">
        <f t="shared" si="135"/>
        <v>#DIV/0!</v>
      </c>
      <c r="I58" s="89">
        <f t="shared" si="135"/>
        <v>0.33891752577319623</v>
      </c>
      <c r="J58" s="89">
        <f t="shared" si="135"/>
        <v>0.35983397427791419</v>
      </c>
      <c r="K58" s="89">
        <f t="shared" si="135"/>
        <v>0.27554332551402583</v>
      </c>
      <c r="L58" s="89">
        <f t="shared" si="135"/>
        <v>0.37748873618041473</v>
      </c>
      <c r="M58" s="88">
        <f t="shared" si="135"/>
        <v>0.34327963567970377</v>
      </c>
      <c r="N58" s="89">
        <f t="shared" si="135"/>
        <v>0.34432507069098028</v>
      </c>
      <c r="O58" s="89">
        <f t="shared" si="135"/>
        <v>0.32823237164342361</v>
      </c>
      <c r="P58" s="89">
        <f t="shared" si="135"/>
        <v>0.32304448116306989</v>
      </c>
      <c r="Q58" s="89">
        <f t="shared" si="135"/>
        <v>0.34347220704706333</v>
      </c>
      <c r="R58" s="88">
        <f t="shared" si="135"/>
        <v>0.33568202027270327</v>
      </c>
      <c r="S58" s="89">
        <f t="shared" si="135"/>
        <v>0.32389210652127143</v>
      </c>
      <c r="T58" s="89">
        <f t="shared" si="135"/>
        <v>0.32665646391392689</v>
      </c>
      <c r="U58" s="89">
        <f t="shared" si="135"/>
        <v>0.32686212361331207</v>
      </c>
      <c r="V58" s="89">
        <f t="shared" si="135"/>
        <v>0.34040343271579943</v>
      </c>
      <c r="W58" s="88">
        <f t="shared" si="135"/>
        <v>0.33158201776529772</v>
      </c>
      <c r="X58" s="89">
        <f t="shared" si="135"/>
        <v>0.33371320037986657</v>
      </c>
      <c r="Y58" s="89">
        <f t="shared" si="135"/>
        <v>0.33620277996463815</v>
      </c>
      <c r="Z58" s="89">
        <f t="shared" si="135"/>
        <v>0.33998096592567162</v>
      </c>
      <c r="AA58" s="89">
        <f t="shared" si="135"/>
        <v>0.34645833396627068</v>
      </c>
      <c r="AB58" s="88">
        <f t="shared" si="135"/>
        <v>0.34115160609320871</v>
      </c>
      <c r="AC58" s="89">
        <f t="shared" si="135"/>
        <v>0.33992228621154408</v>
      </c>
      <c r="AD58" s="89">
        <f t="shared" si="135"/>
        <v>0.53545322003918883</v>
      </c>
      <c r="AE58" s="89">
        <f t="shared" si="135"/>
        <v>0.54437841784570473</v>
      </c>
      <c r="AF58" s="89">
        <f t="shared" si="135"/>
        <v>0.36888648258437118</v>
      </c>
      <c r="AG58" s="88">
        <f t="shared" si="135"/>
        <v>0.43282913228901659</v>
      </c>
      <c r="AH58" s="89">
        <f t="shared" si="135"/>
        <v>0.34589186888037438</v>
      </c>
      <c r="AI58" s="89">
        <f t="shared" si="135"/>
        <v>0.34016237083834661</v>
      </c>
      <c r="AJ58" s="89">
        <f t="shared" si="135"/>
        <v>0.36503716996643637</v>
      </c>
      <c r="AK58" s="88">
        <f t="shared" si="135"/>
        <v>0.35382181095034637</v>
      </c>
      <c r="AL58" s="89">
        <f t="shared" si="135"/>
        <v>0.34461751328132656</v>
      </c>
      <c r="AM58" s="89">
        <f t="shared" si="135"/>
        <v>0.35176665657330963</v>
      </c>
      <c r="AN58" s="89">
        <f t="shared" si="135"/>
        <v>0.34666828952344542</v>
      </c>
      <c r="AO58" s="89">
        <f t="shared" si="135"/>
        <v>0.36532229921730874</v>
      </c>
      <c r="AP58" s="88">
        <f t="shared" si="135"/>
        <v>0.35330071250751116</v>
      </c>
      <c r="AQ58" s="89">
        <f t="shared" si="135"/>
        <v>0.34627073022488469</v>
      </c>
      <c r="AR58" s="89">
        <f t="shared" si="135"/>
        <v>0.38003938231941164</v>
      </c>
      <c r="AS58" s="89">
        <f t="shared" si="135"/>
        <v>0.35078924192127903</v>
      </c>
      <c r="AT58" s="89">
        <f t="shared" si="135"/>
        <v>0.31768715863824898</v>
      </c>
      <c r="AU58" s="88">
        <f t="shared" si="135"/>
        <v>0.34124653693657836</v>
      </c>
      <c r="AV58" s="89">
        <f t="shared" si="135"/>
        <v>0.3492518078327484</v>
      </c>
      <c r="AW58" s="89">
        <f t="shared" si="135"/>
        <v>0.34449939348698289</v>
      </c>
      <c r="AX58" s="89">
        <f t="shared" si="135"/>
        <v>0.34871949837576438</v>
      </c>
      <c r="AY58" s="89">
        <f t="shared" si="135"/>
        <v>0.32480223359702159</v>
      </c>
      <c r="AZ58" s="88">
        <f t="shared" si="135"/>
        <v>0.37414836885354819</v>
      </c>
      <c r="BA58" s="89">
        <f t="shared" si="135"/>
        <v>0.3486251341704989</v>
      </c>
      <c r="BB58" s="89">
        <f t="shared" si="135"/>
        <v>0.15274853801169566</v>
      </c>
      <c r="BC58" s="89">
        <f t="shared" si="135"/>
        <v>0.2547101008873221</v>
      </c>
      <c r="BD58" s="89">
        <f t="shared" si="135"/>
        <v>0.29411764705882337</v>
      </c>
      <c r="BE58" s="88">
        <f t="shared" si="135"/>
        <v>0.21543276636187869</v>
      </c>
      <c r="BF58" s="89">
        <f t="shared" si="135"/>
        <v>0.24881033310672965</v>
      </c>
      <c r="BG58" s="89">
        <f t="shared" si="135"/>
        <v>0.26200656259321847</v>
      </c>
      <c r="BH58" s="89">
        <f t="shared" si="135"/>
        <v>0.25456007813173248</v>
      </c>
      <c r="BI58" s="89">
        <f t="shared" si="135"/>
        <v>0.17045702562311754</v>
      </c>
      <c r="BJ58" s="88">
        <f t="shared" si="135"/>
        <v>0.2702284612631749</v>
      </c>
      <c r="BK58" s="89">
        <f t="shared" si="135"/>
        <v>0.25556216537775134</v>
      </c>
      <c r="BL58" s="89">
        <f t="shared" si="135"/>
        <v>0.26246075925731427</v>
      </c>
      <c r="BM58" s="89">
        <f t="shared" si="135"/>
        <v>0.25797862223743756</v>
      </c>
      <c r="BN58" s="89">
        <f t="shared" si="135"/>
        <v>0.25072937848112464</v>
      </c>
      <c r="BO58" s="88">
        <f t="shared" si="135"/>
        <v>0.25630967792172404</v>
      </c>
      <c r="BP58" s="89">
        <f t="shared" ref="BP58:CI58" si="136">(BP41+BP42+BP43)/BP39</f>
        <v>0.25838686652391163</v>
      </c>
      <c r="BQ58" s="89">
        <f t="shared" si="136"/>
        <v>0.26720554272517349</v>
      </c>
      <c r="BR58" s="89">
        <f t="shared" si="136"/>
        <v>0.25754862863188743</v>
      </c>
      <c r="BS58" s="89">
        <f t="shared" si="136"/>
        <v>0.25323065816387935</v>
      </c>
      <c r="BT58" s="88">
        <f t="shared" si="136"/>
        <v>0.25675929598931041</v>
      </c>
      <c r="BU58" s="89">
        <f t="shared" si="136"/>
        <v>0.25884373211219242</v>
      </c>
      <c r="BV58" s="89">
        <f t="shared" si="136"/>
        <v>0.25821628025046545</v>
      </c>
      <c r="BW58" s="89">
        <f t="shared" si="136"/>
        <v>0.25792211887119654</v>
      </c>
      <c r="BX58" s="89">
        <f t="shared" si="136"/>
        <v>0.25890013447519311</v>
      </c>
      <c r="BY58" s="88">
        <f t="shared" si="136"/>
        <v>0.2584003203055219</v>
      </c>
      <c r="BZ58" s="89">
        <f t="shared" si="136"/>
        <v>0.26163864625403088</v>
      </c>
      <c r="CA58" s="89">
        <f t="shared" si="136"/>
        <v>0.22741399248337668</v>
      </c>
      <c r="CB58" s="89">
        <f t="shared" si="136"/>
        <v>0.26153501901991483</v>
      </c>
      <c r="CC58" s="89">
        <f t="shared" si="136"/>
        <v>0.21811410695665115</v>
      </c>
      <c r="CD58" s="88">
        <f t="shared" si="136"/>
        <v>0.24829027016409888</v>
      </c>
      <c r="CE58" s="89">
        <f t="shared" si="136"/>
        <v>0.26199999999999984</v>
      </c>
      <c r="CF58" s="89">
        <f t="shared" si="136"/>
        <v>0.26085026632471869</v>
      </c>
      <c r="CG58" s="89">
        <f t="shared" si="136"/>
        <v>0.24853801169590661</v>
      </c>
      <c r="CH58" s="89">
        <f t="shared" si="136"/>
        <v>0.28423231578196034</v>
      </c>
      <c r="CI58" s="88">
        <f t="shared" si="136"/>
        <v>0.25241297086902037</v>
      </c>
      <c r="CJ58" s="88">
        <v>0.26</v>
      </c>
      <c r="CK58" s="88">
        <v>0.26</v>
      </c>
      <c r="CL58" s="88">
        <v>0.26</v>
      </c>
      <c r="CM58" s="88">
        <v>0.26</v>
      </c>
      <c r="CN58" s="88">
        <v>0.26</v>
      </c>
      <c r="CO58" s="90"/>
      <c r="CP58" s="90"/>
      <c r="CQ58" s="6"/>
      <c r="CR58" s="6">
        <f ca="1">CR59*0.95</f>
        <v>83.54210120691593</v>
      </c>
      <c r="CS58" s="30">
        <f ca="1">$CR58*CS$57</f>
        <v>2088.5525301728981</v>
      </c>
      <c r="CT58" s="88">
        <f t="shared" si="119"/>
        <v>0.34115160609320871</v>
      </c>
      <c r="CU58" s="88">
        <f t="shared" si="120"/>
        <v>0.43282913228901659</v>
      </c>
      <c r="CV58" s="88">
        <f t="shared" si="121"/>
        <v>0.35382181095034637</v>
      </c>
      <c r="CW58" s="88">
        <f t="shared" si="122"/>
        <v>0.35330071250751116</v>
      </c>
      <c r="CX58" s="88">
        <f t="shared" si="123"/>
        <v>0.34124653693657836</v>
      </c>
      <c r="CY58" s="88">
        <f t="shared" si="124"/>
        <v>0.37414836885354819</v>
      </c>
      <c r="CZ58" s="88">
        <f t="shared" si="125"/>
        <v>0.21543276636187869</v>
      </c>
      <c r="DA58" s="88">
        <f t="shared" si="126"/>
        <v>0.2702284612631749</v>
      </c>
      <c r="DB58" s="88">
        <f t="shared" si="127"/>
        <v>0.25630967792172404</v>
      </c>
      <c r="DC58" s="88">
        <f t="shared" si="128"/>
        <v>0.25675929598931041</v>
      </c>
      <c r="DD58" s="88">
        <f t="shared" si="129"/>
        <v>0.2584003203055219</v>
      </c>
      <c r="DE58" s="88">
        <f t="shared" si="130"/>
        <v>0.24829027016409888</v>
      </c>
      <c r="DF58" s="88">
        <f t="shared" si="116"/>
        <v>0.25241297086902037</v>
      </c>
      <c r="DG58" s="88">
        <f t="shared" si="116"/>
        <v>0.26</v>
      </c>
      <c r="DH58" s="88">
        <f t="shared" si="116"/>
        <v>0.26</v>
      </c>
      <c r="DI58" s="88">
        <v>0.34599999999999997</v>
      </c>
      <c r="DK58" s="88">
        <v>0.34</v>
      </c>
      <c r="DL58" s="88">
        <v>0.34</v>
      </c>
      <c r="DM58" s="6"/>
      <c r="DN58" s="88">
        <v>0.33</v>
      </c>
      <c r="DO58" s="88">
        <v>0.33</v>
      </c>
      <c r="DQ58" s="89">
        <v>0.34599999999999997</v>
      </c>
      <c r="DR58" s="88">
        <v>0.34599999999999997</v>
      </c>
      <c r="DS58" s="88">
        <v>0.34599999999999997</v>
      </c>
      <c r="DT58" s="88">
        <v>0.34599999999999997</v>
      </c>
      <c r="DV58" s="88">
        <v>0.33300000000000002</v>
      </c>
      <c r="DW58" s="88">
        <v>0.33</v>
      </c>
      <c r="DX58" s="88">
        <v>0.33</v>
      </c>
      <c r="EA58" s="89">
        <v>0.34899999999999998</v>
      </c>
      <c r="EB58" s="89">
        <v>0.34899999999999998</v>
      </c>
      <c r="EC58" s="89">
        <v>0.34899999999999998</v>
      </c>
      <c r="ED58" s="88">
        <v>0.33300000000000002</v>
      </c>
      <c r="EE58" s="88">
        <v>0.33</v>
      </c>
      <c r="EF58" s="88">
        <v>0.33</v>
      </c>
      <c r="EJ58" s="89">
        <v>0.34899999999999998</v>
      </c>
      <c r="EK58" s="89">
        <v>0.32917718131244678</v>
      </c>
      <c r="EL58" s="88">
        <v>0.34</v>
      </c>
      <c r="EM58" s="88">
        <v>0.34</v>
      </c>
      <c r="EN58" s="88">
        <v>0.33</v>
      </c>
      <c r="EP58" s="89">
        <v>0.3240045879075874</v>
      </c>
      <c r="EQ58" s="88">
        <v>0.34</v>
      </c>
      <c r="ER58" s="88">
        <v>0.34</v>
      </c>
      <c r="ES58" s="88">
        <v>0.33</v>
      </c>
      <c r="EV58" s="89">
        <v>0.34</v>
      </c>
      <c r="EW58" s="89">
        <v>0.34</v>
      </c>
      <c r="EX58" s="89">
        <v>0.34</v>
      </c>
      <c r="EY58" s="89">
        <v>0.34</v>
      </c>
      <c r="EZ58" s="88">
        <v>0.34</v>
      </c>
      <c r="FA58" s="88">
        <v>0.33</v>
      </c>
      <c r="FD58" s="89">
        <v>0.26</v>
      </c>
      <c r="FE58" s="89">
        <v>0.34</v>
      </c>
      <c r="FF58" s="89">
        <v>0.34</v>
      </c>
      <c r="FG58" s="88">
        <v>0.26</v>
      </c>
      <c r="FH58" s="88">
        <v>0.26</v>
      </c>
      <c r="FK58" s="88">
        <v>0.26</v>
      </c>
      <c r="FL58" s="88">
        <v>0.26</v>
      </c>
      <c r="FO58" s="89">
        <v>0.34</v>
      </c>
      <c r="FP58" s="89">
        <v>0.34</v>
      </c>
      <c r="FQ58" s="88">
        <v>0.26</v>
      </c>
      <c r="FR58" s="88">
        <v>0.26</v>
      </c>
      <c r="FU58" s="89">
        <v>0.25300068323832442</v>
      </c>
      <c r="FV58" s="88">
        <v>0.25</v>
      </c>
      <c r="FW58" s="88">
        <v>0.26</v>
      </c>
      <c r="FX58" s="88">
        <v>0.26</v>
      </c>
      <c r="FY58" s="88">
        <v>0.26</v>
      </c>
      <c r="GA58" s="88">
        <v>0.25</v>
      </c>
      <c r="GB58" s="88">
        <v>0.25</v>
      </c>
      <c r="GC58" s="88">
        <v>0.26</v>
      </c>
      <c r="GF58" s="89">
        <v>0.25</v>
      </c>
      <c r="GG58" s="89"/>
      <c r="GH58" s="89"/>
      <c r="GI58" s="88">
        <v>0.25</v>
      </c>
      <c r="GJ58" s="88">
        <v>0.25</v>
      </c>
      <c r="GK58" s="88">
        <v>0.26</v>
      </c>
      <c r="GN58" s="89">
        <v>0.25</v>
      </c>
      <c r="GO58" s="89"/>
      <c r="GP58" s="88">
        <v>0.25</v>
      </c>
      <c r="GQ58" s="88">
        <v>0.25</v>
      </c>
      <c r="GR58" s="88">
        <v>0.26</v>
      </c>
      <c r="GV58" s="89"/>
      <c r="GW58" s="88">
        <v>0.25</v>
      </c>
      <c r="GX58" s="88">
        <v>0.25</v>
      </c>
      <c r="GY58" s="88">
        <v>0.26</v>
      </c>
      <c r="HC58" s="88"/>
      <c r="HD58" s="88">
        <v>0.25</v>
      </c>
      <c r="HE58" s="88">
        <v>0.26</v>
      </c>
      <c r="HF58" s="88">
        <v>0.26</v>
      </c>
      <c r="HI58" s="89"/>
      <c r="HJ58" s="89"/>
      <c r="HK58" s="89"/>
      <c r="HL58" s="89"/>
      <c r="HM58" s="88">
        <v>0.26</v>
      </c>
      <c r="HN58" s="88">
        <v>0.26</v>
      </c>
      <c r="HO58" s="88">
        <v>0.26</v>
      </c>
      <c r="HR58" s="89"/>
      <c r="HS58" s="89"/>
      <c r="HT58" s="89"/>
      <c r="HU58" s="88">
        <v>0.26</v>
      </c>
      <c r="HV58" s="88">
        <v>0.26</v>
      </c>
      <c r="HW58" s="88">
        <v>0.26</v>
      </c>
      <c r="HZ58" s="89"/>
      <c r="IA58" s="88">
        <v>0.26</v>
      </c>
      <c r="IB58" s="88">
        <v>0.26</v>
      </c>
      <c r="IC58" s="88">
        <v>0.26</v>
      </c>
      <c r="IE58" s="89"/>
      <c r="IF58" s="88">
        <v>0.26</v>
      </c>
      <c r="IG58" s="88">
        <v>0.26</v>
      </c>
      <c r="IH58" s="88">
        <v>0.26</v>
      </c>
      <c r="IK58" s="88">
        <v>0.26</v>
      </c>
      <c r="IL58" s="88">
        <v>0.26</v>
      </c>
      <c r="IO58" s="88">
        <v>0.26</v>
      </c>
      <c r="IP58" s="88">
        <v>0.26</v>
      </c>
      <c r="IS58" s="88">
        <v>87.252467541912623</v>
      </c>
      <c r="IT58" s="88">
        <v>115.84339287423846</v>
      </c>
      <c r="IU58" s="88">
        <v>136.18375299112097</v>
      </c>
      <c r="IX58" s="89">
        <v>0.26342629484088598</v>
      </c>
      <c r="IY58" s="88">
        <v>0.26</v>
      </c>
      <c r="IZ58" s="88">
        <v>0.26</v>
      </c>
      <c r="JA58" s="88">
        <v>0.26</v>
      </c>
      <c r="JD58" s="88">
        <v>0.26</v>
      </c>
      <c r="JE58" s="88">
        <v>0.26</v>
      </c>
      <c r="JH58" s="88">
        <v>0.26</v>
      </c>
      <c r="JI58" s="88">
        <v>0.26</v>
      </c>
      <c r="JJ58" s="88">
        <v>0.26</v>
      </c>
      <c r="JM58" s="88">
        <v>0.26</v>
      </c>
      <c r="JN58" s="88">
        <v>0.26</v>
      </c>
      <c r="JQ58" s="88">
        <v>0.26</v>
      </c>
      <c r="JR58" s="88">
        <v>0.26</v>
      </c>
      <c r="JS58" s="88">
        <v>0.26</v>
      </c>
      <c r="JV58" s="88">
        <v>0.26</v>
      </c>
      <c r="JW58" s="88">
        <v>0.26</v>
      </c>
      <c r="JY58" s="88">
        <v>0.26</v>
      </c>
      <c r="JZ58" s="88">
        <v>0.26</v>
      </c>
      <c r="KB58" s="88">
        <v>0.26</v>
      </c>
      <c r="KC58" s="88">
        <v>0.26</v>
      </c>
      <c r="KD58" s="88">
        <v>0.26</v>
      </c>
    </row>
    <row r="59" spans="1:290" s="96" customFormat="1" x14ac:dyDescent="0.25">
      <c r="A59" s="227" t="e">
        <f>+B49/B64</f>
        <v>#VALUE!</v>
      </c>
      <c r="B59" s="34" t="s">
        <v>182</v>
      </c>
      <c r="C59" s="89"/>
      <c r="D59" s="91" t="e">
        <f t="shared" ref="D59:AU59" si="137">D49/D51*D63</f>
        <v>#DIV/0!</v>
      </c>
      <c r="E59" s="91" t="e">
        <f t="shared" si="137"/>
        <v>#DIV/0!</v>
      </c>
      <c r="F59" s="91" t="e">
        <f t="shared" si="137"/>
        <v>#DIV/0!</v>
      </c>
      <c r="G59" s="91" t="e">
        <f t="shared" si="137"/>
        <v>#DIV/0!</v>
      </c>
      <c r="H59" s="92" t="e">
        <f t="shared" si="137"/>
        <v>#DIV/0!</v>
      </c>
      <c r="I59" s="92">
        <f t="shared" si="137"/>
        <v>3.6017316017315988</v>
      </c>
      <c r="J59" s="92">
        <f t="shared" si="137"/>
        <v>3.2733254624163761</v>
      </c>
      <c r="K59" s="92">
        <f t="shared" si="137"/>
        <v>3.799449035812676</v>
      </c>
      <c r="L59" s="92">
        <f t="shared" si="137"/>
        <v>4.7400629673356969</v>
      </c>
      <c r="M59" s="92">
        <f t="shared" si="137"/>
        <v>15.414569067296322</v>
      </c>
      <c r="N59" s="92">
        <f t="shared" si="137"/>
        <v>2.5618811491538773</v>
      </c>
      <c r="O59" s="92">
        <f t="shared" si="137"/>
        <v>4.6663439590712263</v>
      </c>
      <c r="P59" s="92">
        <f t="shared" si="137"/>
        <v>4.3037701692247179</v>
      </c>
      <c r="Q59" s="92">
        <f t="shared" si="137"/>
        <v>7.4807713498622643</v>
      </c>
      <c r="R59" s="92">
        <f t="shared" si="137"/>
        <v>19.012766627312089</v>
      </c>
      <c r="S59" s="92">
        <f t="shared" si="137"/>
        <v>3.0669264069264019</v>
      </c>
      <c r="T59" s="92">
        <f t="shared" si="137"/>
        <v>5.2215426997245196</v>
      </c>
      <c r="U59" s="92">
        <f t="shared" si="137"/>
        <v>5.9683274301456146</v>
      </c>
      <c r="V59" s="92">
        <f t="shared" si="137"/>
        <v>8.5744510035418973</v>
      </c>
      <c r="W59" s="92">
        <f t="shared" si="137"/>
        <v>22.831247540338435</v>
      </c>
      <c r="X59" s="92">
        <f t="shared" si="137"/>
        <v>3.3855175127902459</v>
      </c>
      <c r="Y59" s="92">
        <f t="shared" si="137"/>
        <v>4.930767414403765</v>
      </c>
      <c r="Z59" s="92">
        <f t="shared" si="137"/>
        <v>4.5914521841794604</v>
      </c>
      <c r="AA59" s="92">
        <f t="shared" si="137"/>
        <v>9.4055096418732891</v>
      </c>
      <c r="AB59" s="92">
        <f t="shared" si="137"/>
        <v>22.313246753246759</v>
      </c>
      <c r="AC59" s="92">
        <f t="shared" si="137"/>
        <v>1.9730106257378937</v>
      </c>
      <c r="AD59" s="92">
        <f t="shared" si="137"/>
        <v>2.7752223534041542</v>
      </c>
      <c r="AE59" s="92">
        <f t="shared" si="137"/>
        <v>8.0467138921684356</v>
      </c>
      <c r="AF59" s="92">
        <f t="shared" si="137"/>
        <v>12.577371113734745</v>
      </c>
      <c r="AG59" s="92">
        <f t="shared" si="137"/>
        <v>25.372317985045179</v>
      </c>
      <c r="AH59" s="92">
        <f t="shared" si="137"/>
        <v>1.9317670208579323</v>
      </c>
      <c r="AI59" s="92">
        <f t="shared" si="137"/>
        <v>6.4640535222353472</v>
      </c>
      <c r="AJ59" s="92">
        <f t="shared" si="137"/>
        <v>9.2428280204643762</v>
      </c>
      <c r="AK59" s="92">
        <f t="shared" si="137"/>
        <v>17.638648563557595</v>
      </c>
      <c r="AL59" s="92">
        <f t="shared" si="137"/>
        <v>9.06982290436836</v>
      </c>
      <c r="AM59" s="92">
        <f t="shared" si="137"/>
        <v>5.2079102715466172</v>
      </c>
      <c r="AN59" s="92">
        <f t="shared" si="137"/>
        <v>7.9339315230224257</v>
      </c>
      <c r="AO59" s="92">
        <f t="shared" si="137"/>
        <v>11.661550570641488</v>
      </c>
      <c r="AP59" s="92">
        <f t="shared" si="137"/>
        <v>33.876426603699365</v>
      </c>
      <c r="AQ59" s="92">
        <f t="shared" si="137"/>
        <v>6.1692247146792685</v>
      </c>
      <c r="AR59" s="92">
        <f t="shared" si="137"/>
        <v>5.574183392365204</v>
      </c>
      <c r="AS59" s="92">
        <f t="shared" si="137"/>
        <v>8.2030696576151136</v>
      </c>
      <c r="AT59" s="92">
        <f t="shared" si="137"/>
        <v>14.035419126328216</v>
      </c>
      <c r="AU59" s="92">
        <f t="shared" si="137"/>
        <v>33.982683982683966</v>
      </c>
      <c r="AV59" s="92">
        <f t="shared" ref="AV59:BY59" si="138">AV47/AV51*AV63</f>
        <v>7.625344352617085</v>
      </c>
      <c r="AW59" s="92">
        <f t="shared" si="138"/>
        <v>5.7284533648170113</v>
      </c>
      <c r="AX59" s="92">
        <f t="shared" si="138"/>
        <v>6.3738685556867534</v>
      </c>
      <c r="AY59" s="92">
        <f t="shared" si="138"/>
        <v>8.8673750491932406</v>
      </c>
      <c r="AZ59" s="92">
        <f t="shared" si="138"/>
        <v>27.088547815820515</v>
      </c>
      <c r="BA59" s="92">
        <f t="shared" si="138"/>
        <v>6.8573789846517181</v>
      </c>
      <c r="BB59" s="92">
        <f t="shared" si="138"/>
        <v>9.4175521448248887</v>
      </c>
      <c r="BC59" s="92">
        <f t="shared" si="138"/>
        <v>9.7119244391971726</v>
      </c>
      <c r="BD59" s="92">
        <f t="shared" si="138"/>
        <v>12.572215663124762</v>
      </c>
      <c r="BE59" s="92">
        <f t="shared" si="138"/>
        <v>40.141676505312823</v>
      </c>
      <c r="BF59" s="92">
        <f t="shared" si="138"/>
        <v>3.1916568280204731</v>
      </c>
      <c r="BG59" s="92">
        <f t="shared" si="138"/>
        <v>13.770169224714692</v>
      </c>
      <c r="BH59" s="92">
        <f t="shared" si="138"/>
        <v>24.580873671782758</v>
      </c>
      <c r="BI59" s="92">
        <f t="shared" si="138"/>
        <v>35.43823760818254</v>
      </c>
      <c r="BJ59" s="92">
        <f t="shared" si="138"/>
        <v>61.246753246753244</v>
      </c>
      <c r="BK59" s="92">
        <f t="shared" si="138"/>
        <v>13.387883556254916</v>
      </c>
      <c r="BL59" s="92">
        <f t="shared" si="138"/>
        <v>17.994256490952001</v>
      </c>
      <c r="BM59" s="92">
        <f t="shared" si="138"/>
        <v>19.332808811959094</v>
      </c>
      <c r="BN59" s="92">
        <f t="shared" si="138"/>
        <v>25.480723839496449</v>
      </c>
      <c r="BO59" s="92">
        <f t="shared" si="138"/>
        <v>76.225895316804383</v>
      </c>
      <c r="BP59" s="92">
        <f t="shared" si="138"/>
        <v>16.831955922865003</v>
      </c>
      <c r="BQ59" s="92">
        <f t="shared" si="138"/>
        <v>6.455726092089721</v>
      </c>
      <c r="BR59" s="92">
        <f t="shared" si="138"/>
        <v>16.531286894923255</v>
      </c>
      <c r="BS59" s="92">
        <f t="shared" si="138"/>
        <v>28.301574803149585</v>
      </c>
      <c r="BT59" s="92">
        <f t="shared" si="138"/>
        <v>68.101534828807544</v>
      </c>
      <c r="BU59" s="92">
        <f t="shared" si="138"/>
        <v>16.971653543307081</v>
      </c>
      <c r="BV59" s="92">
        <f t="shared" si="138"/>
        <v>19.148818897637796</v>
      </c>
      <c r="BW59" s="92">
        <f t="shared" si="138"/>
        <v>20.17086614173229</v>
      </c>
      <c r="BX59" s="92">
        <f t="shared" si="138"/>
        <v>27.938582677165318</v>
      </c>
      <c r="BY59" s="92">
        <f t="shared" si="138"/>
        <v>84.220385674931251</v>
      </c>
      <c r="BZ59" s="92"/>
      <c r="CA59" s="92"/>
      <c r="CB59" s="92"/>
      <c r="CC59" s="92"/>
      <c r="CD59" s="92">
        <f>CD47/CD51*CD63</f>
        <v>75.719795356158812</v>
      </c>
      <c r="CE59" s="93"/>
      <c r="CF59" s="93"/>
      <c r="CG59" s="93"/>
      <c r="CH59" s="93"/>
      <c r="CI59" s="92">
        <f t="shared" ref="CI59:CN59" si="139">CI47/CI51*CI63</f>
        <v>75.086973632428112</v>
      </c>
      <c r="CJ59" s="92">
        <f t="shared" ca="1" si="139"/>
        <v>87.939053902016767</v>
      </c>
      <c r="CK59" s="92">
        <f t="shared" ca="1" si="139"/>
        <v>103.26549980862649</v>
      </c>
      <c r="CL59" s="92">
        <f t="shared" ca="1" si="139"/>
        <v>122.23115060727567</v>
      </c>
      <c r="CM59" s="92">
        <f t="shared" ca="1" si="139"/>
        <v>139.46182116158596</v>
      </c>
      <c r="CN59" s="92">
        <f t="shared" ca="1" si="139"/>
        <v>153.35314706166267</v>
      </c>
      <c r="CO59" s="94"/>
      <c r="CP59" s="67"/>
      <c r="CQ59" s="95">
        <v>122</v>
      </c>
      <c r="CR59" s="30">
        <f ca="1">CJ59</f>
        <v>87.939053902016767</v>
      </c>
      <c r="CS59" s="30">
        <f ca="1">$CR59*CS$57</f>
        <v>2198.4763475504192</v>
      </c>
      <c r="CT59" s="91">
        <f t="shared" si="119"/>
        <v>22.313246753246759</v>
      </c>
      <c r="CU59" s="91">
        <f t="shared" si="120"/>
        <v>25.372317985045179</v>
      </c>
      <c r="CV59" s="91">
        <f t="shared" si="121"/>
        <v>17.638648563557595</v>
      </c>
      <c r="CW59" s="91">
        <f t="shared" si="122"/>
        <v>33.876426603699365</v>
      </c>
      <c r="CX59" s="91">
        <f t="shared" si="123"/>
        <v>33.982683982683966</v>
      </c>
      <c r="CY59" s="91">
        <f t="shared" si="124"/>
        <v>27.088547815820515</v>
      </c>
      <c r="CZ59" s="91">
        <f t="shared" si="125"/>
        <v>40.141676505312823</v>
      </c>
      <c r="DA59" s="91">
        <f t="shared" si="126"/>
        <v>61.246753246753244</v>
      </c>
      <c r="DB59" s="91">
        <f t="shared" si="127"/>
        <v>76.225895316804383</v>
      </c>
      <c r="DC59" s="91">
        <f t="shared" si="128"/>
        <v>68.101534828807544</v>
      </c>
      <c r="DD59" s="91">
        <f t="shared" si="129"/>
        <v>84.220385674931251</v>
      </c>
      <c r="DE59" s="91">
        <f t="shared" si="130"/>
        <v>75.719795356158812</v>
      </c>
      <c r="DF59" s="91">
        <f t="shared" si="116"/>
        <v>75.086973632428112</v>
      </c>
      <c r="DG59" s="91">
        <f t="shared" ca="1" si="116"/>
        <v>87.939053902016767</v>
      </c>
      <c r="DH59" s="91">
        <f t="shared" ca="1" si="116"/>
        <v>103.26549980862649</v>
      </c>
      <c r="DI59" s="91">
        <v>46.594051724196234</v>
      </c>
      <c r="DK59" s="91">
        <v>39.1676275356159</v>
      </c>
      <c r="DL59" s="91">
        <v>44.411693580291228</v>
      </c>
      <c r="DM59" s="95"/>
      <c r="DN59" s="91">
        <v>42.518426757969308</v>
      </c>
      <c r="DO59" s="91">
        <v>47.637429172325866</v>
      </c>
      <c r="DQ59" s="91">
        <v>10.636798243919719</v>
      </c>
      <c r="DR59" s="91">
        <v>31.191812043447463</v>
      </c>
      <c r="DS59" s="91">
        <v>38.529682574899645</v>
      </c>
      <c r="DT59" s="91">
        <v>46.594051724196234</v>
      </c>
      <c r="DV59" s="91">
        <v>38.527256985438804</v>
      </c>
      <c r="DW59" s="91">
        <v>46.588706117276665</v>
      </c>
      <c r="DX59" s="91">
        <v>52.508670017032664</v>
      </c>
      <c r="EA59" s="91">
        <v>6.5688548472255022</v>
      </c>
      <c r="EB59" s="91">
        <v>9.7467052912239271</v>
      </c>
      <c r="EC59" s="91">
        <v>12.864462481700118</v>
      </c>
      <c r="ED59" s="91">
        <v>38.527256985438804</v>
      </c>
      <c r="EE59" s="91">
        <v>46.325030399055485</v>
      </c>
      <c r="EF59" s="91">
        <v>51.453967144147974</v>
      </c>
      <c r="EJ59" s="91">
        <v>7.2471259386068487</v>
      </c>
      <c r="EK59" s="91">
        <v>15.174282955529302</v>
      </c>
      <c r="EL59" s="91">
        <v>35.775206611570248</v>
      </c>
      <c r="EM59" s="91">
        <v>43.568776824872096</v>
      </c>
      <c r="EN59" s="91">
        <v>49.879783751782767</v>
      </c>
      <c r="EP59" s="91">
        <v>9.8762691853600586</v>
      </c>
      <c r="EQ59" s="91">
        <v>29.603935458480915</v>
      </c>
      <c r="ER59" s="91">
        <v>39.076431955922857</v>
      </c>
      <c r="ES59" s="91">
        <v>47.432305299343561</v>
      </c>
      <c r="EV59" s="91">
        <v>8.6490868634395888</v>
      </c>
      <c r="EW59" s="91">
        <v>9.2899919716647013</v>
      </c>
      <c r="EX59" s="91">
        <v>11.469320543093268</v>
      </c>
      <c r="EY59" s="91">
        <v>12.524045218417944</v>
      </c>
      <c r="EZ59" s="91">
        <v>39.933223140495862</v>
      </c>
      <c r="FA59" s="91">
        <v>46.382990948445489</v>
      </c>
      <c r="FD59" s="91">
        <v>8.5556485478158244</v>
      </c>
      <c r="FE59" s="91">
        <v>11.469320543093268</v>
      </c>
      <c r="FF59" s="91">
        <v>12.507112750885472</v>
      </c>
      <c r="FG59" s="91">
        <v>38.052136953955134</v>
      </c>
      <c r="FH59" s="91">
        <v>47.379456906729644</v>
      </c>
      <c r="FK59" s="91">
        <v>38.721951987406534</v>
      </c>
      <c r="FL59" s="91">
        <v>46.45394726485636</v>
      </c>
      <c r="FO59" s="91">
        <v>10.842237685950412</v>
      </c>
      <c r="FP59" s="91">
        <v>13.539252511609583</v>
      </c>
      <c r="FQ59" s="91">
        <v>37.234933723730812</v>
      </c>
      <c r="FR59" s="91">
        <v>45.264533139456894</v>
      </c>
      <c r="FU59" s="91">
        <v>7.9723905942542013</v>
      </c>
      <c r="FV59" s="91">
        <v>33.959246162927982</v>
      </c>
      <c r="FW59" s="91">
        <v>21.194993463990563</v>
      </c>
      <c r="FX59" s="91">
        <v>34.193023885163342</v>
      </c>
      <c r="FY59" s="91">
        <v>39.620869012719851</v>
      </c>
      <c r="GA59" s="91">
        <v>25.24393435655254</v>
      </c>
      <c r="GB59" s="91">
        <v>40.285932731208177</v>
      </c>
      <c r="GC59" s="91">
        <v>46.955166122528141</v>
      </c>
      <c r="GF59" s="91"/>
      <c r="GG59" s="91"/>
      <c r="GH59" s="91"/>
      <c r="GI59" s="91">
        <v>35.153908461235737</v>
      </c>
      <c r="GJ59" s="91">
        <v>49.536422201101935</v>
      </c>
      <c r="GK59" s="91">
        <v>55.207420811656519</v>
      </c>
      <c r="GN59" s="91">
        <v>20.021341794569068</v>
      </c>
      <c r="GO59" s="91"/>
      <c r="GP59" s="91">
        <v>47.847779594647776</v>
      </c>
      <c r="GQ59" s="91">
        <v>53.052296702872901</v>
      </c>
      <c r="GR59" s="91">
        <v>59.07836770895743</v>
      </c>
      <c r="GV59" s="91"/>
      <c r="GW59" s="91">
        <v>61.598670051160973</v>
      </c>
      <c r="GX59" s="91">
        <v>51.025921537190079</v>
      </c>
      <c r="GY59" s="91">
        <v>65.942752614101522</v>
      </c>
      <c r="HC59" s="91"/>
      <c r="HD59" s="91">
        <v>74.874473465171192</v>
      </c>
      <c r="HE59" s="91">
        <v>75.273726543675735</v>
      </c>
      <c r="HF59" s="91">
        <v>82.717482356557596</v>
      </c>
      <c r="HI59" s="91"/>
      <c r="HJ59" s="91"/>
      <c r="HK59" s="91"/>
      <c r="HL59" s="91"/>
      <c r="HM59" s="91">
        <v>67.203125183785914</v>
      </c>
      <c r="HN59" s="91">
        <v>73.235941098937445</v>
      </c>
      <c r="HO59" s="91">
        <v>77.576629584563563</v>
      </c>
      <c r="HR59" s="91"/>
      <c r="HS59" s="91"/>
      <c r="HT59" s="91"/>
      <c r="HU59" s="91">
        <v>67.203125183785914</v>
      </c>
      <c r="HV59" s="91">
        <v>82.031827194805189</v>
      </c>
      <c r="HW59" s="91">
        <v>88.26363119104289</v>
      </c>
      <c r="HZ59" s="91"/>
      <c r="IA59" s="91">
        <v>60.911056872097596</v>
      </c>
      <c r="IB59" s="91">
        <v>73.974420841558455</v>
      </c>
      <c r="IC59" s="91">
        <v>83.942057845855985</v>
      </c>
      <c r="IE59" s="91"/>
      <c r="IF59" s="91">
        <v>59.412365871704054</v>
      </c>
      <c r="IG59" s="91">
        <v>77.620791186462014</v>
      </c>
      <c r="IH59" s="91">
        <v>89.415424975364033</v>
      </c>
      <c r="IK59" s="91">
        <v>77.381987565840205</v>
      </c>
      <c r="IL59" s="91">
        <v>89.176621354742224</v>
      </c>
      <c r="IO59" s="91">
        <v>90.930371308933488</v>
      </c>
      <c r="IP59" s="91">
        <v>112.36213120352619</v>
      </c>
      <c r="IS59" s="97">
        <v>0</v>
      </c>
      <c r="IT59" s="97">
        <v>0</v>
      </c>
      <c r="IU59" s="97">
        <v>0</v>
      </c>
      <c r="IX59" s="91">
        <v>27.081131511811012</v>
      </c>
      <c r="IY59" s="91">
        <v>83.339659205037378</v>
      </c>
      <c r="IZ59" s="91">
        <v>114.25417496985438</v>
      </c>
      <c r="JA59" s="91">
        <v>134.15178639283431</v>
      </c>
      <c r="JD59" s="91">
        <v>120.12433674144037</v>
      </c>
      <c r="JE59" s="91">
        <v>144.7891164250295</v>
      </c>
      <c r="JH59" s="91">
        <v>108.49929547107438</v>
      </c>
      <c r="JI59" s="91">
        <v>133.07392590838251</v>
      </c>
      <c r="JJ59" s="91">
        <v>153.34102909806529</v>
      </c>
      <c r="JM59" s="91">
        <v>126.34332034691852</v>
      </c>
      <c r="JN59" s="91">
        <v>145.58850036460319</v>
      </c>
      <c r="JQ59" s="91">
        <v>75.819618407713506</v>
      </c>
      <c r="JR59" s="91">
        <v>92.94236566756399</v>
      </c>
      <c r="JS59" s="91">
        <v>108.26133497683436</v>
      </c>
      <c r="JV59" s="91">
        <v>91.284809970877589</v>
      </c>
      <c r="JW59" s="91">
        <v>106.42546557405748</v>
      </c>
      <c r="JY59" s="91">
        <v>94.007154005509634</v>
      </c>
      <c r="JZ59" s="91">
        <v>109.61308295279025</v>
      </c>
      <c r="KB59" s="91">
        <v>75.66050868162138</v>
      </c>
      <c r="KC59" s="91">
        <v>96.399519556552534</v>
      </c>
      <c r="KD59" s="91">
        <v>109.21049252615195</v>
      </c>
    </row>
    <row r="60" spans="1:290" x14ac:dyDescent="0.25">
      <c r="A60" s="226" t="e">
        <f>+B53/(B51+B52)</f>
        <v>#VALUE!</v>
      </c>
      <c r="B60" s="11" t="s">
        <v>183</v>
      </c>
      <c r="C60" s="23"/>
      <c r="D60" s="23"/>
      <c r="E60" s="23"/>
      <c r="F60" s="23"/>
      <c r="G60" s="23"/>
      <c r="H60" s="97" t="e">
        <f>H53/(H52+H51)</f>
        <v>#DIV/0!</v>
      </c>
      <c r="I60" s="23"/>
      <c r="J60" s="23"/>
      <c r="K60" s="23"/>
      <c r="L60" s="23"/>
      <c r="M60" s="97">
        <f>M53/(M52+M51)</f>
        <v>0</v>
      </c>
      <c r="N60" s="23"/>
      <c r="O60" s="23"/>
      <c r="P60" s="23"/>
      <c r="Q60" s="23"/>
      <c r="R60" s="97">
        <f>R53/(R52+R51)</f>
        <v>0</v>
      </c>
      <c r="S60" s="23"/>
      <c r="T60" s="93"/>
      <c r="U60" s="93"/>
      <c r="V60" s="93"/>
      <c r="W60" s="97">
        <f>W53/(W52+W51)</f>
        <v>0</v>
      </c>
      <c r="X60" s="23"/>
      <c r="Y60" s="23"/>
      <c r="Z60" s="23"/>
      <c r="AA60" s="23"/>
      <c r="AB60" s="97">
        <f>AB53/(AB52+AB51)</f>
        <v>0.4937760135655927</v>
      </c>
      <c r="AC60" s="23"/>
      <c r="AD60" s="23"/>
      <c r="AE60" s="23"/>
      <c r="AF60" s="23"/>
      <c r="AG60" s="97">
        <f>AG53/(AG52+AG51)</f>
        <v>0.35484643131298954</v>
      </c>
      <c r="AH60" s="23"/>
      <c r="AI60" s="23"/>
      <c r="AJ60" s="23"/>
      <c r="AK60" s="97">
        <f>AK53/(AK52+AK51)</f>
        <v>0.26076038295677906</v>
      </c>
      <c r="AL60" s="23"/>
      <c r="AM60" s="23"/>
      <c r="AN60" s="23"/>
      <c r="AO60" s="23"/>
      <c r="AP60" s="97">
        <f>AP53/(AP52+AP51)</f>
        <v>0.17691600028306559</v>
      </c>
      <c r="AQ60" s="23"/>
      <c r="AR60" s="23"/>
      <c r="AS60" s="23"/>
      <c r="AT60" s="23"/>
      <c r="AU60" s="97">
        <f>AU53/(AU52+AU51)</f>
        <v>0.14821890337220961</v>
      </c>
      <c r="AV60" s="93"/>
      <c r="AW60" s="93"/>
      <c r="AX60" s="93"/>
      <c r="AY60" s="93"/>
      <c r="AZ60" s="97">
        <f t="shared" ref="AZ60:BE60" si="140">AZ53/(AZ52+AZ51)</f>
        <v>7.5209961141520079E-2</v>
      </c>
      <c r="BA60" s="93">
        <f t="shared" si="140"/>
        <v>0</v>
      </c>
      <c r="BB60" s="93">
        <f t="shared" si="140"/>
        <v>0</v>
      </c>
      <c r="BC60" s="93">
        <f t="shared" si="140"/>
        <v>8.776072412436049</v>
      </c>
      <c r="BD60" s="93">
        <f t="shared" si="140"/>
        <v>0</v>
      </c>
      <c r="BE60" s="97">
        <f t="shared" si="140"/>
        <v>0.1817361654703939</v>
      </c>
      <c r="BF60" s="93"/>
      <c r="BG60" s="93"/>
      <c r="BH60" s="93"/>
      <c r="BI60" s="93"/>
      <c r="BJ60" s="97">
        <f>BJ53/(BJ52+BJ51)</f>
        <v>0</v>
      </c>
      <c r="BK60" s="93"/>
      <c r="BL60" s="93"/>
      <c r="BM60" s="93"/>
      <c r="BN60" s="93"/>
      <c r="BO60" s="97">
        <f>BO53/(BO52+BO51)</f>
        <v>0</v>
      </c>
      <c r="BP60" s="93"/>
      <c r="BQ60" s="93"/>
      <c r="BR60" s="93"/>
      <c r="BS60" s="93"/>
      <c r="BT60" s="97">
        <f>BT53/(BT52+BT51)</f>
        <v>0</v>
      </c>
      <c r="BU60" s="93"/>
      <c r="BV60" s="93"/>
      <c r="BW60" s="93"/>
      <c r="BX60" s="93"/>
      <c r="BY60" s="97">
        <f>BY53/(BY52+BY51)</f>
        <v>0</v>
      </c>
      <c r="BZ60" s="93"/>
      <c r="CA60" s="93"/>
      <c r="CB60" s="93"/>
      <c r="CC60" s="93"/>
      <c r="CD60" s="97">
        <f>CD53/(CD52+CD51)</f>
        <v>0</v>
      </c>
      <c r="CE60" s="93"/>
      <c r="CF60" s="93"/>
      <c r="CG60" s="93"/>
      <c r="CH60" s="93"/>
      <c r="CI60" s="97">
        <f t="shared" ref="CI60:CN60" si="141">CI53/(CI52+CI51)</f>
        <v>0</v>
      </c>
      <c r="CJ60" s="97">
        <f t="shared" ca="1" si="141"/>
        <v>0</v>
      </c>
      <c r="CK60" s="97">
        <f t="shared" ca="1" si="141"/>
        <v>0</v>
      </c>
      <c r="CL60" s="97">
        <f t="shared" ca="1" si="141"/>
        <v>0</v>
      </c>
      <c r="CM60" s="97">
        <f t="shared" ca="1" si="141"/>
        <v>0</v>
      </c>
      <c r="CN60" s="97">
        <f t="shared" ca="1" si="141"/>
        <v>0</v>
      </c>
      <c r="CO60" s="98"/>
      <c r="CP60" s="98"/>
      <c r="CQ60" s="6"/>
      <c r="CR60" s="30">
        <f ca="1">CR59*1.05</f>
        <v>92.336006597117603</v>
      </c>
      <c r="CS60" s="30">
        <f ca="1">$CR60*CS$57</f>
        <v>2308.4001649279398</v>
      </c>
      <c r="CT60" s="97">
        <f t="shared" si="119"/>
        <v>0.4937760135655927</v>
      </c>
      <c r="CU60" s="97">
        <f t="shared" si="120"/>
        <v>0.35484643131298954</v>
      </c>
      <c r="CV60" s="97">
        <f t="shared" si="121"/>
        <v>0.26076038295677906</v>
      </c>
      <c r="CW60" s="97">
        <f t="shared" si="122"/>
        <v>0.17691600028306559</v>
      </c>
      <c r="CX60" s="97">
        <f t="shared" si="123"/>
        <v>0.14821890337220961</v>
      </c>
      <c r="CY60" s="97">
        <f t="shared" si="124"/>
        <v>7.5209961141520079E-2</v>
      </c>
      <c r="CZ60" s="97">
        <f t="shared" si="125"/>
        <v>0.1817361654703939</v>
      </c>
      <c r="DA60" s="97">
        <f t="shared" si="126"/>
        <v>0</v>
      </c>
      <c r="DB60" s="97">
        <f t="shared" si="127"/>
        <v>0</v>
      </c>
      <c r="DC60" s="97">
        <f t="shared" si="128"/>
        <v>0</v>
      </c>
      <c r="DD60" s="97">
        <f t="shared" si="129"/>
        <v>0</v>
      </c>
      <c r="DE60" s="97">
        <f t="shared" si="130"/>
        <v>0</v>
      </c>
      <c r="DF60" s="97">
        <f t="shared" si="116"/>
        <v>0</v>
      </c>
      <c r="DG60" s="97">
        <f t="shared" ca="1" si="116"/>
        <v>0</v>
      </c>
      <c r="DH60" s="97">
        <f t="shared" ca="1" si="116"/>
        <v>0</v>
      </c>
      <c r="DI60" s="97">
        <v>7.96851175975683E-2</v>
      </c>
      <c r="DK60" s="97">
        <v>0.12694133997894044</v>
      </c>
      <c r="DL60" s="97">
        <v>8.7728863726575596E-2</v>
      </c>
      <c r="DM60" s="6"/>
      <c r="DN60" s="97">
        <v>0.12544985461179275</v>
      </c>
      <c r="DO60" s="97">
        <v>8.5995370836589119E-2</v>
      </c>
      <c r="DQ60" s="23"/>
      <c r="DR60" s="97">
        <v>0.13063831133103809</v>
      </c>
      <c r="DS60" s="97">
        <v>9.162055055354433E-2</v>
      </c>
      <c r="DT60" s="97">
        <v>7.9728795837064603E-2</v>
      </c>
      <c r="DV60" s="97">
        <v>9.2416366561459254E-2</v>
      </c>
      <c r="DW60" s="97">
        <v>8.0331961510824917E-2</v>
      </c>
      <c r="DX60" s="97">
        <v>7.0013632667455888E-2</v>
      </c>
      <c r="EA60" s="93"/>
      <c r="EB60" s="93"/>
      <c r="EC60" s="93"/>
      <c r="ED60" s="97">
        <v>9.2416366561459254E-2</v>
      </c>
      <c r="EE60" s="97">
        <v>8.0391455866580599E-2</v>
      </c>
      <c r="EF60" s="97">
        <v>7.0240157382556359E-2</v>
      </c>
      <c r="EJ60" s="93"/>
      <c r="EK60" s="93"/>
      <c r="EL60" s="97">
        <v>9.1506934830179382E-2</v>
      </c>
      <c r="EM60" s="97">
        <v>8.0318884597544576E-2</v>
      </c>
      <c r="EN60" s="97">
        <v>7.0456724605572646E-2</v>
      </c>
      <c r="EP60" s="93"/>
      <c r="EQ60" s="97">
        <v>9.3348743343884544E-2</v>
      </c>
      <c r="ER60" s="97">
        <v>8.2796544793908106E-2</v>
      </c>
      <c r="ES60" s="97">
        <v>7.2806570234755896E-2</v>
      </c>
      <c r="EV60" s="93">
        <v>0</v>
      </c>
      <c r="EW60" s="93">
        <v>0</v>
      </c>
      <c r="EX60" s="93">
        <v>0</v>
      </c>
      <c r="EY60" s="93">
        <v>0</v>
      </c>
      <c r="EZ60" s="97">
        <v>8.2202589448973767E-2</v>
      </c>
      <c r="FA60" s="97">
        <v>7.2539300319458544E-2</v>
      </c>
      <c r="FD60" s="93">
        <v>0</v>
      </c>
      <c r="FE60" s="93">
        <v>0</v>
      </c>
      <c r="FF60" s="93">
        <v>0</v>
      </c>
      <c r="FG60" s="97">
        <v>8.2649108227279874E-2</v>
      </c>
      <c r="FH60" s="97">
        <v>7.2702299619539418E-2</v>
      </c>
      <c r="FK60" s="97">
        <v>8.2489557275741462E-2</v>
      </c>
      <c r="FL60" s="97">
        <v>7.2749550226815105E-2</v>
      </c>
      <c r="FO60" s="93">
        <v>0</v>
      </c>
      <c r="FP60" s="93">
        <v>0</v>
      </c>
      <c r="FQ60" s="97">
        <v>8.2844605112340208E-2</v>
      </c>
      <c r="FR60" s="97">
        <v>7.3247847856916959E-2</v>
      </c>
      <c r="FU60" s="93">
        <v>0</v>
      </c>
      <c r="FV60" s="97">
        <v>8.363760966243923E-2</v>
      </c>
      <c r="FW60" s="97">
        <v>7.8759567125928728E-2</v>
      </c>
      <c r="FX60" s="97">
        <v>7.1986302257920451E-2</v>
      </c>
      <c r="FY60" s="97">
        <v>6.5462868493028306E-2</v>
      </c>
      <c r="GA60" s="97">
        <v>0</v>
      </c>
      <c r="GB60" s="97">
        <v>0</v>
      </c>
      <c r="GC60" s="97">
        <v>0</v>
      </c>
      <c r="GF60" s="93"/>
      <c r="GG60" s="93"/>
      <c r="GH60" s="93"/>
      <c r="GI60" s="97">
        <v>0</v>
      </c>
      <c r="GJ60" s="97">
        <v>0</v>
      </c>
      <c r="GK60" s="97">
        <v>0</v>
      </c>
      <c r="GN60" s="93"/>
      <c r="GO60" s="93"/>
      <c r="GP60" s="97">
        <v>0</v>
      </c>
      <c r="GQ60" s="97">
        <v>0</v>
      </c>
      <c r="GR60" s="97">
        <v>0</v>
      </c>
      <c r="GV60" s="93"/>
      <c r="GW60" s="97">
        <v>0</v>
      </c>
      <c r="GX60" s="97">
        <v>0</v>
      </c>
      <c r="GY60" s="97">
        <v>0</v>
      </c>
      <c r="HC60" s="97"/>
      <c r="HD60" s="97">
        <v>0</v>
      </c>
      <c r="HE60" s="97">
        <v>0</v>
      </c>
      <c r="HF60" s="97">
        <v>0</v>
      </c>
      <c r="HI60" s="93"/>
      <c r="HJ60" s="93"/>
      <c r="HK60" s="93"/>
      <c r="HL60" s="93"/>
      <c r="HM60" s="97">
        <v>0</v>
      </c>
      <c r="HN60" s="97">
        <v>0</v>
      </c>
      <c r="HO60" s="97">
        <v>0</v>
      </c>
      <c r="HR60" s="93"/>
      <c r="HS60" s="93"/>
      <c r="HT60" s="93"/>
      <c r="HU60" s="97">
        <v>0</v>
      </c>
      <c r="HV60" s="97">
        <v>0</v>
      </c>
      <c r="HW60" s="97">
        <v>0</v>
      </c>
      <c r="HZ60" s="93"/>
      <c r="IA60" s="97">
        <v>0</v>
      </c>
      <c r="IB60" s="97">
        <v>0</v>
      </c>
      <c r="IC60" s="97">
        <v>0</v>
      </c>
      <c r="IE60" s="93"/>
      <c r="IF60" s="97">
        <v>0</v>
      </c>
      <c r="IG60" s="97">
        <v>0</v>
      </c>
      <c r="IH60" s="97">
        <v>0</v>
      </c>
      <c r="IK60" s="97">
        <v>0</v>
      </c>
      <c r="IL60" s="97">
        <v>0</v>
      </c>
      <c r="IO60" s="97">
        <v>0</v>
      </c>
      <c r="IP60" s="97">
        <v>0</v>
      </c>
      <c r="IS60" s="88">
        <v>0.2130374763282574</v>
      </c>
      <c r="IT60" s="88">
        <v>0.23609981616168912</v>
      </c>
      <c r="IU60" s="88">
        <v>0.23240224909929719</v>
      </c>
      <c r="IX60" s="97"/>
      <c r="IY60" s="97">
        <v>0</v>
      </c>
      <c r="IZ60" s="97">
        <v>0</v>
      </c>
      <c r="JA60" s="97">
        <v>0</v>
      </c>
      <c r="JD60" s="97">
        <v>0</v>
      </c>
      <c r="JE60" s="97">
        <v>0</v>
      </c>
      <c r="JH60" s="97">
        <v>0</v>
      </c>
      <c r="JI60" s="97">
        <v>0</v>
      </c>
      <c r="JJ60" s="97">
        <v>0</v>
      </c>
      <c r="JM60" s="97">
        <v>0</v>
      </c>
      <c r="JN60" s="97">
        <v>0</v>
      </c>
      <c r="JQ60" s="97">
        <v>0</v>
      </c>
      <c r="JR60" s="97">
        <v>0</v>
      </c>
      <c r="JS60" s="97">
        <v>0</v>
      </c>
      <c r="JV60" s="97">
        <v>0</v>
      </c>
      <c r="JW60" s="97">
        <v>0</v>
      </c>
      <c r="JY60" s="97">
        <v>0</v>
      </c>
      <c r="JZ60" s="97">
        <v>0</v>
      </c>
      <c r="KB60" s="97">
        <v>0</v>
      </c>
      <c r="KC60" s="97">
        <v>0</v>
      </c>
      <c r="KD60" s="97">
        <v>0</v>
      </c>
    </row>
    <row r="61" spans="1:290" s="60" customFormat="1" x14ac:dyDescent="0.25">
      <c r="A61" s="228" t="e">
        <f>+B49/(B51+B52)</f>
        <v>#VALUE!</v>
      </c>
      <c r="B61" s="34" t="s">
        <v>184</v>
      </c>
      <c r="C61" s="99"/>
      <c r="D61" s="99"/>
      <c r="E61" s="99"/>
      <c r="F61" s="99"/>
      <c r="G61" s="99"/>
      <c r="H61" s="100" t="e">
        <f>H47/(H52+H51)</f>
        <v>#DIV/0!</v>
      </c>
      <c r="I61" s="99"/>
      <c r="J61" s="99"/>
      <c r="K61" s="99"/>
      <c r="L61" s="99"/>
      <c r="M61" s="100">
        <f>M47/(M52+M51)</f>
        <v>0.32878848336200861</v>
      </c>
      <c r="N61" s="99"/>
      <c r="O61" s="99"/>
      <c r="P61" s="99"/>
      <c r="Q61" s="99"/>
      <c r="R61" s="100">
        <f>R47/(R52+R51)</f>
        <v>0.30335461604831765</v>
      </c>
      <c r="S61" s="99"/>
      <c r="T61" s="99"/>
      <c r="U61" s="99"/>
      <c r="V61" s="99"/>
      <c r="W61" s="100">
        <f>W47/(W52+W51)</f>
        <v>0.3235127036572859</v>
      </c>
      <c r="X61" s="99"/>
      <c r="Y61" s="99"/>
      <c r="Z61" s="99"/>
      <c r="AA61" s="99"/>
      <c r="AB61" s="100">
        <f>AB47/(AB52+AB51)</f>
        <v>0.24912440265145677</v>
      </c>
      <c r="AC61" s="99"/>
      <c r="AD61" s="99"/>
      <c r="AE61" s="99"/>
      <c r="AF61" s="99"/>
      <c r="AG61" s="100">
        <f>AG47/(AG52+AG51)</f>
        <v>0.181888057052768</v>
      </c>
      <c r="AH61" s="99"/>
      <c r="AI61" s="99"/>
      <c r="AJ61" s="99"/>
      <c r="AK61" s="100">
        <f>AK47/3*4/(AK52+AK51)</f>
        <v>0.23097787510307519</v>
      </c>
      <c r="AL61" s="99"/>
      <c r="AM61" s="99"/>
      <c r="AN61" s="99"/>
      <c r="AO61" s="99"/>
      <c r="AP61" s="100">
        <f>AP47/(AP52+AP51)</f>
        <v>0.25381548840610502</v>
      </c>
      <c r="AQ61" s="99"/>
      <c r="AR61" s="99"/>
      <c r="AS61" s="99"/>
      <c r="AT61" s="99"/>
      <c r="AU61" s="100">
        <f>AU47/(AU52+AU51)</f>
        <v>0.22784843527362908</v>
      </c>
      <c r="AV61" s="101"/>
      <c r="AW61" s="101"/>
      <c r="AX61" s="101"/>
      <c r="AY61" s="101"/>
      <c r="AZ61" s="100">
        <f t="shared" ref="AZ61:BE61" si="142">AZ47/(AZ52+AZ51)</f>
        <v>0.15977938411398471</v>
      </c>
      <c r="BA61" s="101">
        <f t="shared" si="142"/>
        <v>3.4286894923258591</v>
      </c>
      <c r="BB61" s="101">
        <f t="shared" si="142"/>
        <v>5.3369433342849083E-2</v>
      </c>
      <c r="BC61" s="101">
        <f t="shared" si="142"/>
        <v>4.8559622195985863</v>
      </c>
      <c r="BD61" s="101">
        <f t="shared" si="142"/>
        <v>6.2861078315623811</v>
      </c>
      <c r="BE61" s="100">
        <f t="shared" si="142"/>
        <v>0.22554495641675376</v>
      </c>
      <c r="BF61" s="101"/>
      <c r="BG61" s="101"/>
      <c r="BH61" s="101"/>
      <c r="BI61" s="101"/>
      <c r="BJ61" s="100">
        <f>BJ47/(BJ52+BJ51)</f>
        <v>0.24553122071431049</v>
      </c>
      <c r="BK61" s="101"/>
      <c r="BL61" s="101"/>
      <c r="BM61" s="101"/>
      <c r="BN61" s="101"/>
      <c r="BO61" s="100">
        <f>BO47/(BO52+BO51)</f>
        <v>0.25191449291949758</v>
      </c>
      <c r="BP61" s="101"/>
      <c r="BQ61" s="101"/>
      <c r="BR61" s="101"/>
      <c r="BS61" s="101"/>
      <c r="BT61" s="100">
        <f>BT47/(BT52+BT51)</f>
        <v>0.19542047145925606</v>
      </c>
      <c r="BU61" s="101"/>
      <c r="BV61" s="101"/>
      <c r="BW61" s="101"/>
      <c r="BX61" s="101"/>
      <c r="BY61" s="100">
        <f>BY47/(BY52+BY51)</f>
        <v>0.20840864470690923</v>
      </c>
      <c r="BZ61" s="101"/>
      <c r="CA61" s="101"/>
      <c r="CB61" s="101"/>
      <c r="CC61" s="101"/>
      <c r="CD61" s="100">
        <f>CD47/(CD52+CD51)</f>
        <v>0.16995588658772029</v>
      </c>
      <c r="CE61" s="101"/>
      <c r="CF61" s="101"/>
      <c r="CG61" s="101"/>
      <c r="CH61" s="101"/>
      <c r="CI61" s="100">
        <f t="shared" ref="CI61:CN61" si="143">CI47/(CI52+CI51)</f>
        <v>0.15463919196896764</v>
      </c>
      <c r="CJ61" s="100">
        <f t="shared" ca="1" si="143"/>
        <v>0.16335656283481936</v>
      </c>
      <c r="CK61" s="100">
        <f t="shared" ca="1" si="143"/>
        <v>0.17202742200085255</v>
      </c>
      <c r="CL61" s="100">
        <f t="shared" ca="1" si="143"/>
        <v>0.18145313553123341</v>
      </c>
      <c r="CM61" s="100">
        <f t="shared" ca="1" si="143"/>
        <v>0.18415641996297455</v>
      </c>
      <c r="CN61" s="100">
        <f t="shared" ca="1" si="143"/>
        <v>0.18056144988642042</v>
      </c>
      <c r="CO61" s="102"/>
      <c r="CP61" s="102"/>
      <c r="CQ61" s="103"/>
      <c r="CR61" s="103"/>
      <c r="CS61" s="58"/>
      <c r="CT61" s="100">
        <f t="shared" si="119"/>
        <v>0.24912440265145677</v>
      </c>
      <c r="CU61" s="100">
        <f t="shared" si="120"/>
        <v>0.181888057052768</v>
      </c>
      <c r="CV61" s="100">
        <f t="shared" si="121"/>
        <v>0.23097787510307519</v>
      </c>
      <c r="CW61" s="100">
        <f t="shared" si="122"/>
        <v>0.25381548840610502</v>
      </c>
      <c r="CX61" s="100">
        <f t="shared" si="123"/>
        <v>0.22784843527362908</v>
      </c>
      <c r="CY61" s="100">
        <f t="shared" si="124"/>
        <v>0.15977938411398471</v>
      </c>
      <c r="CZ61" s="100">
        <f t="shared" si="125"/>
        <v>0.22554495641675376</v>
      </c>
      <c r="DA61" s="100">
        <f t="shared" si="126"/>
        <v>0.24553122071431049</v>
      </c>
      <c r="DB61" s="100">
        <f t="shared" si="127"/>
        <v>0.25191449291949758</v>
      </c>
      <c r="DC61" s="100">
        <f t="shared" si="128"/>
        <v>0.19542047145925606</v>
      </c>
      <c r="DD61" s="100">
        <f t="shared" si="129"/>
        <v>0.20840864470690923</v>
      </c>
      <c r="DE61" s="100">
        <f t="shared" si="130"/>
        <v>0.16995588658772029</v>
      </c>
      <c r="DF61" s="100">
        <f t="shared" si="116"/>
        <v>0.15463919196896764</v>
      </c>
      <c r="DG61" s="100">
        <f t="shared" ca="1" si="116"/>
        <v>0.16335656283481936</v>
      </c>
      <c r="DH61" s="100">
        <f t="shared" ca="1" si="116"/>
        <v>0.17202742200085255</v>
      </c>
      <c r="DI61" s="100">
        <v>0.23585895449012428</v>
      </c>
      <c r="DK61" s="100">
        <v>0.2526765888793534</v>
      </c>
      <c r="DL61" s="100">
        <v>0.2475053054725587</v>
      </c>
      <c r="DM61" s="58"/>
      <c r="DN61" s="100">
        <v>0.27107034572866012</v>
      </c>
      <c r="DO61" s="100">
        <v>0.2602364125580548</v>
      </c>
      <c r="DQ61" s="99"/>
      <c r="DR61" s="100">
        <v>0.20708365607077878</v>
      </c>
      <c r="DS61" s="100">
        <v>0.22425028413377035</v>
      </c>
      <c r="DT61" s="100">
        <v>0.23598823714932288</v>
      </c>
      <c r="DV61" s="100">
        <v>0.22618388184264407</v>
      </c>
      <c r="DW61" s="100">
        <v>0.23774626036608112</v>
      </c>
      <c r="DX61" s="100">
        <v>0.23353840170461362</v>
      </c>
      <c r="EA61" s="101"/>
      <c r="EB61" s="101"/>
      <c r="EC61" s="101"/>
      <c r="ED61" s="100">
        <v>0.22618388184264407</v>
      </c>
      <c r="EE61" s="100">
        <v>0.23657577985549441</v>
      </c>
      <c r="EF61" s="100">
        <v>0.22958791000403075</v>
      </c>
      <c r="EJ61" s="101"/>
      <c r="EK61" s="101"/>
      <c r="EL61" s="100">
        <v>0.20796049023376226</v>
      </c>
      <c r="EM61" s="100">
        <v>0.22229910281261667</v>
      </c>
      <c r="EN61" s="100">
        <v>0.22325011204091921</v>
      </c>
      <c r="EP61" s="101"/>
      <c r="EQ61" s="100">
        <v>0.17555071324507585</v>
      </c>
      <c r="ER61" s="100">
        <v>0.20552837518908709</v>
      </c>
      <c r="ES61" s="100">
        <v>0.21937618475216744</v>
      </c>
      <c r="EV61" s="101">
        <v>4.3245434317197944</v>
      </c>
      <c r="EW61" s="101">
        <v>4.6449959858323506</v>
      </c>
      <c r="EX61" s="101">
        <v>5.7346602715466339</v>
      </c>
      <c r="EY61" s="101">
        <v>6.2620226092089721</v>
      </c>
      <c r="EZ61" s="100">
        <v>0.20852807640539978</v>
      </c>
      <c r="FA61" s="100">
        <v>0.21373556133562804</v>
      </c>
      <c r="FD61" s="101">
        <v>4.2778242739079122</v>
      </c>
      <c r="FE61" s="101">
        <v>5.7346602715466339</v>
      </c>
      <c r="FF61" s="101">
        <v>6.2535563754427361</v>
      </c>
      <c r="FG61" s="100">
        <v>0.19978454865169099</v>
      </c>
      <c r="FH61" s="100">
        <v>0.21881792734889741</v>
      </c>
      <c r="FK61" s="100">
        <v>0.20290880286155619</v>
      </c>
      <c r="FL61" s="100">
        <v>0.21468297697517844</v>
      </c>
      <c r="FO61" s="101">
        <v>5.421118842975206</v>
      </c>
      <c r="FP61" s="101">
        <v>6.7696262558047913</v>
      </c>
      <c r="FQ61" s="100">
        <v>0.19595641751065973</v>
      </c>
      <c r="FR61" s="100">
        <v>0.21061902017221329</v>
      </c>
      <c r="FU61" s="101">
        <v>3.9861952971271006</v>
      </c>
      <c r="FV61" s="100">
        <v>0.1804281628672344</v>
      </c>
      <c r="FW61" s="100">
        <v>0.1060428231270214</v>
      </c>
      <c r="FX61" s="100">
        <v>0.15636229961817624</v>
      </c>
      <c r="FY61" s="100">
        <v>0.16476452174115191</v>
      </c>
      <c r="GA61" s="100">
        <v>0.12820079845290791</v>
      </c>
      <c r="GB61" s="100">
        <v>0.17737434358208898</v>
      </c>
      <c r="GC61" s="100">
        <v>0.17898580886924051</v>
      </c>
      <c r="GF61" s="101"/>
      <c r="GG61" s="101"/>
      <c r="GH61" s="101"/>
      <c r="GI61" s="100">
        <v>0.17203482235274969</v>
      </c>
      <c r="GJ61" s="100">
        <v>0.2051247420591327</v>
      </c>
      <c r="GK61" s="100">
        <v>0.19514838879249685</v>
      </c>
      <c r="GN61" s="101"/>
      <c r="GO61" s="101"/>
      <c r="GP61" s="100">
        <v>0.22373179872287391</v>
      </c>
      <c r="GQ61" s="100">
        <v>0.20915432519319196</v>
      </c>
      <c r="GR61" s="100">
        <v>0.19827602375444836</v>
      </c>
      <c r="GV61" s="101"/>
      <c r="GW61" s="100">
        <v>0.27477891355315831</v>
      </c>
      <c r="GX61" s="100">
        <v>0.19442532495060702</v>
      </c>
      <c r="GY61" s="100">
        <v>0.21142145522819364</v>
      </c>
      <c r="HC61" s="100"/>
      <c r="HD61" s="100">
        <v>0.24804533517144434</v>
      </c>
      <c r="HE61" s="100">
        <v>0.21230801195482701</v>
      </c>
      <c r="HF61" s="100">
        <v>0.20055063234146725</v>
      </c>
      <c r="HI61" s="101"/>
      <c r="HJ61" s="101"/>
      <c r="HK61" s="101"/>
      <c r="HL61" s="101"/>
      <c r="HM61" s="100">
        <v>0.19221291041136168</v>
      </c>
      <c r="HN61" s="100">
        <v>0.18268168262853529</v>
      </c>
      <c r="HO61" s="100">
        <v>0.17042416021177018</v>
      </c>
      <c r="HR61" s="101"/>
      <c r="HS61" s="101"/>
      <c r="HT61" s="101"/>
      <c r="HU61" s="100">
        <v>0.19221291041136168</v>
      </c>
      <c r="HV61" s="100">
        <v>0.20152722245661397</v>
      </c>
      <c r="HW61" s="100">
        <v>0.18826145110299344</v>
      </c>
      <c r="HZ61" s="101"/>
      <c r="IA61" s="100">
        <v>0.17643916746280561</v>
      </c>
      <c r="IB61" s="100">
        <v>0.18633063549396409</v>
      </c>
      <c r="IC61" s="100">
        <v>0.18417811069047582</v>
      </c>
      <c r="IE61" s="101"/>
      <c r="IF61" s="100">
        <v>0.17262252942909723</v>
      </c>
      <c r="IG61" s="100">
        <v>0.19477772304697308</v>
      </c>
      <c r="IH61" s="100">
        <v>0.1939174782142826</v>
      </c>
      <c r="IK61" s="100">
        <v>0.19217956869955974</v>
      </c>
      <c r="IL61" s="100">
        <v>0.19174541926728467</v>
      </c>
      <c r="IO61" s="100">
        <v>0.22063063266182309</v>
      </c>
      <c r="IP61" s="100">
        <v>0.22894044730448268</v>
      </c>
      <c r="IS61" s="104">
        <v>4118</v>
      </c>
      <c r="IT61" s="104">
        <v>4118</v>
      </c>
      <c r="IU61" s="104">
        <v>4118</v>
      </c>
      <c r="IX61" s="100"/>
      <c r="IY61" s="100">
        <v>0.20485384404625731</v>
      </c>
      <c r="IZ61" s="100">
        <v>0.23470315491675198</v>
      </c>
      <c r="JA61" s="100">
        <v>0.23101373164615671</v>
      </c>
      <c r="JD61" s="100">
        <v>0.24605618872328106</v>
      </c>
      <c r="JE61" s="100">
        <v>0.24559210514066102</v>
      </c>
      <c r="JH61" s="100">
        <v>0.22601134767816788</v>
      </c>
      <c r="JI61" s="100">
        <v>0.23215440125071299</v>
      </c>
      <c r="JJ61" s="100">
        <v>0.22531869298785714</v>
      </c>
      <c r="JM61" s="100">
        <v>0.22495126581497979</v>
      </c>
      <c r="JN61" s="100">
        <v>0.21940535416084767</v>
      </c>
      <c r="JQ61" s="100">
        <v>0.16583994554346054</v>
      </c>
      <c r="JR61" s="100">
        <v>0.17796692726062838</v>
      </c>
      <c r="JS61" s="100">
        <v>0.18103051800149655</v>
      </c>
      <c r="JV61" s="100">
        <v>0.1752057264984089</v>
      </c>
      <c r="JW61" s="100">
        <v>0.17871230072335559</v>
      </c>
      <c r="JY61" s="100">
        <v>0.17977327404838062</v>
      </c>
      <c r="JZ61" s="100">
        <v>0.18279516618928116</v>
      </c>
      <c r="KB61" s="100">
        <v>0.14833125849555584</v>
      </c>
      <c r="KC61" s="100">
        <v>0.16690891486815743</v>
      </c>
      <c r="KD61" s="100">
        <v>0.16698724700733919</v>
      </c>
    </row>
    <row r="62" spans="1:290" s="60" customFormat="1" x14ac:dyDescent="0.25">
      <c r="A62" s="228" t="e">
        <f>+B31/(B51+B52+B53)</f>
        <v>#VALUE!</v>
      </c>
      <c r="B62" s="34" t="s">
        <v>185</v>
      </c>
      <c r="C62" s="99"/>
      <c r="D62" s="99"/>
      <c r="E62" s="99"/>
      <c r="F62" s="99"/>
      <c r="G62" s="99"/>
      <c r="H62" s="100"/>
      <c r="I62" s="99"/>
      <c r="J62" s="99"/>
      <c r="K62" s="99"/>
      <c r="L62" s="99"/>
      <c r="M62" s="100"/>
      <c r="N62" s="99"/>
      <c r="O62" s="99"/>
      <c r="P62" s="99"/>
      <c r="Q62" s="99"/>
      <c r="R62" s="100"/>
      <c r="S62" s="99"/>
      <c r="T62" s="99"/>
      <c r="U62" s="99"/>
      <c r="V62" s="99"/>
      <c r="W62" s="100"/>
      <c r="X62" s="99"/>
      <c r="Y62" s="99"/>
      <c r="Z62" s="99"/>
      <c r="AA62" s="99"/>
      <c r="AB62" s="100"/>
      <c r="AC62" s="99"/>
      <c r="AD62" s="99"/>
      <c r="AE62" s="99"/>
      <c r="AF62" s="99"/>
      <c r="AG62" s="100"/>
      <c r="AH62" s="99"/>
      <c r="AI62" s="99"/>
      <c r="AJ62" s="99"/>
      <c r="AK62" s="100"/>
      <c r="AL62" s="99"/>
      <c r="AM62" s="99"/>
      <c r="AN62" s="99"/>
      <c r="AO62" s="99"/>
      <c r="AP62" s="100"/>
      <c r="AQ62" s="99"/>
      <c r="AR62" s="99"/>
      <c r="AS62" s="99"/>
      <c r="AT62" s="99"/>
      <c r="AU62" s="100"/>
      <c r="AV62" s="101"/>
      <c r="AW62" s="101"/>
      <c r="AX62" s="101"/>
      <c r="AY62" s="101"/>
      <c r="AZ62" s="100"/>
      <c r="BA62" s="101"/>
      <c r="BB62" s="101"/>
      <c r="BC62" s="101"/>
      <c r="BD62" s="101"/>
      <c r="BE62" s="100"/>
      <c r="BF62" s="101"/>
      <c r="BG62" s="101"/>
      <c r="BH62" s="101"/>
      <c r="BI62" s="101"/>
      <c r="BJ62" s="100">
        <f>BJ31/AVERAGE(BJ77,BE77)</f>
        <v>0.29837674232282319</v>
      </c>
      <c r="BK62" s="101"/>
      <c r="BL62" s="101"/>
      <c r="BM62" s="101"/>
      <c r="BN62" s="101"/>
      <c r="BO62" s="100">
        <f>BO31/AVERAGE(BO77,BJ77)</f>
        <v>0.28875166284787912</v>
      </c>
      <c r="BP62" s="101"/>
      <c r="BQ62" s="101"/>
      <c r="BR62" s="101"/>
      <c r="BS62" s="101"/>
      <c r="BT62" s="100">
        <f>BT31/AVERAGE(BT77,BO77)</f>
        <v>0.2263545574227897</v>
      </c>
      <c r="BU62" s="101"/>
      <c r="BV62" s="101"/>
      <c r="BW62" s="101"/>
      <c r="BX62" s="101"/>
      <c r="BY62" s="100">
        <f>BY31/AVERAGE(BY77,BT77)</f>
        <v>0.26128844345764463</v>
      </c>
      <c r="BZ62" s="101"/>
      <c r="CA62" s="101"/>
      <c r="CB62" s="101"/>
      <c r="CC62" s="101"/>
      <c r="CD62" s="100">
        <f>CD31/AVERAGE(CD77,BY77)</f>
        <v>0.19900969461724061</v>
      </c>
      <c r="CE62" s="101"/>
      <c r="CF62" s="101"/>
      <c r="CG62" s="101"/>
      <c r="CH62" s="101"/>
      <c r="CI62" s="100">
        <f>CI31/AVERAGE(CI77,CD77)</f>
        <v>0.19019094668573752</v>
      </c>
      <c r="CJ62" s="100">
        <f ca="1">CJ31/AVERAGE(CJ77,CI77)</f>
        <v>0.21150108953613697</v>
      </c>
      <c r="CK62" s="100">
        <f ca="1">CK31/AVERAGE(CK77,CJ77)</f>
        <v>0.2223857771991665</v>
      </c>
      <c r="CL62" s="100">
        <f ca="1">CL31/AVERAGE(CL77,CK77)</f>
        <v>0.23788282005987346</v>
      </c>
      <c r="CM62" s="100">
        <f ca="1">CM31/AVERAGE(CM77,CL77)</f>
        <v>0.24356403823624351</v>
      </c>
      <c r="CN62" s="100">
        <f ca="1">CN31/AVERAGE(CN77,CM77)</f>
        <v>0.23857853871665941</v>
      </c>
      <c r="CO62" s="102"/>
      <c r="CP62" s="102"/>
      <c r="CQ62" s="103"/>
      <c r="CR62" s="103"/>
      <c r="CS62" s="58"/>
      <c r="CT62" s="100"/>
      <c r="CU62" s="100"/>
      <c r="CV62" s="100"/>
      <c r="CW62" s="100"/>
      <c r="CX62" s="100"/>
      <c r="CY62" s="100"/>
      <c r="CZ62" s="100"/>
      <c r="DA62" s="100"/>
      <c r="DB62" s="100"/>
      <c r="DC62" s="100"/>
      <c r="DD62" s="100"/>
      <c r="DE62" s="100"/>
      <c r="DF62" s="100"/>
      <c r="DG62" s="100"/>
      <c r="DH62" s="100"/>
      <c r="DI62" s="100"/>
      <c r="DK62" s="100"/>
      <c r="DL62" s="100"/>
      <c r="DM62" s="58"/>
      <c r="DN62" s="100"/>
      <c r="DO62" s="100"/>
      <c r="DQ62" s="99"/>
      <c r="DR62" s="100"/>
      <c r="DS62" s="100"/>
      <c r="DT62" s="100"/>
      <c r="DV62" s="100"/>
      <c r="DW62" s="100"/>
      <c r="DX62" s="100"/>
      <c r="EA62" s="101"/>
      <c r="EB62" s="101"/>
      <c r="EC62" s="101"/>
      <c r="ED62" s="100"/>
      <c r="EE62" s="100"/>
      <c r="EF62" s="100"/>
      <c r="EJ62" s="101"/>
      <c r="EK62" s="101"/>
      <c r="EL62" s="100"/>
      <c r="EM62" s="100"/>
      <c r="EN62" s="100"/>
      <c r="EP62" s="101"/>
      <c r="EQ62" s="100"/>
      <c r="ER62" s="100"/>
      <c r="ES62" s="100"/>
      <c r="EV62" s="101"/>
      <c r="EW62" s="101"/>
      <c r="EX62" s="101"/>
      <c r="EY62" s="101"/>
      <c r="EZ62" s="100"/>
      <c r="FA62" s="100"/>
      <c r="FD62" s="101"/>
      <c r="FE62" s="101"/>
      <c r="FF62" s="101"/>
      <c r="FG62" s="100"/>
      <c r="FH62" s="100"/>
      <c r="FK62" s="100"/>
      <c r="FL62" s="100"/>
      <c r="FO62" s="101"/>
      <c r="FP62" s="101"/>
      <c r="FQ62" s="100"/>
      <c r="FR62" s="100"/>
      <c r="FU62" s="101"/>
      <c r="FV62" s="100"/>
      <c r="FW62" s="100"/>
      <c r="FX62" s="100"/>
      <c r="FY62" s="100"/>
      <c r="GA62" s="100"/>
      <c r="GB62" s="100"/>
      <c r="GC62" s="100"/>
      <c r="GF62" s="101"/>
      <c r="GG62" s="101"/>
      <c r="GH62" s="101"/>
      <c r="GI62" s="100"/>
      <c r="GJ62" s="100"/>
      <c r="GK62" s="100"/>
      <c r="GN62" s="101"/>
      <c r="GO62" s="101"/>
      <c r="GP62" s="100"/>
      <c r="GQ62" s="100"/>
      <c r="GR62" s="100"/>
      <c r="GV62" s="101"/>
      <c r="GW62" s="100"/>
      <c r="GX62" s="100"/>
      <c r="GY62" s="100"/>
      <c r="HC62" s="100"/>
      <c r="HD62" s="100"/>
      <c r="HE62" s="100"/>
      <c r="HF62" s="100"/>
      <c r="HI62" s="101"/>
      <c r="HJ62" s="101"/>
      <c r="HK62" s="101"/>
      <c r="HL62" s="101"/>
      <c r="HM62" s="100"/>
      <c r="HN62" s="100"/>
      <c r="HO62" s="100"/>
      <c r="HR62" s="101"/>
      <c r="HS62" s="101"/>
      <c r="HT62" s="101"/>
      <c r="HU62" s="100"/>
      <c r="HV62" s="100"/>
      <c r="HW62" s="100"/>
      <c r="HZ62" s="101"/>
      <c r="IA62" s="100"/>
      <c r="IB62" s="100"/>
      <c r="IC62" s="100"/>
      <c r="IE62" s="101"/>
      <c r="IF62" s="100"/>
      <c r="IG62" s="100"/>
      <c r="IH62" s="100"/>
      <c r="IK62" s="100"/>
      <c r="IL62" s="100"/>
      <c r="IO62" s="100"/>
      <c r="IP62" s="100"/>
      <c r="IS62" s="104"/>
      <c r="IT62" s="104"/>
      <c r="IU62" s="104"/>
      <c r="IX62" s="100"/>
      <c r="IY62" s="100"/>
      <c r="IZ62" s="100"/>
      <c r="JA62" s="100"/>
      <c r="JD62" s="100"/>
      <c r="JE62" s="100"/>
      <c r="JH62" s="100"/>
      <c r="JI62" s="100"/>
      <c r="JJ62" s="100"/>
      <c r="JM62" s="100"/>
      <c r="JN62" s="100"/>
      <c r="JQ62" s="100"/>
      <c r="JR62" s="100"/>
      <c r="JS62" s="100"/>
      <c r="JV62" s="100"/>
      <c r="JW62" s="100"/>
      <c r="JY62" s="100"/>
      <c r="JZ62" s="100"/>
      <c r="KB62" s="100"/>
      <c r="KC62" s="100"/>
      <c r="KD62" s="100"/>
    </row>
    <row r="63" spans="1:290" x14ac:dyDescent="0.25">
      <c r="B63" s="11" t="s">
        <v>186</v>
      </c>
      <c r="C63" s="12"/>
      <c r="D63" s="12"/>
      <c r="E63" s="12"/>
      <c r="F63" s="12"/>
      <c r="G63" s="12"/>
      <c r="H63" s="13"/>
      <c r="I63" s="12">
        <v>2</v>
      </c>
      <c r="J63" s="12">
        <v>2</v>
      </c>
      <c r="K63" s="12">
        <v>2</v>
      </c>
      <c r="L63" s="12">
        <v>2</v>
      </c>
      <c r="M63" s="13">
        <f>L63</f>
        <v>2</v>
      </c>
      <c r="N63" s="12">
        <v>2</v>
      </c>
      <c r="O63" s="12">
        <v>2</v>
      </c>
      <c r="P63" s="12">
        <v>2</v>
      </c>
      <c r="Q63" s="12">
        <v>2</v>
      </c>
      <c r="R63" s="13">
        <f>Q63</f>
        <v>2</v>
      </c>
      <c r="S63" s="12">
        <v>2</v>
      </c>
      <c r="T63" s="12">
        <v>2</v>
      </c>
      <c r="U63" s="12">
        <v>2</v>
      </c>
      <c r="V63" s="12">
        <v>2</v>
      </c>
      <c r="W63" s="13">
        <f>V63</f>
        <v>2</v>
      </c>
      <c r="X63" s="12">
        <v>2</v>
      </c>
      <c r="Y63" s="12">
        <v>2</v>
      </c>
      <c r="Z63" s="12">
        <v>2</v>
      </c>
      <c r="AA63" s="12">
        <v>2</v>
      </c>
      <c r="AB63" s="13">
        <f>AA63</f>
        <v>2</v>
      </c>
      <c r="AC63" s="12">
        <v>2</v>
      </c>
      <c r="AD63" s="12">
        <v>2</v>
      </c>
      <c r="AE63" s="12">
        <v>2</v>
      </c>
      <c r="AF63" s="12">
        <v>2</v>
      </c>
      <c r="AG63" s="13">
        <f>AF63</f>
        <v>2</v>
      </c>
      <c r="AH63" s="12">
        <v>2</v>
      </c>
      <c r="AI63" s="12">
        <v>2</v>
      </c>
      <c r="AJ63" s="12">
        <f>AI63</f>
        <v>2</v>
      </c>
      <c r="AK63" s="13">
        <f>AJ63</f>
        <v>2</v>
      </c>
      <c r="AL63" s="12">
        <v>2</v>
      </c>
      <c r="AM63" s="12">
        <v>2</v>
      </c>
      <c r="AN63" s="12">
        <v>2</v>
      </c>
      <c r="AO63" s="12">
        <v>2</v>
      </c>
      <c r="AP63" s="13">
        <f>AK63</f>
        <v>2</v>
      </c>
      <c r="AQ63" s="12">
        <v>2</v>
      </c>
      <c r="AR63" s="12">
        <v>2</v>
      </c>
      <c r="AS63" s="12">
        <v>2</v>
      </c>
      <c r="AT63" s="12">
        <v>2</v>
      </c>
      <c r="AU63" s="13">
        <f>AP63</f>
        <v>2</v>
      </c>
      <c r="AV63" s="12">
        <v>2</v>
      </c>
      <c r="AW63" s="12">
        <v>2</v>
      </c>
      <c r="AX63" s="12">
        <v>2</v>
      </c>
      <c r="AY63" s="12">
        <v>2</v>
      </c>
      <c r="AZ63" s="13">
        <f t="shared" ref="AZ63:BE63" si="144">AU63</f>
        <v>2</v>
      </c>
      <c r="BA63" s="12">
        <f t="shared" si="144"/>
        <v>2</v>
      </c>
      <c r="BB63" s="12">
        <f t="shared" si="144"/>
        <v>2</v>
      </c>
      <c r="BC63" s="12">
        <f t="shared" si="144"/>
        <v>2</v>
      </c>
      <c r="BD63" s="12">
        <f t="shared" si="144"/>
        <v>2</v>
      </c>
      <c r="BE63" s="13">
        <f t="shared" si="144"/>
        <v>2</v>
      </c>
      <c r="BF63" s="12">
        <v>2</v>
      </c>
      <c r="BG63" s="12">
        <v>2</v>
      </c>
      <c r="BH63" s="12">
        <v>2</v>
      </c>
      <c r="BI63" s="12">
        <v>2</v>
      </c>
      <c r="BJ63" s="13">
        <f>BE63</f>
        <v>2</v>
      </c>
      <c r="BK63" s="12">
        <v>2</v>
      </c>
      <c r="BL63" s="12">
        <f>BK63</f>
        <v>2</v>
      </c>
      <c r="BM63" s="12">
        <f>BL63</f>
        <v>2</v>
      </c>
      <c r="BN63" s="12">
        <f>BM63</f>
        <v>2</v>
      </c>
      <c r="BO63" s="13">
        <f>BJ63</f>
        <v>2</v>
      </c>
      <c r="BP63" s="12">
        <v>2</v>
      </c>
      <c r="BQ63" s="12">
        <v>2</v>
      </c>
      <c r="BR63" s="12">
        <f>BQ63</f>
        <v>2</v>
      </c>
      <c r="BS63" s="12">
        <v>2</v>
      </c>
      <c r="BT63" s="13">
        <f>BO63</f>
        <v>2</v>
      </c>
      <c r="BU63" s="12">
        <v>2</v>
      </c>
      <c r="BV63" s="12">
        <f>BU63</f>
        <v>2</v>
      </c>
      <c r="BW63" s="12">
        <f>BV63</f>
        <v>2</v>
      </c>
      <c r="BX63" s="12">
        <f>BW63</f>
        <v>2</v>
      </c>
      <c r="BY63" s="13">
        <f>BT63</f>
        <v>2</v>
      </c>
      <c r="BZ63" s="12"/>
      <c r="CA63" s="12"/>
      <c r="CB63" s="12"/>
      <c r="CC63" s="12"/>
      <c r="CD63" s="13">
        <f>BY63</f>
        <v>2</v>
      </c>
      <c r="CE63" s="12"/>
      <c r="CF63" s="12"/>
      <c r="CG63" s="12"/>
      <c r="CH63" s="12"/>
      <c r="CI63" s="13">
        <f>CD63</f>
        <v>2</v>
      </c>
      <c r="CJ63" s="13">
        <f>CI63</f>
        <v>2</v>
      </c>
      <c r="CK63" s="13">
        <f>CJ63</f>
        <v>2</v>
      </c>
      <c r="CL63" s="13">
        <f>CK63</f>
        <v>2</v>
      </c>
      <c r="CM63" s="13">
        <f>CL63</f>
        <v>2</v>
      </c>
      <c r="CN63" s="13">
        <f>CM63</f>
        <v>2</v>
      </c>
      <c r="CO63" s="15"/>
      <c r="CP63" s="15"/>
      <c r="CQ63" s="6"/>
      <c r="CR63" s="6">
        <f>CI59/JY59-1</f>
        <v>-0.20126319718148933</v>
      </c>
      <c r="CS63" s="6">
        <f ca="1">CJ59/JZ59-1</f>
        <v>-0.19773213622782937</v>
      </c>
      <c r="CT63" s="13">
        <f>AB63</f>
        <v>2</v>
      </c>
      <c r="CU63" s="13">
        <f>AG63</f>
        <v>2</v>
      </c>
      <c r="CV63" s="13">
        <f>AK63</f>
        <v>2</v>
      </c>
      <c r="CW63" s="13">
        <f>AP63</f>
        <v>2</v>
      </c>
      <c r="CX63" s="13">
        <f>AU63</f>
        <v>2</v>
      </c>
      <c r="CY63" s="13">
        <f>AZ63</f>
        <v>2</v>
      </c>
      <c r="CZ63" s="13">
        <f>BE63</f>
        <v>2</v>
      </c>
      <c r="DA63" s="13">
        <f>BJ63</f>
        <v>2</v>
      </c>
      <c r="DB63" s="13">
        <f>BO63</f>
        <v>2</v>
      </c>
      <c r="DC63" s="13">
        <f>BT63</f>
        <v>2</v>
      </c>
      <c r="DD63" s="13">
        <f>BY63</f>
        <v>2</v>
      </c>
      <c r="DE63" s="13">
        <f>CD63</f>
        <v>2</v>
      </c>
      <c r="DF63" s="13">
        <f>CI63</f>
        <v>2</v>
      </c>
      <c r="DG63" s="13">
        <f>CJ63</f>
        <v>2</v>
      </c>
      <c r="DH63" s="13">
        <f>CK63</f>
        <v>2</v>
      </c>
      <c r="DI63" s="13">
        <v>2</v>
      </c>
      <c r="DK63" s="13">
        <v>2</v>
      </c>
      <c r="DL63" s="13">
        <v>2</v>
      </c>
      <c r="DM63" s="6"/>
      <c r="DN63" s="13">
        <v>2</v>
      </c>
      <c r="DO63" s="13">
        <v>2</v>
      </c>
      <c r="DQ63" s="12">
        <v>2</v>
      </c>
      <c r="DR63" s="13">
        <v>2</v>
      </c>
      <c r="DS63" s="13">
        <v>2</v>
      </c>
      <c r="DT63" s="13">
        <v>2</v>
      </c>
      <c r="DV63" s="13">
        <v>2</v>
      </c>
      <c r="DW63" s="13">
        <v>2</v>
      </c>
      <c r="DX63" s="13">
        <v>2</v>
      </c>
      <c r="EA63" s="12">
        <v>2</v>
      </c>
      <c r="EB63" s="12">
        <v>2</v>
      </c>
      <c r="EC63" s="12">
        <v>2</v>
      </c>
      <c r="ED63" s="13">
        <v>2</v>
      </c>
      <c r="EE63" s="13">
        <v>2</v>
      </c>
      <c r="EF63" s="13">
        <v>2</v>
      </c>
      <c r="EJ63" s="12">
        <v>2</v>
      </c>
      <c r="EK63" s="12">
        <v>2</v>
      </c>
      <c r="EL63" s="13">
        <v>2</v>
      </c>
      <c r="EM63" s="13">
        <v>2</v>
      </c>
      <c r="EN63" s="13">
        <v>2</v>
      </c>
      <c r="EP63" s="12">
        <v>2</v>
      </c>
      <c r="EQ63" s="13">
        <v>2</v>
      </c>
      <c r="ER63" s="13">
        <v>2</v>
      </c>
      <c r="ES63" s="13">
        <v>2</v>
      </c>
      <c r="EV63" s="12">
        <v>2</v>
      </c>
      <c r="EW63" s="12">
        <v>2</v>
      </c>
      <c r="EX63" s="12">
        <v>2</v>
      </c>
      <c r="EY63" s="12">
        <v>2</v>
      </c>
      <c r="EZ63" s="13">
        <v>2</v>
      </c>
      <c r="FA63" s="13">
        <v>2</v>
      </c>
      <c r="FD63" s="12">
        <v>2</v>
      </c>
      <c r="FE63" s="12">
        <v>2</v>
      </c>
      <c r="FF63" s="12">
        <v>2</v>
      </c>
      <c r="FG63" s="13">
        <v>2</v>
      </c>
      <c r="FH63" s="13">
        <v>2</v>
      </c>
      <c r="FK63" s="13">
        <v>2</v>
      </c>
      <c r="FL63" s="13">
        <v>2</v>
      </c>
      <c r="FO63" s="12">
        <v>2</v>
      </c>
      <c r="FP63" s="12">
        <v>2</v>
      </c>
      <c r="FQ63" s="13">
        <v>2</v>
      </c>
      <c r="FR63" s="13">
        <v>2</v>
      </c>
      <c r="FU63" s="12">
        <v>2</v>
      </c>
      <c r="FV63" s="13">
        <v>2</v>
      </c>
      <c r="FW63" s="13">
        <v>2</v>
      </c>
      <c r="FX63" s="13">
        <v>2</v>
      </c>
      <c r="FY63" s="13">
        <v>2</v>
      </c>
      <c r="GA63" s="13">
        <v>2</v>
      </c>
      <c r="GB63" s="13">
        <v>2</v>
      </c>
      <c r="GC63" s="13">
        <v>2</v>
      </c>
      <c r="GF63" s="12"/>
      <c r="GG63" s="12"/>
      <c r="GH63" s="12"/>
      <c r="GI63" s="13">
        <v>2</v>
      </c>
      <c r="GJ63" s="13">
        <v>2</v>
      </c>
      <c r="GK63" s="13">
        <v>2</v>
      </c>
      <c r="GN63" s="12">
        <v>2</v>
      </c>
      <c r="GO63" s="12"/>
      <c r="GP63" s="13">
        <v>2</v>
      </c>
      <c r="GQ63" s="13">
        <v>2</v>
      </c>
      <c r="GR63" s="13">
        <v>2</v>
      </c>
      <c r="GV63" s="12"/>
      <c r="GW63" s="13">
        <v>2</v>
      </c>
      <c r="GX63" s="13">
        <v>2</v>
      </c>
      <c r="GY63" s="13">
        <v>2</v>
      </c>
      <c r="HC63" s="13"/>
      <c r="HD63" s="13">
        <v>2</v>
      </c>
      <c r="HE63" s="13">
        <v>2</v>
      </c>
      <c r="HF63" s="13">
        <v>2</v>
      </c>
      <c r="HI63" s="12"/>
      <c r="HJ63" s="12"/>
      <c r="HK63" s="12"/>
      <c r="HL63" s="12"/>
      <c r="HM63" s="13">
        <v>2</v>
      </c>
      <c r="HN63" s="13">
        <v>2</v>
      </c>
      <c r="HO63" s="13">
        <v>2</v>
      </c>
      <c r="HR63" s="12"/>
      <c r="HS63" s="12"/>
      <c r="HT63" s="12"/>
      <c r="HU63" s="13">
        <v>2</v>
      </c>
      <c r="HV63" s="13">
        <v>2</v>
      </c>
      <c r="HW63" s="13">
        <v>2</v>
      </c>
      <c r="HZ63" s="12"/>
      <c r="IA63" s="13">
        <v>2</v>
      </c>
      <c r="IB63" s="13">
        <v>2</v>
      </c>
      <c r="IC63" s="13">
        <v>2</v>
      </c>
      <c r="IE63" s="12"/>
      <c r="IF63" s="13">
        <v>2</v>
      </c>
      <c r="IG63" s="13">
        <v>2</v>
      </c>
      <c r="IH63" s="13">
        <v>2</v>
      </c>
      <c r="IK63" s="13">
        <v>2</v>
      </c>
      <c r="IL63" s="13">
        <v>2</v>
      </c>
      <c r="IO63" s="13">
        <v>2</v>
      </c>
      <c r="IP63" s="13">
        <v>2</v>
      </c>
      <c r="IS63" s="13">
        <v>5178.0998200839995</v>
      </c>
      <c r="IT63" s="13">
        <v>6208.3530346110392</v>
      </c>
      <c r="IU63" s="13">
        <v>7419.5032418375731</v>
      </c>
      <c r="IX63" s="13">
        <v>2</v>
      </c>
      <c r="IY63" s="13">
        <v>2</v>
      </c>
      <c r="IZ63" s="13">
        <v>2</v>
      </c>
      <c r="JA63" s="13">
        <v>2</v>
      </c>
      <c r="JD63" s="13">
        <v>2</v>
      </c>
      <c r="JE63" s="13">
        <v>2</v>
      </c>
      <c r="JH63" s="13">
        <v>2</v>
      </c>
      <c r="JI63" s="13">
        <v>2</v>
      </c>
      <c r="JJ63" s="13">
        <v>2</v>
      </c>
      <c r="JM63" s="13">
        <v>2</v>
      </c>
      <c r="JN63" s="13">
        <v>2</v>
      </c>
      <c r="JQ63" s="13">
        <v>2</v>
      </c>
      <c r="JR63" s="13">
        <v>2</v>
      </c>
      <c r="JS63" s="13">
        <v>2</v>
      </c>
      <c r="JV63" s="13">
        <v>2</v>
      </c>
      <c r="JW63" s="13">
        <v>2</v>
      </c>
      <c r="JY63" s="13">
        <v>2</v>
      </c>
      <c r="JZ63" s="13">
        <v>2</v>
      </c>
      <c r="KB63" s="13">
        <v>2</v>
      </c>
      <c r="KC63" s="13">
        <v>2</v>
      </c>
      <c r="KD63" s="13">
        <v>2</v>
      </c>
    </row>
    <row r="64" spans="1:290" x14ac:dyDescent="0.25">
      <c r="B64" s="11" t="s">
        <v>187</v>
      </c>
      <c r="C64" s="23"/>
      <c r="D64" s="23"/>
      <c r="E64" s="23"/>
      <c r="F64" s="23"/>
      <c r="G64" s="23"/>
      <c r="H64" s="88"/>
      <c r="I64" s="23"/>
      <c r="J64" s="23"/>
      <c r="K64" s="23"/>
      <c r="L64" s="23"/>
      <c r="M64" s="88"/>
      <c r="N64" s="23"/>
      <c r="O64" s="23"/>
      <c r="P64" s="23"/>
      <c r="Q64" s="23"/>
      <c r="R64" s="88"/>
      <c r="S64" s="23"/>
      <c r="T64" s="23"/>
      <c r="U64" s="23"/>
      <c r="V64" s="23"/>
      <c r="W64" s="88"/>
      <c r="X64" s="23"/>
      <c r="Y64" s="23"/>
      <c r="Z64" s="23"/>
      <c r="AA64" s="23"/>
      <c r="AB64" s="88"/>
      <c r="AC64" s="23"/>
      <c r="AD64" s="23"/>
      <c r="AE64" s="23"/>
      <c r="AF64" s="23"/>
      <c r="AG64" s="88"/>
      <c r="AH64" s="23"/>
      <c r="AI64" s="23"/>
      <c r="AJ64" s="23"/>
      <c r="AK64" s="88"/>
      <c r="AL64" s="23"/>
      <c r="AM64" s="23"/>
      <c r="AN64" s="23"/>
      <c r="AO64" s="23"/>
      <c r="AP64" s="88"/>
      <c r="AQ64" s="23"/>
      <c r="AR64" s="23"/>
      <c r="AS64" s="23"/>
      <c r="AT64" s="23"/>
      <c r="AU64" s="88"/>
      <c r="AV64" s="105"/>
      <c r="AW64" s="105"/>
      <c r="AX64" s="105"/>
      <c r="AY64" s="105"/>
      <c r="AZ64" s="88"/>
      <c r="BA64" s="105"/>
      <c r="BB64" s="105"/>
      <c r="BC64" s="105"/>
      <c r="BD64" s="105"/>
      <c r="BE64" s="88"/>
      <c r="BF64" s="105"/>
      <c r="BG64" s="105"/>
      <c r="BH64" s="105"/>
      <c r="BI64" s="105"/>
      <c r="BJ64" s="88"/>
      <c r="BK64" s="105"/>
      <c r="BL64" s="105"/>
      <c r="BM64" s="105"/>
      <c r="BN64" s="105"/>
      <c r="BO64" s="88"/>
      <c r="BP64" s="105"/>
      <c r="BQ64" s="105"/>
      <c r="BR64" s="105"/>
      <c r="BS64" s="105"/>
      <c r="BT64" s="88"/>
      <c r="BU64" s="105"/>
      <c r="BV64" s="105"/>
      <c r="BW64" s="105"/>
      <c r="BX64" s="105"/>
      <c r="BY64" s="88"/>
      <c r="BZ64" s="105"/>
      <c r="CA64" s="105"/>
      <c r="CB64" s="105"/>
      <c r="CC64" s="105"/>
      <c r="CD64" s="88"/>
      <c r="CE64" s="105"/>
      <c r="CF64" s="105"/>
      <c r="CG64" s="105"/>
      <c r="CH64" s="105"/>
      <c r="CI64" s="106">
        <f t="shared" ref="CI64:CN64" si="145">CI51/CI63</f>
        <v>12.705</v>
      </c>
      <c r="CJ64" s="106">
        <f t="shared" si="145"/>
        <v>12.705</v>
      </c>
      <c r="CK64" s="106">
        <f t="shared" si="145"/>
        <v>12.705</v>
      </c>
      <c r="CL64" s="106">
        <f t="shared" si="145"/>
        <v>12.705</v>
      </c>
      <c r="CM64" s="106">
        <f t="shared" si="145"/>
        <v>12.705</v>
      </c>
      <c r="CN64" s="106">
        <f t="shared" si="145"/>
        <v>12.705</v>
      </c>
      <c r="CO64" s="90"/>
      <c r="CP64" s="90"/>
      <c r="CQ64" s="107"/>
      <c r="CR64" s="107"/>
      <c r="CS64" s="6"/>
      <c r="CT64" s="88"/>
      <c r="CU64" s="88"/>
      <c r="CV64" s="88"/>
      <c r="CW64" s="88"/>
      <c r="CX64" s="88"/>
      <c r="CY64" s="88"/>
      <c r="CZ64" s="88"/>
      <c r="DA64" s="88"/>
      <c r="DB64" s="88"/>
      <c r="DC64" s="88"/>
      <c r="DD64" s="88"/>
      <c r="DE64" s="88"/>
      <c r="DF64" s="88"/>
      <c r="DG64" s="88"/>
      <c r="DH64" s="88"/>
      <c r="DI64" s="88"/>
      <c r="DK64" s="88"/>
      <c r="DL64" s="88"/>
      <c r="DM64" s="6"/>
      <c r="DN64" s="88"/>
      <c r="DO64" s="88"/>
      <c r="DQ64" s="23"/>
      <c r="DR64" s="88"/>
      <c r="DS64" s="88"/>
      <c r="DT64" s="88"/>
      <c r="DV64" s="88"/>
      <c r="DW64" s="88"/>
      <c r="DX64" s="88"/>
      <c r="EA64" s="105"/>
      <c r="EB64" s="105"/>
      <c r="EC64" s="105"/>
      <c r="ED64" s="88"/>
      <c r="EE64" s="88"/>
      <c r="EF64" s="88"/>
      <c r="EJ64" s="105"/>
      <c r="EK64" s="105"/>
      <c r="EL64" s="88"/>
      <c r="EM64" s="88"/>
      <c r="EN64" s="88"/>
      <c r="EP64" s="105"/>
      <c r="EQ64" s="88"/>
      <c r="ER64" s="88"/>
      <c r="ES64" s="88"/>
      <c r="EV64" s="105"/>
      <c r="EW64" s="105"/>
      <c r="EX64" s="105"/>
      <c r="EY64" s="105"/>
      <c r="EZ64" s="88"/>
      <c r="FA64" s="88"/>
      <c r="FD64" s="105"/>
      <c r="FE64" s="105"/>
      <c r="FF64" s="105"/>
      <c r="FG64" s="88"/>
      <c r="FH64" s="88"/>
      <c r="FK64" s="88"/>
      <c r="FL64" s="88"/>
      <c r="FO64" s="105"/>
      <c r="FP64" s="105"/>
      <c r="FQ64" s="88"/>
      <c r="FR64" s="88"/>
      <c r="FU64" s="105"/>
      <c r="FV64" s="88"/>
      <c r="FW64" s="88"/>
      <c r="FX64" s="88"/>
      <c r="FY64" s="88"/>
      <c r="GA64" s="88"/>
      <c r="GB64" s="88"/>
      <c r="GC64" s="88"/>
      <c r="GF64" s="105"/>
      <c r="GG64" s="105"/>
      <c r="GH64" s="105"/>
      <c r="GI64" s="88"/>
      <c r="GJ64" s="88"/>
      <c r="GK64" s="88"/>
      <c r="GN64" s="105"/>
      <c r="GO64" s="105"/>
      <c r="GP64" s="88"/>
      <c r="GQ64" s="88"/>
      <c r="GR64" s="88"/>
      <c r="GV64" s="105"/>
      <c r="GW64" s="88"/>
      <c r="GX64" s="88"/>
      <c r="GY64" s="88"/>
      <c r="HC64" s="88"/>
      <c r="HD64" s="88"/>
      <c r="HE64" s="88"/>
      <c r="HF64" s="88"/>
      <c r="HI64" s="105"/>
      <c r="HJ64" s="105"/>
      <c r="HK64" s="105"/>
      <c r="HL64" s="105"/>
      <c r="HM64" s="88"/>
      <c r="HN64" s="88"/>
      <c r="HO64" s="88"/>
      <c r="HR64" s="105"/>
      <c r="HS64" s="105"/>
      <c r="HT64" s="105"/>
      <c r="HU64" s="88"/>
      <c r="HV64" s="88"/>
      <c r="HW64" s="88"/>
      <c r="HZ64" s="105"/>
      <c r="IA64" s="88"/>
      <c r="IB64" s="88"/>
      <c r="IC64" s="88"/>
      <c r="IE64" s="105"/>
      <c r="IF64" s="88"/>
      <c r="IG64" s="88"/>
      <c r="IH64" s="88"/>
      <c r="IK64" s="88"/>
      <c r="IL64" s="88"/>
      <c r="IO64" s="88"/>
      <c r="IP64" s="88"/>
      <c r="IS64" s="108"/>
      <c r="IT64" s="108"/>
      <c r="IU64" s="108"/>
      <c r="IX64" s="88"/>
      <c r="IY64" s="88"/>
      <c r="IZ64" s="88"/>
      <c r="JA64" s="88"/>
      <c r="JD64" s="88"/>
      <c r="JE64" s="88"/>
      <c r="JH64" s="88"/>
      <c r="JI64" s="88"/>
      <c r="JJ64" s="88"/>
      <c r="JM64" s="88"/>
      <c r="JN64" s="88"/>
      <c r="JQ64" s="88"/>
      <c r="JR64" s="88"/>
      <c r="JS64" s="88"/>
      <c r="JV64" s="88"/>
      <c r="JW64" s="88"/>
      <c r="JY64" s="88"/>
      <c r="JZ64" s="88"/>
      <c r="KB64" s="88"/>
      <c r="KC64" s="88"/>
      <c r="KD64" s="88"/>
    </row>
    <row r="65" spans="1:290" x14ac:dyDescent="0.25">
      <c r="B65" s="11" t="s">
        <v>188</v>
      </c>
      <c r="C65" s="23"/>
      <c r="D65" s="23"/>
      <c r="E65" s="23"/>
      <c r="F65" s="23"/>
      <c r="G65" s="23"/>
      <c r="H65" s="88"/>
      <c r="I65" s="23"/>
      <c r="J65" s="23"/>
      <c r="K65" s="23"/>
      <c r="L65" s="23"/>
      <c r="M65" s="88"/>
      <c r="N65" s="23"/>
      <c r="O65" s="23"/>
      <c r="P65" s="23"/>
      <c r="Q65" s="23"/>
      <c r="R65" s="88"/>
      <c r="S65" s="23"/>
      <c r="T65" s="23"/>
      <c r="U65" s="23"/>
      <c r="V65" s="23"/>
      <c r="W65" s="88"/>
      <c r="X65" s="23"/>
      <c r="Y65" s="23"/>
      <c r="Z65" s="23"/>
      <c r="AA65" s="23"/>
      <c r="AB65" s="88"/>
      <c r="AC65" s="23"/>
      <c r="AD65" s="23"/>
      <c r="AE65" s="23"/>
      <c r="AF65" s="23"/>
      <c r="AG65" s="88"/>
      <c r="AH65" s="23"/>
      <c r="AI65" s="23"/>
      <c r="AJ65" s="23"/>
      <c r="AK65" s="108">
        <v>944</v>
      </c>
      <c r="AL65" s="23"/>
      <c r="AM65" s="23"/>
      <c r="AN65" s="23"/>
      <c r="AO65" s="23"/>
      <c r="AP65" s="108">
        <v>1200</v>
      </c>
      <c r="AQ65" s="23"/>
      <c r="AR65" s="23"/>
      <c r="AS65" s="23"/>
      <c r="AT65" s="23"/>
      <c r="AU65" s="108">
        <v>1100</v>
      </c>
      <c r="AV65" s="109"/>
      <c r="AW65" s="109"/>
      <c r="AX65" s="109"/>
      <c r="AY65" s="109"/>
      <c r="AZ65" s="108">
        <v>1020</v>
      </c>
      <c r="BA65" s="109">
        <f>AV65</f>
        <v>0</v>
      </c>
      <c r="BB65" s="109">
        <f>AW65</f>
        <v>0</v>
      </c>
      <c r="BC65" s="109">
        <f>AX65</f>
        <v>0</v>
      </c>
      <c r="BD65" s="109">
        <f>AY65</f>
        <v>0</v>
      </c>
      <c r="BE65" s="108">
        <v>1210</v>
      </c>
      <c r="BF65" s="109"/>
      <c r="BG65" s="109"/>
      <c r="BH65" s="109"/>
      <c r="BI65" s="109"/>
      <c r="BJ65" s="108">
        <v>2150</v>
      </c>
      <c r="BK65" s="109"/>
      <c r="BL65" s="109"/>
      <c r="BM65" s="109"/>
      <c r="BN65" s="109"/>
      <c r="BO65" s="108">
        <v>1950</v>
      </c>
      <c r="BP65" s="109"/>
      <c r="BQ65" s="109"/>
      <c r="BR65" s="109"/>
      <c r="BS65" s="109"/>
      <c r="BT65" s="108">
        <v>3126</v>
      </c>
      <c r="BU65" s="109"/>
      <c r="BV65" s="109"/>
      <c r="BW65" s="109"/>
      <c r="BX65" s="109"/>
      <c r="BY65" s="108">
        <v>6000</v>
      </c>
      <c r="BZ65" s="109"/>
      <c r="CA65" s="109"/>
      <c r="CB65" s="109"/>
      <c r="CC65" s="109"/>
      <c r="CD65" s="108">
        <v>4350</v>
      </c>
      <c r="CE65" s="109"/>
      <c r="CF65" s="109"/>
      <c r="CG65" s="109"/>
      <c r="CH65" s="109"/>
      <c r="CI65" s="108">
        <v>3500</v>
      </c>
      <c r="CJ65" s="110">
        <f>[24]Summary!B4</f>
        <v>3315.6</v>
      </c>
      <c r="CK65" s="110">
        <f>CJ65</f>
        <v>3315.6</v>
      </c>
      <c r="CL65" s="110">
        <f t="shared" ref="CL65:CN65" si="146">CK65</f>
        <v>3315.6</v>
      </c>
      <c r="CM65" s="110">
        <f t="shared" si="146"/>
        <v>3315.6</v>
      </c>
      <c r="CN65" s="110">
        <f t="shared" si="146"/>
        <v>3315.6</v>
      </c>
      <c r="CO65" s="111"/>
      <c r="CP65" s="111"/>
      <c r="CQ65" s="6"/>
      <c r="CR65" s="6" t="s">
        <v>189</v>
      </c>
      <c r="CS65" s="6">
        <v>3270</v>
      </c>
      <c r="CT65" s="108">
        <f t="shared" si="119"/>
        <v>0</v>
      </c>
      <c r="CU65" s="108">
        <f t="shared" si="120"/>
        <v>0</v>
      </c>
      <c r="CV65" s="108">
        <f t="shared" si="121"/>
        <v>944</v>
      </c>
      <c r="CW65" s="108">
        <f t="shared" si="122"/>
        <v>1200</v>
      </c>
      <c r="CX65" s="108">
        <f t="shared" si="123"/>
        <v>1100</v>
      </c>
      <c r="CY65" s="108">
        <f t="shared" si="124"/>
        <v>1020</v>
      </c>
      <c r="CZ65" s="108">
        <f t="shared" si="125"/>
        <v>1210</v>
      </c>
      <c r="DA65" s="108">
        <f t="shared" si="126"/>
        <v>2150</v>
      </c>
      <c r="DB65" s="108">
        <f t="shared" si="127"/>
        <v>1950</v>
      </c>
      <c r="DC65" s="108">
        <f t="shared" si="128"/>
        <v>3126</v>
      </c>
      <c r="DD65" s="108">
        <f t="shared" si="129"/>
        <v>6000</v>
      </c>
      <c r="DE65" s="108">
        <f t="shared" si="130"/>
        <v>4350</v>
      </c>
      <c r="DF65" s="108">
        <f t="shared" si="116"/>
        <v>3500</v>
      </c>
      <c r="DG65" s="108">
        <f t="shared" si="116"/>
        <v>3315.6</v>
      </c>
      <c r="DH65" s="108">
        <f t="shared" si="116"/>
        <v>3315.6</v>
      </c>
      <c r="DI65" s="108">
        <v>1130</v>
      </c>
      <c r="DK65" s="108">
        <v>1130</v>
      </c>
      <c r="DL65" s="108">
        <v>1130</v>
      </c>
      <c r="DM65" s="6"/>
      <c r="DN65" s="108">
        <v>1200</v>
      </c>
      <c r="DO65" s="108">
        <v>1200</v>
      </c>
      <c r="DQ65" s="23"/>
      <c r="DR65" s="108">
        <v>1200</v>
      </c>
      <c r="DS65" s="108">
        <v>1200</v>
      </c>
      <c r="DT65" s="108">
        <v>1200</v>
      </c>
      <c r="DV65" s="108">
        <v>1100</v>
      </c>
      <c r="DW65" s="108">
        <v>1100</v>
      </c>
      <c r="DX65" s="108">
        <v>1100</v>
      </c>
      <c r="EA65" s="109"/>
      <c r="EB65" s="109"/>
      <c r="EC65" s="109"/>
      <c r="ED65" s="108">
        <v>964</v>
      </c>
      <c r="EE65" s="108">
        <v>964</v>
      </c>
      <c r="EF65" s="108">
        <v>964</v>
      </c>
      <c r="EJ65" s="109"/>
      <c r="EK65" s="109"/>
      <c r="EL65" s="108">
        <v>1042</v>
      </c>
      <c r="EM65" s="108">
        <v>1042</v>
      </c>
      <c r="EN65" s="108">
        <v>1042</v>
      </c>
      <c r="EP65" s="109"/>
      <c r="EQ65" s="108">
        <v>1070</v>
      </c>
      <c r="ER65" s="108">
        <v>1070</v>
      </c>
      <c r="ES65" s="108">
        <v>1070</v>
      </c>
      <c r="EV65" s="109">
        <v>0</v>
      </c>
      <c r="EW65" s="109">
        <v>0</v>
      </c>
      <c r="EX65" s="109">
        <v>0</v>
      </c>
      <c r="EY65" s="109">
        <v>0</v>
      </c>
      <c r="EZ65" s="108">
        <v>1120</v>
      </c>
      <c r="FA65" s="108">
        <v>1120</v>
      </c>
      <c r="FD65" s="109">
        <v>0</v>
      </c>
      <c r="FE65" s="109">
        <v>0</v>
      </c>
      <c r="FF65" s="109">
        <v>0</v>
      </c>
      <c r="FG65" s="108">
        <v>1235</v>
      </c>
      <c r="FH65" s="108">
        <v>1235</v>
      </c>
      <c r="FK65" s="108">
        <v>1173</v>
      </c>
      <c r="FL65" s="108">
        <v>1173</v>
      </c>
      <c r="FO65" s="109">
        <v>0</v>
      </c>
      <c r="FP65" s="109">
        <v>0</v>
      </c>
      <c r="FQ65" s="108">
        <v>1300</v>
      </c>
      <c r="FR65" s="108">
        <v>1300</v>
      </c>
      <c r="FU65" s="109">
        <v>0</v>
      </c>
      <c r="FV65" s="108">
        <v>990</v>
      </c>
      <c r="FW65" s="108">
        <v>990</v>
      </c>
      <c r="FX65" s="108">
        <v>990</v>
      </c>
      <c r="FY65" s="108">
        <v>990</v>
      </c>
      <c r="GA65" s="108">
        <v>1100</v>
      </c>
      <c r="GB65" s="108">
        <v>1100</v>
      </c>
      <c r="GC65" s="108">
        <v>1100</v>
      </c>
      <c r="GF65" s="109"/>
      <c r="GG65" s="109"/>
      <c r="GH65" s="109"/>
      <c r="GI65" s="108">
        <v>1328</v>
      </c>
      <c r="GJ65" s="108">
        <v>1328</v>
      </c>
      <c r="GK65" s="108">
        <v>1328</v>
      </c>
      <c r="GN65" s="109"/>
      <c r="GO65" s="109"/>
      <c r="GP65" s="108">
        <v>1700</v>
      </c>
      <c r="GQ65" s="108">
        <v>1700</v>
      </c>
      <c r="GR65" s="108">
        <v>1700</v>
      </c>
      <c r="GV65" s="109"/>
      <c r="GW65" s="108">
        <v>2000</v>
      </c>
      <c r="GX65" s="108">
        <v>2000</v>
      </c>
      <c r="GY65" s="108">
        <v>2000</v>
      </c>
      <c r="HC65" s="108"/>
      <c r="HD65" s="108">
        <v>1950</v>
      </c>
      <c r="HE65" s="108">
        <v>1950</v>
      </c>
      <c r="HF65" s="108">
        <v>1950</v>
      </c>
      <c r="HI65" s="109"/>
      <c r="HJ65" s="109"/>
      <c r="HK65" s="109"/>
      <c r="HL65" s="109"/>
      <c r="HM65" s="108">
        <v>1900</v>
      </c>
      <c r="HN65" s="108">
        <v>1900</v>
      </c>
      <c r="HO65" s="108">
        <v>1900</v>
      </c>
      <c r="HR65" s="109"/>
      <c r="HS65" s="109"/>
      <c r="HT65" s="109"/>
      <c r="HU65" s="108">
        <v>2090</v>
      </c>
      <c r="HV65" s="108">
        <v>2090</v>
      </c>
      <c r="HW65" s="108">
        <v>2090</v>
      </c>
      <c r="HZ65" s="109"/>
      <c r="IA65" s="108">
        <v>2450</v>
      </c>
      <c r="IB65" s="108">
        <v>2450</v>
      </c>
      <c r="IC65" s="108">
        <v>2450</v>
      </c>
      <c r="IE65" s="109"/>
      <c r="IF65" s="108">
        <v>2535</v>
      </c>
      <c r="IG65" s="108">
        <v>2535</v>
      </c>
      <c r="IH65" s="108">
        <v>2535</v>
      </c>
      <c r="IK65" s="108">
        <v>2535</v>
      </c>
      <c r="IL65" s="108">
        <v>2535</v>
      </c>
      <c r="IO65" s="108">
        <v>3750</v>
      </c>
      <c r="IP65" s="108">
        <v>3750</v>
      </c>
      <c r="IS65" s="108">
        <v>52319.19</v>
      </c>
      <c r="IT65" s="108">
        <v>52319.19</v>
      </c>
      <c r="IU65" s="108">
        <v>52319.19</v>
      </c>
      <c r="IX65" s="108"/>
      <c r="IY65" s="108">
        <v>4165</v>
      </c>
      <c r="IZ65" s="108">
        <v>4165</v>
      </c>
      <c r="JA65" s="108">
        <v>4165</v>
      </c>
      <c r="JD65" s="108">
        <v>5900</v>
      </c>
      <c r="JE65" s="108">
        <v>5900</v>
      </c>
      <c r="JH65" s="108">
        <v>4956</v>
      </c>
      <c r="JI65" s="108">
        <v>4956</v>
      </c>
      <c r="JJ65" s="108">
        <v>4956</v>
      </c>
      <c r="JM65" s="108">
        <v>4075</v>
      </c>
      <c r="JN65" s="108">
        <v>4075</v>
      </c>
      <c r="JQ65" s="108">
        <v>3000</v>
      </c>
      <c r="JR65" s="108">
        <v>3000</v>
      </c>
      <c r="JS65" s="108">
        <v>3000</v>
      </c>
      <c r="JV65" s="108">
        <v>4350</v>
      </c>
      <c r="JW65" s="108">
        <v>4350</v>
      </c>
      <c r="JY65" s="108">
        <v>4237</v>
      </c>
      <c r="JZ65" s="108">
        <v>4237</v>
      </c>
      <c r="KB65" s="108">
        <v>3600</v>
      </c>
      <c r="KC65" s="108">
        <v>3600</v>
      </c>
      <c r="KD65" s="108">
        <v>3600</v>
      </c>
    </row>
    <row r="66" spans="1:290" s="86" customFormat="1" x14ac:dyDescent="0.25">
      <c r="A66" s="226" t="e">
        <f>+B65*B64</f>
        <v>#VALUE!</v>
      </c>
      <c r="B66" s="11" t="s">
        <v>190</v>
      </c>
      <c r="C66" s="44"/>
      <c r="D66" s="44"/>
      <c r="E66" s="44"/>
      <c r="F66" s="44"/>
      <c r="G66" s="44"/>
      <c r="H66" s="112"/>
      <c r="I66" s="44"/>
      <c r="J66" s="44"/>
      <c r="K66" s="44"/>
      <c r="L66" s="44"/>
      <c r="M66" s="112"/>
      <c r="N66" s="44"/>
      <c r="O66" s="44"/>
      <c r="P66" s="44"/>
      <c r="Q66" s="44"/>
      <c r="R66" s="112"/>
      <c r="S66" s="44"/>
      <c r="T66" s="44"/>
      <c r="U66" s="44"/>
      <c r="V66" s="44"/>
      <c r="W66" s="112"/>
      <c r="X66" s="44"/>
      <c r="Y66" s="44"/>
      <c r="Z66" s="44"/>
      <c r="AA66" s="44"/>
      <c r="AB66" s="112">
        <f>AB65*AB51/2</f>
        <v>0</v>
      </c>
      <c r="AC66" s="44"/>
      <c r="AD66" s="44"/>
      <c r="AE66" s="44"/>
      <c r="AF66" s="44"/>
      <c r="AG66" s="112">
        <f>AG65*AG51/2</f>
        <v>0</v>
      </c>
      <c r="AH66" s="44"/>
      <c r="AI66" s="44"/>
      <c r="AJ66" s="44"/>
      <c r="AK66" s="112">
        <f>AK65*AK51/2</f>
        <v>11993.52</v>
      </c>
      <c r="AL66" s="44"/>
      <c r="AM66" s="44"/>
      <c r="AN66" s="44"/>
      <c r="AO66" s="44"/>
      <c r="AP66" s="112">
        <f>AP65*AP51/2</f>
        <v>15246</v>
      </c>
      <c r="AQ66" s="44"/>
      <c r="AR66" s="44"/>
      <c r="AS66" s="44"/>
      <c r="AT66" s="44"/>
      <c r="AU66" s="112">
        <f>AU65*AU51/2</f>
        <v>13975.5</v>
      </c>
      <c r="AV66" s="113"/>
      <c r="AW66" s="113"/>
      <c r="AX66" s="113"/>
      <c r="AY66" s="113"/>
      <c r="AZ66" s="112">
        <f>AZ65*AZ51/2</f>
        <v>12959.1</v>
      </c>
      <c r="BA66" s="113"/>
      <c r="BB66" s="113"/>
      <c r="BC66" s="113"/>
      <c r="BD66" s="113"/>
      <c r="BE66" s="112">
        <f>BE65*BE51/2</f>
        <v>15373.05</v>
      </c>
      <c r="BF66" s="113"/>
      <c r="BG66" s="113"/>
      <c r="BH66" s="113"/>
      <c r="BI66" s="113"/>
      <c r="BJ66" s="112">
        <f>(BJ65*BJ51/2)-(6800*0.3*0.65)</f>
        <v>25989.75</v>
      </c>
      <c r="BK66" s="113"/>
      <c r="BL66" s="113"/>
      <c r="BM66" s="113"/>
      <c r="BN66" s="113"/>
      <c r="BO66" s="112">
        <f>BO65*BO51/2</f>
        <v>24774.75</v>
      </c>
      <c r="BP66" s="113"/>
      <c r="BQ66" s="113"/>
      <c r="BR66" s="113"/>
      <c r="BS66" s="113"/>
      <c r="BT66" s="112">
        <f>BT65*BT51/2</f>
        <v>39715.83</v>
      </c>
      <c r="BU66" s="113"/>
      <c r="BV66" s="113"/>
      <c r="BW66" s="113"/>
      <c r="BX66" s="113"/>
      <c r="BY66" s="112">
        <f>BY65*BY51/2</f>
        <v>76230</v>
      </c>
      <c r="BZ66" s="113"/>
      <c r="CA66" s="113"/>
      <c r="CB66" s="113"/>
      <c r="CC66" s="113"/>
      <c r="CD66" s="112">
        <f>CD65*CD51/2</f>
        <v>55266.75</v>
      </c>
      <c r="CE66" s="113"/>
      <c r="CF66" s="113"/>
      <c r="CG66" s="113"/>
      <c r="CH66" s="113"/>
      <c r="CI66" s="112">
        <f>CI65*CI64</f>
        <v>44467.5</v>
      </c>
      <c r="CJ66" s="112">
        <f t="shared" ref="CJ66:CN66" si="147">CJ65*CJ64</f>
        <v>42124.697999999997</v>
      </c>
      <c r="CK66" s="112">
        <f t="shared" si="147"/>
        <v>42124.697999999997</v>
      </c>
      <c r="CL66" s="112">
        <f t="shared" si="147"/>
        <v>42124.697999999997</v>
      </c>
      <c r="CM66" s="112">
        <f t="shared" si="147"/>
        <v>42124.697999999997</v>
      </c>
      <c r="CN66" s="112">
        <f t="shared" si="147"/>
        <v>42124.697999999997</v>
      </c>
      <c r="CO66" s="114"/>
      <c r="CP66" s="114"/>
      <c r="CQ66" s="31"/>
      <c r="CR66" s="31"/>
      <c r="CS66" s="31"/>
      <c r="CT66" s="112"/>
      <c r="CU66" s="112"/>
      <c r="CV66" s="112"/>
      <c r="CW66" s="112"/>
      <c r="CX66" s="112"/>
      <c r="CY66" s="112"/>
      <c r="CZ66" s="112"/>
      <c r="DA66" s="112"/>
      <c r="DB66" s="112"/>
      <c r="DC66" s="112"/>
      <c r="DD66" s="112"/>
      <c r="DE66" s="112"/>
      <c r="DF66" s="112"/>
      <c r="DG66" s="112"/>
      <c r="DH66" s="112"/>
      <c r="DI66" s="112"/>
      <c r="DK66" s="112"/>
      <c r="DL66" s="112"/>
      <c r="DM66" s="31"/>
      <c r="DN66" s="112"/>
      <c r="DO66" s="112"/>
      <c r="DQ66" s="44"/>
      <c r="DR66" s="112"/>
      <c r="DS66" s="112"/>
      <c r="DT66" s="112"/>
      <c r="DV66" s="112"/>
      <c r="DW66" s="112"/>
      <c r="DX66" s="112"/>
      <c r="EA66" s="113"/>
      <c r="EB66" s="113"/>
      <c r="EC66" s="113"/>
      <c r="ED66" s="112"/>
      <c r="EE66" s="112"/>
      <c r="EF66" s="112"/>
      <c r="EJ66" s="113"/>
      <c r="EK66" s="113"/>
      <c r="EL66" s="112"/>
      <c r="EM66" s="112"/>
      <c r="EN66" s="112"/>
      <c r="EP66" s="113"/>
      <c r="EQ66" s="112"/>
      <c r="ER66" s="112"/>
      <c r="ES66" s="112"/>
      <c r="EV66" s="113"/>
      <c r="EW66" s="113"/>
      <c r="EX66" s="113"/>
      <c r="EY66" s="113"/>
      <c r="EZ66" s="112"/>
      <c r="FA66" s="112"/>
      <c r="FD66" s="113"/>
      <c r="FE66" s="113"/>
      <c r="FF66" s="113"/>
      <c r="FG66" s="112"/>
      <c r="FH66" s="112"/>
      <c r="FK66" s="112"/>
      <c r="FL66" s="112"/>
      <c r="FO66" s="113"/>
      <c r="FP66" s="113"/>
      <c r="FQ66" s="112"/>
      <c r="FR66" s="112"/>
      <c r="FU66" s="113"/>
      <c r="FV66" s="112">
        <v>12577.95</v>
      </c>
      <c r="FW66" s="112">
        <v>12577.95</v>
      </c>
      <c r="FX66" s="112">
        <v>12577.95</v>
      </c>
      <c r="FY66" s="112">
        <v>12577.95</v>
      </c>
      <c r="GA66" s="112">
        <v>13975.5</v>
      </c>
      <c r="GB66" s="112">
        <v>13975.5</v>
      </c>
      <c r="GC66" s="112">
        <v>13975.5</v>
      </c>
      <c r="GF66" s="113"/>
      <c r="GG66" s="113"/>
      <c r="GH66" s="113"/>
      <c r="GI66" s="112">
        <v>16872.240000000002</v>
      </c>
      <c r="GJ66" s="112">
        <v>16872.240000000002</v>
      </c>
      <c r="GK66" s="112">
        <v>16872.240000000002</v>
      </c>
      <c r="GN66" s="113"/>
      <c r="GO66" s="113"/>
      <c r="GP66" s="112">
        <v>21598.5</v>
      </c>
      <c r="GQ66" s="112">
        <v>21598.5</v>
      </c>
      <c r="GR66" s="112">
        <v>21598.5</v>
      </c>
      <c r="GV66" s="113"/>
      <c r="GW66" s="112">
        <v>25410</v>
      </c>
      <c r="GX66" s="112">
        <v>25410</v>
      </c>
      <c r="GY66" s="112">
        <v>25410</v>
      </c>
      <c r="HC66" s="112"/>
      <c r="HD66" s="112">
        <v>24774.75</v>
      </c>
      <c r="HE66" s="112">
        <v>24774.75</v>
      </c>
      <c r="HF66" s="112">
        <v>24774.75</v>
      </c>
      <c r="HI66" s="113"/>
      <c r="HJ66" s="113"/>
      <c r="HK66" s="113"/>
      <c r="HL66" s="113"/>
      <c r="HM66" s="112">
        <v>24139.5</v>
      </c>
      <c r="HN66" s="112">
        <v>24139.5</v>
      </c>
      <c r="HO66" s="112">
        <v>24139.5</v>
      </c>
      <c r="HR66" s="113"/>
      <c r="HS66" s="113"/>
      <c r="HT66" s="113"/>
      <c r="HU66" s="112">
        <v>26553.45</v>
      </c>
      <c r="HV66" s="112">
        <v>26553.45</v>
      </c>
      <c r="HW66" s="112">
        <v>26553.45</v>
      </c>
      <c r="HZ66" s="113"/>
      <c r="IA66" s="112">
        <v>31127.25</v>
      </c>
      <c r="IB66" s="112">
        <v>31127.25</v>
      </c>
      <c r="IC66" s="112">
        <v>31127.25</v>
      </c>
      <c r="IE66" s="113"/>
      <c r="IF66" s="112">
        <v>32207.174999999999</v>
      </c>
      <c r="IG66" s="112">
        <v>32207.174999999999</v>
      </c>
      <c r="IH66" s="112">
        <v>32207.174999999999</v>
      </c>
      <c r="IK66" s="112">
        <v>32207.174999999999</v>
      </c>
      <c r="IL66" s="112">
        <v>32207.174999999999</v>
      </c>
      <c r="IO66" s="112">
        <v>47643.75</v>
      </c>
      <c r="IP66" s="112">
        <v>47643.75</v>
      </c>
      <c r="IS66" s="110">
        <v>47.196372962425116</v>
      </c>
      <c r="IT66" s="110">
        <v>35.54799197284018</v>
      </c>
      <c r="IU66" s="110">
        <v>30.238555698112453</v>
      </c>
      <c r="IX66" s="112"/>
      <c r="IY66" s="112">
        <v>52916.324999999997</v>
      </c>
      <c r="IZ66" s="112">
        <v>52916.324999999997</v>
      </c>
      <c r="JA66" s="112">
        <v>52916.324999999997</v>
      </c>
      <c r="JD66" s="112">
        <v>74959.5</v>
      </c>
      <c r="JE66" s="112">
        <v>74959.5</v>
      </c>
      <c r="JH66" s="112">
        <v>62965.98</v>
      </c>
      <c r="JI66" s="112">
        <v>62965.98</v>
      </c>
      <c r="JJ66" s="112">
        <v>62965.98</v>
      </c>
      <c r="JM66" s="112">
        <v>51772.875</v>
      </c>
      <c r="JN66" s="112">
        <v>51772.875</v>
      </c>
      <c r="JQ66" s="112">
        <v>38115</v>
      </c>
      <c r="JR66" s="112">
        <v>38115</v>
      </c>
      <c r="JS66" s="112">
        <v>38115</v>
      </c>
      <c r="JV66" s="112">
        <v>55266.75</v>
      </c>
      <c r="JW66" s="112">
        <v>55266.75</v>
      </c>
      <c r="JY66" s="112">
        <v>53831.084999999999</v>
      </c>
      <c r="JZ66" s="112">
        <v>53831.084999999999</v>
      </c>
      <c r="KB66" s="112">
        <v>45738</v>
      </c>
      <c r="KC66" s="112">
        <v>45738</v>
      </c>
      <c r="KD66" s="112">
        <v>45738</v>
      </c>
    </row>
    <row r="67" spans="1:290" s="122" customFormat="1" x14ac:dyDescent="0.25">
      <c r="A67" s="229" t="e">
        <f>+B65/B59</f>
        <v>#VALUE!</v>
      </c>
      <c r="B67" s="34" t="s">
        <v>191</v>
      </c>
      <c r="C67" s="99"/>
      <c r="D67" s="99"/>
      <c r="E67" s="99"/>
      <c r="F67" s="99"/>
      <c r="G67" s="99"/>
      <c r="H67" s="115"/>
      <c r="I67" s="116"/>
      <c r="J67" s="116"/>
      <c r="K67" s="116"/>
      <c r="L67" s="116"/>
      <c r="M67" s="115"/>
      <c r="N67" s="116"/>
      <c r="O67" s="116"/>
      <c r="P67" s="116"/>
      <c r="Q67" s="116"/>
      <c r="R67" s="115"/>
      <c r="S67" s="116"/>
      <c r="T67" s="116"/>
      <c r="U67" s="116"/>
      <c r="V67" s="116"/>
      <c r="W67" s="115"/>
      <c r="X67" s="116"/>
      <c r="Y67" s="116"/>
      <c r="Z67" s="116"/>
      <c r="AA67" s="116"/>
      <c r="AB67" s="115"/>
      <c r="AC67" s="116"/>
      <c r="AD67" s="116"/>
      <c r="AE67" s="116"/>
      <c r="AF67" s="116"/>
      <c r="AG67" s="115"/>
      <c r="AH67" s="116"/>
      <c r="AI67" s="116"/>
      <c r="AJ67" s="116"/>
      <c r="AK67" s="117">
        <f>AK65/AK59</f>
        <v>53.518839416663432</v>
      </c>
      <c r="AL67" s="116"/>
      <c r="AM67" s="116"/>
      <c r="AN67" s="116"/>
      <c r="AO67" s="116"/>
      <c r="AP67" s="117">
        <f>AP65/AP59</f>
        <v>35.422862453531565</v>
      </c>
      <c r="AQ67" s="116"/>
      <c r="AR67" s="116"/>
      <c r="AS67" s="116"/>
      <c r="AT67" s="116"/>
      <c r="AU67" s="117">
        <f>AU65/AU59</f>
        <v>32.369426751592371</v>
      </c>
      <c r="AV67" s="117"/>
      <c r="AW67" s="117"/>
      <c r="AX67" s="117"/>
      <c r="AY67" s="117"/>
      <c r="AZ67" s="117">
        <f t="shared" ref="AZ67:BJ67" si="148">AZ65/AZ59</f>
        <v>37.654288702928909</v>
      </c>
      <c r="BA67" s="117">
        <f t="shared" si="148"/>
        <v>0</v>
      </c>
      <c r="BB67" s="117">
        <f t="shared" si="148"/>
        <v>0</v>
      </c>
      <c r="BC67" s="117">
        <f t="shared" si="148"/>
        <v>0</v>
      </c>
      <c r="BD67" s="117">
        <f t="shared" si="148"/>
        <v>0</v>
      </c>
      <c r="BE67" s="117">
        <f t="shared" si="148"/>
        <v>30.14323529411768</v>
      </c>
      <c r="BF67" s="117"/>
      <c r="BG67" s="117"/>
      <c r="BH67" s="117"/>
      <c r="BI67" s="117"/>
      <c r="BJ67" s="117">
        <f t="shared" si="148"/>
        <v>35.1039016115352</v>
      </c>
      <c r="BK67" s="117"/>
      <c r="BL67" s="117"/>
      <c r="BM67" s="117"/>
      <c r="BN67" s="117"/>
      <c r="BO67" s="117">
        <f>BO65/BO59</f>
        <v>25.581857607517176</v>
      </c>
      <c r="BP67" s="117"/>
      <c r="BQ67" s="117"/>
      <c r="BR67" s="117"/>
      <c r="BS67" s="117"/>
      <c r="BT67" s="117">
        <f>BT65/BT59</f>
        <v>45.902049166117685</v>
      </c>
      <c r="BU67" s="117"/>
      <c r="BV67" s="117"/>
      <c r="BW67" s="117"/>
      <c r="BX67" s="117"/>
      <c r="BY67" s="117">
        <f>BY65/BY59</f>
        <v>71.241659034410475</v>
      </c>
      <c r="BZ67" s="117"/>
      <c r="CA67" s="117"/>
      <c r="CB67" s="117"/>
      <c r="CC67" s="117"/>
      <c r="CD67" s="117">
        <f>CD65/CD59</f>
        <v>57.448649716222256</v>
      </c>
      <c r="CE67" s="118"/>
      <c r="CF67" s="118"/>
      <c r="CG67" s="118"/>
      <c r="CH67" s="118"/>
      <c r="CI67" s="117">
        <f>CI65/CI59</f>
        <v>46.612612423740579</v>
      </c>
      <c r="CJ67" s="117">
        <f ca="1">CJ65/CJ59</f>
        <v>37.703384934005541</v>
      </c>
      <c r="CK67" s="117">
        <f ca="1">CK65/CK59</f>
        <v>32.107528711375345</v>
      </c>
      <c r="CL67" s="117">
        <f t="shared" ref="CL67:CN67" ca="1" si="149">CL65/CL59</f>
        <v>27.125654823072921</v>
      </c>
      <c r="CM67" s="117">
        <f t="shared" ca="1" si="149"/>
        <v>23.774248553361534</v>
      </c>
      <c r="CN67" s="117">
        <f t="shared" ca="1" si="149"/>
        <v>21.620684436732237</v>
      </c>
      <c r="CO67" s="119"/>
      <c r="CP67" s="119"/>
      <c r="CQ67" s="120"/>
      <c r="CR67" s="58"/>
      <c r="CS67" s="58" t="s">
        <v>178</v>
      </c>
      <c r="CT67" s="121">
        <f>AB67</f>
        <v>0</v>
      </c>
      <c r="CU67" s="121">
        <f>AG67</f>
        <v>0</v>
      </c>
      <c r="CV67" s="121">
        <f>AK67</f>
        <v>53.518839416663432</v>
      </c>
      <c r="CW67" s="121">
        <f>AP67</f>
        <v>35.422862453531565</v>
      </c>
      <c r="CX67" s="121">
        <f>AU67</f>
        <v>32.369426751592371</v>
      </c>
      <c r="CY67" s="121">
        <f>AZ67</f>
        <v>37.654288702928909</v>
      </c>
      <c r="CZ67" s="121">
        <f>BE67</f>
        <v>30.14323529411768</v>
      </c>
      <c r="DA67" s="121">
        <f>BJ67</f>
        <v>35.1039016115352</v>
      </c>
      <c r="DB67" s="121">
        <f>BO67</f>
        <v>25.581857607517176</v>
      </c>
      <c r="DC67" s="121">
        <f>BT67</f>
        <v>45.902049166117685</v>
      </c>
      <c r="DD67" s="121">
        <f>BY67</f>
        <v>71.241659034410475</v>
      </c>
      <c r="DE67" s="121">
        <f>CD67</f>
        <v>57.448649716222256</v>
      </c>
      <c r="DF67" s="121">
        <f t="shared" ref="DF67:DH69" si="150">CI67</f>
        <v>46.612612423740579</v>
      </c>
      <c r="DG67" s="121">
        <f t="shared" ca="1" si="150"/>
        <v>37.703384934005541</v>
      </c>
      <c r="DH67" s="121">
        <f t="shared" ca="1" si="150"/>
        <v>32.107528711375345</v>
      </c>
      <c r="DI67" s="121">
        <v>24.252022697849913</v>
      </c>
      <c r="DK67" s="121">
        <v>28.850356049073145</v>
      </c>
      <c r="DL67" s="121">
        <v>25.443749357522027</v>
      </c>
      <c r="DM67" s="120"/>
      <c r="DN67" s="121">
        <v>28.22305742474542</v>
      </c>
      <c r="DO67" s="121">
        <v>25.190276235500949</v>
      </c>
      <c r="DQ67" s="123"/>
      <c r="DR67" s="121">
        <v>38.471634745955285</v>
      </c>
      <c r="DS67" s="121">
        <v>31.144819261546317</v>
      </c>
      <c r="DT67" s="121">
        <v>25.754360387097254</v>
      </c>
      <c r="DV67" s="121">
        <v>28.551215063552014</v>
      </c>
      <c r="DW67" s="121">
        <v>23.610872498390396</v>
      </c>
      <c r="DX67" s="121">
        <v>20.948921380853562</v>
      </c>
      <c r="EA67" s="121"/>
      <c r="EB67" s="121"/>
      <c r="EC67" s="121"/>
      <c r="ED67" s="121">
        <v>25.021246655694675</v>
      </c>
      <c r="EE67" s="121">
        <v>20.809484455722124</v>
      </c>
      <c r="EF67" s="121">
        <v>18.735192901634967</v>
      </c>
      <c r="EJ67" s="121"/>
      <c r="EK67" s="121"/>
      <c r="EL67" s="121">
        <v>29.126316762151173</v>
      </c>
      <c r="EM67" s="121">
        <v>23.916209633068096</v>
      </c>
      <c r="EN67" s="121">
        <v>20.890226894032146</v>
      </c>
      <c r="EP67" s="121"/>
      <c r="EQ67" s="121">
        <v>36.143843155605417</v>
      </c>
      <c r="ER67" s="121">
        <v>27.382233905258563</v>
      </c>
      <c r="ES67" s="121">
        <v>22.558465021829928</v>
      </c>
      <c r="EV67" s="121">
        <v>0</v>
      </c>
      <c r="EW67" s="121">
        <v>0</v>
      </c>
      <c r="EX67" s="121">
        <v>0</v>
      </c>
      <c r="EY67" s="121">
        <v>0</v>
      </c>
      <c r="EZ67" s="121">
        <v>28.046821967251116</v>
      </c>
      <c r="FA67" s="121">
        <v>24.146782626520906</v>
      </c>
      <c r="FD67" s="121">
        <v>0</v>
      </c>
      <c r="FE67" s="121">
        <v>0</v>
      </c>
      <c r="FF67" s="121">
        <v>0</v>
      </c>
      <c r="FG67" s="121">
        <v>32.455470280011021</v>
      </c>
      <c r="FH67" s="121">
        <v>26.066149353108859</v>
      </c>
      <c r="FK67" s="121">
        <v>30.292894335014221</v>
      </c>
      <c r="FL67" s="121">
        <v>25.250814388541865</v>
      </c>
      <c r="FO67" s="121">
        <v>0</v>
      </c>
      <c r="FP67" s="121">
        <v>0</v>
      </c>
      <c r="FQ67" s="121">
        <v>34.913450085489892</v>
      </c>
      <c r="FR67" s="121">
        <v>28.720057622041299</v>
      </c>
      <c r="FU67" s="121">
        <v>0</v>
      </c>
      <c r="FV67" s="121">
        <v>29.152590586087431</v>
      </c>
      <c r="FW67" s="121">
        <v>46.70914391561243</v>
      </c>
      <c r="FX67" s="121">
        <v>28.953274308961305</v>
      </c>
      <c r="FY67" s="121">
        <v>24.986832057675748</v>
      </c>
      <c r="GA67" s="121">
        <v>43.574824132533614</v>
      </c>
      <c r="GB67" s="121">
        <v>27.304816481209741</v>
      </c>
      <c r="GC67" s="121">
        <v>23.426602242862522</v>
      </c>
      <c r="GF67" s="121"/>
      <c r="GG67" s="121"/>
      <c r="GH67" s="121"/>
      <c r="GI67" s="121">
        <v>37.776738295384348</v>
      </c>
      <c r="GJ67" s="121">
        <v>26.80855703725932</v>
      </c>
      <c r="GK67" s="121">
        <v>24.054737216044796</v>
      </c>
      <c r="GN67" s="121"/>
      <c r="GO67" s="121"/>
      <c r="GP67" s="121">
        <v>35.529339384228415</v>
      </c>
      <c r="GQ67" s="121">
        <v>32.043853059201133</v>
      </c>
      <c r="GR67" s="121">
        <v>28.775338011619557</v>
      </c>
      <c r="GV67" s="121"/>
      <c r="GW67" s="121">
        <v>32.468233459243415</v>
      </c>
      <c r="GX67" s="121">
        <v>39.195764422251663</v>
      </c>
      <c r="GY67" s="121">
        <v>30.329337504366023</v>
      </c>
      <c r="HC67" s="121"/>
      <c r="HD67" s="121">
        <v>26.043588819453497</v>
      </c>
      <c r="HE67" s="121">
        <v>25.905453197784226</v>
      </c>
      <c r="HF67" s="121">
        <v>23.574218465625361</v>
      </c>
      <c r="HI67" s="121"/>
      <c r="HJ67" s="121"/>
      <c r="HK67" s="121"/>
      <c r="HL67" s="121"/>
      <c r="HM67" s="121">
        <v>28.272494691339336</v>
      </c>
      <c r="HN67" s="121">
        <v>25.943545907783335</v>
      </c>
      <c r="HO67" s="121">
        <v>24.491912192819317</v>
      </c>
      <c r="HR67" s="121"/>
      <c r="HS67" s="121"/>
      <c r="HT67" s="121"/>
      <c r="HU67" s="121">
        <v>31.099744160473268</v>
      </c>
      <c r="HV67" s="121">
        <v>25.477915968356644</v>
      </c>
      <c r="HW67" s="121">
        <v>23.67906205304746</v>
      </c>
      <c r="HZ67" s="121"/>
      <c r="IA67" s="121">
        <v>40.222582332540462</v>
      </c>
      <c r="IB67" s="121">
        <v>33.119556356480487</v>
      </c>
      <c r="IC67" s="121">
        <v>29.186799357468345</v>
      </c>
      <c r="IE67" s="121"/>
      <c r="IF67" s="121">
        <v>42.667885091028303</v>
      </c>
      <c r="IG67" s="121">
        <v>32.658775583855864</v>
      </c>
      <c r="IH67" s="121">
        <v>28.350813080611648</v>
      </c>
      <c r="IK67" s="121">
        <v>32.759561749988698</v>
      </c>
      <c r="IL67" s="121">
        <v>28.426732942884634</v>
      </c>
      <c r="IO67" s="121">
        <v>41.240346278357052</v>
      </c>
      <c r="IP67" s="121">
        <v>33.374233470238025</v>
      </c>
      <c r="IS67" s="104">
        <v>32.103409024260287</v>
      </c>
      <c r="IT67" s="104">
        <v>32.103409024260287</v>
      </c>
      <c r="IU67" s="104">
        <v>32.103409024260287</v>
      </c>
      <c r="IX67" s="121"/>
      <c r="IY67" s="121">
        <v>49.976206283169574</v>
      </c>
      <c r="IZ67" s="121">
        <v>36.45381012202769</v>
      </c>
      <c r="JA67" s="121">
        <v>31.046921639967611</v>
      </c>
      <c r="JD67" s="121">
        <v>49.115775870624425</v>
      </c>
      <c r="JE67" s="121">
        <v>40.748919156882671</v>
      </c>
      <c r="JH67" s="121">
        <v>45.677715956425324</v>
      </c>
      <c r="JI67" s="121">
        <v>37.242457274553246</v>
      </c>
      <c r="JJ67" s="121">
        <v>32.320116991196912</v>
      </c>
      <c r="JM67" s="121">
        <v>32.253386952398458</v>
      </c>
      <c r="JN67" s="121">
        <v>27.98984802916997</v>
      </c>
      <c r="JQ67" s="121">
        <v>39.567595603920836</v>
      </c>
      <c r="JR67" s="121">
        <v>32.278068009699602</v>
      </c>
      <c r="JS67" s="121">
        <v>27.710724245566865</v>
      </c>
      <c r="JV67" s="121">
        <v>47.653054230904047</v>
      </c>
      <c r="JW67" s="121">
        <v>40.873676018574692</v>
      </c>
      <c r="JY67" s="121">
        <v>45.071037888793818</v>
      </c>
      <c r="JZ67" s="121">
        <v>38.654144978522794</v>
      </c>
      <c r="KB67" s="121">
        <v>47.580964795634166</v>
      </c>
      <c r="KC67" s="121">
        <v>37.344584460175334</v>
      </c>
      <c r="KD67" s="121">
        <v>32.963865620676792</v>
      </c>
    </row>
    <row r="68" spans="1:290" x14ac:dyDescent="0.25">
      <c r="B68" s="11" t="s">
        <v>192</v>
      </c>
      <c r="C68" s="23"/>
      <c r="D68" s="23"/>
      <c r="E68" s="23"/>
      <c r="F68" s="23"/>
      <c r="G68" s="23"/>
      <c r="H68" s="88"/>
      <c r="I68" s="23"/>
      <c r="J68" s="23"/>
      <c r="K68" s="23"/>
      <c r="L68" s="23"/>
      <c r="M68" s="88"/>
      <c r="N68" s="23"/>
      <c r="O68" s="23"/>
      <c r="P68" s="23"/>
      <c r="Q68" s="23"/>
      <c r="R68" s="88"/>
      <c r="S68" s="23"/>
      <c r="T68" s="23"/>
      <c r="U68" s="23"/>
      <c r="V68" s="23"/>
      <c r="W68" s="88"/>
      <c r="X68" s="23"/>
      <c r="Y68" s="23"/>
      <c r="Z68" s="23"/>
      <c r="AA68" s="23"/>
      <c r="AB68" s="88"/>
      <c r="AC68" s="23"/>
      <c r="AD68" s="23"/>
      <c r="AE68" s="23"/>
      <c r="AF68" s="23"/>
      <c r="AG68" s="88"/>
      <c r="AH68" s="23"/>
      <c r="AI68" s="23"/>
      <c r="AJ68" s="23"/>
      <c r="AK68" s="108"/>
      <c r="AL68" s="23"/>
      <c r="AM68" s="23"/>
      <c r="AN68" s="23"/>
      <c r="AO68" s="23"/>
      <c r="AP68" s="108"/>
      <c r="AQ68" s="23"/>
      <c r="AR68" s="23"/>
      <c r="AS68" s="23"/>
      <c r="AT68" s="23"/>
      <c r="AU68" s="108">
        <v>30</v>
      </c>
      <c r="AV68" s="109"/>
      <c r="AW68" s="109"/>
      <c r="AX68" s="109"/>
      <c r="AY68" s="109"/>
      <c r="AZ68" s="108">
        <v>27</v>
      </c>
      <c r="BA68" s="109">
        <v>27</v>
      </c>
      <c r="BB68" s="109">
        <v>27</v>
      </c>
      <c r="BC68" s="109">
        <v>27</v>
      </c>
      <c r="BD68" s="109">
        <v>27</v>
      </c>
      <c r="BE68" s="108">
        <v>27</v>
      </c>
      <c r="BF68" s="109"/>
      <c r="BG68" s="109"/>
      <c r="BH68" s="109"/>
      <c r="BI68" s="109"/>
      <c r="BJ68" s="108">
        <v>30</v>
      </c>
      <c r="BK68" s="109"/>
      <c r="BL68" s="109"/>
      <c r="BM68" s="109"/>
      <c r="BN68" s="109"/>
      <c r="BO68" s="108">
        <v>35</v>
      </c>
      <c r="BP68" s="109"/>
      <c r="BQ68" s="109"/>
      <c r="BR68" s="109"/>
      <c r="BS68" s="109"/>
      <c r="BT68" s="108">
        <v>30</v>
      </c>
      <c r="BU68" s="109"/>
      <c r="BV68" s="109"/>
      <c r="BW68" s="109"/>
      <c r="BX68" s="109"/>
      <c r="BY68" s="108">
        <v>24.3</v>
      </c>
      <c r="BZ68" s="109"/>
      <c r="CA68" s="109"/>
      <c r="CB68" s="109"/>
      <c r="CC68" s="109"/>
      <c r="CD68" s="108">
        <v>35</v>
      </c>
      <c r="CE68" s="109"/>
      <c r="CF68" s="109"/>
      <c r="CG68" s="109"/>
      <c r="CH68" s="109"/>
      <c r="CI68" s="108">
        <f>CD68</f>
        <v>35</v>
      </c>
      <c r="CJ68" s="108">
        <f>CI68</f>
        <v>35</v>
      </c>
      <c r="CK68" s="108">
        <f>CJ68</f>
        <v>35</v>
      </c>
      <c r="CL68" s="108">
        <f t="shared" ref="CL68:CM68" si="151">CK68</f>
        <v>35</v>
      </c>
      <c r="CM68" s="108">
        <f t="shared" si="151"/>
        <v>35</v>
      </c>
      <c r="CN68" s="108">
        <v>35</v>
      </c>
      <c r="CO68" s="94"/>
      <c r="CP68" s="111"/>
      <c r="CQ68" s="6"/>
      <c r="CR68" s="6" t="s">
        <v>180</v>
      </c>
      <c r="CS68" s="30">
        <v>25</v>
      </c>
      <c r="CT68" s="124">
        <f>AB68</f>
        <v>0</v>
      </c>
      <c r="CU68" s="124">
        <f>AG68</f>
        <v>0</v>
      </c>
      <c r="CV68" s="124">
        <f>AK68</f>
        <v>0</v>
      </c>
      <c r="CW68" s="124">
        <f>AP68</f>
        <v>0</v>
      </c>
      <c r="CX68" s="124">
        <f>AU68</f>
        <v>30</v>
      </c>
      <c r="CY68" s="124">
        <f>AZ68</f>
        <v>27</v>
      </c>
      <c r="CZ68" s="124">
        <f>BE68</f>
        <v>27</v>
      </c>
      <c r="DA68" s="124">
        <f>BJ68</f>
        <v>30</v>
      </c>
      <c r="DB68" s="124">
        <f>BO68</f>
        <v>35</v>
      </c>
      <c r="DC68" s="124">
        <f>BT68</f>
        <v>30</v>
      </c>
      <c r="DD68" s="124">
        <f>BY68</f>
        <v>24.3</v>
      </c>
      <c r="DE68" s="124">
        <f>CD68</f>
        <v>35</v>
      </c>
      <c r="DF68" s="124">
        <f t="shared" si="150"/>
        <v>35</v>
      </c>
      <c r="DG68" s="124">
        <f t="shared" si="150"/>
        <v>35</v>
      </c>
      <c r="DH68" s="124">
        <f t="shared" si="150"/>
        <v>35</v>
      </c>
      <c r="DI68" s="108">
        <v>30</v>
      </c>
      <c r="DK68" s="108">
        <v>30</v>
      </c>
      <c r="DL68" s="108">
        <v>30</v>
      </c>
      <c r="DM68" s="6"/>
      <c r="DN68" s="108">
        <v>27</v>
      </c>
      <c r="DO68" s="108">
        <v>27</v>
      </c>
      <c r="DQ68" s="23"/>
      <c r="DR68" s="108">
        <v>30</v>
      </c>
      <c r="DS68" s="108">
        <v>30</v>
      </c>
      <c r="DT68" s="108">
        <v>30</v>
      </c>
      <c r="DV68" s="108">
        <v>30</v>
      </c>
      <c r="DW68" s="108">
        <v>30</v>
      </c>
      <c r="DX68" s="108">
        <v>30</v>
      </c>
      <c r="EA68" s="109"/>
      <c r="EB68" s="109"/>
      <c r="EC68" s="109"/>
      <c r="ED68" s="108">
        <v>25</v>
      </c>
      <c r="EE68" s="108">
        <v>25</v>
      </c>
      <c r="EF68" s="108">
        <v>25</v>
      </c>
      <c r="EJ68" s="109"/>
      <c r="EK68" s="109"/>
      <c r="EL68" s="108">
        <v>27</v>
      </c>
      <c r="EM68" s="108">
        <v>27</v>
      </c>
      <c r="EN68" s="108">
        <v>25</v>
      </c>
      <c r="EP68" s="109"/>
      <c r="EQ68" s="108">
        <v>27</v>
      </c>
      <c r="ER68" s="108">
        <v>27</v>
      </c>
      <c r="ES68" s="108">
        <v>25</v>
      </c>
      <c r="EV68" s="109">
        <v>27</v>
      </c>
      <c r="EW68" s="109">
        <v>27</v>
      </c>
      <c r="EX68" s="109">
        <v>27</v>
      </c>
      <c r="EY68" s="109">
        <v>27</v>
      </c>
      <c r="EZ68" s="108">
        <v>27</v>
      </c>
      <c r="FA68" s="108">
        <v>27</v>
      </c>
      <c r="FD68" s="109">
        <v>27</v>
      </c>
      <c r="FE68" s="109">
        <v>27</v>
      </c>
      <c r="FF68" s="109">
        <v>27</v>
      </c>
      <c r="FG68" s="108">
        <v>27</v>
      </c>
      <c r="FH68" s="108">
        <v>27</v>
      </c>
      <c r="FK68" s="108">
        <v>27</v>
      </c>
      <c r="FL68" s="108">
        <v>27</v>
      </c>
      <c r="FO68" s="109">
        <v>27</v>
      </c>
      <c r="FP68" s="109">
        <v>27</v>
      </c>
      <c r="FQ68" s="108">
        <v>27</v>
      </c>
      <c r="FR68" s="108">
        <v>27</v>
      </c>
      <c r="FU68" s="109">
        <v>27</v>
      </c>
      <c r="FV68" s="108">
        <v>27</v>
      </c>
      <c r="FW68" s="108">
        <v>27</v>
      </c>
      <c r="FX68" s="108">
        <v>30</v>
      </c>
      <c r="FY68" s="108">
        <v>27</v>
      </c>
      <c r="GA68" s="108">
        <v>30</v>
      </c>
      <c r="GB68" s="108">
        <v>30</v>
      </c>
      <c r="GC68" s="108">
        <v>27</v>
      </c>
      <c r="GF68" s="109"/>
      <c r="GG68" s="109"/>
      <c r="GH68" s="109"/>
      <c r="GI68" s="108">
        <v>30</v>
      </c>
      <c r="GJ68" s="108">
        <v>30</v>
      </c>
      <c r="GK68" s="108">
        <v>30</v>
      </c>
      <c r="GN68" s="109"/>
      <c r="GO68" s="109"/>
      <c r="GP68" s="108">
        <v>30</v>
      </c>
      <c r="GQ68" s="108">
        <v>30</v>
      </c>
      <c r="GR68" s="108">
        <v>30</v>
      </c>
      <c r="GV68" s="109"/>
      <c r="GW68" s="108">
        <v>30</v>
      </c>
      <c r="GX68" s="108">
        <v>35</v>
      </c>
      <c r="GY68" s="108">
        <v>35</v>
      </c>
      <c r="HC68" s="108"/>
      <c r="HD68" s="108">
        <v>35</v>
      </c>
      <c r="HE68" s="108">
        <v>35</v>
      </c>
      <c r="HF68" s="108">
        <v>35</v>
      </c>
      <c r="HI68" s="109"/>
      <c r="HJ68" s="109"/>
      <c r="HK68" s="109"/>
      <c r="HL68" s="109"/>
      <c r="HM68" s="108">
        <v>30</v>
      </c>
      <c r="HN68" s="108">
        <v>35</v>
      </c>
      <c r="HO68" s="108">
        <v>35</v>
      </c>
      <c r="HR68" s="109"/>
      <c r="HS68" s="109"/>
      <c r="HT68" s="109"/>
      <c r="HU68" s="108">
        <v>30</v>
      </c>
      <c r="HV68" s="108">
        <v>27.118821955327842</v>
      </c>
      <c r="HW68" s="108">
        <v>27.118821955327842</v>
      </c>
      <c r="HZ68" s="109"/>
      <c r="IA68" s="108">
        <v>30</v>
      </c>
      <c r="IB68" s="108">
        <v>31.102020902777902</v>
      </c>
      <c r="IC68" s="108">
        <v>31.102020902777902</v>
      </c>
      <c r="IE68" s="109"/>
      <c r="IF68" s="108">
        <v>30</v>
      </c>
      <c r="IG68" s="108">
        <v>31.285782501027498</v>
      </c>
      <c r="IH68" s="108">
        <v>31.285782501027498</v>
      </c>
      <c r="IK68" s="108">
        <v>31.274277766972357</v>
      </c>
      <c r="IL68" s="108">
        <v>31.274277766972357</v>
      </c>
      <c r="IO68" s="108">
        <v>30.705732855961656</v>
      </c>
      <c r="IP68" s="108">
        <v>30.705732855961656</v>
      </c>
      <c r="IS68" s="125">
        <v>2801.1016538740155</v>
      </c>
      <c r="IT68" s="125">
        <v>3664.3827343584244</v>
      </c>
      <c r="IU68" s="125">
        <v>4371.9627247327871</v>
      </c>
      <c r="IX68" s="108"/>
      <c r="IY68" s="108">
        <v>33.950868087671623</v>
      </c>
      <c r="IZ68" s="108">
        <v>33.950868087671623</v>
      </c>
      <c r="JA68" s="108">
        <v>33.950868087671623</v>
      </c>
      <c r="JD68" s="108">
        <v>38.543794383415019</v>
      </c>
      <c r="JE68" s="108">
        <v>38.543794383415019</v>
      </c>
      <c r="JH68" s="108">
        <v>40</v>
      </c>
      <c r="JI68" s="108">
        <v>40</v>
      </c>
      <c r="JJ68" s="108">
        <v>40</v>
      </c>
      <c r="JM68" s="108">
        <v>35</v>
      </c>
      <c r="JN68" s="108">
        <v>35</v>
      </c>
      <c r="JQ68" s="108">
        <v>35</v>
      </c>
      <c r="JR68" s="108">
        <v>35</v>
      </c>
      <c r="JS68" s="108">
        <v>35</v>
      </c>
      <c r="JV68" s="108">
        <v>35</v>
      </c>
      <c r="JW68" s="108">
        <v>35</v>
      </c>
      <c r="JY68" s="108">
        <v>35</v>
      </c>
      <c r="JZ68" s="108">
        <v>35</v>
      </c>
      <c r="KB68" s="108">
        <v>35</v>
      </c>
      <c r="KC68" s="108">
        <v>35</v>
      </c>
      <c r="KD68" s="108">
        <v>35</v>
      </c>
    </row>
    <row r="69" spans="1:290" x14ac:dyDescent="0.25">
      <c r="B69" s="11" t="s">
        <v>193</v>
      </c>
      <c r="C69" s="23"/>
      <c r="D69" s="23"/>
      <c r="E69" s="23"/>
      <c r="F69" s="23"/>
      <c r="G69" s="23"/>
      <c r="H69" s="88"/>
      <c r="I69" s="23"/>
      <c r="J69" s="23"/>
      <c r="K69" s="23"/>
      <c r="L69" s="23"/>
      <c r="M69" s="88"/>
      <c r="N69" s="23"/>
      <c r="O69" s="23"/>
      <c r="P69" s="23"/>
      <c r="Q69" s="23"/>
      <c r="R69" s="88"/>
      <c r="S69" s="23"/>
      <c r="T69" s="23"/>
      <c r="U69" s="23"/>
      <c r="V69" s="23"/>
      <c r="W69" s="88"/>
      <c r="X69" s="23"/>
      <c r="Y69" s="23"/>
      <c r="Z69" s="23"/>
      <c r="AA69" s="23"/>
      <c r="AB69" s="88"/>
      <c r="AC69" s="23"/>
      <c r="AD69" s="23"/>
      <c r="AE69" s="23"/>
      <c r="AF69" s="23"/>
      <c r="AG69" s="88"/>
      <c r="AH69" s="23"/>
      <c r="AI69" s="23"/>
      <c r="AJ69" s="23"/>
      <c r="AK69" s="108"/>
      <c r="AL69" s="23"/>
      <c r="AM69" s="23"/>
      <c r="AN69" s="23"/>
      <c r="AO69" s="23"/>
      <c r="AP69" s="108"/>
      <c r="AQ69" s="23"/>
      <c r="AR69" s="23"/>
      <c r="AS69" s="23"/>
      <c r="AT69" s="23"/>
      <c r="AU69" s="126">
        <f>AU68*AU59</f>
        <v>1019.480519480519</v>
      </c>
      <c r="AV69" s="126"/>
      <c r="AW69" s="126"/>
      <c r="AX69" s="126"/>
      <c r="AY69" s="126"/>
      <c r="AZ69" s="126">
        <f t="shared" ref="AZ69:BJ69" si="152">AZ68*AZ59</f>
        <v>731.39079102715391</v>
      </c>
      <c r="BA69" s="126">
        <f t="shared" si="152"/>
        <v>185.14923258559639</v>
      </c>
      <c r="BB69" s="126">
        <f t="shared" si="152"/>
        <v>254.27390791027199</v>
      </c>
      <c r="BC69" s="126">
        <f t="shared" si="152"/>
        <v>262.22195985832366</v>
      </c>
      <c r="BD69" s="126">
        <f t="shared" si="152"/>
        <v>339.4498229043686</v>
      </c>
      <c r="BE69" s="126">
        <f t="shared" si="152"/>
        <v>1083.8252656434463</v>
      </c>
      <c r="BF69" s="126"/>
      <c r="BG69" s="126"/>
      <c r="BH69" s="126"/>
      <c r="BI69" s="126"/>
      <c r="BJ69" s="126">
        <f t="shared" si="152"/>
        <v>1837.4025974025974</v>
      </c>
      <c r="BK69" s="126"/>
      <c r="BL69" s="126"/>
      <c r="BM69" s="126"/>
      <c r="BN69" s="126"/>
      <c r="BO69" s="126">
        <f>BO68*BO59</f>
        <v>2667.9063360881532</v>
      </c>
      <c r="BP69" s="126"/>
      <c r="BQ69" s="126"/>
      <c r="BR69" s="126"/>
      <c r="BS69" s="126"/>
      <c r="BT69" s="126">
        <f>BT68*BT59</f>
        <v>2043.0460448642264</v>
      </c>
      <c r="BU69" s="126"/>
      <c r="BV69" s="126"/>
      <c r="BW69" s="126"/>
      <c r="BX69" s="126"/>
      <c r="BY69" s="126">
        <f>BY68*BY59</f>
        <v>2046.5553719008294</v>
      </c>
      <c r="BZ69" s="126"/>
      <c r="CA69" s="126"/>
      <c r="CB69" s="126"/>
      <c r="CC69" s="126"/>
      <c r="CD69" s="126">
        <f>CD68*CD59</f>
        <v>2650.1928374655586</v>
      </c>
      <c r="CE69" s="127"/>
      <c r="CF69" s="127"/>
      <c r="CG69" s="127"/>
      <c r="CH69" s="127"/>
      <c r="CI69" s="126">
        <f>CI68*CI59</f>
        <v>2628.044077134984</v>
      </c>
      <c r="CJ69" s="128">
        <f ca="1">CJ68*CJ59</f>
        <v>3077.8668865705868</v>
      </c>
      <c r="CK69" s="128">
        <f ca="1">CK68*CK59</f>
        <v>3614.2924933019272</v>
      </c>
      <c r="CL69" s="128">
        <f t="shared" ref="CL69:CM69" ca="1" si="153">CL68*CL59</f>
        <v>4278.0902712546485</v>
      </c>
      <c r="CM69" s="128">
        <f t="shared" ca="1" si="153"/>
        <v>4881.1637406555083</v>
      </c>
      <c r="CN69" s="128">
        <f ca="1">CN68*CN59</f>
        <v>5367.3601471581933</v>
      </c>
      <c r="CO69" s="129"/>
      <c r="CP69" s="130"/>
      <c r="CQ69" s="6" t="s">
        <v>194</v>
      </c>
      <c r="CR69" s="30">
        <v>102.84826822799263</v>
      </c>
      <c r="CS69" s="40">
        <f ca="1">CS58/$CS$65-1</f>
        <v>-0.36129892043642264</v>
      </c>
      <c r="CT69" s="124">
        <f>AB69</f>
        <v>0</v>
      </c>
      <c r="CU69" s="124">
        <f>AG69</f>
        <v>0</v>
      </c>
      <c r="CV69" s="124">
        <f>AK69</f>
        <v>0</v>
      </c>
      <c r="CW69" s="124">
        <f>AP69</f>
        <v>0</v>
      </c>
      <c r="CX69" s="124">
        <f>AU69</f>
        <v>1019.480519480519</v>
      </c>
      <c r="CY69" s="124">
        <f>AZ69</f>
        <v>731.39079102715391</v>
      </c>
      <c r="CZ69" s="124">
        <f>BE69</f>
        <v>1083.8252656434463</v>
      </c>
      <c r="DA69" s="124">
        <f>BJ69</f>
        <v>1837.4025974025974</v>
      </c>
      <c r="DB69" s="124">
        <f>BO69</f>
        <v>2667.9063360881532</v>
      </c>
      <c r="DC69" s="124">
        <f>BT69</f>
        <v>2043.0460448642264</v>
      </c>
      <c r="DD69" s="124">
        <f>BY69</f>
        <v>2046.5553719008294</v>
      </c>
      <c r="DE69" s="124">
        <f>CD69</f>
        <v>2650.1928374655586</v>
      </c>
      <c r="DF69" s="124">
        <f t="shared" si="150"/>
        <v>2628.044077134984</v>
      </c>
      <c r="DG69" s="124">
        <f t="shared" ca="1" si="150"/>
        <v>3077.8668865705868</v>
      </c>
      <c r="DH69" s="124">
        <f t="shared" ca="1" si="150"/>
        <v>3614.2924933019272</v>
      </c>
      <c r="DI69" s="125">
        <v>1397.821551725887</v>
      </c>
      <c r="DK69" s="131">
        <v>1175.028826068477</v>
      </c>
      <c r="DL69" s="125">
        <v>1332.3508074087367</v>
      </c>
      <c r="DM69" s="6"/>
      <c r="DN69" s="131">
        <v>1147.9975224651714</v>
      </c>
      <c r="DO69" s="125">
        <v>1286.2105876527985</v>
      </c>
      <c r="DQ69" s="23"/>
      <c r="DR69" s="131">
        <v>935.75436130342393</v>
      </c>
      <c r="DS69" s="125">
        <v>1155.8904772469893</v>
      </c>
      <c r="DT69" s="125">
        <v>1397.821551725887</v>
      </c>
      <c r="DV69" s="125">
        <v>1155.817709563164</v>
      </c>
      <c r="DW69" s="125">
        <v>1397.6611835183</v>
      </c>
      <c r="DX69" s="125">
        <v>1575.26010051098</v>
      </c>
      <c r="EA69" s="127"/>
      <c r="EB69" s="127"/>
      <c r="EC69" s="127"/>
      <c r="ED69" s="125">
        <v>963.18142463597007</v>
      </c>
      <c r="EE69" s="125">
        <v>1158.1257599763871</v>
      </c>
      <c r="EF69" s="125">
        <v>1286.3491786036993</v>
      </c>
      <c r="EJ69" s="127"/>
      <c r="EK69" s="127"/>
      <c r="EL69" s="125">
        <v>965.93057851239666</v>
      </c>
      <c r="EM69" s="125">
        <v>1176.3569742715465</v>
      </c>
      <c r="EN69" s="125">
        <v>1246.9945937945693</v>
      </c>
      <c r="EP69" s="127"/>
      <c r="EQ69" s="125">
        <v>799.3062573789847</v>
      </c>
      <c r="ER69" s="125">
        <v>1055.0636628099171</v>
      </c>
      <c r="ES69" s="125">
        <v>1185.807632483589</v>
      </c>
      <c r="EV69" s="127">
        <v>233.52534531286889</v>
      </c>
      <c r="EW69" s="127">
        <v>250.82978323494694</v>
      </c>
      <c r="EX69" s="127">
        <v>309.67165466351821</v>
      </c>
      <c r="EY69" s="127">
        <v>338.14922089728452</v>
      </c>
      <c r="EZ69" s="125">
        <v>1078.1970247933882</v>
      </c>
      <c r="FA69" s="125">
        <v>1252.3407556080283</v>
      </c>
      <c r="FD69" s="127">
        <v>231.00251079102725</v>
      </c>
      <c r="FE69" s="127">
        <v>309.67165466351821</v>
      </c>
      <c r="FF69" s="127">
        <v>337.69204427390775</v>
      </c>
      <c r="FG69" s="125">
        <v>1027.4076977567886</v>
      </c>
      <c r="FH69" s="125">
        <v>1279.2453364817004</v>
      </c>
      <c r="FK69" s="125">
        <v>1045.4927036599763</v>
      </c>
      <c r="FL69" s="125">
        <v>1254.2565761511216</v>
      </c>
      <c r="FO69" s="127">
        <v>292.74041752066114</v>
      </c>
      <c r="FP69" s="127">
        <v>365.55981781345872</v>
      </c>
      <c r="FQ69" s="125">
        <v>1005.3432105407319</v>
      </c>
      <c r="FR69" s="125">
        <v>1222.1423947653361</v>
      </c>
      <c r="FU69" s="127">
        <v>215.25454604486345</v>
      </c>
      <c r="FV69" s="125">
        <v>916.89964639905554</v>
      </c>
      <c r="FW69" s="125">
        <v>572.26482352774519</v>
      </c>
      <c r="FX69" s="125">
        <v>1025.7907165549002</v>
      </c>
      <c r="FY69" s="125">
        <v>1069.7634633434359</v>
      </c>
      <c r="GA69" s="125">
        <v>757.31803069657622</v>
      </c>
      <c r="GB69" s="125">
        <v>1208.5779819362454</v>
      </c>
      <c r="GC69" s="125">
        <v>1267.7894853082598</v>
      </c>
      <c r="GF69" s="127"/>
      <c r="GG69" s="127"/>
      <c r="GH69" s="127"/>
      <c r="GI69" s="125">
        <v>1054.6172538370722</v>
      </c>
      <c r="GJ69" s="125">
        <v>1486.0926660330581</v>
      </c>
      <c r="GK69" s="125">
        <v>1656.2226243496955</v>
      </c>
      <c r="GN69" s="127"/>
      <c r="GO69" s="127"/>
      <c r="GP69" s="125">
        <v>1435.4333878394332</v>
      </c>
      <c r="GQ69" s="125">
        <v>1591.568901086187</v>
      </c>
      <c r="GR69" s="125">
        <v>1772.3510312687229</v>
      </c>
      <c r="GV69" s="127"/>
      <c r="GW69" s="125">
        <v>1847.9601015348292</v>
      </c>
      <c r="GX69" s="125">
        <v>1785.9072538016528</v>
      </c>
      <c r="GY69" s="125">
        <v>2307.9963414935532</v>
      </c>
      <c r="HC69" s="125"/>
      <c r="HD69" s="125">
        <v>2620.6065712809918</v>
      </c>
      <c r="HE69" s="125">
        <v>2634.5804290286505</v>
      </c>
      <c r="HF69" s="125">
        <v>2895.1118824795158</v>
      </c>
      <c r="HI69" s="127"/>
      <c r="HJ69" s="127"/>
      <c r="HK69" s="127"/>
      <c r="HL69" s="127"/>
      <c r="HM69" s="125">
        <v>2016.0937555135774</v>
      </c>
      <c r="HN69" s="125">
        <v>1952.0623707220479</v>
      </c>
      <c r="HO69" s="125">
        <v>249.48230000000004</v>
      </c>
      <c r="HR69" s="127"/>
      <c r="HS69" s="127"/>
      <c r="HT69" s="127"/>
      <c r="HU69" s="125">
        <v>2016.0937555135774</v>
      </c>
      <c r="HV69" s="125">
        <v>2224.6065163661424</v>
      </c>
      <c r="HW69" s="125">
        <v>2393.605699400613</v>
      </c>
      <c r="HZ69" s="127"/>
      <c r="IA69" s="125">
        <v>1827.331706162928</v>
      </c>
      <c r="IB69" s="125">
        <v>2300.7539832850402</v>
      </c>
      <c r="IC69" s="125">
        <v>2610.7676377440048</v>
      </c>
      <c r="IE69" s="127"/>
      <c r="IF69" s="125">
        <v>1782.3709761511216</v>
      </c>
      <c r="IG69" s="125">
        <v>2428.4271906173226</v>
      </c>
      <c r="IH69" s="125">
        <v>2841.4018977102369</v>
      </c>
      <c r="IK69" s="125">
        <v>2420.0657732944878</v>
      </c>
      <c r="IL69" s="125">
        <v>2833.0404803874017</v>
      </c>
      <c r="IO69" s="125">
        <v>2792.0836899055121</v>
      </c>
      <c r="IP69" s="125">
        <v>3542.4906057423632</v>
      </c>
      <c r="IS69" s="88">
        <v>-0.31979075913695598</v>
      </c>
      <c r="IT69" s="88">
        <v>-0.11015475124856133</v>
      </c>
      <c r="IU69" s="88">
        <v>6.1671375602910805E-2</v>
      </c>
      <c r="IX69" s="125"/>
      <c r="IY69" s="125">
        <v>2829.4537761417323</v>
      </c>
      <c r="IZ69" s="125">
        <v>3842.9901775370076</v>
      </c>
      <c r="JA69" s="125">
        <v>4554.5696035486189</v>
      </c>
      <c r="JD69" s="125">
        <v>4547.0226718110234</v>
      </c>
      <c r="JE69" s="125">
        <v>5439.5140919055111</v>
      </c>
      <c r="JH69" s="125">
        <v>4339.9718188429752</v>
      </c>
      <c r="JI69" s="125">
        <v>5322.9570363353005</v>
      </c>
      <c r="JJ69" s="125">
        <v>6133.6411639226117</v>
      </c>
      <c r="JM69" s="125">
        <v>4422.0162121421481</v>
      </c>
      <c r="JN69" s="125">
        <v>5095.5975127611118</v>
      </c>
      <c r="JQ69" s="125">
        <v>2653.6866442699729</v>
      </c>
      <c r="JR69" s="125">
        <v>3252.9827983647397</v>
      </c>
      <c r="JS69" s="125">
        <v>3789.1467241892028</v>
      </c>
      <c r="JV69" s="125">
        <v>3194.9683489807157</v>
      </c>
      <c r="JW69" s="125">
        <v>3724.8912950920121</v>
      </c>
      <c r="JY69" s="125">
        <v>3290.2503901928371</v>
      </c>
      <c r="JZ69" s="125">
        <v>3836.4579033476589</v>
      </c>
      <c r="KB69" s="125">
        <v>2648.1178038567482</v>
      </c>
      <c r="KC69" s="125">
        <v>3373.9831844793389</v>
      </c>
      <c r="KD69" s="125">
        <v>3822.3672384153183</v>
      </c>
    </row>
    <row r="70" spans="1:290" x14ac:dyDescent="0.25">
      <c r="A70" s="226" t="e">
        <f>+B69/B65-1</f>
        <v>#VALUE!</v>
      </c>
      <c r="B70" s="11" t="s">
        <v>195</v>
      </c>
      <c r="C70" s="23"/>
      <c r="D70" s="23"/>
      <c r="E70" s="23"/>
      <c r="F70" s="23"/>
      <c r="G70" s="23"/>
      <c r="H70" s="88"/>
      <c r="I70" s="23"/>
      <c r="J70" s="23"/>
      <c r="K70" s="23"/>
      <c r="L70" s="23"/>
      <c r="M70" s="88"/>
      <c r="N70" s="23"/>
      <c r="O70" s="23"/>
      <c r="P70" s="23"/>
      <c r="Q70" s="23"/>
      <c r="R70" s="88"/>
      <c r="S70" s="23"/>
      <c r="T70" s="23"/>
      <c r="U70" s="23"/>
      <c r="V70" s="23"/>
      <c r="W70" s="88"/>
      <c r="X70" s="23"/>
      <c r="Y70" s="23"/>
      <c r="Z70" s="23"/>
      <c r="AA70" s="23"/>
      <c r="AB70" s="88"/>
      <c r="AC70" s="23"/>
      <c r="AD70" s="23"/>
      <c r="AE70" s="23"/>
      <c r="AF70" s="23"/>
      <c r="AG70" s="88"/>
      <c r="AH70" s="23"/>
      <c r="AI70" s="23"/>
      <c r="AJ70" s="23"/>
      <c r="AK70" s="108"/>
      <c r="AL70" s="23"/>
      <c r="AM70" s="23"/>
      <c r="AN70" s="23"/>
      <c r="AO70" s="23"/>
      <c r="AP70" s="108"/>
      <c r="AQ70" s="23"/>
      <c r="AR70" s="23"/>
      <c r="AS70" s="23"/>
      <c r="AT70" s="23"/>
      <c r="AU70" s="88">
        <f>(AU69/AU65-1)</f>
        <v>-7.3199527744982729E-2</v>
      </c>
      <c r="AV70" s="105"/>
      <c r="AW70" s="105"/>
      <c r="AX70" s="105"/>
      <c r="AY70" s="105"/>
      <c r="AZ70" s="88">
        <f t="shared" ref="AZ70:BJ70" si="154">(AZ69/AZ65-1)</f>
        <v>-0.28295020487533928</v>
      </c>
      <c r="BA70" s="105" t="e">
        <f t="shared" si="154"/>
        <v>#DIV/0!</v>
      </c>
      <c r="BB70" s="105" t="e">
        <f t="shared" si="154"/>
        <v>#DIV/0!</v>
      </c>
      <c r="BC70" s="105" t="e">
        <f t="shared" si="154"/>
        <v>#DIV/0!</v>
      </c>
      <c r="BD70" s="105" t="e">
        <f t="shared" si="154"/>
        <v>#DIV/0!</v>
      </c>
      <c r="BE70" s="88">
        <f t="shared" si="154"/>
        <v>-0.10427663996409398</v>
      </c>
      <c r="BF70" s="105"/>
      <c r="BG70" s="105"/>
      <c r="BH70" s="105"/>
      <c r="BI70" s="105"/>
      <c r="BJ70" s="88">
        <f t="shared" si="154"/>
        <v>-0.14539414074297796</v>
      </c>
      <c r="BK70" s="105"/>
      <c r="BL70" s="105"/>
      <c r="BM70" s="105"/>
      <c r="BN70" s="105"/>
      <c r="BO70" s="88">
        <f>(BO69/BO65-1)</f>
        <v>0.36815709542982211</v>
      </c>
      <c r="BP70" s="105"/>
      <c r="BQ70" s="105"/>
      <c r="BR70" s="105"/>
      <c r="BS70" s="105"/>
      <c r="BT70" s="88">
        <f>(BT69/BT65-1)</f>
        <v>-0.34643440663332492</v>
      </c>
      <c r="BU70" s="105"/>
      <c r="BV70" s="105"/>
      <c r="BW70" s="105"/>
      <c r="BX70" s="105"/>
      <c r="BY70" s="88">
        <f>(BY69/BY65-1)</f>
        <v>-0.65890743801652851</v>
      </c>
      <c r="BZ70" s="105"/>
      <c r="CA70" s="105"/>
      <c r="CB70" s="105"/>
      <c r="CC70" s="105"/>
      <c r="CD70" s="88">
        <f>(CD69/CD65-1)</f>
        <v>-0.39076026724929691</v>
      </c>
      <c r="CE70" s="105"/>
      <c r="CF70" s="105"/>
      <c r="CG70" s="105"/>
      <c r="CH70" s="105"/>
      <c r="CI70" s="88">
        <f>(CI69/CI65-1)</f>
        <v>-0.24913026367571889</v>
      </c>
      <c r="CJ70" s="88">
        <f ca="1">(CJ69/CJ65-1)</f>
        <v>-7.1701385399147388E-2</v>
      </c>
      <c r="CK70" s="88">
        <f ca="1">(CK69/CK65-1)</f>
        <v>9.0087010888505015E-2</v>
      </c>
      <c r="CL70" s="88">
        <f t="shared" ref="CL70:CM70" ca="1" si="155">(CL69/CL65-1)</f>
        <v>0.29029143179353611</v>
      </c>
      <c r="CM70" s="88">
        <f t="shared" ca="1" si="155"/>
        <v>0.47218112578583304</v>
      </c>
      <c r="CN70" s="88">
        <f ca="1">(CN69/CN65-1)</f>
        <v>0.61882016743822943</v>
      </c>
      <c r="CO70" s="90"/>
      <c r="CP70" s="90"/>
      <c r="CQ70" s="6"/>
      <c r="CR70" s="30">
        <v>108.26133497683436</v>
      </c>
      <c r="CS70" s="40">
        <f ca="1">CS59/$CS$65-1</f>
        <v>-0.32768307414360265</v>
      </c>
      <c r="CT70" s="124"/>
      <c r="CU70" s="124"/>
      <c r="CV70" s="124"/>
      <c r="CW70" s="124"/>
      <c r="CX70" s="124"/>
      <c r="DC70" s="108"/>
      <c r="DE70" s="23"/>
      <c r="DF70" s="23"/>
      <c r="DG70" s="88">
        <v>-0.16667473537628896</v>
      </c>
      <c r="DH70" s="88">
        <v>-0.16667473537628896</v>
      </c>
      <c r="DI70" s="88">
        <v>0.23701022276627182</v>
      </c>
      <c r="DK70" s="88">
        <v>3.9848518644669984E-2</v>
      </c>
      <c r="DL70" s="88">
        <v>0.1790715109811829</v>
      </c>
      <c r="DM70" s="6"/>
      <c r="DN70" s="88">
        <v>-4.3335397945690524E-2</v>
      </c>
      <c r="DO70" s="88">
        <v>7.1842156377332156E-2</v>
      </c>
      <c r="DQ70" s="23"/>
      <c r="DR70" s="88">
        <v>-0.22020469891381333</v>
      </c>
      <c r="DS70" s="88">
        <v>-3.6757935627508842E-2</v>
      </c>
      <c r="DT70" s="88">
        <v>0.16485129310490598</v>
      </c>
      <c r="DV70" s="88">
        <v>5.0743372330149139E-2</v>
      </c>
      <c r="DW70" s="88">
        <v>0.27060107592572735</v>
      </c>
      <c r="DX70" s="88">
        <v>0.4320546368281637</v>
      </c>
      <c r="EA70" s="105"/>
      <c r="EB70" s="105"/>
      <c r="EC70" s="105"/>
      <c r="ED70" s="88">
        <v>-8.4914456849571884E-4</v>
      </c>
      <c r="EE70" s="88">
        <v>0.20137526968504882</v>
      </c>
      <c r="EF70" s="88">
        <v>0.33438711473412797</v>
      </c>
      <c r="EJ70" s="105"/>
      <c r="EK70" s="105"/>
      <c r="EL70" s="88">
        <v>-7.3003283577354416E-2</v>
      </c>
      <c r="EM70" s="88">
        <v>0.12894143404179137</v>
      </c>
      <c r="EN70" s="88">
        <v>0.19673185584891484</v>
      </c>
      <c r="EP70" s="105"/>
      <c r="EQ70" s="88">
        <v>-0.25298480618786479</v>
      </c>
      <c r="ER70" s="88">
        <v>-1.3959193635591505E-2</v>
      </c>
      <c r="ES70" s="88">
        <v>0.10823143222765319</v>
      </c>
      <c r="EV70" s="105" t="e">
        <v>#DIV/0!</v>
      </c>
      <c r="EW70" s="105" t="e">
        <v>#DIV/0!</v>
      </c>
      <c r="EX70" s="105" t="e">
        <v>#DIV/0!</v>
      </c>
      <c r="EY70" s="105" t="e">
        <v>#DIV/0!</v>
      </c>
      <c r="EZ70" s="88">
        <v>-3.732408500590334E-2</v>
      </c>
      <c r="FA70" s="88">
        <v>0.11816138893573958</v>
      </c>
      <c r="FD70" s="105" t="e">
        <v>#DIV/0!</v>
      </c>
      <c r="FE70" s="105" t="e">
        <v>#DIV/0!</v>
      </c>
      <c r="FF70" s="105" t="e">
        <v>#DIV/0!</v>
      </c>
      <c r="FG70" s="88">
        <v>-0.16809093299045463</v>
      </c>
      <c r="FH70" s="88">
        <v>3.5826183385992305E-2</v>
      </c>
      <c r="FK70" s="88">
        <v>-0.1087018724126374</v>
      </c>
      <c r="FL70" s="88">
        <v>6.9272443436591224E-2</v>
      </c>
      <c r="FO70" s="105" t="e">
        <v>#DIV/0!</v>
      </c>
      <c r="FP70" s="105" t="e">
        <v>#DIV/0!</v>
      </c>
      <c r="FQ70" s="88">
        <v>-0.22665906881482167</v>
      </c>
      <c r="FR70" s="88">
        <v>-5.9890465565126005E-2</v>
      </c>
      <c r="FU70" s="105" t="e">
        <v>#DIV/0!</v>
      </c>
      <c r="FV70" s="88">
        <v>-7.3838741011055031E-2</v>
      </c>
      <c r="FW70" s="88">
        <v>-0.42195472370934828</v>
      </c>
      <c r="FX70" s="88">
        <v>3.6152238944343607E-2</v>
      </c>
      <c r="FY70" s="88">
        <v>8.0569154892359496E-2</v>
      </c>
      <c r="GA70" s="88">
        <v>-0.31152906300311256</v>
      </c>
      <c r="GB70" s="88">
        <v>9.8707256305677671E-2</v>
      </c>
      <c r="GC70" s="88">
        <v>0.15253589573478177</v>
      </c>
      <c r="GF70" s="105"/>
      <c r="GG70" s="105"/>
      <c r="GH70" s="105"/>
      <c r="GI70" s="88">
        <v>-0.20586050162871072</v>
      </c>
      <c r="GJ70" s="88">
        <v>0.11904568225380885</v>
      </c>
      <c r="GK70" s="88">
        <v>0.24715559062477066</v>
      </c>
      <c r="GN70" s="105"/>
      <c r="GO70" s="105"/>
      <c r="GP70" s="88">
        <v>-0.15562741891798049</v>
      </c>
      <c r="GQ70" s="88">
        <v>-6.3782999361066461E-2</v>
      </c>
      <c r="GR70" s="88">
        <v>4.2559430158072287E-2</v>
      </c>
      <c r="GV70" s="105"/>
      <c r="GW70" s="88">
        <v>-7.6019949232585371E-2</v>
      </c>
      <c r="GX70" s="88">
        <v>-0.10704637309917364</v>
      </c>
      <c r="GY70" s="88">
        <v>0.15399817074677657</v>
      </c>
      <c r="HC70" s="88"/>
      <c r="HD70" s="88">
        <v>0.34390080578512405</v>
      </c>
      <c r="HE70" s="88">
        <v>0.35106688668135932</v>
      </c>
      <c r="HF70" s="88">
        <v>0.48467276024590555</v>
      </c>
      <c r="HI70" s="105"/>
      <c r="HJ70" s="105"/>
      <c r="HK70" s="105"/>
      <c r="HL70" s="105"/>
      <c r="HM70" s="88">
        <v>6.1101976586093398E-2</v>
      </c>
      <c r="HN70" s="88">
        <v>2.7401247748446211E-2</v>
      </c>
      <c r="HO70" s="88">
        <v>-0.86869352631578944</v>
      </c>
      <c r="HR70" s="105"/>
      <c r="HS70" s="105"/>
      <c r="HT70" s="105"/>
      <c r="HU70" s="88">
        <v>-3.536183946718785E-2</v>
      </c>
      <c r="HV70" s="88">
        <v>6.4405031754135145E-2</v>
      </c>
      <c r="HW70" s="88">
        <v>0.14526588488067604</v>
      </c>
      <c r="HZ70" s="105"/>
      <c r="IA70" s="88">
        <v>-0.25415032401513149</v>
      </c>
      <c r="IB70" s="88">
        <v>-6.0916741516310102E-2</v>
      </c>
      <c r="IC70" s="88">
        <v>6.561944397714492E-2</v>
      </c>
      <c r="IE70" s="105"/>
      <c r="IF70" s="88">
        <v>-0.2968950784413722</v>
      </c>
      <c r="IG70" s="88">
        <v>-4.2040555969497961E-2</v>
      </c>
      <c r="IH70" s="88">
        <v>0.12086859870226307</v>
      </c>
      <c r="IK70" s="88">
        <v>-4.5338945445961398E-2</v>
      </c>
      <c r="IL70" s="88">
        <v>0.11757020922579953</v>
      </c>
      <c r="IO70" s="88">
        <v>-0.25544434935853011</v>
      </c>
      <c r="IP70" s="88">
        <v>-5.5335838468703158E-2</v>
      </c>
      <c r="IS70" s="132"/>
      <c r="IT70" s="132">
        <v>24.700554872093665</v>
      </c>
      <c r="IU70" s="132">
        <v>21.554600656386395</v>
      </c>
      <c r="IX70" s="88"/>
      <c r="IY70" s="88">
        <v>-0.32065935746897178</v>
      </c>
      <c r="IZ70" s="88">
        <v>-7.7313282704199793E-2</v>
      </c>
      <c r="JA70" s="88">
        <v>9.353411849906812E-2</v>
      </c>
      <c r="JD70" s="88">
        <v>-0.22931819121847064</v>
      </c>
      <c r="JE70" s="88">
        <v>-7.8048458999065873E-2</v>
      </c>
      <c r="JH70" s="88">
        <v>-0.1242994715813206</v>
      </c>
      <c r="JI70" s="88">
        <v>7.4042985539810369E-2</v>
      </c>
      <c r="JJ70" s="88">
        <v>0.23761928247026054</v>
      </c>
      <c r="JM70" s="88">
        <v>8.5157352672919684E-2</v>
      </c>
      <c r="JN70" s="88">
        <v>0.25045337736468998</v>
      </c>
      <c r="JQ70" s="88">
        <v>-0.11543778524334236</v>
      </c>
      <c r="JR70" s="88">
        <v>8.4327599454913305E-2</v>
      </c>
      <c r="JS70" s="88">
        <v>0.26304890806306758</v>
      </c>
      <c r="JV70" s="88">
        <v>-0.2655245174756975</v>
      </c>
      <c r="JW70" s="88">
        <v>-0.14370315055356042</v>
      </c>
      <c r="JY70" s="88">
        <v>-0.22344810238545265</v>
      </c>
      <c r="JZ70" s="88">
        <v>-9.4534363146646427E-2</v>
      </c>
      <c r="KB70" s="88">
        <v>-0.26441172115090328</v>
      </c>
      <c r="KC70" s="88">
        <v>-6.278244875573924E-2</v>
      </c>
      <c r="KD70" s="88">
        <v>6.1768677337588507E-2</v>
      </c>
    </row>
    <row r="71" spans="1:290" x14ac:dyDescent="0.25">
      <c r="B71" s="11"/>
      <c r="C71" s="23"/>
      <c r="D71" s="23"/>
      <c r="E71" s="23"/>
      <c r="F71" s="23"/>
      <c r="G71" s="23"/>
      <c r="H71" s="105"/>
      <c r="I71" s="23"/>
      <c r="J71" s="23"/>
      <c r="K71" s="23"/>
      <c r="L71" s="23"/>
      <c r="M71" s="105"/>
      <c r="N71" s="23"/>
      <c r="O71" s="23"/>
      <c r="P71" s="23"/>
      <c r="Q71" s="23"/>
      <c r="R71" s="105"/>
      <c r="S71" s="23"/>
      <c r="T71" s="23"/>
      <c r="U71" s="23"/>
      <c r="V71" s="23"/>
      <c r="W71" s="105"/>
      <c r="X71" s="23"/>
      <c r="Y71" s="23"/>
      <c r="Z71" s="23"/>
      <c r="AA71" s="23"/>
      <c r="AB71" s="105"/>
      <c r="AC71" s="23"/>
      <c r="AD71" s="23"/>
      <c r="AE71" s="23"/>
      <c r="AF71" s="23"/>
      <c r="AG71" s="105"/>
      <c r="AH71" s="23"/>
      <c r="AI71" s="23"/>
      <c r="AJ71" s="23"/>
      <c r="AK71" s="109"/>
      <c r="AL71" s="23"/>
      <c r="AM71" s="23"/>
      <c r="AN71" s="23"/>
      <c r="AO71" s="23"/>
      <c r="AP71" s="109"/>
      <c r="AQ71" s="23"/>
      <c r="AR71" s="23"/>
      <c r="AS71" s="23"/>
      <c r="AT71" s="23"/>
      <c r="AU71" s="105"/>
      <c r="AV71" s="105"/>
      <c r="AW71" s="105"/>
      <c r="AX71" s="105"/>
      <c r="AY71" s="105"/>
      <c r="AZ71" s="105"/>
      <c r="BA71" s="105"/>
      <c r="BB71" s="105"/>
      <c r="BC71" s="105"/>
      <c r="BD71" s="105"/>
      <c r="BE71" s="105"/>
      <c r="BF71" s="105"/>
      <c r="BG71" s="105"/>
      <c r="BH71" s="105"/>
      <c r="BI71" s="105"/>
      <c r="BJ71" s="105"/>
      <c r="BK71" s="105"/>
      <c r="BL71" s="105"/>
      <c r="BM71" s="105"/>
      <c r="BN71" s="105"/>
      <c r="BO71" s="105"/>
      <c r="BP71" s="105"/>
      <c r="BQ71" s="105"/>
      <c r="BR71" s="105"/>
      <c r="BS71" s="105"/>
      <c r="BT71" s="105"/>
      <c r="BU71" s="105"/>
      <c r="BV71" s="105"/>
      <c r="BW71" s="105"/>
      <c r="BX71" s="105"/>
      <c r="BY71" s="105"/>
      <c r="BZ71" s="105"/>
      <c r="CA71" s="105"/>
      <c r="CB71" s="105"/>
      <c r="CC71" s="105"/>
      <c r="CD71" s="105"/>
      <c r="CE71" s="105"/>
      <c r="CF71" s="105"/>
      <c r="CG71" s="105"/>
      <c r="CH71" s="105"/>
      <c r="CI71" s="105"/>
      <c r="CJ71" s="105"/>
      <c r="CK71" s="105"/>
      <c r="CL71" s="105"/>
      <c r="CM71" s="105"/>
      <c r="CN71" s="105"/>
      <c r="CO71" s="133"/>
      <c r="CP71" s="90"/>
      <c r="CQ71" s="6"/>
      <c r="CR71" s="134"/>
      <c r="CS71" s="135"/>
      <c r="CT71" s="111"/>
      <c r="CU71" s="111"/>
      <c r="CV71" s="111"/>
      <c r="CW71" s="111"/>
      <c r="CX71" s="111"/>
      <c r="DC71" s="111"/>
      <c r="DE71" s="136"/>
      <c r="DF71" s="136"/>
      <c r="DG71" s="90"/>
      <c r="DH71" s="90"/>
      <c r="DI71" s="90"/>
      <c r="DK71" s="90"/>
      <c r="DL71" s="90"/>
      <c r="DM71" s="6"/>
      <c r="DN71" s="90"/>
      <c r="DO71" s="90"/>
      <c r="DQ71" s="136"/>
      <c r="DR71" s="90"/>
      <c r="DS71" s="90"/>
      <c r="DT71" s="90"/>
      <c r="DV71" s="90"/>
      <c r="DW71" s="90"/>
      <c r="DX71" s="90"/>
      <c r="EA71" s="90"/>
      <c r="EB71" s="90"/>
      <c r="EC71" s="90"/>
      <c r="ED71" s="90"/>
      <c r="EE71" s="90"/>
      <c r="EF71" s="90"/>
      <c r="EJ71" s="90"/>
      <c r="EK71" s="90"/>
      <c r="EL71" s="90"/>
      <c r="EM71" s="90"/>
      <c r="EN71" s="90"/>
      <c r="EP71" s="90"/>
      <c r="EQ71" s="90"/>
      <c r="ER71" s="90"/>
      <c r="ES71" s="90"/>
      <c r="EV71" s="90"/>
      <c r="EW71" s="90"/>
      <c r="EX71" s="90"/>
      <c r="EY71" s="90"/>
      <c r="EZ71" s="90"/>
      <c r="FA71" s="90"/>
      <c r="FD71" s="90"/>
      <c r="FE71" s="90"/>
      <c r="FF71" s="90"/>
      <c r="FG71" s="90"/>
      <c r="FH71" s="90"/>
      <c r="FK71" s="90"/>
      <c r="FL71" s="90"/>
      <c r="FO71" s="90"/>
      <c r="FP71" s="90"/>
      <c r="FQ71" s="90"/>
      <c r="FR71" s="90"/>
      <c r="FU71" s="90"/>
      <c r="FV71" s="90"/>
      <c r="FW71" s="90"/>
      <c r="FX71" s="90"/>
      <c r="FY71" s="90"/>
      <c r="GA71" s="90"/>
      <c r="GB71" s="90"/>
      <c r="GC71" s="90"/>
      <c r="GF71" s="90"/>
      <c r="GG71" s="90"/>
      <c r="GH71" s="90"/>
      <c r="GI71" s="90"/>
      <c r="GJ71" s="90"/>
      <c r="GK71" s="90"/>
      <c r="GN71" s="90"/>
      <c r="GO71" s="90"/>
      <c r="GP71" s="90"/>
      <c r="GQ71" s="90"/>
      <c r="GR71" s="90"/>
      <c r="GV71" s="90"/>
      <c r="GW71" s="90"/>
      <c r="GX71" s="90"/>
      <c r="GY71" s="90"/>
      <c r="HC71" s="90"/>
      <c r="HD71" s="90"/>
      <c r="HE71" s="90"/>
      <c r="HF71" s="90"/>
      <c r="HI71" s="90"/>
      <c r="HJ71" s="90"/>
      <c r="HK71" s="90"/>
      <c r="HL71" s="90"/>
      <c r="HM71" s="90"/>
      <c r="HN71" s="90"/>
      <c r="HO71" s="90"/>
      <c r="HR71" s="90"/>
      <c r="HS71" s="90"/>
      <c r="HT71" s="90"/>
      <c r="HU71" s="90"/>
      <c r="HV71" s="90"/>
      <c r="HW71" s="90"/>
      <c r="HZ71" s="90"/>
      <c r="IA71" s="90"/>
      <c r="IB71" s="90"/>
      <c r="IC71" s="90"/>
      <c r="IE71" s="90"/>
      <c r="IF71" s="90"/>
      <c r="IG71" s="90"/>
      <c r="IH71" s="90"/>
      <c r="IK71" s="90"/>
      <c r="IL71" s="90"/>
      <c r="IO71" s="90"/>
      <c r="IP71" s="90"/>
      <c r="IS71" s="137"/>
      <c r="IT71" s="137"/>
      <c r="IU71" s="137"/>
      <c r="IX71" s="90"/>
      <c r="IY71" s="90"/>
      <c r="IZ71" s="90"/>
      <c r="JA71" s="90"/>
      <c r="JD71" s="90"/>
      <c r="JE71" s="90"/>
      <c r="JH71" s="90"/>
      <c r="JI71" s="90"/>
      <c r="JJ71" s="90"/>
      <c r="JM71" s="90"/>
      <c r="JN71" s="90"/>
      <c r="JQ71" s="90"/>
      <c r="JR71" s="90"/>
      <c r="JS71" s="90"/>
      <c r="JV71" s="90"/>
      <c r="JW71" s="90"/>
      <c r="JY71" s="90"/>
      <c r="JZ71" s="90"/>
      <c r="KB71" s="90"/>
      <c r="KC71" s="90"/>
      <c r="KD71" s="90"/>
    </row>
    <row r="72" spans="1:290" x14ac:dyDescent="0.25">
      <c r="A72" s="7" t="s">
        <v>262</v>
      </c>
      <c r="B72" s="11" t="s">
        <v>196</v>
      </c>
      <c r="C72" s="23"/>
      <c r="D72" s="23"/>
      <c r="E72" s="23"/>
      <c r="F72" s="23"/>
      <c r="G72" s="23"/>
      <c r="H72" s="88"/>
      <c r="I72" s="23"/>
      <c r="J72" s="23"/>
      <c r="K72" s="23"/>
      <c r="L72" s="23"/>
      <c r="M72" s="88"/>
      <c r="N72" s="23"/>
      <c r="O72" s="23"/>
      <c r="P72" s="23"/>
      <c r="Q72" s="23"/>
      <c r="R72" s="88"/>
      <c r="S72" s="23"/>
      <c r="T72" s="23"/>
      <c r="U72" s="23"/>
      <c r="V72" s="23"/>
      <c r="W72" s="88"/>
      <c r="X72" s="23"/>
      <c r="Y72" s="23"/>
      <c r="Z72" s="23"/>
      <c r="AA72" s="23"/>
      <c r="AB72" s="88"/>
      <c r="AC72" s="23"/>
      <c r="AD72" s="23"/>
      <c r="AE72" s="23"/>
      <c r="AF72" s="23"/>
      <c r="AG72" s="88"/>
      <c r="AH72" s="23"/>
      <c r="AI72" s="23"/>
      <c r="AJ72" s="23"/>
      <c r="AK72" s="108"/>
      <c r="AL72" s="23"/>
      <c r="AM72" s="23"/>
      <c r="AN72" s="23"/>
      <c r="AO72" s="23"/>
      <c r="AP72" s="108"/>
      <c r="AQ72" s="23"/>
      <c r="AR72" s="23"/>
      <c r="AS72" s="23"/>
      <c r="AT72" s="23"/>
      <c r="AU72" s="88"/>
      <c r="AV72" s="105"/>
      <c r="AW72" s="105"/>
      <c r="AX72" s="105"/>
      <c r="AY72" s="105"/>
      <c r="AZ72" s="88"/>
      <c r="BA72" s="105"/>
      <c r="BB72" s="105"/>
      <c r="BC72" s="105"/>
      <c r="BD72" s="105"/>
      <c r="BE72" s="88"/>
      <c r="BF72" s="105"/>
      <c r="BG72" s="105"/>
      <c r="BH72" s="105"/>
      <c r="BI72" s="105"/>
      <c r="BJ72" s="88"/>
      <c r="BK72" s="105"/>
      <c r="BL72" s="105"/>
      <c r="BM72" s="105"/>
      <c r="BN72" s="105"/>
      <c r="BO72" s="138"/>
      <c r="BP72" s="138"/>
      <c r="BQ72" s="138"/>
      <c r="BR72" s="138"/>
      <c r="BS72" s="138"/>
      <c r="BT72" s="138"/>
      <c r="BU72" s="138"/>
      <c r="BV72" s="138"/>
      <c r="BW72" s="138"/>
      <c r="BX72" s="138"/>
      <c r="BY72" s="138"/>
      <c r="BZ72" s="138"/>
      <c r="CA72" s="138"/>
      <c r="CB72" s="138"/>
      <c r="CC72" s="138"/>
      <c r="CD72" s="138">
        <f>CD6*40/365</f>
        <v>1144.7945205479452</v>
      </c>
      <c r="CE72" s="139"/>
      <c r="CF72" s="139"/>
      <c r="CG72" s="139"/>
      <c r="CH72" s="139"/>
      <c r="CI72" s="138">
        <f t="shared" ref="CI72:CN72" si="156">CI6*40/365</f>
        <v>1229.334794520548</v>
      </c>
      <c r="CJ72" s="138">
        <f t="shared" si="156"/>
        <v>1380.1582310136987</v>
      </c>
      <c r="CK72" s="138">
        <f t="shared" si="156"/>
        <v>1580.9544164317806</v>
      </c>
      <c r="CL72" s="138">
        <f t="shared" si="156"/>
        <v>1885.5051678167672</v>
      </c>
      <c r="CM72" s="138">
        <f t="shared" si="156"/>
        <v>2074.8407674097207</v>
      </c>
      <c r="CN72" s="138">
        <f t="shared" si="156"/>
        <v>2276.6532038444116</v>
      </c>
      <c r="CO72" s="133"/>
      <c r="CP72" s="90"/>
      <c r="CQ72" s="6"/>
      <c r="CR72" s="30"/>
      <c r="CS72" s="40"/>
      <c r="CT72" s="124"/>
      <c r="CU72" s="124"/>
      <c r="CV72" s="124"/>
      <c r="CW72" s="124"/>
      <c r="CX72" s="124"/>
      <c r="DC72" s="124"/>
      <c r="DE72" s="136"/>
      <c r="DF72" s="136"/>
      <c r="DG72" s="140"/>
      <c r="DH72" s="140"/>
      <c r="DI72" s="140"/>
      <c r="DK72" s="140"/>
      <c r="DL72" s="140"/>
      <c r="DM72" s="6"/>
      <c r="DN72" s="140"/>
      <c r="DO72" s="140"/>
      <c r="DQ72" s="136"/>
      <c r="DR72" s="140"/>
      <c r="DS72" s="140"/>
      <c r="DT72" s="140"/>
      <c r="DV72" s="140"/>
      <c r="DW72" s="140"/>
      <c r="DX72" s="140"/>
      <c r="EA72" s="90"/>
      <c r="EB72" s="90"/>
      <c r="EC72" s="90"/>
      <c r="ED72" s="140"/>
      <c r="EE72" s="140"/>
      <c r="EF72" s="140"/>
      <c r="EJ72" s="90"/>
      <c r="EK72" s="90"/>
      <c r="EL72" s="140"/>
      <c r="EM72" s="140"/>
      <c r="EN72" s="140"/>
      <c r="EP72" s="90"/>
      <c r="EQ72" s="140"/>
      <c r="ER72" s="140"/>
      <c r="ES72" s="140"/>
      <c r="EV72" s="90"/>
      <c r="EW72" s="90"/>
      <c r="EX72" s="90"/>
      <c r="EY72" s="90"/>
      <c r="EZ72" s="140"/>
      <c r="FA72" s="140"/>
      <c r="FD72" s="90"/>
      <c r="FE72" s="90"/>
      <c r="FF72" s="90"/>
      <c r="FG72" s="140"/>
      <c r="FH72" s="140"/>
      <c r="FK72" s="140"/>
      <c r="FL72" s="140"/>
      <c r="FO72" s="90"/>
      <c r="FP72" s="90"/>
      <c r="FQ72" s="140"/>
      <c r="FR72" s="140"/>
      <c r="FU72" s="90"/>
      <c r="FV72" s="140"/>
      <c r="FW72" s="140"/>
      <c r="FX72" s="140"/>
      <c r="FY72" s="140"/>
      <c r="GA72" s="140"/>
      <c r="GB72" s="140"/>
      <c r="GC72" s="140"/>
      <c r="GF72" s="90"/>
      <c r="GG72" s="90"/>
      <c r="GH72" s="90"/>
      <c r="GI72" s="140"/>
      <c r="GJ72" s="140"/>
      <c r="GK72" s="140"/>
      <c r="GN72" s="90"/>
      <c r="GO72" s="90"/>
      <c r="GP72" s="140"/>
      <c r="GQ72" s="140"/>
      <c r="GR72" s="140"/>
      <c r="GV72" s="90"/>
      <c r="GW72" s="140"/>
      <c r="GX72" s="140"/>
      <c r="GY72" s="140"/>
      <c r="HC72" s="140"/>
      <c r="HD72" s="140"/>
      <c r="HE72" s="140"/>
      <c r="HF72" s="140"/>
      <c r="HI72" s="90"/>
      <c r="HJ72" s="90"/>
      <c r="HK72" s="90"/>
      <c r="HL72" s="90"/>
      <c r="HM72" s="140"/>
      <c r="HN72" s="140"/>
      <c r="HO72" s="140"/>
      <c r="HR72" s="90"/>
      <c r="HS72" s="90"/>
      <c r="HT72" s="90"/>
      <c r="HU72" s="140"/>
      <c r="HV72" s="140"/>
      <c r="HW72" s="140"/>
      <c r="HZ72" s="90"/>
      <c r="IA72" s="140"/>
      <c r="IB72" s="140"/>
      <c r="IC72" s="140"/>
      <c r="IE72" s="90"/>
      <c r="IF72" s="140"/>
      <c r="IG72" s="140"/>
      <c r="IH72" s="140"/>
      <c r="IK72" s="140"/>
      <c r="IL72" s="140"/>
      <c r="IO72" s="140"/>
      <c r="IP72" s="140"/>
      <c r="IS72" s="132"/>
      <c r="IT72" s="132"/>
      <c r="IU72" s="132"/>
      <c r="IX72" s="140"/>
      <c r="IY72" s="140"/>
      <c r="IZ72" s="140"/>
      <c r="JA72" s="140"/>
      <c r="JD72" s="140"/>
      <c r="JE72" s="140"/>
      <c r="JH72" s="140"/>
      <c r="JI72" s="140"/>
      <c r="JJ72" s="140"/>
      <c r="JM72" s="140"/>
      <c r="JN72" s="140"/>
      <c r="JQ72" s="140"/>
      <c r="JR72" s="140"/>
      <c r="JS72" s="140"/>
      <c r="JV72" s="140"/>
      <c r="JW72" s="140"/>
      <c r="JY72" s="140"/>
      <c r="JZ72" s="140"/>
      <c r="KB72" s="140"/>
      <c r="KC72" s="140"/>
      <c r="KD72" s="140"/>
    </row>
    <row r="73" spans="1:290" x14ac:dyDescent="0.25">
      <c r="A73" s="7" t="s">
        <v>263</v>
      </c>
      <c r="B73" s="11" t="s">
        <v>197</v>
      </c>
      <c r="C73" s="23"/>
      <c r="D73" s="23"/>
      <c r="E73" s="23"/>
      <c r="F73" s="23"/>
      <c r="G73" s="23"/>
      <c r="H73" s="88"/>
      <c r="I73" s="23"/>
      <c r="J73" s="23"/>
      <c r="K73" s="23"/>
      <c r="L73" s="23"/>
      <c r="M73" s="88"/>
      <c r="N73" s="23"/>
      <c r="O73" s="23"/>
      <c r="P73" s="23"/>
      <c r="Q73" s="23"/>
      <c r="R73" s="88"/>
      <c r="S73" s="23"/>
      <c r="T73" s="23"/>
      <c r="U73" s="23"/>
      <c r="V73" s="23"/>
      <c r="W73" s="88"/>
      <c r="X73" s="23"/>
      <c r="Y73" s="23"/>
      <c r="Z73" s="23"/>
      <c r="AA73" s="23"/>
      <c r="AB73" s="88"/>
      <c r="AC73" s="23"/>
      <c r="AD73" s="23"/>
      <c r="AE73" s="23"/>
      <c r="AF73" s="23"/>
      <c r="AG73" s="88"/>
      <c r="AH73" s="23"/>
      <c r="AI73" s="23"/>
      <c r="AJ73" s="23"/>
      <c r="AK73" s="108"/>
      <c r="AL73" s="23"/>
      <c r="AM73" s="23"/>
      <c r="AN73" s="23"/>
      <c r="AO73" s="23"/>
      <c r="AP73" s="108"/>
      <c r="AQ73" s="23"/>
      <c r="AR73" s="23"/>
      <c r="AS73" s="23"/>
      <c r="AT73" s="23"/>
      <c r="AU73" s="88"/>
      <c r="AV73" s="105"/>
      <c r="AW73" s="105"/>
      <c r="AX73" s="105"/>
      <c r="AY73" s="105"/>
      <c r="AZ73" s="88"/>
      <c r="BA73" s="105"/>
      <c r="BB73" s="105"/>
      <c r="BC73" s="105"/>
      <c r="BD73" s="105"/>
      <c r="BE73" s="88"/>
      <c r="BF73" s="105"/>
      <c r="BG73" s="105"/>
      <c r="BH73" s="105"/>
      <c r="BI73" s="105"/>
      <c r="BJ73" s="88"/>
      <c r="BK73" s="105"/>
      <c r="BL73" s="105"/>
      <c r="BM73" s="105"/>
      <c r="BN73" s="105"/>
      <c r="BO73" s="138"/>
      <c r="BP73" s="138"/>
      <c r="BQ73" s="138"/>
      <c r="BR73" s="138"/>
      <c r="BS73" s="138"/>
      <c r="BT73" s="138"/>
      <c r="BU73" s="138"/>
      <c r="BV73" s="138"/>
      <c r="BW73" s="138"/>
      <c r="BX73" s="138"/>
      <c r="BY73" s="138"/>
      <c r="BZ73" s="138"/>
      <c r="CA73" s="138"/>
      <c r="CB73" s="138"/>
      <c r="CC73" s="138"/>
      <c r="CD73" s="138"/>
      <c r="CE73" s="139"/>
      <c r="CF73" s="139"/>
      <c r="CG73" s="139"/>
      <c r="CH73" s="139"/>
      <c r="CI73" s="138">
        <f>CI47+CI38-(CI72-CD72)</f>
        <v>1297.7197260273963</v>
      </c>
      <c r="CJ73" s="138">
        <f ca="1">CJ47+CJ38-(CJ72-CI72)</f>
        <v>1444.7222433319723</v>
      </c>
      <c r="CK73" s="138">
        <f ca="1">CK47+CK38-(CK72-CJ72)</f>
        <v>1638.9719896505176</v>
      </c>
      <c r="CL73" s="138">
        <f ca="1">CL47+CL38-(CL72-CK72)</f>
        <v>1828.6760170804505</v>
      </c>
      <c r="CM73" s="138">
        <f ca="1">CM47+CM38-(CM72-CL72)</f>
        <v>2224.3068382649963</v>
      </c>
      <c r="CN73" s="138">
        <f ca="1">CN47+CN38-(CN72-CM72)</f>
        <v>2439.3192969837332</v>
      </c>
      <c r="CO73" s="133"/>
      <c r="CP73" s="90"/>
      <c r="CQ73" s="6"/>
      <c r="CR73" s="30"/>
      <c r="CS73" s="40"/>
      <c r="CT73" s="124"/>
      <c r="CU73" s="124"/>
      <c r="CV73" s="124"/>
      <c r="CW73" s="124"/>
      <c r="CX73" s="124"/>
      <c r="DC73" s="124"/>
      <c r="DE73" s="136"/>
      <c r="DF73" s="136"/>
      <c r="DG73" s="140"/>
      <c r="DH73" s="140"/>
      <c r="DI73" s="140"/>
      <c r="DK73" s="140"/>
      <c r="DL73" s="140"/>
      <c r="DM73" s="6"/>
      <c r="DN73" s="140"/>
      <c r="DO73" s="140"/>
      <c r="DQ73" s="136"/>
      <c r="DR73" s="140"/>
      <c r="DS73" s="140"/>
      <c r="DT73" s="140"/>
      <c r="DV73" s="140"/>
      <c r="DW73" s="140"/>
      <c r="DX73" s="140"/>
      <c r="EA73" s="90"/>
      <c r="EB73" s="90"/>
      <c r="EC73" s="90"/>
      <c r="ED73" s="140"/>
      <c r="EE73" s="140"/>
      <c r="EF73" s="140"/>
      <c r="EJ73" s="90"/>
      <c r="EK73" s="90"/>
      <c r="EL73" s="140"/>
      <c r="EM73" s="140"/>
      <c r="EN73" s="140"/>
      <c r="EP73" s="90"/>
      <c r="EQ73" s="140"/>
      <c r="ER73" s="140"/>
      <c r="ES73" s="140"/>
      <c r="EV73" s="90"/>
      <c r="EW73" s="90"/>
      <c r="EX73" s="90"/>
      <c r="EY73" s="90"/>
      <c r="EZ73" s="140"/>
      <c r="FA73" s="140"/>
      <c r="FD73" s="90"/>
      <c r="FE73" s="90"/>
      <c r="FF73" s="90"/>
      <c r="FG73" s="140"/>
      <c r="FH73" s="140"/>
      <c r="FK73" s="140"/>
      <c r="FL73" s="140"/>
      <c r="FO73" s="90"/>
      <c r="FP73" s="90"/>
      <c r="FQ73" s="140"/>
      <c r="FR73" s="140"/>
      <c r="FU73" s="90"/>
      <c r="FV73" s="140"/>
      <c r="FW73" s="140"/>
      <c r="FX73" s="140"/>
      <c r="FY73" s="140"/>
      <c r="GA73" s="140"/>
      <c r="GB73" s="140"/>
      <c r="GC73" s="140"/>
      <c r="GF73" s="90"/>
      <c r="GG73" s="90"/>
      <c r="GH73" s="90"/>
      <c r="GI73" s="140"/>
      <c r="GJ73" s="140"/>
      <c r="GK73" s="140"/>
      <c r="GN73" s="90"/>
      <c r="GO73" s="90"/>
      <c r="GP73" s="140"/>
      <c r="GQ73" s="140"/>
      <c r="GR73" s="140"/>
      <c r="GV73" s="90"/>
      <c r="GW73" s="140"/>
      <c r="GX73" s="140"/>
      <c r="GY73" s="140"/>
      <c r="HC73" s="140"/>
      <c r="HD73" s="140"/>
      <c r="HE73" s="140"/>
      <c r="HF73" s="140"/>
      <c r="HI73" s="90"/>
      <c r="HJ73" s="90"/>
      <c r="HK73" s="90"/>
      <c r="HL73" s="90"/>
      <c r="HM73" s="140"/>
      <c r="HN73" s="140"/>
      <c r="HO73" s="140"/>
      <c r="HR73" s="90"/>
      <c r="HS73" s="90"/>
      <c r="HT73" s="90"/>
      <c r="HU73" s="140"/>
      <c r="HV73" s="140"/>
      <c r="HW73" s="140"/>
      <c r="HZ73" s="90"/>
      <c r="IA73" s="140"/>
      <c r="IB73" s="140"/>
      <c r="IC73" s="140"/>
      <c r="IE73" s="90"/>
      <c r="IF73" s="140"/>
      <c r="IG73" s="140"/>
      <c r="IH73" s="140"/>
      <c r="IK73" s="140"/>
      <c r="IL73" s="140"/>
      <c r="IO73" s="140"/>
      <c r="IP73" s="140"/>
      <c r="IS73" s="132"/>
      <c r="IT73" s="132"/>
      <c r="IU73" s="132"/>
      <c r="IX73" s="140"/>
      <c r="IY73" s="140"/>
      <c r="IZ73" s="140"/>
      <c r="JA73" s="140"/>
      <c r="JD73" s="140"/>
      <c r="JE73" s="140"/>
      <c r="JH73" s="140"/>
      <c r="JI73" s="140"/>
      <c r="JJ73" s="140"/>
      <c r="JM73" s="140"/>
      <c r="JN73" s="140"/>
      <c r="JQ73" s="140"/>
      <c r="JR73" s="140"/>
      <c r="JS73" s="140"/>
      <c r="JV73" s="140"/>
      <c r="JW73" s="140"/>
      <c r="JY73" s="140"/>
      <c r="JZ73" s="140"/>
      <c r="KB73" s="140"/>
      <c r="KC73" s="140"/>
      <c r="KD73" s="140"/>
    </row>
    <row r="74" spans="1:290" x14ac:dyDescent="0.25">
      <c r="A74" s="7" t="s">
        <v>264</v>
      </c>
      <c r="B74" s="11" t="s">
        <v>198</v>
      </c>
      <c r="C74" s="23"/>
      <c r="D74" s="23"/>
      <c r="E74" s="23"/>
      <c r="F74" s="23"/>
      <c r="G74" s="23"/>
      <c r="H74" s="88"/>
      <c r="I74" s="23"/>
      <c r="J74" s="23"/>
      <c r="K74" s="23"/>
      <c r="L74" s="23"/>
      <c r="M74" s="88"/>
      <c r="N74" s="23"/>
      <c r="O74" s="23"/>
      <c r="P74" s="23"/>
      <c r="Q74" s="23"/>
      <c r="R74" s="88"/>
      <c r="S74" s="23"/>
      <c r="T74" s="23"/>
      <c r="U74" s="23"/>
      <c r="V74" s="23"/>
      <c r="W74" s="88"/>
      <c r="X74" s="23"/>
      <c r="Y74" s="23"/>
      <c r="Z74" s="23"/>
      <c r="AA74" s="23"/>
      <c r="AB74" s="88"/>
      <c r="AC74" s="23"/>
      <c r="AD74" s="23"/>
      <c r="AE74" s="23"/>
      <c r="AF74" s="23"/>
      <c r="AG74" s="88"/>
      <c r="AH74" s="23"/>
      <c r="AI74" s="23"/>
      <c r="AJ74" s="23"/>
      <c r="AK74" s="108"/>
      <c r="AL74" s="23"/>
      <c r="AM74" s="23"/>
      <c r="AN74" s="23"/>
      <c r="AO74" s="23"/>
      <c r="AP74" s="108"/>
      <c r="AQ74" s="23"/>
      <c r="AR74" s="23"/>
      <c r="AS74" s="23"/>
      <c r="AT74" s="23"/>
      <c r="AU74" s="88"/>
      <c r="AV74" s="105"/>
      <c r="AW74" s="105"/>
      <c r="AX74" s="105"/>
      <c r="AY74" s="105"/>
      <c r="AZ74" s="88"/>
      <c r="BA74" s="105"/>
      <c r="BB74" s="105"/>
      <c r="BC74" s="105"/>
      <c r="BD74" s="105"/>
      <c r="BE74" s="88"/>
      <c r="BF74" s="105"/>
      <c r="BG74" s="105"/>
      <c r="BH74" s="105"/>
      <c r="BI74" s="105"/>
      <c r="BJ74" s="88"/>
      <c r="BK74" s="105"/>
      <c r="BL74" s="105"/>
      <c r="BM74" s="105"/>
      <c r="BN74" s="105"/>
      <c r="BO74" s="138">
        <v>466</v>
      </c>
      <c r="BP74" s="138"/>
      <c r="BQ74" s="138"/>
      <c r="BR74" s="138"/>
      <c r="BS74" s="138"/>
      <c r="BT74" s="138">
        <v>422</v>
      </c>
      <c r="BU74" s="138"/>
      <c r="BV74" s="138"/>
      <c r="BW74" s="138"/>
      <c r="BX74" s="138"/>
      <c r="BY74" s="138">
        <v>547</v>
      </c>
      <c r="BZ74" s="138"/>
      <c r="CA74" s="138"/>
      <c r="CB74" s="138"/>
      <c r="CC74" s="138"/>
      <c r="CD74" s="138">
        <v>888</v>
      </c>
      <c r="CE74" s="139"/>
      <c r="CF74" s="139"/>
      <c r="CG74" s="139"/>
      <c r="CH74" s="139"/>
      <c r="CI74" s="138">
        <v>808</v>
      </c>
      <c r="CJ74" s="138">
        <v>1000</v>
      </c>
      <c r="CK74" s="138">
        <f>(CK243)*60/10000</f>
        <v>990</v>
      </c>
      <c r="CL74" s="138">
        <f t="shared" ref="CL74:CN74" si="157">(CL243)*60/10000</f>
        <v>1050</v>
      </c>
      <c r="CM74" s="138">
        <f t="shared" si="157"/>
        <v>1230</v>
      </c>
      <c r="CN74" s="138">
        <f t="shared" ca="1" si="157"/>
        <v>1020</v>
      </c>
      <c r="CO74" s="133"/>
      <c r="CP74" s="90"/>
      <c r="CQ74" s="6"/>
      <c r="CR74" s="30"/>
      <c r="CS74" s="40"/>
      <c r="CT74" s="124"/>
      <c r="CU74" s="124"/>
      <c r="CV74" s="124"/>
      <c r="CW74" s="124"/>
      <c r="CX74" s="124"/>
      <c r="DC74" s="124"/>
      <c r="DE74" s="136"/>
      <c r="DF74" s="136"/>
      <c r="DG74" s="140"/>
      <c r="DH74" s="140"/>
      <c r="DI74" s="140"/>
      <c r="DK74" s="140"/>
      <c r="DL74" s="140"/>
      <c r="DM74" s="6"/>
      <c r="DN74" s="140"/>
      <c r="DO74" s="140"/>
      <c r="DQ74" s="136"/>
      <c r="DR74" s="140"/>
      <c r="DS74" s="140"/>
      <c r="DT74" s="140"/>
      <c r="DV74" s="140"/>
      <c r="DW74" s="140"/>
      <c r="DX74" s="140"/>
      <c r="EA74" s="90"/>
      <c r="EB74" s="90"/>
      <c r="EC74" s="90"/>
      <c r="ED74" s="140"/>
      <c r="EE74" s="140"/>
      <c r="EF74" s="140"/>
      <c r="EJ74" s="90"/>
      <c r="EK74" s="90"/>
      <c r="EL74" s="140"/>
      <c r="EM74" s="140"/>
      <c r="EN74" s="140"/>
      <c r="EP74" s="90"/>
      <c r="EQ74" s="140"/>
      <c r="ER74" s="140"/>
      <c r="ES74" s="140"/>
      <c r="EV74" s="90"/>
      <c r="EW74" s="90"/>
      <c r="EX74" s="90"/>
      <c r="EY74" s="90"/>
      <c r="EZ74" s="140"/>
      <c r="FA74" s="140"/>
      <c r="FD74" s="90"/>
      <c r="FE74" s="90"/>
      <c r="FF74" s="90"/>
      <c r="FG74" s="140"/>
      <c r="FH74" s="140"/>
      <c r="FK74" s="140"/>
      <c r="FL74" s="140"/>
      <c r="FO74" s="90"/>
      <c r="FP74" s="90"/>
      <c r="FQ74" s="140"/>
      <c r="FR74" s="140"/>
      <c r="FU74" s="90"/>
      <c r="FV74" s="140"/>
      <c r="FW74" s="140"/>
      <c r="FX74" s="140"/>
      <c r="FY74" s="140"/>
      <c r="GA74" s="140"/>
      <c r="GB74" s="140"/>
      <c r="GC74" s="140"/>
      <c r="GF74" s="90"/>
      <c r="GG74" s="90"/>
      <c r="GH74" s="90"/>
      <c r="GI74" s="140"/>
      <c r="GJ74" s="140"/>
      <c r="GK74" s="140"/>
      <c r="GN74" s="90"/>
      <c r="GO74" s="90"/>
      <c r="GP74" s="140"/>
      <c r="GQ74" s="140"/>
      <c r="GR74" s="140"/>
      <c r="GV74" s="90"/>
      <c r="GW74" s="140"/>
      <c r="GX74" s="140"/>
      <c r="GY74" s="140"/>
      <c r="HC74" s="140"/>
      <c r="HD74" s="140"/>
      <c r="HE74" s="140"/>
      <c r="HF74" s="140"/>
      <c r="HI74" s="90"/>
      <c r="HJ74" s="90"/>
      <c r="HK74" s="90"/>
      <c r="HL74" s="90"/>
      <c r="HM74" s="140"/>
      <c r="HN74" s="140"/>
      <c r="HO74" s="140"/>
      <c r="HR74" s="90"/>
      <c r="HS74" s="90"/>
      <c r="HT74" s="90"/>
      <c r="HU74" s="140"/>
      <c r="HV74" s="140"/>
      <c r="HW74" s="140"/>
      <c r="HZ74" s="90"/>
      <c r="IA74" s="140"/>
      <c r="IB74" s="140"/>
      <c r="IC74" s="140"/>
      <c r="IE74" s="90"/>
      <c r="IF74" s="140"/>
      <c r="IG74" s="140"/>
      <c r="IH74" s="140"/>
      <c r="IK74" s="140"/>
      <c r="IL74" s="140"/>
      <c r="IO74" s="140"/>
      <c r="IP74" s="140"/>
      <c r="IS74" s="132"/>
      <c r="IT74" s="132"/>
      <c r="IU74" s="132"/>
      <c r="IX74" s="140"/>
      <c r="IY74" s="140"/>
      <c r="IZ74" s="140"/>
      <c r="JA74" s="140"/>
      <c r="JD74" s="140"/>
      <c r="JE74" s="140"/>
      <c r="JH74" s="140"/>
      <c r="JI74" s="140"/>
      <c r="JJ74" s="140"/>
      <c r="JM74" s="140"/>
      <c r="JN74" s="140"/>
      <c r="JQ74" s="140"/>
      <c r="JR74" s="140"/>
      <c r="JS74" s="140"/>
      <c r="JV74" s="140"/>
      <c r="JW74" s="140"/>
      <c r="JY74" s="140"/>
      <c r="JZ74" s="140"/>
      <c r="KB74" s="140"/>
      <c r="KC74" s="140"/>
      <c r="KD74" s="140"/>
    </row>
    <row r="75" spans="1:290" x14ac:dyDescent="0.25">
      <c r="A75" s="7" t="s">
        <v>265</v>
      </c>
      <c r="B75" s="11" t="s">
        <v>199</v>
      </c>
      <c r="C75" s="23"/>
      <c r="D75" s="23"/>
      <c r="E75" s="23"/>
      <c r="F75" s="23"/>
      <c r="G75" s="23"/>
      <c r="H75" s="88"/>
      <c r="I75" s="23"/>
      <c r="J75" s="23"/>
      <c r="K75" s="23"/>
      <c r="L75" s="23"/>
      <c r="M75" s="88"/>
      <c r="N75" s="23"/>
      <c r="O75" s="23"/>
      <c r="P75" s="23"/>
      <c r="Q75" s="23"/>
      <c r="R75" s="88"/>
      <c r="S75" s="23"/>
      <c r="T75" s="23"/>
      <c r="U75" s="23"/>
      <c r="V75" s="23"/>
      <c r="W75" s="88"/>
      <c r="X75" s="23"/>
      <c r="Y75" s="23"/>
      <c r="Z75" s="23"/>
      <c r="AA75" s="23"/>
      <c r="AB75" s="88"/>
      <c r="AC75" s="23"/>
      <c r="AD75" s="23"/>
      <c r="AE75" s="23"/>
      <c r="AF75" s="23"/>
      <c r="AG75" s="88"/>
      <c r="AH75" s="23"/>
      <c r="AI75" s="23"/>
      <c r="AJ75" s="23"/>
      <c r="AK75" s="108"/>
      <c r="AL75" s="23"/>
      <c r="AM75" s="23"/>
      <c r="AN75" s="23"/>
      <c r="AO75" s="23"/>
      <c r="AP75" s="108"/>
      <c r="AQ75" s="23"/>
      <c r="AR75" s="23"/>
      <c r="AS75" s="23"/>
      <c r="AT75" s="23"/>
      <c r="AU75" s="88"/>
      <c r="AV75" s="105"/>
      <c r="AW75" s="105"/>
      <c r="AX75" s="105"/>
      <c r="AY75" s="105"/>
      <c r="AZ75" s="88"/>
      <c r="BA75" s="105"/>
      <c r="BB75" s="105"/>
      <c r="BC75" s="105"/>
      <c r="BD75" s="105"/>
      <c r="BE75" s="88"/>
      <c r="BF75" s="105"/>
      <c r="BG75" s="105"/>
      <c r="BH75" s="105"/>
      <c r="BI75" s="105"/>
      <c r="BJ75" s="88"/>
      <c r="BK75" s="105"/>
      <c r="BL75" s="105"/>
      <c r="BM75" s="105"/>
      <c r="BN75" s="105"/>
      <c r="BO75" s="138"/>
      <c r="BP75" s="138"/>
      <c r="BQ75" s="138"/>
      <c r="BR75" s="138"/>
      <c r="BS75" s="138"/>
      <c r="BT75" s="138"/>
      <c r="BU75" s="138"/>
      <c r="BV75" s="138"/>
      <c r="BW75" s="138"/>
      <c r="BX75" s="138"/>
      <c r="BY75" s="138"/>
      <c r="BZ75" s="138"/>
      <c r="CA75" s="138"/>
      <c r="CB75" s="138"/>
      <c r="CC75" s="138"/>
      <c r="CD75" s="138"/>
      <c r="CE75" s="139"/>
      <c r="CF75" s="139"/>
      <c r="CG75" s="139"/>
      <c r="CH75" s="139"/>
      <c r="CI75" s="138">
        <f t="shared" ref="CI75:CN75" si="158">CI47*0.4</f>
        <v>381.59199999999964</v>
      </c>
      <c r="CJ75" s="138">
        <f t="shared" ca="1" si="158"/>
        <v>446.90627193004923</v>
      </c>
      <c r="CK75" s="138">
        <f t="shared" ca="1" si="158"/>
        <v>524.79527002743987</v>
      </c>
      <c r="CL75" s="138">
        <f t="shared" ca="1" si="158"/>
        <v>621.17870738617501</v>
      </c>
      <c r="CM75" s="138">
        <f t="shared" ca="1" si="158"/>
        <v>708.74497514318</v>
      </c>
      <c r="CN75" s="138">
        <f t="shared" ca="1" si="158"/>
        <v>779.34069336736968</v>
      </c>
      <c r="CO75" s="133"/>
      <c r="CP75" s="90"/>
      <c r="CQ75" s="6"/>
      <c r="CR75" s="30"/>
      <c r="CS75" s="40"/>
      <c r="CT75" s="124"/>
      <c r="CU75" s="124"/>
      <c r="CV75" s="124"/>
      <c r="CW75" s="124"/>
      <c r="CX75" s="124"/>
      <c r="DC75" s="124"/>
      <c r="DE75" s="136"/>
      <c r="DF75" s="136"/>
      <c r="DG75" s="140"/>
      <c r="DH75" s="140"/>
      <c r="DI75" s="140"/>
      <c r="DK75" s="140"/>
      <c r="DL75" s="140"/>
      <c r="DM75" s="6"/>
      <c r="DN75" s="140"/>
      <c r="DO75" s="140"/>
      <c r="DQ75" s="136"/>
      <c r="DR75" s="140"/>
      <c r="DS75" s="140"/>
      <c r="DT75" s="140"/>
      <c r="DV75" s="140"/>
      <c r="DW75" s="140"/>
      <c r="DX75" s="140"/>
      <c r="EA75" s="90"/>
      <c r="EB75" s="90"/>
      <c r="EC75" s="90"/>
      <c r="ED75" s="140"/>
      <c r="EE75" s="140"/>
      <c r="EF75" s="140"/>
      <c r="EJ75" s="90"/>
      <c r="EK75" s="90"/>
      <c r="EL75" s="140"/>
      <c r="EM75" s="140"/>
      <c r="EN75" s="140"/>
      <c r="EP75" s="90"/>
      <c r="EQ75" s="140"/>
      <c r="ER75" s="140"/>
      <c r="ES75" s="140"/>
      <c r="EV75" s="90"/>
      <c r="EW75" s="90"/>
      <c r="EX75" s="90"/>
      <c r="EY75" s="90"/>
      <c r="EZ75" s="140"/>
      <c r="FA75" s="140"/>
      <c r="FD75" s="90"/>
      <c r="FE75" s="90"/>
      <c r="FF75" s="90"/>
      <c r="FG75" s="140"/>
      <c r="FH75" s="140"/>
      <c r="FK75" s="140"/>
      <c r="FL75" s="140"/>
      <c r="FO75" s="90"/>
      <c r="FP75" s="90"/>
      <c r="FQ75" s="140"/>
      <c r="FR75" s="140"/>
      <c r="FU75" s="90"/>
      <c r="FV75" s="140"/>
      <c r="FW75" s="140"/>
      <c r="FX75" s="140"/>
      <c r="FY75" s="140"/>
      <c r="GA75" s="140"/>
      <c r="GB75" s="140"/>
      <c r="GC75" s="140"/>
      <c r="GF75" s="90"/>
      <c r="GG75" s="90"/>
      <c r="GH75" s="90"/>
      <c r="GI75" s="140"/>
      <c r="GJ75" s="140"/>
      <c r="GK75" s="140"/>
      <c r="GN75" s="90"/>
      <c r="GO75" s="90"/>
      <c r="GP75" s="140"/>
      <c r="GQ75" s="140"/>
      <c r="GR75" s="140"/>
      <c r="GV75" s="90"/>
      <c r="GW75" s="140"/>
      <c r="GX75" s="140"/>
      <c r="GY75" s="140"/>
      <c r="HC75" s="140"/>
      <c r="HD75" s="140"/>
      <c r="HE75" s="140"/>
      <c r="HF75" s="140"/>
      <c r="HI75" s="90"/>
      <c r="HJ75" s="90"/>
      <c r="HK75" s="90"/>
      <c r="HL75" s="90"/>
      <c r="HM75" s="140"/>
      <c r="HN75" s="140"/>
      <c r="HO75" s="140"/>
      <c r="HR75" s="90"/>
      <c r="HS75" s="90"/>
      <c r="HT75" s="90"/>
      <c r="HU75" s="140"/>
      <c r="HV75" s="140"/>
      <c r="HW75" s="140"/>
      <c r="HZ75" s="90"/>
      <c r="IA75" s="140"/>
      <c r="IB75" s="140"/>
      <c r="IC75" s="140"/>
      <c r="IE75" s="90"/>
      <c r="IF75" s="140"/>
      <c r="IG75" s="140"/>
      <c r="IH75" s="140"/>
      <c r="IK75" s="140"/>
      <c r="IL75" s="140"/>
      <c r="IO75" s="140"/>
      <c r="IP75" s="140"/>
      <c r="IS75" s="132"/>
      <c r="IT75" s="132"/>
      <c r="IU75" s="132"/>
      <c r="IX75" s="140"/>
      <c r="IY75" s="140"/>
      <c r="IZ75" s="140"/>
      <c r="JA75" s="140"/>
      <c r="JD75" s="140"/>
      <c r="JE75" s="140"/>
      <c r="JH75" s="140"/>
      <c r="JI75" s="140"/>
      <c r="JJ75" s="140"/>
      <c r="JM75" s="140"/>
      <c r="JN75" s="140"/>
      <c r="JQ75" s="140"/>
      <c r="JR75" s="140"/>
      <c r="JS75" s="140"/>
      <c r="JV75" s="140"/>
      <c r="JW75" s="140"/>
      <c r="JY75" s="140"/>
      <c r="JZ75" s="140"/>
      <c r="KB75" s="140"/>
      <c r="KC75" s="140"/>
      <c r="KD75" s="140"/>
    </row>
    <row r="76" spans="1:290" x14ac:dyDescent="0.25">
      <c r="A76" s="226" t="e">
        <f>+B31*(1-B58)</f>
        <v>#VALUE!</v>
      </c>
      <c r="B76" s="11" t="s">
        <v>200</v>
      </c>
      <c r="C76" s="23"/>
      <c r="D76" s="23"/>
      <c r="E76" s="23"/>
      <c r="F76" s="23"/>
      <c r="G76" s="23"/>
      <c r="H76" s="88"/>
      <c r="I76" s="23"/>
      <c r="J76" s="23"/>
      <c r="K76" s="23"/>
      <c r="L76" s="23"/>
      <c r="M76" s="88"/>
      <c r="N76" s="23"/>
      <c r="O76" s="23"/>
      <c r="P76" s="23"/>
      <c r="Q76" s="23"/>
      <c r="R76" s="88"/>
      <c r="S76" s="23"/>
      <c r="T76" s="23"/>
      <c r="U76" s="23"/>
      <c r="V76" s="23"/>
      <c r="W76" s="88"/>
      <c r="X76" s="23"/>
      <c r="Y76" s="23"/>
      <c r="Z76" s="23"/>
      <c r="AA76" s="23"/>
      <c r="AB76" s="88"/>
      <c r="AC76" s="23"/>
      <c r="AD76" s="23"/>
      <c r="AE76" s="23"/>
      <c r="AF76" s="23"/>
      <c r="AG76" s="88"/>
      <c r="AH76" s="23"/>
      <c r="AI76" s="23"/>
      <c r="AJ76" s="23"/>
      <c r="AK76" s="108"/>
      <c r="AL76" s="23"/>
      <c r="AM76" s="23"/>
      <c r="AN76" s="23"/>
      <c r="AO76" s="23"/>
      <c r="AP76" s="108"/>
      <c r="AQ76" s="23"/>
      <c r="AR76" s="23"/>
      <c r="AS76" s="23"/>
      <c r="AT76" s="23"/>
      <c r="AU76" s="88"/>
      <c r="AV76" s="105"/>
      <c r="AW76" s="105"/>
      <c r="AX76" s="105"/>
      <c r="AY76" s="105"/>
      <c r="AZ76" s="88"/>
      <c r="BA76" s="105"/>
      <c r="BB76" s="105"/>
      <c r="BC76" s="105"/>
      <c r="BD76" s="105"/>
      <c r="BE76" s="138">
        <f t="shared" ref="BE76:CD76" si="159">BE28-BE38-BE41</f>
        <v>497.53999999999945</v>
      </c>
      <c r="BF76" s="138">
        <f t="shared" si="159"/>
        <v>51.710000000000107</v>
      </c>
      <c r="BG76" s="138">
        <f t="shared" si="159"/>
        <v>150.85000000000014</v>
      </c>
      <c r="BH76" s="138">
        <f t="shared" si="159"/>
        <v>258.01999999999992</v>
      </c>
      <c r="BI76" s="138">
        <f t="shared" si="159"/>
        <v>376.88</v>
      </c>
      <c r="BJ76" s="138">
        <f t="shared" si="159"/>
        <v>637.38</v>
      </c>
      <c r="BK76" s="138">
        <f t="shared" si="159"/>
        <v>122.94999999999999</v>
      </c>
      <c r="BL76" s="138">
        <f t="shared" si="159"/>
        <v>186.18699999999995</v>
      </c>
      <c r="BM76" s="138">
        <f t="shared" si="159"/>
        <v>192.59000000000009</v>
      </c>
      <c r="BN76" s="138">
        <f t="shared" si="159"/>
        <v>247.52999999999986</v>
      </c>
      <c r="BO76" s="138">
        <f t="shared" si="159"/>
        <v>749.25999999999976</v>
      </c>
      <c r="BP76" s="138">
        <f t="shared" si="159"/>
        <v>152.92999999999984</v>
      </c>
      <c r="BQ76" s="138">
        <f t="shared" si="159"/>
        <v>59.139999999999887</v>
      </c>
      <c r="BR76" s="138">
        <f t="shared" si="159"/>
        <v>175.30999999999992</v>
      </c>
      <c r="BS76" s="138">
        <f t="shared" si="159"/>
        <v>302.9499999999997</v>
      </c>
      <c r="BT76" s="138">
        <f t="shared" si="159"/>
        <v>690.2299999999999</v>
      </c>
      <c r="BU76" s="138">
        <f t="shared" si="159"/>
        <v>181.70999999999992</v>
      </c>
      <c r="BV76" s="138">
        <f t="shared" si="159"/>
        <v>208.01999999999998</v>
      </c>
      <c r="BW76" s="138">
        <f t="shared" si="159"/>
        <v>219.80000000000013</v>
      </c>
      <c r="BX76" s="138">
        <f t="shared" si="159"/>
        <v>303.75999999999959</v>
      </c>
      <c r="BY76" s="138">
        <f t="shared" si="159"/>
        <v>913.5900000000014</v>
      </c>
      <c r="BZ76" s="138">
        <f t="shared" si="159"/>
        <v>217.72999999999996</v>
      </c>
      <c r="CA76" s="138">
        <f t="shared" si="159"/>
        <v>201.36</v>
      </c>
      <c r="CB76" s="138">
        <f t="shared" si="159"/>
        <v>159.09000000000015</v>
      </c>
      <c r="CC76" s="138">
        <f t="shared" si="159"/>
        <v>252.96000000000021</v>
      </c>
      <c r="CD76" s="138">
        <f t="shared" si="159"/>
        <v>796.01999999999805</v>
      </c>
      <c r="CE76" s="139"/>
      <c r="CF76" s="139"/>
      <c r="CG76" s="139"/>
      <c r="CH76" s="139"/>
      <c r="CI76" s="138">
        <f t="shared" ref="CI76:CN76" si="160">CI28-CI38-CI41</f>
        <v>836.99999999999909</v>
      </c>
      <c r="CJ76" s="138">
        <f t="shared" ca="1" si="160"/>
        <v>1011.2112006830653</v>
      </c>
      <c r="CK76" s="138">
        <f t="shared" ca="1" si="160"/>
        <v>1182.6883943377893</v>
      </c>
      <c r="CL76" s="138">
        <f t="shared" ca="1" si="160"/>
        <v>1414.2220684434383</v>
      </c>
      <c r="CM76" s="138">
        <f t="shared" ca="1" si="160"/>
        <v>1625.870881941034</v>
      </c>
      <c r="CN76" s="138">
        <f t="shared" ca="1" si="160"/>
        <v>1784.4608193896509</v>
      </c>
      <c r="CO76" s="90"/>
      <c r="CP76" s="90"/>
      <c r="CQ76" s="6"/>
      <c r="CR76" s="30"/>
      <c r="CS76" s="40"/>
      <c r="CT76" s="124"/>
      <c r="CU76" s="124"/>
      <c r="CV76" s="124"/>
      <c r="CW76" s="124"/>
      <c r="CX76" s="124"/>
      <c r="DC76" s="124"/>
      <c r="DE76" s="136"/>
      <c r="DF76" s="136"/>
      <c r="DG76" s="140"/>
      <c r="DH76" s="140"/>
      <c r="DI76" s="140"/>
      <c r="DK76" s="140"/>
      <c r="DL76" s="140"/>
      <c r="DM76" s="6"/>
      <c r="DN76" s="140"/>
      <c r="DO76" s="140"/>
      <c r="DQ76" s="136"/>
      <c r="DR76" s="140"/>
      <c r="DS76" s="140"/>
      <c r="DT76" s="140"/>
      <c r="DV76" s="140"/>
      <c r="DW76" s="140"/>
      <c r="DX76" s="140"/>
      <c r="EA76" s="90"/>
      <c r="EB76" s="90"/>
      <c r="EC76" s="90"/>
      <c r="ED76" s="140"/>
      <c r="EE76" s="140"/>
      <c r="EF76" s="140"/>
      <c r="EJ76" s="90"/>
      <c r="EK76" s="90"/>
      <c r="EL76" s="140"/>
      <c r="EM76" s="140"/>
      <c r="EN76" s="140"/>
      <c r="EP76" s="90"/>
      <c r="EQ76" s="140"/>
      <c r="ER76" s="140"/>
      <c r="ES76" s="140"/>
      <c r="EV76" s="90"/>
      <c r="EW76" s="90"/>
      <c r="EX76" s="90"/>
      <c r="EY76" s="90"/>
      <c r="EZ76" s="140"/>
      <c r="FA76" s="140"/>
      <c r="FD76" s="90"/>
      <c r="FE76" s="90"/>
      <c r="FF76" s="90"/>
      <c r="FG76" s="140"/>
      <c r="FH76" s="140"/>
      <c r="FK76" s="140"/>
      <c r="FL76" s="140"/>
      <c r="FO76" s="90"/>
      <c r="FP76" s="90"/>
      <c r="FQ76" s="140"/>
      <c r="FR76" s="140"/>
      <c r="FU76" s="90"/>
      <c r="FV76" s="140"/>
      <c r="FW76" s="140"/>
      <c r="FX76" s="140"/>
      <c r="FY76" s="140"/>
      <c r="GA76" s="140"/>
      <c r="GB76" s="140"/>
      <c r="GC76" s="140"/>
      <c r="GF76" s="90"/>
      <c r="GG76" s="90"/>
      <c r="GH76" s="90"/>
      <c r="GI76" s="140"/>
      <c r="GJ76" s="140"/>
      <c r="GK76" s="140"/>
      <c r="GN76" s="90"/>
      <c r="GO76" s="90"/>
      <c r="GP76" s="140"/>
      <c r="GQ76" s="140"/>
      <c r="GR76" s="140"/>
      <c r="GV76" s="90"/>
      <c r="GW76" s="140"/>
      <c r="GX76" s="140"/>
      <c r="GY76" s="140"/>
      <c r="HC76" s="140"/>
      <c r="HD76" s="140"/>
      <c r="HE76" s="140"/>
      <c r="HF76" s="140"/>
      <c r="HI76" s="90"/>
      <c r="HJ76" s="90"/>
      <c r="HK76" s="90"/>
      <c r="HL76" s="90"/>
      <c r="HM76" s="140"/>
      <c r="HN76" s="140"/>
      <c r="HO76" s="140"/>
      <c r="HR76" s="90"/>
      <c r="HS76" s="90"/>
      <c r="HT76" s="90"/>
      <c r="HU76" s="140"/>
      <c r="HV76" s="140"/>
      <c r="HW76" s="140"/>
      <c r="HZ76" s="90"/>
      <c r="IA76" s="140"/>
      <c r="IB76" s="140"/>
      <c r="IC76" s="140"/>
      <c r="IE76" s="90"/>
      <c r="IF76" s="140"/>
      <c r="IG76" s="140"/>
      <c r="IH76" s="140"/>
      <c r="IK76" s="140"/>
      <c r="IL76" s="140"/>
      <c r="IO76" s="140"/>
      <c r="IP76" s="140"/>
      <c r="IS76" s="132"/>
      <c r="IT76" s="132"/>
      <c r="IU76" s="132"/>
      <c r="IX76" s="140"/>
      <c r="IY76" s="140"/>
      <c r="IZ76" s="140"/>
      <c r="JA76" s="140"/>
      <c r="JD76" s="140"/>
      <c r="JE76" s="140"/>
      <c r="JH76" s="140"/>
      <c r="JI76" s="140"/>
      <c r="JJ76" s="140"/>
      <c r="JM76" s="140"/>
      <c r="JN76" s="140"/>
      <c r="JQ76" s="140"/>
      <c r="JR76" s="140"/>
      <c r="JS76" s="140"/>
      <c r="JV76" s="140"/>
      <c r="JW76" s="140"/>
      <c r="JY76" s="140"/>
      <c r="JZ76" s="140"/>
      <c r="KB76" s="140"/>
      <c r="KC76" s="140"/>
      <c r="KD76" s="140"/>
    </row>
    <row r="77" spans="1:290" x14ac:dyDescent="0.25">
      <c r="A77" s="226" t="e">
        <f>+B51+B52+B53</f>
        <v>#VALUE!</v>
      </c>
      <c r="B77" s="11" t="s">
        <v>201</v>
      </c>
      <c r="C77" s="23"/>
      <c r="D77" s="23"/>
      <c r="E77" s="23"/>
      <c r="F77" s="23"/>
      <c r="G77" s="23"/>
      <c r="H77" s="88"/>
      <c r="I77" s="23"/>
      <c r="J77" s="23"/>
      <c r="K77" s="23"/>
      <c r="L77" s="23"/>
      <c r="M77" s="88"/>
      <c r="N77" s="23"/>
      <c r="O77" s="23"/>
      <c r="P77" s="23"/>
      <c r="Q77" s="23"/>
      <c r="R77" s="88"/>
      <c r="S77" s="23"/>
      <c r="T77" s="23"/>
      <c r="U77" s="23"/>
      <c r="V77" s="23"/>
      <c r="W77" s="88"/>
      <c r="X77" s="23"/>
      <c r="Y77" s="23"/>
      <c r="Z77" s="23"/>
      <c r="AA77" s="23"/>
      <c r="AB77" s="88"/>
      <c r="AC77" s="23"/>
      <c r="AD77" s="23"/>
      <c r="AE77" s="23"/>
      <c r="AF77" s="23"/>
      <c r="AG77" s="88"/>
      <c r="AH77" s="23"/>
      <c r="AI77" s="23"/>
      <c r="AJ77" s="23"/>
      <c r="AK77" s="108"/>
      <c r="AL77" s="23"/>
      <c r="AM77" s="23"/>
      <c r="AN77" s="23"/>
      <c r="AO77" s="23"/>
      <c r="AP77" s="108"/>
      <c r="AQ77" s="23"/>
      <c r="AR77" s="23"/>
      <c r="AS77" s="23"/>
      <c r="AT77" s="23"/>
      <c r="AU77" s="88"/>
      <c r="AV77" s="105"/>
      <c r="AW77" s="105"/>
      <c r="AX77" s="105"/>
      <c r="AY77" s="105"/>
      <c r="AZ77" s="88"/>
      <c r="BA77" s="105"/>
      <c r="BB77" s="105"/>
      <c r="BC77" s="105"/>
      <c r="BD77" s="105"/>
      <c r="BE77" s="138">
        <f t="shared" ref="BE77:CD77" si="161">BE51+BE52+BE53</f>
        <v>2672.13</v>
      </c>
      <c r="BF77" s="138">
        <f t="shared" si="161"/>
        <v>25.41</v>
      </c>
      <c r="BG77" s="138">
        <f t="shared" si="161"/>
        <v>2353.6099999999997</v>
      </c>
      <c r="BH77" s="138">
        <f t="shared" si="161"/>
        <v>-406.59</v>
      </c>
      <c r="BI77" s="138">
        <f t="shared" si="161"/>
        <v>25.42</v>
      </c>
      <c r="BJ77" s="138">
        <f t="shared" si="161"/>
        <v>3169.21</v>
      </c>
      <c r="BK77" s="138">
        <f t="shared" si="161"/>
        <v>25.42</v>
      </c>
      <c r="BL77" s="138">
        <f t="shared" si="161"/>
        <v>25.42</v>
      </c>
      <c r="BM77" s="138">
        <f t="shared" si="161"/>
        <v>25.42</v>
      </c>
      <c r="BN77" s="138">
        <f t="shared" si="161"/>
        <v>25.42</v>
      </c>
      <c r="BO77" s="138">
        <f t="shared" si="161"/>
        <v>3844.3599999999997</v>
      </c>
      <c r="BP77" s="138">
        <f t="shared" si="161"/>
        <v>-507.59</v>
      </c>
      <c r="BQ77" s="138">
        <f t="shared" si="161"/>
        <v>3410.49</v>
      </c>
      <c r="BR77" s="138">
        <f t="shared" si="161"/>
        <v>-661.59</v>
      </c>
      <c r="BS77" s="138">
        <f t="shared" si="161"/>
        <v>3690.5199999999995</v>
      </c>
      <c r="BT77" s="138">
        <f t="shared" si="161"/>
        <v>4427.53</v>
      </c>
      <c r="BU77" s="138">
        <f t="shared" si="161"/>
        <v>3476.5199999999995</v>
      </c>
      <c r="BV77" s="138">
        <f t="shared" si="161"/>
        <v>-557.6</v>
      </c>
      <c r="BW77" s="138">
        <f t="shared" si="161"/>
        <v>-560.6</v>
      </c>
      <c r="BX77" s="138">
        <f t="shared" si="161"/>
        <v>25.4</v>
      </c>
      <c r="BY77" s="138">
        <f t="shared" si="161"/>
        <v>5134.24</v>
      </c>
      <c r="BZ77" s="138">
        <f t="shared" si="161"/>
        <v>0</v>
      </c>
      <c r="CA77" s="138">
        <f t="shared" si="161"/>
        <v>0</v>
      </c>
      <c r="CB77" s="138">
        <f t="shared" si="161"/>
        <v>0</v>
      </c>
      <c r="CC77" s="138">
        <f t="shared" si="161"/>
        <v>0</v>
      </c>
      <c r="CD77" s="138">
        <f t="shared" si="161"/>
        <v>5660.41</v>
      </c>
      <c r="CE77" s="139"/>
      <c r="CF77" s="139"/>
      <c r="CG77" s="139"/>
      <c r="CH77" s="139"/>
      <c r="CI77" s="138">
        <f t="shared" ref="CI77:CN77" si="162">CI51+CI52+CI53</f>
        <v>6169.07</v>
      </c>
      <c r="CJ77" s="138">
        <f t="shared" ca="1" si="162"/>
        <v>6839.4294078950734</v>
      </c>
      <c r="CK77" s="138">
        <f t="shared" ca="1" si="162"/>
        <v>7626.6223129362334</v>
      </c>
      <c r="CL77" s="138">
        <f t="shared" ca="1" si="162"/>
        <v>8558.3903740154965</v>
      </c>
      <c r="CM77" s="138">
        <f t="shared" ca="1" si="162"/>
        <v>9621.5078367302667</v>
      </c>
      <c r="CN77" s="138">
        <f t="shared" ca="1" si="162"/>
        <v>10790.518876781322</v>
      </c>
      <c r="CO77" s="133"/>
      <c r="CP77" s="133"/>
      <c r="CQ77" s="6"/>
      <c r="CR77" s="30"/>
      <c r="CS77" s="40"/>
      <c r="CT77" s="124"/>
      <c r="CU77" s="124"/>
      <c r="CV77" s="124"/>
      <c r="CW77" s="124"/>
      <c r="CX77" s="124"/>
      <c r="DC77" s="124"/>
      <c r="DE77" s="136"/>
      <c r="DF77" s="136"/>
      <c r="DG77" s="140"/>
      <c r="DH77" s="140"/>
      <c r="DI77" s="140"/>
      <c r="DK77" s="140"/>
      <c r="DL77" s="140"/>
      <c r="DM77" s="6"/>
      <c r="DN77" s="140"/>
      <c r="DO77" s="140"/>
      <c r="DQ77" s="136"/>
      <c r="DR77" s="140"/>
      <c r="DS77" s="140"/>
      <c r="DT77" s="140"/>
      <c r="DV77" s="140"/>
      <c r="DW77" s="140"/>
      <c r="DX77" s="140"/>
      <c r="EA77" s="90"/>
      <c r="EB77" s="90"/>
      <c r="EC77" s="90"/>
      <c r="ED77" s="140"/>
      <c r="EE77" s="140"/>
      <c r="EF77" s="140"/>
      <c r="EJ77" s="90"/>
      <c r="EK77" s="90"/>
      <c r="EL77" s="140"/>
      <c r="EM77" s="140"/>
      <c r="EN77" s="140"/>
      <c r="EP77" s="90"/>
      <c r="EQ77" s="140"/>
      <c r="ER77" s="140"/>
      <c r="ES77" s="140"/>
      <c r="EV77" s="90"/>
      <c r="EW77" s="90"/>
      <c r="EX77" s="90"/>
      <c r="EY77" s="90"/>
      <c r="EZ77" s="140"/>
      <c r="FA77" s="140"/>
      <c r="FD77" s="90"/>
      <c r="FE77" s="90"/>
      <c r="FF77" s="90"/>
      <c r="FG77" s="140"/>
      <c r="FH77" s="140"/>
      <c r="FK77" s="140"/>
      <c r="FL77" s="140"/>
      <c r="FO77" s="90"/>
      <c r="FP77" s="90"/>
      <c r="FQ77" s="140"/>
      <c r="FR77" s="140"/>
      <c r="FU77" s="90"/>
      <c r="FV77" s="140"/>
      <c r="FW77" s="140"/>
      <c r="FX77" s="140"/>
      <c r="FY77" s="140"/>
      <c r="GA77" s="140"/>
      <c r="GB77" s="140"/>
      <c r="GC77" s="140"/>
      <c r="GF77" s="90"/>
      <c r="GG77" s="90"/>
      <c r="GH77" s="90"/>
      <c r="GI77" s="140"/>
      <c r="GJ77" s="140"/>
      <c r="GK77" s="140"/>
      <c r="GN77" s="90"/>
      <c r="GO77" s="90"/>
      <c r="GP77" s="140"/>
      <c r="GQ77" s="140"/>
      <c r="GR77" s="140"/>
      <c r="GV77" s="90"/>
      <c r="GW77" s="140"/>
      <c r="GX77" s="140"/>
      <c r="GY77" s="140"/>
      <c r="HC77" s="140"/>
      <c r="HD77" s="140"/>
      <c r="HE77" s="140"/>
      <c r="HF77" s="140"/>
      <c r="HI77" s="90"/>
      <c r="HJ77" s="90"/>
      <c r="HK77" s="90"/>
      <c r="HL77" s="90"/>
      <c r="HM77" s="140"/>
      <c r="HN77" s="140"/>
      <c r="HO77" s="140"/>
      <c r="HR77" s="90"/>
      <c r="HS77" s="90"/>
      <c r="HT77" s="90"/>
      <c r="HU77" s="140"/>
      <c r="HV77" s="140"/>
      <c r="HW77" s="140"/>
      <c r="HZ77" s="90"/>
      <c r="IA77" s="140"/>
      <c r="IB77" s="140"/>
      <c r="IC77" s="140"/>
      <c r="IE77" s="90"/>
      <c r="IF77" s="140"/>
      <c r="IG77" s="140"/>
      <c r="IH77" s="140"/>
      <c r="IK77" s="140"/>
      <c r="IL77" s="140"/>
      <c r="IO77" s="140"/>
      <c r="IP77" s="140"/>
      <c r="IS77" s="132"/>
      <c r="IT77" s="132"/>
      <c r="IU77" s="132"/>
      <c r="IX77" s="140"/>
      <c r="IY77" s="140"/>
      <c r="IZ77" s="140"/>
      <c r="JA77" s="140"/>
      <c r="JD77" s="140"/>
      <c r="JE77" s="140"/>
      <c r="JH77" s="140"/>
      <c r="JI77" s="140"/>
      <c r="JJ77" s="140"/>
      <c r="JM77" s="140"/>
      <c r="JN77" s="140"/>
      <c r="JQ77" s="140"/>
      <c r="JR77" s="140"/>
      <c r="JS77" s="140"/>
      <c r="JV77" s="140"/>
      <c r="JW77" s="140"/>
      <c r="JY77" s="140"/>
      <c r="JZ77" s="140"/>
      <c r="KB77" s="140"/>
      <c r="KC77" s="140"/>
      <c r="KD77" s="140"/>
    </row>
    <row r="78" spans="1:290" x14ac:dyDescent="0.25">
      <c r="A78" s="226" t="e">
        <f>+A77-B54</f>
        <v>#VALUE!</v>
      </c>
      <c r="B78" s="11" t="s">
        <v>202</v>
      </c>
      <c r="C78" s="23"/>
      <c r="D78" s="23"/>
      <c r="E78" s="23"/>
      <c r="F78" s="23"/>
      <c r="G78" s="23"/>
      <c r="H78" s="88"/>
      <c r="I78" s="23"/>
      <c r="J78" s="23"/>
      <c r="K78" s="23"/>
      <c r="L78" s="23"/>
      <c r="M78" s="88"/>
      <c r="N78" s="23"/>
      <c r="O78" s="23"/>
      <c r="P78" s="23"/>
      <c r="Q78" s="23"/>
      <c r="R78" s="88"/>
      <c r="S78" s="23"/>
      <c r="T78" s="23"/>
      <c r="U78" s="23"/>
      <c r="V78" s="23"/>
      <c r="W78" s="88"/>
      <c r="X78" s="23"/>
      <c r="Y78" s="23"/>
      <c r="Z78" s="23"/>
      <c r="AA78" s="23"/>
      <c r="AB78" s="88"/>
      <c r="AC78" s="23"/>
      <c r="AD78" s="23"/>
      <c r="AE78" s="23"/>
      <c r="AF78" s="23"/>
      <c r="AG78" s="88"/>
      <c r="AH78" s="23"/>
      <c r="AI78" s="23"/>
      <c r="AJ78" s="23"/>
      <c r="AK78" s="108"/>
      <c r="AL78" s="23"/>
      <c r="AM78" s="23"/>
      <c r="AN78" s="23"/>
      <c r="AO78" s="23"/>
      <c r="AP78" s="108"/>
      <c r="AQ78" s="23"/>
      <c r="AR78" s="23"/>
      <c r="AS78" s="23"/>
      <c r="AT78" s="23"/>
      <c r="AU78" s="88"/>
      <c r="AV78" s="105"/>
      <c r="AW78" s="105"/>
      <c r="AX78" s="105"/>
      <c r="AY78" s="105"/>
      <c r="AZ78" s="88"/>
      <c r="BA78" s="105"/>
      <c r="BB78" s="105"/>
      <c r="BC78" s="105"/>
      <c r="BD78" s="105"/>
      <c r="BE78" s="138">
        <f t="shared" ref="BE78:CD78" si="163">BE51+BE52+BE53-BE54</f>
        <v>2234.13</v>
      </c>
      <c r="BF78" s="138">
        <f t="shared" si="163"/>
        <v>25.41</v>
      </c>
      <c r="BG78" s="138">
        <f t="shared" si="163"/>
        <v>2353.6099999999997</v>
      </c>
      <c r="BH78" s="138">
        <f t="shared" si="163"/>
        <v>-406.59</v>
      </c>
      <c r="BI78" s="138">
        <f t="shared" si="163"/>
        <v>25.42</v>
      </c>
      <c r="BJ78" s="138">
        <f t="shared" si="163"/>
        <v>2064.21</v>
      </c>
      <c r="BK78" s="138">
        <f t="shared" si="163"/>
        <v>25.42</v>
      </c>
      <c r="BL78" s="138">
        <f t="shared" si="163"/>
        <v>25.42</v>
      </c>
      <c r="BM78" s="138">
        <f t="shared" si="163"/>
        <v>25.42</v>
      </c>
      <c r="BN78" s="138">
        <f t="shared" si="163"/>
        <v>25.42</v>
      </c>
      <c r="BO78" s="138">
        <f t="shared" si="163"/>
        <v>2842.3599999999997</v>
      </c>
      <c r="BP78" s="138">
        <f t="shared" si="163"/>
        <v>-507.59</v>
      </c>
      <c r="BQ78" s="138">
        <f t="shared" si="163"/>
        <v>3410.49</v>
      </c>
      <c r="BR78" s="138">
        <f t="shared" si="163"/>
        <v>-661.59</v>
      </c>
      <c r="BS78" s="138">
        <f t="shared" si="163"/>
        <v>3690.5199999999995</v>
      </c>
      <c r="BT78" s="138">
        <f t="shared" si="163"/>
        <v>3104.5299999999997</v>
      </c>
      <c r="BU78" s="138">
        <f t="shared" si="163"/>
        <v>3476.5199999999995</v>
      </c>
      <c r="BV78" s="138">
        <f t="shared" si="163"/>
        <v>-557.6</v>
      </c>
      <c r="BW78" s="138">
        <f t="shared" si="163"/>
        <v>-560.6</v>
      </c>
      <c r="BX78" s="138">
        <f t="shared" si="163"/>
        <v>25.4</v>
      </c>
      <c r="BY78" s="138">
        <f t="shared" si="163"/>
        <v>3309.24</v>
      </c>
      <c r="BZ78" s="138">
        <f t="shared" si="163"/>
        <v>0</v>
      </c>
      <c r="CA78" s="138">
        <f t="shared" si="163"/>
        <v>0</v>
      </c>
      <c r="CB78" s="138">
        <f t="shared" si="163"/>
        <v>0</v>
      </c>
      <c r="CC78" s="138">
        <f t="shared" si="163"/>
        <v>0</v>
      </c>
      <c r="CD78" s="138">
        <f t="shared" si="163"/>
        <v>3988.41</v>
      </c>
      <c r="CE78" s="139"/>
      <c r="CF78" s="139"/>
      <c r="CG78" s="139"/>
      <c r="CH78" s="139"/>
      <c r="CI78" s="138">
        <f t="shared" ref="CI78:CN78" si="164">CI51+CI52+CI53-CI54</f>
        <v>4749.07</v>
      </c>
      <c r="CJ78" s="138">
        <f t="shared" ca="1" si="164"/>
        <v>5437.6134364931504</v>
      </c>
      <c r="CK78" s="138">
        <f t="shared" ca="1" si="164"/>
        <v>6116.6296219130763</v>
      </c>
      <c r="CL78" s="138">
        <f t="shared" ca="1" si="164"/>
        <v>6900.9003733091213</v>
      </c>
      <c r="CM78" s="138">
        <f t="shared" ca="1" si="164"/>
        <v>7688.4559729407792</v>
      </c>
      <c r="CN78" s="138">
        <f t="shared" ca="1" si="164"/>
        <v>8227.488409478683</v>
      </c>
      <c r="CO78" s="133"/>
      <c r="CP78" s="133"/>
      <c r="CQ78" s="6"/>
      <c r="CR78" s="30"/>
      <c r="CS78" s="40"/>
      <c r="CT78" s="124"/>
      <c r="CU78" s="124"/>
      <c r="CV78" s="124"/>
      <c r="CW78" s="124"/>
      <c r="CX78" s="124"/>
      <c r="DC78" s="124"/>
      <c r="DE78" s="136"/>
      <c r="DF78" s="136"/>
      <c r="DG78" s="140"/>
      <c r="DH78" s="140"/>
      <c r="DI78" s="140"/>
      <c r="DK78" s="140"/>
      <c r="DL78" s="140"/>
      <c r="DM78" s="6"/>
      <c r="DN78" s="140"/>
      <c r="DO78" s="140"/>
      <c r="DQ78" s="136"/>
      <c r="DR78" s="140"/>
      <c r="DS78" s="140"/>
      <c r="DT78" s="140"/>
      <c r="DV78" s="140"/>
      <c r="DW78" s="140"/>
      <c r="DX78" s="140"/>
      <c r="EA78" s="90"/>
      <c r="EB78" s="90"/>
      <c r="EC78" s="90"/>
      <c r="ED78" s="140"/>
      <c r="EE78" s="140"/>
      <c r="EF78" s="140"/>
      <c r="EJ78" s="90"/>
      <c r="EK78" s="90"/>
      <c r="EL78" s="140"/>
      <c r="EM78" s="140"/>
      <c r="EN78" s="140"/>
      <c r="EP78" s="90"/>
      <c r="EQ78" s="140"/>
      <c r="ER78" s="140"/>
      <c r="ES78" s="140"/>
      <c r="EV78" s="90"/>
      <c r="EW78" s="90"/>
      <c r="EX78" s="90"/>
      <c r="EY78" s="90"/>
      <c r="EZ78" s="140"/>
      <c r="FA78" s="140"/>
      <c r="FD78" s="90"/>
      <c r="FE78" s="90"/>
      <c r="FF78" s="90"/>
      <c r="FG78" s="140"/>
      <c r="FH78" s="140"/>
      <c r="FK78" s="140"/>
      <c r="FL78" s="140"/>
      <c r="FO78" s="90"/>
      <c r="FP78" s="90"/>
      <c r="FQ78" s="140"/>
      <c r="FR78" s="140"/>
      <c r="FU78" s="90"/>
      <c r="FV78" s="140"/>
      <c r="FW78" s="140"/>
      <c r="FX78" s="140"/>
      <c r="FY78" s="140"/>
      <c r="GA78" s="140"/>
      <c r="GB78" s="140"/>
      <c r="GC78" s="140"/>
      <c r="GF78" s="90"/>
      <c r="GG78" s="90"/>
      <c r="GH78" s="90"/>
      <c r="GI78" s="140"/>
      <c r="GJ78" s="140"/>
      <c r="GK78" s="140"/>
      <c r="GN78" s="90"/>
      <c r="GO78" s="90"/>
      <c r="GP78" s="140"/>
      <c r="GQ78" s="140"/>
      <c r="GR78" s="140"/>
      <c r="GV78" s="90"/>
      <c r="GW78" s="140"/>
      <c r="GX78" s="140"/>
      <c r="GY78" s="140"/>
      <c r="HC78" s="140"/>
      <c r="HD78" s="140"/>
      <c r="HE78" s="140"/>
      <c r="HF78" s="140"/>
      <c r="HI78" s="90"/>
      <c r="HJ78" s="90"/>
      <c r="HK78" s="90"/>
      <c r="HL78" s="90"/>
      <c r="HM78" s="140"/>
      <c r="HN78" s="140"/>
      <c r="HO78" s="140"/>
      <c r="HR78" s="90"/>
      <c r="HS78" s="90"/>
      <c r="HT78" s="90"/>
      <c r="HU78" s="140"/>
      <c r="HV78" s="140"/>
      <c r="HW78" s="140"/>
      <c r="HZ78" s="90"/>
      <c r="IA78" s="140"/>
      <c r="IB78" s="140"/>
      <c r="IC78" s="140"/>
      <c r="IE78" s="90"/>
      <c r="IF78" s="140"/>
      <c r="IG78" s="140"/>
      <c r="IH78" s="140"/>
      <c r="IK78" s="140"/>
      <c r="IL78" s="140"/>
      <c r="IO78" s="140"/>
      <c r="IP78" s="140"/>
      <c r="IS78" s="132"/>
      <c r="IT78" s="132"/>
      <c r="IU78" s="132"/>
      <c r="IX78" s="140"/>
      <c r="IY78" s="140"/>
      <c r="IZ78" s="140"/>
      <c r="JA78" s="140"/>
      <c r="JD78" s="140"/>
      <c r="JE78" s="140"/>
      <c r="JH78" s="140"/>
      <c r="JI78" s="140"/>
      <c r="JJ78" s="140"/>
      <c r="JM78" s="140"/>
      <c r="JN78" s="140"/>
      <c r="JQ78" s="140"/>
      <c r="JR78" s="140"/>
      <c r="JS78" s="140"/>
      <c r="JV78" s="140"/>
      <c r="JW78" s="140"/>
      <c r="JY78" s="140"/>
      <c r="JZ78" s="140"/>
      <c r="KB78" s="140"/>
      <c r="KC78" s="140"/>
      <c r="KD78" s="140"/>
    </row>
    <row r="79" spans="1:290" s="60" customFormat="1" x14ac:dyDescent="0.25">
      <c r="A79" s="60" t="e">
        <f>+A76/A78</f>
        <v>#VALUE!</v>
      </c>
      <c r="B79" s="34" t="s">
        <v>203</v>
      </c>
      <c r="C79" s="99"/>
      <c r="D79" s="99"/>
      <c r="E79" s="99"/>
      <c r="F79" s="99"/>
      <c r="G79" s="99"/>
      <c r="H79" s="100"/>
      <c r="I79" s="99"/>
      <c r="J79" s="99"/>
      <c r="K79" s="99"/>
      <c r="L79" s="99"/>
      <c r="M79" s="100"/>
      <c r="N79" s="99"/>
      <c r="O79" s="99"/>
      <c r="P79" s="99"/>
      <c r="Q79" s="99"/>
      <c r="R79" s="100"/>
      <c r="S79" s="99"/>
      <c r="T79" s="99"/>
      <c r="U79" s="99"/>
      <c r="V79" s="99"/>
      <c r="W79" s="100"/>
      <c r="X79" s="99"/>
      <c r="Y79" s="99"/>
      <c r="Z79" s="99"/>
      <c r="AA79" s="99"/>
      <c r="AB79" s="100"/>
      <c r="AC79" s="99"/>
      <c r="AD79" s="99"/>
      <c r="AE79" s="99"/>
      <c r="AF79" s="99"/>
      <c r="AG79" s="100"/>
      <c r="AH79" s="99"/>
      <c r="AI79" s="99"/>
      <c r="AJ79" s="99"/>
      <c r="AK79" s="104"/>
      <c r="AL79" s="99"/>
      <c r="AM79" s="99"/>
      <c r="AN79" s="99"/>
      <c r="AO79" s="99"/>
      <c r="AP79" s="104"/>
      <c r="AQ79" s="99"/>
      <c r="AR79" s="99"/>
      <c r="AS79" s="99"/>
      <c r="AT79" s="99"/>
      <c r="AU79" s="100"/>
      <c r="AV79" s="101"/>
      <c r="AW79" s="101"/>
      <c r="AX79" s="101"/>
      <c r="AY79" s="101"/>
      <c r="AZ79" s="100"/>
      <c r="BA79" s="101"/>
      <c r="BB79" s="101"/>
      <c r="BC79" s="101"/>
      <c r="BD79" s="101"/>
      <c r="BE79" s="100">
        <f t="shared" ref="BE79:CD79" si="165">BE76/BE78</f>
        <v>0.22269966385125281</v>
      </c>
      <c r="BF79" s="100">
        <f t="shared" si="165"/>
        <v>2.0350255804801303</v>
      </c>
      <c r="BG79" s="100">
        <f t="shared" si="165"/>
        <v>6.4093031555780333E-2</v>
      </c>
      <c r="BH79" s="100">
        <f t="shared" si="165"/>
        <v>-0.63459504660714705</v>
      </c>
      <c r="BI79" s="100">
        <f t="shared" si="165"/>
        <v>14.826121164437449</v>
      </c>
      <c r="BJ79" s="100">
        <f t="shared" si="165"/>
        <v>0.30877672329850159</v>
      </c>
      <c r="BK79" s="100">
        <f t="shared" si="165"/>
        <v>4.8367427222659316</v>
      </c>
      <c r="BL79" s="100">
        <f t="shared" si="165"/>
        <v>7.3244295830055055</v>
      </c>
      <c r="BM79" s="100">
        <f t="shared" si="165"/>
        <v>7.5763178599527965</v>
      </c>
      <c r="BN79" s="100">
        <f t="shared" si="165"/>
        <v>9.7376081825334317</v>
      </c>
      <c r="BO79" s="100">
        <f t="shared" si="165"/>
        <v>0.26360489170970597</v>
      </c>
      <c r="BP79" s="100">
        <f t="shared" si="165"/>
        <v>-0.30128647136468378</v>
      </c>
      <c r="BQ79" s="100">
        <f t="shared" si="165"/>
        <v>1.7340616744221472E-2</v>
      </c>
      <c r="BR79" s="100">
        <f t="shared" si="165"/>
        <v>-0.26498284435979974</v>
      </c>
      <c r="BS79" s="100">
        <f t="shared" si="165"/>
        <v>8.2088702947010109E-2</v>
      </c>
      <c r="BT79" s="100">
        <f t="shared" si="165"/>
        <v>0.22232995010516887</v>
      </c>
      <c r="BU79" s="100">
        <f t="shared" si="165"/>
        <v>5.2267785026405701E-2</v>
      </c>
      <c r="BV79" s="100">
        <f t="shared" si="165"/>
        <v>-0.37306312769010036</v>
      </c>
      <c r="BW79" s="100">
        <f t="shared" si="165"/>
        <v>-0.39207991437745293</v>
      </c>
      <c r="BX79" s="100">
        <f t="shared" si="165"/>
        <v>11.959055118110221</v>
      </c>
      <c r="BY79" s="100">
        <f t="shared" si="165"/>
        <v>0.2760724516807489</v>
      </c>
      <c r="BZ79" s="100" t="e">
        <f t="shared" si="165"/>
        <v>#DIV/0!</v>
      </c>
      <c r="CA79" s="100" t="e">
        <f t="shared" si="165"/>
        <v>#DIV/0!</v>
      </c>
      <c r="CB79" s="100" t="e">
        <f t="shared" si="165"/>
        <v>#DIV/0!</v>
      </c>
      <c r="CC79" s="100" t="e">
        <f t="shared" si="165"/>
        <v>#DIV/0!</v>
      </c>
      <c r="CD79" s="100">
        <f t="shared" si="165"/>
        <v>0.19958329259027985</v>
      </c>
      <c r="CE79" s="101"/>
      <c r="CF79" s="101"/>
      <c r="CG79" s="101"/>
      <c r="CH79" s="101"/>
      <c r="CI79" s="100">
        <f t="shared" ref="CI79:CN79" si="166">CI76/CI78</f>
        <v>0.17624503323808643</v>
      </c>
      <c r="CJ79" s="100">
        <f t="shared" ca="1" si="166"/>
        <v>0.18596599638668321</v>
      </c>
      <c r="CK79" s="100">
        <f t="shared" ca="1" si="166"/>
        <v>0.19335622188088022</v>
      </c>
      <c r="CL79" s="100">
        <f t="shared" ca="1" si="166"/>
        <v>0.20493297858831286</v>
      </c>
      <c r="CM79" s="100">
        <f t="shared" ca="1" si="166"/>
        <v>0.21146910220507512</v>
      </c>
      <c r="CN79" s="100">
        <f t="shared" ca="1" si="166"/>
        <v>0.21689010431589528</v>
      </c>
      <c r="CO79" s="141"/>
      <c r="CP79" s="141"/>
      <c r="CQ79" s="58"/>
      <c r="CR79" s="59"/>
      <c r="CS79" s="142"/>
      <c r="CT79" s="143"/>
      <c r="CU79" s="143"/>
      <c r="CV79" s="143"/>
      <c r="CW79" s="143"/>
      <c r="CX79" s="143"/>
      <c r="DC79" s="143"/>
      <c r="DE79" s="4"/>
      <c r="DF79" s="4"/>
      <c r="DG79" s="144"/>
      <c r="DH79" s="144"/>
      <c r="DI79" s="144"/>
      <c r="DK79" s="144"/>
      <c r="DL79" s="144"/>
      <c r="DM79" s="58"/>
      <c r="DN79" s="144"/>
      <c r="DO79" s="144"/>
      <c r="DQ79" s="4"/>
      <c r="DR79" s="144"/>
      <c r="DS79" s="144"/>
      <c r="DT79" s="144"/>
      <c r="DV79" s="144"/>
      <c r="DW79" s="144"/>
      <c r="DX79" s="144"/>
      <c r="EA79" s="102"/>
      <c r="EB79" s="102"/>
      <c r="EC79" s="102"/>
      <c r="ED79" s="144"/>
      <c r="EE79" s="144"/>
      <c r="EF79" s="144"/>
      <c r="EJ79" s="102"/>
      <c r="EK79" s="102"/>
      <c r="EL79" s="144"/>
      <c r="EM79" s="144"/>
      <c r="EN79" s="144"/>
      <c r="EP79" s="102"/>
      <c r="EQ79" s="144"/>
      <c r="ER79" s="144"/>
      <c r="ES79" s="144"/>
      <c r="EV79" s="102"/>
      <c r="EW79" s="102"/>
      <c r="EX79" s="102"/>
      <c r="EY79" s="102"/>
      <c r="EZ79" s="144"/>
      <c r="FA79" s="144"/>
      <c r="FD79" s="102"/>
      <c r="FE79" s="102"/>
      <c r="FF79" s="102"/>
      <c r="FG79" s="144"/>
      <c r="FH79" s="144"/>
      <c r="FK79" s="144"/>
      <c r="FL79" s="144"/>
      <c r="FO79" s="102"/>
      <c r="FP79" s="102"/>
      <c r="FQ79" s="144"/>
      <c r="FR79" s="144"/>
      <c r="FU79" s="102"/>
      <c r="FV79" s="144"/>
      <c r="FW79" s="144"/>
      <c r="FX79" s="144"/>
      <c r="FY79" s="144"/>
      <c r="GA79" s="144"/>
      <c r="GB79" s="144"/>
      <c r="GC79" s="144"/>
      <c r="GF79" s="102"/>
      <c r="GG79" s="102"/>
      <c r="GH79" s="102"/>
      <c r="GI79" s="144"/>
      <c r="GJ79" s="144"/>
      <c r="GK79" s="144"/>
      <c r="GN79" s="102"/>
      <c r="GO79" s="102"/>
      <c r="GP79" s="144"/>
      <c r="GQ79" s="144"/>
      <c r="GR79" s="144"/>
      <c r="GV79" s="102"/>
      <c r="GW79" s="144"/>
      <c r="GX79" s="144"/>
      <c r="GY79" s="144"/>
      <c r="HC79" s="144"/>
      <c r="HD79" s="144"/>
      <c r="HE79" s="144"/>
      <c r="HF79" s="144"/>
      <c r="HI79" s="102"/>
      <c r="HJ79" s="102"/>
      <c r="HK79" s="102"/>
      <c r="HL79" s="102"/>
      <c r="HM79" s="144"/>
      <c r="HN79" s="144"/>
      <c r="HO79" s="144"/>
      <c r="HR79" s="102"/>
      <c r="HS79" s="102"/>
      <c r="HT79" s="102"/>
      <c r="HU79" s="144"/>
      <c r="HV79" s="144"/>
      <c r="HW79" s="144"/>
      <c r="HZ79" s="102"/>
      <c r="IA79" s="144"/>
      <c r="IB79" s="144"/>
      <c r="IC79" s="144"/>
      <c r="IE79" s="102"/>
      <c r="IF79" s="144"/>
      <c r="IG79" s="144"/>
      <c r="IH79" s="144"/>
      <c r="IK79" s="144"/>
      <c r="IL79" s="144"/>
      <c r="IO79" s="144"/>
      <c r="IP79" s="144"/>
      <c r="IS79" s="145"/>
      <c r="IT79" s="145"/>
      <c r="IU79" s="145"/>
      <c r="IX79" s="144"/>
      <c r="IY79" s="144"/>
      <c r="IZ79" s="144"/>
      <c r="JA79" s="144"/>
      <c r="JD79" s="144"/>
      <c r="JE79" s="144"/>
      <c r="JH79" s="144"/>
      <c r="JI79" s="144"/>
      <c r="JJ79" s="144"/>
      <c r="JM79" s="144"/>
      <c r="JN79" s="144"/>
      <c r="JQ79" s="144"/>
      <c r="JR79" s="144"/>
      <c r="JS79" s="144"/>
      <c r="JV79" s="144"/>
      <c r="JW79" s="144"/>
      <c r="JY79" s="144"/>
      <c r="JZ79" s="144"/>
      <c r="KB79" s="144"/>
      <c r="KC79" s="144"/>
      <c r="KD79" s="144"/>
    </row>
    <row r="80" spans="1:290" s="60" customFormat="1" x14ac:dyDescent="0.25">
      <c r="B80" s="34"/>
      <c r="C80" s="99"/>
      <c r="D80" s="99"/>
      <c r="E80" s="99"/>
      <c r="F80" s="99"/>
      <c r="G80" s="99"/>
      <c r="H80" s="101"/>
      <c r="I80" s="99"/>
      <c r="J80" s="99"/>
      <c r="K80" s="99"/>
      <c r="L80" s="99"/>
      <c r="M80" s="101"/>
      <c r="N80" s="99"/>
      <c r="O80" s="99"/>
      <c r="P80" s="99"/>
      <c r="Q80" s="99"/>
      <c r="R80" s="101"/>
      <c r="S80" s="99"/>
      <c r="T80" s="99"/>
      <c r="U80" s="99"/>
      <c r="V80" s="99"/>
      <c r="W80" s="101"/>
      <c r="X80" s="99"/>
      <c r="Y80" s="99"/>
      <c r="Z80" s="99"/>
      <c r="AA80" s="99"/>
      <c r="AB80" s="101"/>
      <c r="AC80" s="99"/>
      <c r="AD80" s="99"/>
      <c r="AE80" s="99"/>
      <c r="AF80" s="99"/>
      <c r="AG80" s="101"/>
      <c r="AH80" s="99"/>
      <c r="AI80" s="99"/>
      <c r="AJ80" s="99"/>
      <c r="AK80" s="118"/>
      <c r="AL80" s="99"/>
      <c r="AM80" s="99"/>
      <c r="AN80" s="99"/>
      <c r="AO80" s="99"/>
      <c r="AP80" s="118"/>
      <c r="AQ80" s="99"/>
      <c r="AR80" s="99"/>
      <c r="AS80" s="99"/>
      <c r="AT80" s="99"/>
      <c r="AU80" s="101"/>
      <c r="AV80" s="101"/>
      <c r="AW80" s="101"/>
      <c r="AX80" s="101"/>
      <c r="AY80" s="101"/>
      <c r="AZ80" s="101"/>
      <c r="BA80" s="101"/>
      <c r="BB80" s="101"/>
      <c r="BC80" s="101"/>
      <c r="BD80" s="101"/>
      <c r="BE80" s="101"/>
      <c r="BF80" s="101"/>
      <c r="BG80" s="101"/>
      <c r="BH80" s="101"/>
      <c r="BI80" s="101"/>
      <c r="BJ80" s="101"/>
      <c r="BK80" s="101"/>
      <c r="BL80" s="101"/>
      <c r="BM80" s="101"/>
      <c r="BN80" s="101"/>
      <c r="BO80" s="101"/>
      <c r="BP80" s="101"/>
      <c r="BQ80" s="101"/>
      <c r="BR80" s="101"/>
      <c r="BS80" s="101"/>
      <c r="BT80" s="101"/>
      <c r="BU80" s="101"/>
      <c r="BV80" s="101"/>
      <c r="BW80" s="101"/>
      <c r="BX80" s="101"/>
      <c r="BY80" s="101"/>
      <c r="BZ80" s="101"/>
      <c r="CA80" s="101"/>
      <c r="CB80" s="101"/>
      <c r="CC80" s="101"/>
      <c r="CD80" s="101"/>
      <c r="CE80" s="101"/>
      <c r="CF80" s="101"/>
      <c r="CG80" s="101"/>
      <c r="CH80" s="101"/>
      <c r="CI80" s="101"/>
      <c r="CJ80" s="101"/>
      <c r="CK80" s="101"/>
      <c r="CL80" s="101"/>
      <c r="CM80" s="101"/>
      <c r="CN80" s="101"/>
      <c r="CO80" s="141"/>
      <c r="CP80" s="141"/>
      <c r="CQ80" s="58"/>
      <c r="CR80" s="146"/>
      <c r="CS80" s="147"/>
      <c r="CT80" s="119"/>
      <c r="CU80" s="119"/>
      <c r="CV80" s="119"/>
      <c r="CW80" s="119"/>
      <c r="CX80" s="119"/>
      <c r="DC80" s="119"/>
      <c r="DE80" s="4"/>
      <c r="DF80" s="4"/>
      <c r="DG80" s="102"/>
      <c r="DH80" s="102"/>
      <c r="DI80" s="102"/>
      <c r="DK80" s="102"/>
      <c r="DL80" s="102"/>
      <c r="DM80" s="58"/>
      <c r="DN80" s="102"/>
      <c r="DO80" s="102"/>
      <c r="DQ80" s="4"/>
      <c r="DR80" s="102"/>
      <c r="DS80" s="102"/>
      <c r="DT80" s="102"/>
      <c r="DV80" s="102"/>
      <c r="DW80" s="102"/>
      <c r="DX80" s="102"/>
      <c r="EA80" s="102"/>
      <c r="EB80" s="102"/>
      <c r="EC80" s="102"/>
      <c r="ED80" s="102"/>
      <c r="EE80" s="102"/>
      <c r="EF80" s="102"/>
      <c r="EJ80" s="102"/>
      <c r="EK80" s="102"/>
      <c r="EL80" s="102"/>
      <c r="EM80" s="102"/>
      <c r="EN80" s="102"/>
      <c r="EP80" s="102"/>
      <c r="EQ80" s="102"/>
      <c r="ER80" s="102"/>
      <c r="ES80" s="102"/>
      <c r="EV80" s="102"/>
      <c r="EW80" s="102"/>
      <c r="EX80" s="102"/>
      <c r="EY80" s="102"/>
      <c r="EZ80" s="102"/>
      <c r="FA80" s="102"/>
      <c r="FD80" s="102"/>
      <c r="FE80" s="102"/>
      <c r="FF80" s="102"/>
      <c r="FG80" s="102"/>
      <c r="FH80" s="102"/>
      <c r="FK80" s="102"/>
      <c r="FL80" s="102"/>
      <c r="FO80" s="102"/>
      <c r="FP80" s="102"/>
      <c r="FQ80" s="102"/>
      <c r="FR80" s="102"/>
      <c r="FU80" s="102"/>
      <c r="FV80" s="102"/>
      <c r="FW80" s="102"/>
      <c r="FX80" s="102"/>
      <c r="FY80" s="102"/>
      <c r="GA80" s="102"/>
      <c r="GB80" s="102"/>
      <c r="GC80" s="102"/>
      <c r="GF80" s="102"/>
      <c r="GG80" s="102"/>
      <c r="GH80" s="102"/>
      <c r="GI80" s="102"/>
      <c r="GJ80" s="102"/>
      <c r="GK80" s="102"/>
      <c r="GN80" s="102"/>
      <c r="GO80" s="102"/>
      <c r="GP80" s="102"/>
      <c r="GQ80" s="102"/>
      <c r="GR80" s="102"/>
      <c r="GV80" s="102"/>
      <c r="GW80" s="102"/>
      <c r="GX80" s="102"/>
      <c r="GY80" s="102"/>
      <c r="HC80" s="102"/>
      <c r="HD80" s="102"/>
      <c r="HE80" s="102"/>
      <c r="HF80" s="102"/>
      <c r="HI80" s="102"/>
      <c r="HJ80" s="102"/>
      <c r="HK80" s="102"/>
      <c r="HL80" s="102"/>
      <c r="HM80" s="102"/>
      <c r="HN80" s="102"/>
      <c r="HO80" s="102"/>
      <c r="HR80" s="102"/>
      <c r="HS80" s="102"/>
      <c r="HT80" s="102"/>
      <c r="HU80" s="102"/>
      <c r="HV80" s="102"/>
      <c r="HW80" s="102"/>
      <c r="HZ80" s="102"/>
      <c r="IA80" s="102"/>
      <c r="IB80" s="102"/>
      <c r="IC80" s="102"/>
      <c r="IE80" s="102"/>
      <c r="IF80" s="102"/>
      <c r="IG80" s="102"/>
      <c r="IH80" s="102"/>
      <c r="IK80" s="102"/>
      <c r="IL80" s="102"/>
      <c r="IO80" s="102"/>
      <c r="IP80" s="102"/>
      <c r="IS80" s="148"/>
      <c r="IT80" s="148"/>
      <c r="IU80" s="148"/>
      <c r="IX80" s="102"/>
      <c r="IY80" s="102"/>
      <c r="IZ80" s="102"/>
      <c r="JA80" s="102"/>
      <c r="JD80" s="102"/>
      <c r="JE80" s="102"/>
      <c r="JH80" s="102"/>
      <c r="JI80" s="102"/>
      <c r="JJ80" s="102"/>
      <c r="JM80" s="102"/>
      <c r="JN80" s="102"/>
      <c r="JQ80" s="102"/>
      <c r="JR80" s="102"/>
      <c r="JS80" s="102"/>
      <c r="JV80" s="102"/>
      <c r="JW80" s="102"/>
      <c r="JY80" s="102"/>
      <c r="JZ80" s="102"/>
      <c r="KB80" s="102"/>
      <c r="KC80" s="102"/>
      <c r="KD80" s="102"/>
    </row>
    <row r="81" spans="2:290" hidden="1" x14ac:dyDescent="0.25">
      <c r="B81" s="11" t="s">
        <v>204</v>
      </c>
      <c r="C81" s="23"/>
      <c r="D81" s="23"/>
      <c r="E81" s="23"/>
      <c r="F81" s="23"/>
      <c r="G81" s="23"/>
      <c r="H81" s="88"/>
      <c r="I81" s="23"/>
      <c r="J81" s="23"/>
      <c r="K81" s="23"/>
      <c r="L81" s="23"/>
      <c r="M81" s="88"/>
      <c r="N81" s="23"/>
      <c r="O81" s="23"/>
      <c r="P81" s="23"/>
      <c r="Q81" s="23"/>
      <c r="R81" s="88"/>
      <c r="S81" s="23"/>
      <c r="T81" s="23"/>
      <c r="U81" s="23"/>
      <c r="V81" s="23"/>
      <c r="W81" s="88"/>
      <c r="X81" s="23"/>
      <c r="Y81" s="23"/>
      <c r="Z81" s="23"/>
      <c r="AA81" s="23"/>
      <c r="AB81" s="88"/>
      <c r="AC81" s="23"/>
      <c r="AD81" s="23"/>
      <c r="AE81" s="23"/>
      <c r="AF81" s="23"/>
      <c r="AG81" s="88"/>
      <c r="AH81" s="23"/>
      <c r="AI81" s="23"/>
      <c r="AJ81" s="23"/>
      <c r="AK81" s="108"/>
      <c r="AL81" s="23"/>
      <c r="AM81" s="23"/>
      <c r="AN81" s="23"/>
      <c r="AO81" s="23"/>
      <c r="AP81" s="108"/>
      <c r="AQ81" s="23"/>
      <c r="AR81" s="23"/>
      <c r="AS81" s="23"/>
      <c r="AT81" s="23"/>
      <c r="AU81" s="88"/>
      <c r="AV81" s="105"/>
      <c r="AW81" s="105"/>
      <c r="AX81" s="105"/>
      <c r="AY81" s="105"/>
      <c r="AZ81" s="88"/>
      <c r="BA81" s="105"/>
      <c r="BB81" s="105"/>
      <c r="BC81" s="105"/>
      <c r="BD81" s="105"/>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105"/>
      <c r="CF81" s="105"/>
      <c r="CG81" s="105"/>
      <c r="CH81" s="105"/>
      <c r="CI81" s="88"/>
      <c r="CJ81" s="88"/>
      <c r="CK81" s="88"/>
      <c r="CL81" s="88"/>
      <c r="CM81" s="88"/>
      <c r="CN81" s="88">
        <v>0.12</v>
      </c>
      <c r="CO81" s="90"/>
      <c r="CP81" s="133"/>
      <c r="CQ81" s="6"/>
      <c r="CR81" s="30"/>
      <c r="CS81" s="40"/>
      <c r="CT81" s="124"/>
      <c r="CU81" s="124"/>
      <c r="CV81" s="124"/>
      <c r="CW81" s="124"/>
      <c r="CX81" s="124"/>
      <c r="DC81" s="124"/>
      <c r="DE81" s="136"/>
      <c r="DF81" s="136"/>
      <c r="DG81" s="140"/>
      <c r="DH81" s="140"/>
      <c r="DI81" s="140"/>
      <c r="DK81" s="140"/>
      <c r="DL81" s="140"/>
      <c r="DM81" s="6"/>
      <c r="DN81" s="140"/>
      <c r="DO81" s="140"/>
      <c r="DQ81" s="136"/>
      <c r="DR81" s="140"/>
      <c r="DS81" s="140"/>
      <c r="DT81" s="140"/>
      <c r="DV81" s="140"/>
      <c r="DW81" s="140"/>
      <c r="DX81" s="140"/>
      <c r="EA81" s="90"/>
      <c r="EB81" s="90"/>
      <c r="EC81" s="90"/>
      <c r="ED81" s="140"/>
      <c r="EE81" s="140"/>
      <c r="EF81" s="140"/>
      <c r="EJ81" s="90"/>
      <c r="EK81" s="90"/>
      <c r="EL81" s="140"/>
      <c r="EM81" s="140"/>
      <c r="EN81" s="140"/>
      <c r="EP81" s="90"/>
      <c r="EQ81" s="140"/>
      <c r="ER81" s="140"/>
      <c r="ES81" s="140"/>
      <c r="EV81" s="90"/>
      <c r="EW81" s="90"/>
      <c r="EX81" s="90"/>
      <c r="EY81" s="90"/>
      <c r="EZ81" s="140"/>
      <c r="FA81" s="140"/>
      <c r="FD81" s="90"/>
      <c r="FE81" s="90"/>
      <c r="FF81" s="90"/>
      <c r="FG81" s="140"/>
      <c r="FH81" s="140"/>
      <c r="FK81" s="140"/>
      <c r="FL81" s="140"/>
      <c r="FO81" s="90"/>
      <c r="FP81" s="90"/>
      <c r="FQ81" s="140"/>
      <c r="FR81" s="140"/>
      <c r="FU81" s="90"/>
      <c r="FV81" s="140"/>
      <c r="FW81" s="140"/>
      <c r="FX81" s="140"/>
      <c r="FY81" s="140"/>
      <c r="GA81" s="140"/>
      <c r="GB81" s="140"/>
      <c r="GC81" s="140"/>
      <c r="GF81" s="90"/>
      <c r="GG81" s="90"/>
      <c r="GH81" s="90"/>
      <c r="GI81" s="140"/>
      <c r="GJ81" s="140"/>
      <c r="GK81" s="140"/>
      <c r="GN81" s="90"/>
      <c r="GO81" s="90"/>
      <c r="GP81" s="140"/>
      <c r="GQ81" s="140"/>
      <c r="GR81" s="140"/>
      <c r="GV81" s="90"/>
      <c r="GW81" s="140"/>
      <c r="GX81" s="140"/>
      <c r="GY81" s="140"/>
      <c r="HC81" s="140"/>
      <c r="HD81" s="140"/>
      <c r="HE81" s="140"/>
      <c r="HF81" s="140"/>
      <c r="HI81" s="90"/>
      <c r="HJ81" s="90"/>
      <c r="HK81" s="90"/>
      <c r="HL81" s="90"/>
      <c r="HM81" s="140"/>
      <c r="HN81" s="140"/>
      <c r="HO81" s="140"/>
      <c r="HR81" s="90"/>
      <c r="HS81" s="90"/>
      <c r="HT81" s="90"/>
      <c r="HU81" s="140"/>
      <c r="HV81" s="140"/>
      <c r="HW81" s="140"/>
      <c r="HZ81" s="90"/>
      <c r="IA81" s="140"/>
      <c r="IB81" s="140"/>
      <c r="IC81" s="140"/>
      <c r="IE81" s="90"/>
      <c r="IF81" s="140"/>
      <c r="IG81" s="140"/>
      <c r="IH81" s="140"/>
      <c r="IK81" s="140"/>
      <c r="IL81" s="140"/>
      <c r="IO81" s="140"/>
      <c r="IP81" s="140"/>
      <c r="IS81" s="132"/>
      <c r="IT81" s="132"/>
      <c r="IU81" s="132"/>
      <c r="IX81" s="140"/>
      <c r="IY81" s="140"/>
      <c r="IZ81" s="140"/>
      <c r="JA81" s="140"/>
      <c r="JD81" s="140"/>
      <c r="JE81" s="140"/>
      <c r="JH81" s="140"/>
      <c r="JI81" s="140"/>
      <c r="JJ81" s="140"/>
      <c r="JM81" s="140"/>
      <c r="JN81" s="140"/>
      <c r="JQ81" s="140"/>
      <c r="JR81" s="140"/>
      <c r="JS81" s="140"/>
      <c r="JV81" s="140"/>
      <c r="JW81" s="140"/>
      <c r="JY81" s="140"/>
      <c r="JZ81" s="140"/>
      <c r="KB81" s="140"/>
      <c r="KC81" s="140"/>
      <c r="KD81" s="140"/>
    </row>
    <row r="82" spans="2:290" hidden="1" x14ac:dyDescent="0.25">
      <c r="B82" s="11" t="s">
        <v>205</v>
      </c>
      <c r="C82" s="23"/>
      <c r="D82" s="23"/>
      <c r="E82" s="23"/>
      <c r="F82" s="23"/>
      <c r="G82" s="23"/>
      <c r="H82" s="88"/>
      <c r="I82" s="23"/>
      <c r="J82" s="23"/>
      <c r="K82" s="23"/>
      <c r="L82" s="23"/>
      <c r="M82" s="88"/>
      <c r="N82" s="23"/>
      <c r="O82" s="23"/>
      <c r="P82" s="23"/>
      <c r="Q82" s="23"/>
      <c r="R82" s="88"/>
      <c r="S82" s="23"/>
      <c r="T82" s="23"/>
      <c r="U82" s="23"/>
      <c r="V82" s="23"/>
      <c r="W82" s="88"/>
      <c r="X82" s="23"/>
      <c r="Y82" s="23"/>
      <c r="Z82" s="23"/>
      <c r="AA82" s="23"/>
      <c r="AB82" s="88"/>
      <c r="AC82" s="23"/>
      <c r="AD82" s="23"/>
      <c r="AE82" s="23"/>
      <c r="AF82" s="23"/>
      <c r="AG82" s="88"/>
      <c r="AH82" s="23"/>
      <c r="AI82" s="23"/>
      <c r="AJ82" s="23"/>
      <c r="AK82" s="108"/>
      <c r="AL82" s="23"/>
      <c r="AM82" s="23"/>
      <c r="AN82" s="23"/>
      <c r="AO82" s="23"/>
      <c r="AP82" s="108"/>
      <c r="AQ82" s="23"/>
      <c r="AR82" s="23"/>
      <c r="AS82" s="23"/>
      <c r="AT82" s="23"/>
      <c r="AU82" s="88"/>
      <c r="AV82" s="105"/>
      <c r="AW82" s="105"/>
      <c r="AX82" s="105"/>
      <c r="AY82" s="105"/>
      <c r="AZ82" s="88"/>
      <c r="BA82" s="105"/>
      <c r="BB82" s="105"/>
      <c r="BC82" s="105"/>
      <c r="BD82" s="105"/>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105"/>
      <c r="CF82" s="105"/>
      <c r="CG82" s="105"/>
      <c r="CH82" s="105"/>
      <c r="CI82" s="88"/>
      <c r="CJ82" s="88"/>
      <c r="CK82" s="88"/>
      <c r="CL82" s="88"/>
      <c r="CM82" s="88"/>
      <c r="CN82" s="88">
        <v>0.1</v>
      </c>
      <c r="CO82" s="90"/>
      <c r="CP82" s="90"/>
      <c r="CQ82" s="6"/>
      <c r="CR82" s="30"/>
      <c r="CS82" s="40"/>
      <c r="CT82" s="124"/>
      <c r="CU82" s="124"/>
      <c r="CV82" s="124"/>
      <c r="CW82" s="124"/>
      <c r="CX82" s="124"/>
      <c r="DC82" s="124"/>
      <c r="DE82" s="136"/>
      <c r="DF82" s="136"/>
      <c r="DG82" s="140"/>
      <c r="DH82" s="140"/>
      <c r="DI82" s="140"/>
      <c r="DK82" s="140"/>
      <c r="DL82" s="140"/>
      <c r="DM82" s="6"/>
      <c r="DN82" s="140"/>
      <c r="DO82" s="140"/>
      <c r="DQ82" s="136"/>
      <c r="DR82" s="140"/>
      <c r="DS82" s="140"/>
      <c r="DT82" s="140"/>
      <c r="DV82" s="140"/>
      <c r="DW82" s="140"/>
      <c r="DX82" s="140"/>
      <c r="EA82" s="90"/>
      <c r="EB82" s="90"/>
      <c r="EC82" s="90"/>
      <c r="ED82" s="140"/>
      <c r="EE82" s="140"/>
      <c r="EF82" s="140"/>
      <c r="EJ82" s="90"/>
      <c r="EK82" s="90"/>
      <c r="EL82" s="140"/>
      <c r="EM82" s="140"/>
      <c r="EN82" s="140"/>
      <c r="EP82" s="90"/>
      <c r="EQ82" s="140"/>
      <c r="ER82" s="140"/>
      <c r="ES82" s="140"/>
      <c r="EV82" s="90"/>
      <c r="EW82" s="90"/>
      <c r="EX82" s="90"/>
      <c r="EY82" s="90"/>
      <c r="EZ82" s="140"/>
      <c r="FA82" s="140"/>
      <c r="FD82" s="90"/>
      <c r="FE82" s="90"/>
      <c r="FF82" s="90"/>
      <c r="FG82" s="140"/>
      <c r="FH82" s="140"/>
      <c r="FK82" s="140"/>
      <c r="FL82" s="140"/>
      <c r="FO82" s="90"/>
      <c r="FP82" s="90"/>
      <c r="FQ82" s="140"/>
      <c r="FR82" s="140"/>
      <c r="FU82" s="90"/>
      <c r="FV82" s="140"/>
      <c r="FW82" s="140"/>
      <c r="FX82" s="140"/>
      <c r="FY82" s="140"/>
      <c r="GA82" s="140"/>
      <c r="GB82" s="140"/>
      <c r="GC82" s="140"/>
      <c r="GF82" s="90"/>
      <c r="GG82" s="90"/>
      <c r="GH82" s="90"/>
      <c r="GI82" s="140"/>
      <c r="GJ82" s="140"/>
      <c r="GK82" s="140"/>
      <c r="GN82" s="90"/>
      <c r="GO82" s="90"/>
      <c r="GP82" s="140"/>
      <c r="GQ82" s="140"/>
      <c r="GR82" s="140"/>
      <c r="GV82" s="90"/>
      <c r="GW82" s="140"/>
      <c r="GX82" s="140"/>
      <c r="GY82" s="140"/>
      <c r="HC82" s="140"/>
      <c r="HD82" s="140"/>
      <c r="HE82" s="140"/>
      <c r="HF82" s="140"/>
      <c r="HI82" s="90"/>
      <c r="HJ82" s="90"/>
      <c r="HK82" s="90"/>
      <c r="HL82" s="90"/>
      <c r="HM82" s="140"/>
      <c r="HN82" s="140"/>
      <c r="HO82" s="140"/>
      <c r="HR82" s="90"/>
      <c r="HS82" s="90"/>
      <c r="HT82" s="90"/>
      <c r="HU82" s="140"/>
      <c r="HV82" s="140"/>
      <c r="HW82" s="140"/>
      <c r="HZ82" s="90"/>
      <c r="IA82" s="140"/>
      <c r="IB82" s="140"/>
      <c r="IC82" s="140"/>
      <c r="IE82" s="90"/>
      <c r="IF82" s="140"/>
      <c r="IG82" s="140"/>
      <c r="IH82" s="140"/>
      <c r="IK82" s="140"/>
      <c r="IL82" s="140"/>
      <c r="IO82" s="140"/>
      <c r="IP82" s="140"/>
      <c r="IS82" s="132"/>
      <c r="IT82" s="132"/>
      <c r="IU82" s="132"/>
      <c r="IX82" s="140"/>
      <c r="IY82" s="140"/>
      <c r="IZ82" s="140"/>
      <c r="JA82" s="140"/>
      <c r="JD82" s="140"/>
      <c r="JE82" s="140"/>
      <c r="JH82" s="140"/>
      <c r="JI82" s="140"/>
      <c r="JJ82" s="140"/>
      <c r="JM82" s="140"/>
      <c r="JN82" s="140"/>
      <c r="JQ82" s="140"/>
      <c r="JR82" s="140"/>
      <c r="JS82" s="140"/>
      <c r="JV82" s="140"/>
      <c r="JW82" s="140"/>
      <c r="JY82" s="140"/>
      <c r="JZ82" s="140"/>
      <c r="KB82" s="140"/>
      <c r="KC82" s="140"/>
      <c r="KD82" s="140"/>
    </row>
    <row r="83" spans="2:290" hidden="1" x14ac:dyDescent="0.25">
      <c r="B83" s="11" t="s">
        <v>206</v>
      </c>
      <c r="C83" s="23"/>
      <c r="D83" s="23"/>
      <c r="E83" s="23"/>
      <c r="F83" s="23"/>
      <c r="G83" s="23"/>
      <c r="H83" s="88"/>
      <c r="I83" s="23"/>
      <c r="J83" s="23"/>
      <c r="K83" s="23"/>
      <c r="L83" s="23"/>
      <c r="M83" s="88"/>
      <c r="N83" s="23"/>
      <c r="O83" s="23"/>
      <c r="P83" s="23"/>
      <c r="Q83" s="23"/>
      <c r="R83" s="88"/>
      <c r="S83" s="23"/>
      <c r="T83" s="23"/>
      <c r="U83" s="23"/>
      <c r="V83" s="23"/>
      <c r="W83" s="88"/>
      <c r="X83" s="23"/>
      <c r="Y83" s="23"/>
      <c r="Z83" s="23"/>
      <c r="AA83" s="23"/>
      <c r="AB83" s="88"/>
      <c r="AC83" s="23"/>
      <c r="AD83" s="23"/>
      <c r="AE83" s="23"/>
      <c r="AF83" s="23"/>
      <c r="AG83" s="88"/>
      <c r="AH83" s="23"/>
      <c r="AI83" s="23"/>
      <c r="AJ83" s="23"/>
      <c r="AK83" s="108"/>
      <c r="AL83" s="23"/>
      <c r="AM83" s="23"/>
      <c r="AN83" s="23"/>
      <c r="AO83" s="23"/>
      <c r="AP83" s="108"/>
      <c r="AQ83" s="23"/>
      <c r="AR83" s="23"/>
      <c r="AS83" s="23"/>
      <c r="AT83" s="23"/>
      <c r="AU83" s="88"/>
      <c r="AV83" s="105"/>
      <c r="AW83" s="105"/>
      <c r="AX83" s="105"/>
      <c r="AY83" s="105"/>
      <c r="AZ83" s="88"/>
      <c r="BA83" s="105"/>
      <c r="BB83" s="105"/>
      <c r="BC83" s="105"/>
      <c r="BD83" s="105"/>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105"/>
      <c r="CF83" s="105"/>
      <c r="CG83" s="105"/>
      <c r="CH83" s="105"/>
      <c r="CI83" s="88"/>
      <c r="CJ83" s="88"/>
      <c r="CK83" s="88"/>
      <c r="CL83" s="88"/>
      <c r="CM83" s="88"/>
      <c r="CN83" s="149">
        <f ca="1">(CN79-CN82)/(CN81-CN82)</f>
        <v>5.8445052157947668</v>
      </c>
      <c r="CO83" s="133"/>
      <c r="CP83" s="90"/>
      <c r="CQ83" s="6"/>
      <c r="CR83" s="30"/>
      <c r="CS83" s="40"/>
      <c r="CT83" s="124"/>
      <c r="CU83" s="124"/>
      <c r="CV83" s="124"/>
      <c r="CW83" s="124"/>
      <c r="CX83" s="124"/>
      <c r="DC83" s="124"/>
      <c r="DE83" s="136"/>
      <c r="DF83" s="136"/>
      <c r="DG83" s="140"/>
      <c r="DH83" s="140"/>
      <c r="DI83" s="140"/>
      <c r="DK83" s="140"/>
      <c r="DL83" s="140"/>
      <c r="DM83" s="6"/>
      <c r="DN83" s="140"/>
      <c r="DO83" s="140"/>
      <c r="DQ83" s="136"/>
      <c r="DR83" s="140"/>
      <c r="DS83" s="140"/>
      <c r="DT83" s="140"/>
      <c r="DV83" s="140"/>
      <c r="DW83" s="140"/>
      <c r="DX83" s="140"/>
      <c r="EA83" s="90"/>
      <c r="EB83" s="90"/>
      <c r="EC83" s="90"/>
      <c r="ED83" s="140"/>
      <c r="EE83" s="140"/>
      <c r="EF83" s="140"/>
      <c r="EJ83" s="90"/>
      <c r="EK83" s="90"/>
      <c r="EL83" s="140"/>
      <c r="EM83" s="140"/>
      <c r="EN83" s="140"/>
      <c r="EP83" s="90"/>
      <c r="EQ83" s="140"/>
      <c r="ER83" s="140"/>
      <c r="ES83" s="140"/>
      <c r="EV83" s="90"/>
      <c r="EW83" s="90"/>
      <c r="EX83" s="90"/>
      <c r="EY83" s="90"/>
      <c r="EZ83" s="140"/>
      <c r="FA83" s="140"/>
      <c r="FD83" s="90"/>
      <c r="FE83" s="90"/>
      <c r="FF83" s="90"/>
      <c r="FG83" s="140"/>
      <c r="FH83" s="140"/>
      <c r="FK83" s="140"/>
      <c r="FL83" s="140"/>
      <c r="FO83" s="90"/>
      <c r="FP83" s="90"/>
      <c r="FQ83" s="140"/>
      <c r="FR83" s="140"/>
      <c r="FU83" s="90"/>
      <c r="FV83" s="140"/>
      <c r="FW83" s="140"/>
      <c r="FX83" s="140"/>
      <c r="FY83" s="140"/>
      <c r="GA83" s="140"/>
      <c r="GB83" s="140"/>
      <c r="GC83" s="140"/>
      <c r="GF83" s="90"/>
      <c r="GG83" s="90"/>
      <c r="GH83" s="90"/>
      <c r="GI83" s="140"/>
      <c r="GJ83" s="140"/>
      <c r="GK83" s="140"/>
      <c r="GN83" s="90"/>
      <c r="GO83" s="90"/>
      <c r="GP83" s="140"/>
      <c r="GQ83" s="140"/>
      <c r="GR83" s="140"/>
      <c r="GV83" s="90"/>
      <c r="GW83" s="140"/>
      <c r="GX83" s="140"/>
      <c r="GY83" s="140"/>
      <c r="HC83" s="140"/>
      <c r="HD83" s="140"/>
      <c r="HE83" s="140"/>
      <c r="HF83" s="140"/>
      <c r="HI83" s="90"/>
      <c r="HJ83" s="90"/>
      <c r="HK83" s="90"/>
      <c r="HL83" s="90"/>
      <c r="HM83" s="140"/>
      <c r="HN83" s="140"/>
      <c r="HO83" s="140"/>
      <c r="HR83" s="90"/>
      <c r="HS83" s="90"/>
      <c r="HT83" s="90"/>
      <c r="HU83" s="140"/>
      <c r="HV83" s="140"/>
      <c r="HW83" s="140"/>
      <c r="HZ83" s="90"/>
      <c r="IA83" s="140"/>
      <c r="IB83" s="140"/>
      <c r="IC83" s="140"/>
      <c r="IE83" s="90"/>
      <c r="IF83" s="140"/>
      <c r="IG83" s="140"/>
      <c r="IH83" s="140"/>
      <c r="IK83" s="140"/>
      <c r="IL83" s="140"/>
      <c r="IO83" s="140"/>
      <c r="IP83" s="140"/>
      <c r="IS83" s="132"/>
      <c r="IT83" s="132"/>
      <c r="IU83" s="132"/>
      <c r="IX83" s="140"/>
      <c r="IY83" s="140"/>
      <c r="IZ83" s="140"/>
      <c r="JA83" s="140"/>
      <c r="JD83" s="140"/>
      <c r="JE83" s="140"/>
      <c r="JH83" s="140"/>
      <c r="JI83" s="140"/>
      <c r="JJ83" s="140"/>
      <c r="JM83" s="140"/>
      <c r="JN83" s="140"/>
      <c r="JQ83" s="140"/>
      <c r="JR83" s="140"/>
      <c r="JS83" s="140"/>
      <c r="JV83" s="140"/>
      <c r="JW83" s="140"/>
      <c r="JY83" s="140"/>
      <c r="JZ83" s="140"/>
      <c r="KB83" s="140"/>
      <c r="KC83" s="140"/>
      <c r="KD83" s="140"/>
    </row>
    <row r="84" spans="2:290" hidden="1" x14ac:dyDescent="0.25">
      <c r="B84" s="11" t="s">
        <v>207</v>
      </c>
      <c r="C84" s="23"/>
      <c r="D84" s="23"/>
      <c r="E84" s="23"/>
      <c r="F84" s="23"/>
      <c r="G84" s="23"/>
      <c r="H84" s="88"/>
      <c r="I84" s="23"/>
      <c r="J84" s="23"/>
      <c r="K84" s="23"/>
      <c r="L84" s="23"/>
      <c r="M84" s="88"/>
      <c r="N84" s="23"/>
      <c r="O84" s="23"/>
      <c r="P84" s="23"/>
      <c r="Q84" s="23"/>
      <c r="R84" s="88"/>
      <c r="S84" s="23"/>
      <c r="T84" s="23"/>
      <c r="U84" s="23"/>
      <c r="V84" s="23"/>
      <c r="W84" s="88"/>
      <c r="X84" s="23"/>
      <c r="Y84" s="23"/>
      <c r="Z84" s="23"/>
      <c r="AA84" s="23"/>
      <c r="AB84" s="88"/>
      <c r="AC84" s="23"/>
      <c r="AD84" s="23"/>
      <c r="AE84" s="23"/>
      <c r="AF84" s="23"/>
      <c r="AG84" s="88"/>
      <c r="AH84" s="23"/>
      <c r="AI84" s="23"/>
      <c r="AJ84" s="23"/>
      <c r="AK84" s="108"/>
      <c r="AL84" s="23"/>
      <c r="AM84" s="23"/>
      <c r="AN84" s="23"/>
      <c r="AO84" s="23"/>
      <c r="AP84" s="108"/>
      <c r="AQ84" s="23"/>
      <c r="AR84" s="23"/>
      <c r="AS84" s="23"/>
      <c r="AT84" s="23"/>
      <c r="AU84" s="88"/>
      <c r="AV84" s="105"/>
      <c r="AW84" s="105"/>
      <c r="AX84" s="105"/>
      <c r="AY84" s="105"/>
      <c r="AZ84" s="88"/>
      <c r="BA84" s="105"/>
      <c r="BB84" s="105"/>
      <c r="BC84" s="105"/>
      <c r="BD84" s="105"/>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105"/>
      <c r="CF84" s="105"/>
      <c r="CG84" s="105"/>
      <c r="CH84" s="105"/>
      <c r="CI84" s="88"/>
      <c r="CJ84" s="88"/>
      <c r="CK84" s="88"/>
      <c r="CL84" s="88"/>
      <c r="CM84" s="88"/>
      <c r="CN84" s="138">
        <f ca="1">CN83*CN78</f>
        <v>48085.59892208915</v>
      </c>
      <c r="CO84" s="133"/>
      <c r="CP84" s="90"/>
      <c r="CQ84" s="6"/>
      <c r="CR84" s="30"/>
      <c r="CS84" s="40"/>
      <c r="CT84" s="124"/>
      <c r="CU84" s="124"/>
      <c r="CV84" s="124"/>
      <c r="CW84" s="124"/>
      <c r="CX84" s="124"/>
      <c r="DC84" s="124"/>
      <c r="DE84" s="136"/>
      <c r="DF84" s="136"/>
      <c r="DG84" s="140"/>
      <c r="DH84" s="140"/>
      <c r="DI84" s="140"/>
      <c r="DK84" s="140"/>
      <c r="DL84" s="140"/>
      <c r="DM84" s="6"/>
      <c r="DN84" s="140"/>
      <c r="DO84" s="140"/>
      <c r="DQ84" s="136"/>
      <c r="DR84" s="140"/>
      <c r="DS84" s="140"/>
      <c r="DT84" s="140"/>
      <c r="DV84" s="140"/>
      <c r="DW84" s="140"/>
      <c r="DX84" s="140"/>
      <c r="EA84" s="90"/>
      <c r="EB84" s="90"/>
      <c r="EC84" s="90"/>
      <c r="ED84" s="140"/>
      <c r="EE84" s="140"/>
      <c r="EF84" s="140"/>
      <c r="EJ84" s="90"/>
      <c r="EK84" s="90"/>
      <c r="EL84" s="140"/>
      <c r="EM84" s="140"/>
      <c r="EN84" s="140"/>
      <c r="EP84" s="90"/>
      <c r="EQ84" s="140"/>
      <c r="ER84" s="140"/>
      <c r="ES84" s="140"/>
      <c r="EV84" s="90"/>
      <c r="EW84" s="90"/>
      <c r="EX84" s="90"/>
      <c r="EY84" s="90"/>
      <c r="EZ84" s="140"/>
      <c r="FA84" s="140"/>
      <c r="FD84" s="90"/>
      <c r="FE84" s="90"/>
      <c r="FF84" s="90"/>
      <c r="FG84" s="140"/>
      <c r="FH84" s="140"/>
      <c r="FK84" s="140"/>
      <c r="FL84" s="140"/>
      <c r="FO84" s="90"/>
      <c r="FP84" s="90"/>
      <c r="FQ84" s="140"/>
      <c r="FR84" s="140"/>
      <c r="FU84" s="90"/>
      <c r="FV84" s="140"/>
      <c r="FW84" s="140"/>
      <c r="FX84" s="140"/>
      <c r="FY84" s="140"/>
      <c r="GA84" s="140"/>
      <c r="GB84" s="140"/>
      <c r="GC84" s="140"/>
      <c r="GF84" s="90"/>
      <c r="GG84" s="90"/>
      <c r="GH84" s="90"/>
      <c r="GI84" s="140"/>
      <c r="GJ84" s="140"/>
      <c r="GK84" s="140"/>
      <c r="GN84" s="90"/>
      <c r="GO84" s="90"/>
      <c r="GP84" s="140"/>
      <c r="GQ84" s="140"/>
      <c r="GR84" s="140"/>
      <c r="GV84" s="90"/>
      <c r="GW84" s="140"/>
      <c r="GX84" s="140"/>
      <c r="GY84" s="140"/>
      <c r="HC84" s="140"/>
      <c r="HD84" s="140"/>
      <c r="HE84" s="140"/>
      <c r="HF84" s="140"/>
      <c r="HI84" s="90"/>
      <c r="HJ84" s="90"/>
      <c r="HK84" s="90"/>
      <c r="HL84" s="90"/>
      <c r="HM84" s="140"/>
      <c r="HN84" s="140"/>
      <c r="HO84" s="140"/>
      <c r="HR84" s="90"/>
      <c r="HS84" s="90"/>
      <c r="HT84" s="90"/>
      <c r="HU84" s="140"/>
      <c r="HV84" s="140"/>
      <c r="HW84" s="140"/>
      <c r="HZ84" s="90"/>
      <c r="IA84" s="140"/>
      <c r="IB84" s="140"/>
      <c r="IC84" s="140"/>
      <c r="IE84" s="90"/>
      <c r="IF84" s="140"/>
      <c r="IG84" s="140"/>
      <c r="IH84" s="140"/>
      <c r="IK84" s="140"/>
      <c r="IL84" s="140"/>
      <c r="IO84" s="140"/>
      <c r="IP84" s="140"/>
      <c r="IS84" s="132"/>
      <c r="IT84" s="132"/>
      <c r="IU84" s="132"/>
      <c r="IX84" s="140"/>
      <c r="IY84" s="140"/>
      <c r="IZ84" s="140"/>
      <c r="JA84" s="140"/>
      <c r="JD84" s="140"/>
      <c r="JE84" s="140"/>
      <c r="JH84" s="140"/>
      <c r="JI84" s="140"/>
      <c r="JJ84" s="140"/>
      <c r="JM84" s="140"/>
      <c r="JN84" s="140"/>
      <c r="JQ84" s="140"/>
      <c r="JR84" s="140"/>
      <c r="JS84" s="140"/>
      <c r="JV84" s="140"/>
      <c r="JW84" s="140"/>
      <c r="JY84" s="140"/>
      <c r="JZ84" s="140"/>
      <c r="KB84" s="140"/>
      <c r="KC84" s="140"/>
      <c r="KD84" s="140"/>
    </row>
    <row r="85" spans="2:290" s="60" customFormat="1" hidden="1" x14ac:dyDescent="0.25">
      <c r="B85" s="34" t="s">
        <v>208</v>
      </c>
      <c r="C85" s="99"/>
      <c r="D85" s="99"/>
      <c r="E85" s="99"/>
      <c r="F85" s="99"/>
      <c r="G85" s="99"/>
      <c r="H85" s="100"/>
      <c r="I85" s="99"/>
      <c r="J85" s="99"/>
      <c r="K85" s="99"/>
      <c r="L85" s="99"/>
      <c r="M85" s="100"/>
      <c r="N85" s="99"/>
      <c r="O85" s="99"/>
      <c r="P85" s="99"/>
      <c r="Q85" s="99"/>
      <c r="R85" s="100"/>
      <c r="S85" s="99"/>
      <c r="T85" s="99"/>
      <c r="U85" s="99"/>
      <c r="V85" s="99"/>
      <c r="W85" s="100"/>
      <c r="X85" s="99"/>
      <c r="Y85" s="99"/>
      <c r="Z85" s="99"/>
      <c r="AA85" s="99"/>
      <c r="AB85" s="100"/>
      <c r="AC85" s="99"/>
      <c r="AD85" s="99"/>
      <c r="AE85" s="99"/>
      <c r="AF85" s="99"/>
      <c r="AG85" s="100"/>
      <c r="AH85" s="99"/>
      <c r="AI85" s="99"/>
      <c r="AJ85" s="99"/>
      <c r="AK85" s="104"/>
      <c r="AL85" s="99"/>
      <c r="AM85" s="99"/>
      <c r="AN85" s="99"/>
      <c r="AO85" s="99"/>
      <c r="AP85" s="104"/>
      <c r="AQ85" s="99"/>
      <c r="AR85" s="99"/>
      <c r="AS85" s="99"/>
      <c r="AT85" s="99"/>
      <c r="AU85" s="100"/>
      <c r="AV85" s="101"/>
      <c r="AW85" s="101"/>
      <c r="AX85" s="101"/>
      <c r="AY85" s="101"/>
      <c r="AZ85" s="100"/>
      <c r="BA85" s="101"/>
      <c r="BB85" s="101"/>
      <c r="BC85" s="101"/>
      <c r="BD85" s="101"/>
      <c r="BE85" s="100"/>
      <c r="BF85" s="100"/>
      <c r="BG85" s="100"/>
      <c r="BH85" s="100"/>
      <c r="BI85" s="100"/>
      <c r="BJ85" s="100"/>
      <c r="BK85" s="100"/>
      <c r="BL85" s="100"/>
      <c r="BM85" s="100"/>
      <c r="BN85" s="100"/>
      <c r="BO85" s="100"/>
      <c r="BP85" s="100"/>
      <c r="BQ85" s="100"/>
      <c r="BR85" s="100"/>
      <c r="BS85" s="100"/>
      <c r="BT85" s="100"/>
      <c r="BU85" s="100"/>
      <c r="BV85" s="100"/>
      <c r="BW85" s="100"/>
      <c r="BX85" s="100"/>
      <c r="BY85" s="100"/>
      <c r="BZ85" s="100"/>
      <c r="CA85" s="100"/>
      <c r="CB85" s="100"/>
      <c r="CC85" s="100"/>
      <c r="CD85" s="100"/>
      <c r="CE85" s="101"/>
      <c r="CF85" s="101"/>
      <c r="CG85" s="101"/>
      <c r="CH85" s="101"/>
      <c r="CI85" s="100"/>
      <c r="CJ85" s="100"/>
      <c r="CK85" s="100"/>
      <c r="CL85" s="100"/>
      <c r="CM85" s="100"/>
      <c r="CN85" s="150">
        <f ca="1">CN84-CN53+CN54</f>
        <v>50648.62938939179</v>
      </c>
      <c r="CO85" s="141"/>
      <c r="CP85" s="102"/>
      <c r="CQ85" s="58"/>
      <c r="CR85" s="59"/>
      <c r="CS85" s="142"/>
      <c r="CT85" s="143"/>
      <c r="CU85" s="143"/>
      <c r="CV85" s="143"/>
      <c r="CW85" s="143"/>
      <c r="CX85" s="143"/>
      <c r="DC85" s="143"/>
      <c r="DE85" s="4"/>
      <c r="DF85" s="4"/>
      <c r="DG85" s="144"/>
      <c r="DH85" s="144"/>
      <c r="DI85" s="144"/>
      <c r="DK85" s="144"/>
      <c r="DL85" s="144"/>
      <c r="DM85" s="58"/>
      <c r="DN85" s="144"/>
      <c r="DO85" s="144"/>
      <c r="DQ85" s="4"/>
      <c r="DR85" s="144"/>
      <c r="DS85" s="144"/>
      <c r="DT85" s="144"/>
      <c r="DV85" s="144"/>
      <c r="DW85" s="144"/>
      <c r="DX85" s="144"/>
      <c r="EA85" s="102"/>
      <c r="EB85" s="102"/>
      <c r="EC85" s="102"/>
      <c r="ED85" s="144"/>
      <c r="EE85" s="144"/>
      <c r="EF85" s="144"/>
      <c r="EJ85" s="102"/>
      <c r="EK85" s="102"/>
      <c r="EL85" s="144"/>
      <c r="EM85" s="144"/>
      <c r="EN85" s="144"/>
      <c r="EP85" s="102"/>
      <c r="EQ85" s="144"/>
      <c r="ER85" s="144"/>
      <c r="ES85" s="144"/>
      <c r="EV85" s="102"/>
      <c r="EW85" s="102"/>
      <c r="EX85" s="102"/>
      <c r="EY85" s="102"/>
      <c r="EZ85" s="144"/>
      <c r="FA85" s="144"/>
      <c r="FD85" s="102"/>
      <c r="FE85" s="102"/>
      <c r="FF85" s="102"/>
      <c r="FG85" s="144"/>
      <c r="FH85" s="144"/>
      <c r="FK85" s="144"/>
      <c r="FL85" s="144"/>
      <c r="FO85" s="102"/>
      <c r="FP85" s="102"/>
      <c r="FQ85" s="144"/>
      <c r="FR85" s="144"/>
      <c r="FU85" s="102"/>
      <c r="FV85" s="144"/>
      <c r="FW85" s="144"/>
      <c r="FX85" s="144"/>
      <c r="FY85" s="144"/>
      <c r="GA85" s="144"/>
      <c r="GB85" s="144"/>
      <c r="GC85" s="144"/>
      <c r="GF85" s="102"/>
      <c r="GG85" s="102"/>
      <c r="GH85" s="102"/>
      <c r="GI85" s="144"/>
      <c r="GJ85" s="144"/>
      <c r="GK85" s="144"/>
      <c r="GN85" s="102"/>
      <c r="GO85" s="102"/>
      <c r="GP85" s="144"/>
      <c r="GQ85" s="144"/>
      <c r="GR85" s="144"/>
      <c r="GV85" s="102"/>
      <c r="GW85" s="144"/>
      <c r="GX85" s="144"/>
      <c r="GY85" s="144"/>
      <c r="HC85" s="144"/>
      <c r="HD85" s="144"/>
      <c r="HE85" s="144"/>
      <c r="HF85" s="144"/>
      <c r="HI85" s="102"/>
      <c r="HJ85" s="102"/>
      <c r="HK85" s="102"/>
      <c r="HL85" s="102"/>
      <c r="HM85" s="144"/>
      <c r="HN85" s="144"/>
      <c r="HO85" s="144"/>
      <c r="HR85" s="102"/>
      <c r="HS85" s="102"/>
      <c r="HT85" s="102"/>
      <c r="HU85" s="144"/>
      <c r="HV85" s="144"/>
      <c r="HW85" s="144"/>
      <c r="HZ85" s="102"/>
      <c r="IA85" s="144"/>
      <c r="IB85" s="144"/>
      <c r="IC85" s="144"/>
      <c r="IE85" s="102"/>
      <c r="IF85" s="144"/>
      <c r="IG85" s="144"/>
      <c r="IH85" s="144"/>
      <c r="IK85" s="144"/>
      <c r="IL85" s="144"/>
      <c r="IO85" s="144"/>
      <c r="IP85" s="144"/>
      <c r="IS85" s="145"/>
      <c r="IT85" s="145"/>
      <c r="IU85" s="145"/>
      <c r="IX85" s="144"/>
      <c r="IY85" s="144"/>
      <c r="IZ85" s="144"/>
      <c r="JA85" s="144"/>
      <c r="JD85" s="144"/>
      <c r="JE85" s="144"/>
      <c r="JH85" s="144"/>
      <c r="JI85" s="144"/>
      <c r="JJ85" s="144"/>
      <c r="JM85" s="144"/>
      <c r="JN85" s="144"/>
      <c r="JQ85" s="144"/>
      <c r="JR85" s="144"/>
      <c r="JS85" s="144"/>
      <c r="JV85" s="144"/>
      <c r="JW85" s="144"/>
      <c r="JY85" s="144"/>
      <c r="JZ85" s="144"/>
      <c r="KB85" s="144"/>
      <c r="KC85" s="144"/>
      <c r="KD85" s="144"/>
    </row>
    <row r="86" spans="2:290" s="60" customFormat="1" hidden="1" x14ac:dyDescent="0.25">
      <c r="B86" s="34" t="s">
        <v>209</v>
      </c>
      <c r="C86" s="99"/>
      <c r="D86" s="99"/>
      <c r="E86" s="99"/>
      <c r="F86" s="99"/>
      <c r="G86" s="99"/>
      <c r="H86" s="100"/>
      <c r="I86" s="99"/>
      <c r="J86" s="99"/>
      <c r="K86" s="99"/>
      <c r="L86" s="99"/>
      <c r="M86" s="100"/>
      <c r="N86" s="99"/>
      <c r="O86" s="99"/>
      <c r="P86" s="99"/>
      <c r="Q86" s="99"/>
      <c r="R86" s="100"/>
      <c r="S86" s="99"/>
      <c r="T86" s="99"/>
      <c r="U86" s="99"/>
      <c r="V86" s="99"/>
      <c r="W86" s="100"/>
      <c r="X86" s="99"/>
      <c r="Y86" s="99"/>
      <c r="Z86" s="99"/>
      <c r="AA86" s="99"/>
      <c r="AB86" s="100"/>
      <c r="AC86" s="99"/>
      <c r="AD86" s="99"/>
      <c r="AE86" s="99"/>
      <c r="AF86" s="99"/>
      <c r="AG86" s="100"/>
      <c r="AH86" s="99"/>
      <c r="AI86" s="99"/>
      <c r="AJ86" s="99"/>
      <c r="AK86" s="104"/>
      <c r="AL86" s="99"/>
      <c r="AM86" s="99"/>
      <c r="AN86" s="99"/>
      <c r="AO86" s="99"/>
      <c r="AP86" s="104"/>
      <c r="AQ86" s="99"/>
      <c r="AR86" s="99"/>
      <c r="AS86" s="99"/>
      <c r="AT86" s="99"/>
      <c r="AU86" s="100"/>
      <c r="AV86" s="101"/>
      <c r="AW86" s="101"/>
      <c r="AX86" s="101"/>
      <c r="AY86" s="101"/>
      <c r="AZ86" s="100"/>
      <c r="BA86" s="101"/>
      <c r="BB86" s="101"/>
      <c r="BC86" s="101"/>
      <c r="BD86" s="101"/>
      <c r="BE86" s="100"/>
      <c r="BF86" s="100"/>
      <c r="BG86" s="100"/>
      <c r="BH86" s="100"/>
      <c r="BI86" s="100"/>
      <c r="BJ86" s="100"/>
      <c r="BK86" s="100"/>
      <c r="BL86" s="100"/>
      <c r="BM86" s="100"/>
      <c r="BN86" s="100"/>
      <c r="BO86" s="100"/>
      <c r="BP86" s="100"/>
      <c r="BQ86" s="100"/>
      <c r="BR86" s="100"/>
      <c r="BS86" s="100"/>
      <c r="BT86" s="100"/>
      <c r="BU86" s="100"/>
      <c r="BV86" s="100"/>
      <c r="BW86" s="100"/>
      <c r="BX86" s="100"/>
      <c r="BY86" s="100"/>
      <c r="BZ86" s="100"/>
      <c r="CA86" s="100"/>
      <c r="CB86" s="100"/>
      <c r="CC86" s="100"/>
      <c r="CD86" s="100"/>
      <c r="CE86" s="101"/>
      <c r="CF86" s="101"/>
      <c r="CG86" s="101"/>
      <c r="CH86" s="101"/>
      <c r="CI86" s="100"/>
      <c r="CJ86" s="100"/>
      <c r="CK86" s="100"/>
      <c r="CL86" s="100"/>
      <c r="CM86" s="100"/>
      <c r="CN86" s="151">
        <f ca="1">CN85/(CN51/CN63)</f>
        <v>3986.5115615420536</v>
      </c>
      <c r="CO86" s="141"/>
      <c r="CP86" s="141"/>
      <c r="CQ86" s="58"/>
      <c r="CR86" s="59"/>
      <c r="CS86" s="142"/>
      <c r="CT86" s="143"/>
      <c r="CU86" s="143"/>
      <c r="CV86" s="143"/>
      <c r="CW86" s="143"/>
      <c r="CX86" s="143"/>
      <c r="DC86" s="143"/>
      <c r="DE86" s="4"/>
      <c r="DF86" s="4"/>
      <c r="DG86" s="144"/>
      <c r="DH86" s="144"/>
      <c r="DI86" s="144"/>
      <c r="DK86" s="144"/>
      <c r="DL86" s="144"/>
      <c r="DM86" s="58"/>
      <c r="DN86" s="144"/>
      <c r="DO86" s="144"/>
      <c r="DQ86" s="4"/>
      <c r="DR86" s="144"/>
      <c r="DS86" s="144"/>
      <c r="DT86" s="144"/>
      <c r="DV86" s="144"/>
      <c r="DW86" s="144"/>
      <c r="DX86" s="144"/>
      <c r="EA86" s="102"/>
      <c r="EB86" s="102"/>
      <c r="EC86" s="102"/>
      <c r="ED86" s="144"/>
      <c r="EE86" s="144"/>
      <c r="EF86" s="144"/>
      <c r="EJ86" s="102"/>
      <c r="EK86" s="102"/>
      <c r="EL86" s="144"/>
      <c r="EM86" s="144"/>
      <c r="EN86" s="144"/>
      <c r="EP86" s="102"/>
      <c r="EQ86" s="144"/>
      <c r="ER86" s="144"/>
      <c r="ES86" s="144"/>
      <c r="EV86" s="102"/>
      <c r="EW86" s="102"/>
      <c r="EX86" s="102"/>
      <c r="EY86" s="102"/>
      <c r="EZ86" s="144"/>
      <c r="FA86" s="144"/>
      <c r="FD86" s="102"/>
      <c r="FE86" s="102"/>
      <c r="FF86" s="102"/>
      <c r="FG86" s="144"/>
      <c r="FH86" s="144"/>
      <c r="FK86" s="144"/>
      <c r="FL86" s="144"/>
      <c r="FO86" s="102"/>
      <c r="FP86" s="102"/>
      <c r="FQ86" s="144"/>
      <c r="FR86" s="144"/>
      <c r="FU86" s="102"/>
      <c r="FV86" s="144"/>
      <c r="FW86" s="144"/>
      <c r="FX86" s="144"/>
      <c r="FY86" s="144"/>
      <c r="GA86" s="144"/>
      <c r="GB86" s="144"/>
      <c r="GC86" s="144"/>
      <c r="GF86" s="102"/>
      <c r="GG86" s="102"/>
      <c r="GH86" s="102"/>
      <c r="GI86" s="144"/>
      <c r="GJ86" s="144"/>
      <c r="GK86" s="144"/>
      <c r="GN86" s="102"/>
      <c r="GO86" s="102"/>
      <c r="GP86" s="144"/>
      <c r="GQ86" s="144"/>
      <c r="GR86" s="144"/>
      <c r="GV86" s="102"/>
      <c r="GW86" s="144"/>
      <c r="GX86" s="144"/>
      <c r="GY86" s="144"/>
      <c r="HC86" s="144"/>
      <c r="HD86" s="144"/>
      <c r="HE86" s="144"/>
      <c r="HF86" s="144"/>
      <c r="HI86" s="102"/>
      <c r="HJ86" s="102"/>
      <c r="HK86" s="102"/>
      <c r="HL86" s="102"/>
      <c r="HM86" s="144"/>
      <c r="HN86" s="144"/>
      <c r="HO86" s="144"/>
      <c r="HR86" s="102"/>
      <c r="HS86" s="102"/>
      <c r="HT86" s="102"/>
      <c r="HU86" s="144"/>
      <c r="HV86" s="144"/>
      <c r="HW86" s="144"/>
      <c r="HZ86" s="102"/>
      <c r="IA86" s="144"/>
      <c r="IB86" s="144"/>
      <c r="IC86" s="144"/>
      <c r="IE86" s="102"/>
      <c r="IF86" s="144"/>
      <c r="IG86" s="144"/>
      <c r="IH86" s="144"/>
      <c r="IK86" s="144"/>
      <c r="IL86" s="144"/>
      <c r="IO86" s="144"/>
      <c r="IP86" s="144"/>
      <c r="IS86" s="145"/>
      <c r="IT86" s="145"/>
      <c r="IU86" s="145"/>
      <c r="IX86" s="144"/>
      <c r="IY86" s="144"/>
      <c r="IZ86" s="144"/>
      <c r="JA86" s="144"/>
      <c r="JD86" s="144"/>
      <c r="JE86" s="144"/>
      <c r="JH86" s="144"/>
      <c r="JI86" s="144"/>
      <c r="JJ86" s="144"/>
      <c r="JM86" s="144"/>
      <c r="JN86" s="144"/>
      <c r="JQ86" s="144"/>
      <c r="JR86" s="144"/>
      <c r="JS86" s="144"/>
      <c r="JV86" s="144"/>
      <c r="JW86" s="144"/>
      <c r="JY86" s="144"/>
      <c r="JZ86" s="144"/>
      <c r="KB86" s="144"/>
      <c r="KC86" s="144"/>
      <c r="KD86" s="144"/>
    </row>
    <row r="87" spans="2:290" hidden="1" x14ac:dyDescent="0.25">
      <c r="B87" s="11" t="s">
        <v>210</v>
      </c>
      <c r="C87" s="23"/>
      <c r="D87" s="23"/>
      <c r="E87" s="23"/>
      <c r="F87" s="23"/>
      <c r="G87" s="23"/>
      <c r="H87" s="88"/>
      <c r="I87" s="23"/>
      <c r="J87" s="23"/>
      <c r="K87" s="23"/>
      <c r="L87" s="23"/>
      <c r="M87" s="88"/>
      <c r="N87" s="23"/>
      <c r="O87" s="23"/>
      <c r="P87" s="23"/>
      <c r="Q87" s="23"/>
      <c r="R87" s="88"/>
      <c r="S87" s="23"/>
      <c r="T87" s="23"/>
      <c r="U87" s="23"/>
      <c r="V87" s="23"/>
      <c r="W87" s="88"/>
      <c r="X87" s="23"/>
      <c r="Y87" s="23"/>
      <c r="Z87" s="23"/>
      <c r="AA87" s="23"/>
      <c r="AB87" s="88"/>
      <c r="AC87" s="23"/>
      <c r="AD87" s="23"/>
      <c r="AE87" s="23"/>
      <c r="AF87" s="23"/>
      <c r="AG87" s="88"/>
      <c r="AH87" s="23"/>
      <c r="AI87" s="23"/>
      <c r="AJ87" s="23"/>
      <c r="AK87" s="108"/>
      <c r="AL87" s="23"/>
      <c r="AM87" s="23"/>
      <c r="AN87" s="23"/>
      <c r="AO87" s="23"/>
      <c r="AP87" s="108"/>
      <c r="AQ87" s="23"/>
      <c r="AR87" s="23"/>
      <c r="AS87" s="23"/>
      <c r="AT87" s="23"/>
      <c r="AU87" s="88"/>
      <c r="AV87" s="105"/>
      <c r="AW87" s="105"/>
      <c r="AX87" s="105"/>
      <c r="AY87" s="105"/>
      <c r="AZ87" s="88"/>
      <c r="BA87" s="105"/>
      <c r="BB87" s="105"/>
      <c r="BC87" s="105"/>
      <c r="BD87" s="105"/>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105"/>
      <c r="CF87" s="105"/>
      <c r="CG87" s="105"/>
      <c r="CH87" s="105"/>
      <c r="CI87" s="88"/>
      <c r="CJ87" s="88"/>
      <c r="CK87" s="88"/>
      <c r="CL87" s="88"/>
      <c r="CM87" s="88"/>
      <c r="CN87" s="138">
        <f ca="1">CN86/CN59</f>
        <v>25.995629290470927</v>
      </c>
      <c r="CO87" s="133"/>
      <c r="CP87" s="133"/>
      <c r="CQ87" s="6"/>
      <c r="CR87" s="30"/>
      <c r="CS87" s="40"/>
      <c r="CT87" s="124"/>
      <c r="CU87" s="124"/>
      <c r="CV87" s="124"/>
      <c r="CW87" s="124"/>
      <c r="CX87" s="124"/>
      <c r="DC87" s="124"/>
      <c r="DE87" s="136"/>
      <c r="DF87" s="136"/>
      <c r="DG87" s="140"/>
      <c r="DH87" s="140"/>
      <c r="DI87" s="140"/>
      <c r="DK87" s="140"/>
      <c r="DL87" s="140"/>
      <c r="DM87" s="6"/>
      <c r="DN87" s="140"/>
      <c r="DO87" s="140"/>
      <c r="DQ87" s="136"/>
      <c r="DR87" s="140"/>
      <c r="DS87" s="140"/>
      <c r="DT87" s="140"/>
      <c r="DV87" s="140"/>
      <c r="DW87" s="140"/>
      <c r="DX87" s="140"/>
      <c r="EA87" s="90"/>
      <c r="EB87" s="90"/>
      <c r="EC87" s="90"/>
      <c r="ED87" s="140"/>
      <c r="EE87" s="140"/>
      <c r="EF87" s="140"/>
      <c r="EJ87" s="90"/>
      <c r="EK87" s="90"/>
      <c r="EL87" s="140"/>
      <c r="EM87" s="140"/>
      <c r="EN87" s="140"/>
      <c r="EP87" s="90"/>
      <c r="EQ87" s="140"/>
      <c r="ER87" s="140"/>
      <c r="ES87" s="140"/>
      <c r="EV87" s="90"/>
      <c r="EW87" s="90"/>
      <c r="EX87" s="90"/>
      <c r="EY87" s="90"/>
      <c r="EZ87" s="140"/>
      <c r="FA87" s="140"/>
      <c r="FD87" s="90"/>
      <c r="FE87" s="90"/>
      <c r="FF87" s="90"/>
      <c r="FG87" s="140"/>
      <c r="FH87" s="140"/>
      <c r="FK87" s="140"/>
      <c r="FL87" s="140"/>
      <c r="FO87" s="90"/>
      <c r="FP87" s="90"/>
      <c r="FQ87" s="140"/>
      <c r="FR87" s="140"/>
      <c r="FU87" s="90"/>
      <c r="FV87" s="140"/>
      <c r="FW87" s="140"/>
      <c r="FX87" s="140"/>
      <c r="FY87" s="140"/>
      <c r="GA87" s="140"/>
      <c r="GB87" s="140"/>
      <c r="GC87" s="140"/>
      <c r="GF87" s="90"/>
      <c r="GG87" s="90"/>
      <c r="GH87" s="90"/>
      <c r="GI87" s="140"/>
      <c r="GJ87" s="140"/>
      <c r="GK87" s="140"/>
      <c r="GN87" s="90"/>
      <c r="GO87" s="90"/>
      <c r="GP87" s="140"/>
      <c r="GQ87" s="140"/>
      <c r="GR87" s="140"/>
      <c r="GV87" s="90"/>
      <c r="GW87" s="140"/>
      <c r="GX87" s="140"/>
      <c r="GY87" s="140"/>
      <c r="HC87" s="140"/>
      <c r="HD87" s="140"/>
      <c r="HE87" s="140"/>
      <c r="HF87" s="140"/>
      <c r="HI87" s="90"/>
      <c r="HJ87" s="90"/>
      <c r="HK87" s="90"/>
      <c r="HL87" s="90"/>
      <c r="HM87" s="140"/>
      <c r="HN87" s="140"/>
      <c r="HO87" s="140"/>
      <c r="HR87" s="90"/>
      <c r="HS87" s="90"/>
      <c r="HT87" s="90"/>
      <c r="HU87" s="140"/>
      <c r="HV87" s="140"/>
      <c r="HW87" s="140"/>
      <c r="HZ87" s="90"/>
      <c r="IA87" s="140"/>
      <c r="IB87" s="140"/>
      <c r="IC87" s="140"/>
      <c r="IE87" s="90"/>
      <c r="IF87" s="140"/>
      <c r="IG87" s="140"/>
      <c r="IH87" s="140"/>
      <c r="IK87" s="140"/>
      <c r="IL87" s="140"/>
      <c r="IO87" s="140"/>
      <c r="IP87" s="140"/>
      <c r="IS87" s="132"/>
      <c r="IT87" s="132"/>
      <c r="IU87" s="132"/>
      <c r="IX87" s="140"/>
      <c r="IY87" s="140"/>
      <c r="IZ87" s="140"/>
      <c r="JA87" s="140"/>
      <c r="JD87" s="140"/>
      <c r="JE87" s="140"/>
      <c r="JH87" s="140"/>
      <c r="JI87" s="140"/>
      <c r="JJ87" s="140"/>
      <c r="JM87" s="140"/>
      <c r="JN87" s="140"/>
      <c r="JQ87" s="140"/>
      <c r="JR87" s="140"/>
      <c r="JS87" s="140"/>
      <c r="JV87" s="140"/>
      <c r="JW87" s="140"/>
      <c r="JY87" s="140"/>
      <c r="JZ87" s="140"/>
      <c r="KB87" s="140"/>
      <c r="KC87" s="140"/>
      <c r="KD87" s="140"/>
    </row>
    <row r="88" spans="2:290" s="6" customFormat="1" hidden="1" x14ac:dyDescent="0.25">
      <c r="B88" s="11" t="s">
        <v>211</v>
      </c>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c r="AA88" s="152"/>
      <c r="AB88" s="152"/>
      <c r="AC88" s="152"/>
      <c r="AD88" s="152"/>
      <c r="AE88" s="152"/>
      <c r="AF88" s="152"/>
      <c r="AG88" s="152"/>
      <c r="AH88" s="152"/>
      <c r="AI88" s="152"/>
      <c r="AJ88" s="152"/>
      <c r="AK88" s="152"/>
      <c r="AL88" s="152"/>
      <c r="AM88" s="152"/>
      <c r="AN88" s="152"/>
      <c r="AO88" s="152"/>
      <c r="AP88" s="152"/>
      <c r="AQ88" s="152"/>
      <c r="AR88" s="152"/>
      <c r="AS88" s="152"/>
      <c r="AT88" s="152"/>
      <c r="AU88" s="152"/>
      <c r="AV88" s="152"/>
      <c r="AW88" s="152"/>
      <c r="AX88" s="152"/>
      <c r="AY88" s="152"/>
      <c r="AZ88" s="152"/>
      <c r="BA88" s="152"/>
      <c r="BB88" s="152"/>
      <c r="BC88" s="152"/>
      <c r="BD88" s="152"/>
      <c r="BE88" s="152"/>
      <c r="BF88" s="152"/>
      <c r="BG88" s="152"/>
      <c r="BH88" s="152"/>
      <c r="BI88" s="152"/>
      <c r="BJ88" s="152"/>
      <c r="BK88" s="152"/>
      <c r="BL88" s="152"/>
      <c r="BM88" s="152"/>
      <c r="BN88" s="152"/>
      <c r="BO88" s="152"/>
      <c r="BP88" s="152"/>
      <c r="BQ88" s="152"/>
      <c r="BR88" s="152"/>
      <c r="BS88" s="152"/>
      <c r="BT88" s="152"/>
      <c r="BU88" s="152"/>
      <c r="BV88" s="152"/>
      <c r="BW88" s="152"/>
      <c r="BX88" s="152"/>
      <c r="BY88" s="152"/>
      <c r="BZ88" s="152"/>
      <c r="CA88" s="152"/>
      <c r="CB88" s="152"/>
      <c r="CC88" s="152"/>
      <c r="CD88" s="152"/>
      <c r="CE88" s="11"/>
      <c r="CF88" s="11"/>
      <c r="CG88" s="11"/>
      <c r="CH88" s="11"/>
      <c r="CI88" s="153"/>
      <c r="CJ88" s="152"/>
      <c r="CK88" s="152"/>
      <c r="CL88" s="152"/>
      <c r="CM88" s="152"/>
      <c r="CN88" s="153">
        <f ca="1">(CN86/CN65)^0.2-1</f>
        <v>3.7543178490528017E-2</v>
      </c>
    </row>
    <row r="89" spans="2:290" s="6" customFormat="1" x14ac:dyDescent="0.25">
      <c r="CI89" s="32"/>
      <c r="CN89" s="32"/>
    </row>
    <row r="90" spans="2:290" s="6" customFormat="1" hidden="1" x14ac:dyDescent="0.25">
      <c r="B90" s="11" t="s">
        <v>212</v>
      </c>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c r="AA90" s="152"/>
      <c r="AB90" s="152"/>
      <c r="AC90" s="152"/>
      <c r="AD90" s="152"/>
      <c r="AE90" s="152"/>
      <c r="AF90" s="152"/>
      <c r="AG90" s="152"/>
      <c r="AH90" s="152"/>
      <c r="AI90" s="152"/>
      <c r="AJ90" s="152"/>
      <c r="AK90" s="152"/>
      <c r="AL90" s="152"/>
      <c r="AM90" s="152"/>
      <c r="AN90" s="152"/>
      <c r="AO90" s="152"/>
      <c r="AP90" s="152"/>
      <c r="AQ90" s="152"/>
      <c r="AR90" s="152"/>
      <c r="AS90" s="152"/>
      <c r="AT90" s="152"/>
      <c r="AU90" s="152"/>
      <c r="AV90" s="152"/>
      <c r="AW90" s="152"/>
      <c r="AX90" s="152"/>
      <c r="AY90" s="152"/>
      <c r="AZ90" s="152"/>
      <c r="BA90" s="152"/>
      <c r="BB90" s="152"/>
      <c r="BC90" s="152"/>
      <c r="BD90" s="152"/>
      <c r="BE90" s="152"/>
      <c r="BF90" s="152"/>
      <c r="BG90" s="152"/>
      <c r="BH90" s="152"/>
      <c r="BI90" s="152"/>
      <c r="BJ90" s="152"/>
      <c r="BK90" s="152"/>
      <c r="BL90" s="152"/>
      <c r="BM90" s="152"/>
      <c r="BN90" s="152"/>
      <c r="BO90" s="152"/>
      <c r="BP90" s="152"/>
      <c r="BQ90" s="152"/>
      <c r="BR90" s="152"/>
      <c r="BS90" s="152"/>
      <c r="BT90" s="152"/>
      <c r="BU90" s="152"/>
      <c r="BV90" s="152"/>
      <c r="BW90" s="152"/>
      <c r="BX90" s="152"/>
      <c r="BY90" s="152"/>
      <c r="BZ90" s="152"/>
      <c r="CA90" s="152"/>
      <c r="CB90" s="152"/>
      <c r="CC90" s="152"/>
      <c r="CD90" s="152"/>
      <c r="CE90" s="11"/>
      <c r="CF90" s="11"/>
      <c r="CG90" s="11"/>
      <c r="CH90" s="11"/>
      <c r="CI90" s="153"/>
      <c r="CJ90" s="152"/>
      <c r="CK90" s="152"/>
      <c r="CL90" s="152"/>
      <c r="CM90" s="152"/>
      <c r="CN90" s="153">
        <v>0.13</v>
      </c>
    </row>
    <row r="91" spans="2:290" s="6" customFormat="1" hidden="1" x14ac:dyDescent="0.25">
      <c r="B91" s="11" t="s">
        <v>213</v>
      </c>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c r="AA91" s="152"/>
      <c r="AB91" s="152"/>
      <c r="AC91" s="152"/>
      <c r="AD91" s="152"/>
      <c r="AE91" s="152"/>
      <c r="AF91" s="152"/>
      <c r="AG91" s="152"/>
      <c r="AH91" s="152"/>
      <c r="AI91" s="152"/>
      <c r="AJ91" s="152"/>
      <c r="AK91" s="152"/>
      <c r="AL91" s="152"/>
      <c r="AM91" s="152"/>
      <c r="AN91" s="152"/>
      <c r="AO91" s="152"/>
      <c r="AP91" s="152"/>
      <c r="AQ91" s="152"/>
      <c r="AR91" s="152"/>
      <c r="AS91" s="152"/>
      <c r="AT91" s="152"/>
      <c r="AU91" s="152"/>
      <c r="AV91" s="152"/>
      <c r="AW91" s="152"/>
      <c r="AX91" s="152"/>
      <c r="AY91" s="152"/>
      <c r="AZ91" s="152"/>
      <c r="BA91" s="152"/>
      <c r="BB91" s="152"/>
      <c r="BC91" s="152"/>
      <c r="BD91" s="152"/>
      <c r="BE91" s="152"/>
      <c r="BF91" s="152"/>
      <c r="BG91" s="152"/>
      <c r="BH91" s="152"/>
      <c r="BI91" s="152"/>
      <c r="BJ91" s="152"/>
      <c r="BK91" s="152"/>
      <c r="BL91" s="152"/>
      <c r="BM91" s="152"/>
      <c r="BN91" s="152"/>
      <c r="BO91" s="152"/>
      <c r="BP91" s="152"/>
      <c r="BQ91" s="152"/>
      <c r="BR91" s="152"/>
      <c r="BS91" s="152"/>
      <c r="BT91" s="152"/>
      <c r="BU91" s="152"/>
      <c r="BV91" s="152"/>
      <c r="BW91" s="152"/>
      <c r="BX91" s="152"/>
      <c r="BY91" s="152"/>
      <c r="BZ91" s="152"/>
      <c r="CA91" s="152"/>
      <c r="CB91" s="152"/>
      <c r="CC91" s="152"/>
      <c r="CD91" s="152"/>
      <c r="CE91" s="11"/>
      <c r="CF91" s="11"/>
      <c r="CG91" s="11"/>
      <c r="CH91" s="11"/>
      <c r="CI91" s="153"/>
      <c r="CJ91" s="152"/>
      <c r="CK91" s="152"/>
      <c r="CL91" s="152"/>
      <c r="CM91" s="152"/>
      <c r="CN91" s="154">
        <v>5</v>
      </c>
    </row>
    <row r="92" spans="2:290" s="6" customFormat="1" hidden="1" x14ac:dyDescent="0.25">
      <c r="B92" s="11" t="s">
        <v>206</v>
      </c>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c r="AA92" s="152"/>
      <c r="AB92" s="152"/>
      <c r="AC92" s="152"/>
      <c r="AD92" s="152"/>
      <c r="AE92" s="152"/>
      <c r="AF92" s="152"/>
      <c r="AG92" s="152"/>
      <c r="AH92" s="152"/>
      <c r="AI92" s="152"/>
      <c r="AJ92" s="152"/>
      <c r="AK92" s="152"/>
      <c r="AL92" s="152"/>
      <c r="AM92" s="152"/>
      <c r="AN92" s="152"/>
      <c r="AO92" s="152"/>
      <c r="AP92" s="152"/>
      <c r="AQ92" s="152"/>
      <c r="AR92" s="152"/>
      <c r="AS92" s="152"/>
      <c r="AT92" s="152"/>
      <c r="AU92" s="152"/>
      <c r="AV92" s="152"/>
      <c r="AW92" s="152"/>
      <c r="AX92" s="152"/>
      <c r="AY92" s="152"/>
      <c r="AZ92" s="152"/>
      <c r="BA92" s="152"/>
      <c r="BB92" s="152"/>
      <c r="BC92" s="152"/>
      <c r="BD92" s="152"/>
      <c r="BE92" s="152"/>
      <c r="BF92" s="152"/>
      <c r="BG92" s="152"/>
      <c r="BH92" s="152"/>
      <c r="BI92" s="152"/>
      <c r="BJ92" s="152"/>
      <c r="BK92" s="152"/>
      <c r="BL92" s="152"/>
      <c r="BM92" s="152"/>
      <c r="BN92" s="152"/>
      <c r="BO92" s="152"/>
      <c r="BP92" s="152"/>
      <c r="BQ92" s="152"/>
      <c r="BR92" s="152"/>
      <c r="BS92" s="152"/>
      <c r="BT92" s="152"/>
      <c r="BU92" s="152"/>
      <c r="BV92" s="152"/>
      <c r="BW92" s="152"/>
      <c r="BX92" s="152"/>
      <c r="BY92" s="152"/>
      <c r="BZ92" s="152"/>
      <c r="CA92" s="152"/>
      <c r="CB92" s="152"/>
      <c r="CC92" s="152"/>
      <c r="CD92" s="152"/>
      <c r="CE92" s="11"/>
      <c r="CF92" s="11"/>
      <c r="CG92" s="11"/>
      <c r="CH92" s="11"/>
      <c r="CI92" s="153"/>
      <c r="CJ92" s="152"/>
      <c r="CK92" s="152"/>
      <c r="CL92" s="152"/>
      <c r="CM92" s="152"/>
      <c r="CN92" s="155">
        <f ca="1">(CN79-CN82)/(CN81-CN82)*(1+CN82)*(((1+CN90)/(1+CN82))^CN91)</f>
        <v>7.3547722253825611</v>
      </c>
    </row>
    <row r="93" spans="2:290" s="6" customFormat="1" hidden="1" x14ac:dyDescent="0.25">
      <c r="B93" s="11" t="s">
        <v>207</v>
      </c>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c r="AA93" s="152"/>
      <c r="AB93" s="152"/>
      <c r="AC93" s="152"/>
      <c r="AD93" s="152"/>
      <c r="AE93" s="152"/>
      <c r="AF93" s="152"/>
      <c r="AG93" s="152"/>
      <c r="AH93" s="152"/>
      <c r="AI93" s="152"/>
      <c r="AJ93" s="152"/>
      <c r="AK93" s="152"/>
      <c r="AL93" s="152"/>
      <c r="AM93" s="152"/>
      <c r="AN93" s="152"/>
      <c r="AO93" s="152"/>
      <c r="AP93" s="152"/>
      <c r="AQ93" s="152"/>
      <c r="AR93" s="152"/>
      <c r="AS93" s="152"/>
      <c r="AT93" s="152"/>
      <c r="AU93" s="152"/>
      <c r="AV93" s="152"/>
      <c r="AW93" s="152"/>
      <c r="AX93" s="152"/>
      <c r="AY93" s="152"/>
      <c r="AZ93" s="152"/>
      <c r="BA93" s="152"/>
      <c r="BB93" s="152"/>
      <c r="BC93" s="152"/>
      <c r="BD93" s="152"/>
      <c r="BE93" s="152"/>
      <c r="BF93" s="152"/>
      <c r="BG93" s="152"/>
      <c r="BH93" s="152"/>
      <c r="BI93" s="152"/>
      <c r="BJ93" s="152"/>
      <c r="BK93" s="152"/>
      <c r="BL93" s="152"/>
      <c r="BM93" s="152"/>
      <c r="BN93" s="152"/>
      <c r="BO93" s="152"/>
      <c r="BP93" s="152"/>
      <c r="BQ93" s="152"/>
      <c r="BR93" s="152"/>
      <c r="BS93" s="152"/>
      <c r="BT93" s="152"/>
      <c r="BU93" s="152"/>
      <c r="BV93" s="152"/>
      <c r="BW93" s="152"/>
      <c r="BX93" s="152"/>
      <c r="BY93" s="152"/>
      <c r="BZ93" s="152"/>
      <c r="CA93" s="152"/>
      <c r="CB93" s="152"/>
      <c r="CC93" s="152"/>
      <c r="CD93" s="152"/>
      <c r="CE93" s="11"/>
      <c r="CF93" s="11"/>
      <c r="CG93" s="11"/>
      <c r="CH93" s="11"/>
      <c r="CI93" s="153"/>
      <c r="CJ93" s="152"/>
      <c r="CK93" s="152"/>
      <c r="CL93" s="152"/>
      <c r="CM93" s="152"/>
      <c r="CN93" s="138">
        <f ca="1">CN92*CN78</f>
        <v>60511.303238690765</v>
      </c>
    </row>
    <row r="94" spans="2:290" s="6" customFormat="1" hidden="1" x14ac:dyDescent="0.25">
      <c r="B94" s="34" t="s">
        <v>208</v>
      </c>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c r="AA94" s="152"/>
      <c r="AB94" s="152"/>
      <c r="AC94" s="152"/>
      <c r="AD94" s="152"/>
      <c r="AE94" s="152"/>
      <c r="AF94" s="152"/>
      <c r="AG94" s="152"/>
      <c r="AH94" s="152"/>
      <c r="AI94" s="152"/>
      <c r="AJ94" s="152"/>
      <c r="AK94" s="152"/>
      <c r="AL94" s="152"/>
      <c r="AM94" s="152"/>
      <c r="AN94" s="152"/>
      <c r="AO94" s="152"/>
      <c r="AP94" s="152"/>
      <c r="AQ94" s="152"/>
      <c r="AR94" s="152"/>
      <c r="AS94" s="152"/>
      <c r="AT94" s="152"/>
      <c r="AU94" s="152"/>
      <c r="AV94" s="152"/>
      <c r="AW94" s="152"/>
      <c r="AX94" s="152"/>
      <c r="AY94" s="152"/>
      <c r="AZ94" s="152"/>
      <c r="BA94" s="152"/>
      <c r="BB94" s="152"/>
      <c r="BC94" s="152"/>
      <c r="BD94" s="152"/>
      <c r="BE94" s="152"/>
      <c r="BF94" s="152"/>
      <c r="BG94" s="152"/>
      <c r="BH94" s="152"/>
      <c r="BI94" s="152"/>
      <c r="BJ94" s="152"/>
      <c r="BK94" s="152"/>
      <c r="BL94" s="152"/>
      <c r="BM94" s="152"/>
      <c r="BN94" s="152"/>
      <c r="BO94" s="152"/>
      <c r="BP94" s="152"/>
      <c r="BQ94" s="152"/>
      <c r="BR94" s="152"/>
      <c r="BS94" s="152"/>
      <c r="BT94" s="152"/>
      <c r="BU94" s="152"/>
      <c r="BV94" s="152"/>
      <c r="BW94" s="152"/>
      <c r="BX94" s="152"/>
      <c r="BY94" s="152"/>
      <c r="BZ94" s="152"/>
      <c r="CA94" s="152"/>
      <c r="CB94" s="152"/>
      <c r="CC94" s="152"/>
      <c r="CD94" s="152"/>
      <c r="CE94" s="11"/>
      <c r="CF94" s="11"/>
      <c r="CG94" s="11"/>
      <c r="CH94" s="11"/>
      <c r="CI94" s="153"/>
      <c r="CJ94" s="152"/>
      <c r="CK94" s="152"/>
      <c r="CL94" s="152"/>
      <c r="CM94" s="152"/>
      <c r="CN94" s="150">
        <f ca="1">CN93-CN53+CN54</f>
        <v>63074.333705993406</v>
      </c>
    </row>
    <row r="95" spans="2:290" s="6" customFormat="1" hidden="1" x14ac:dyDescent="0.25">
      <c r="B95" s="34" t="s">
        <v>209</v>
      </c>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c r="AA95" s="152"/>
      <c r="AB95" s="152"/>
      <c r="AC95" s="152"/>
      <c r="AD95" s="152"/>
      <c r="AE95" s="152"/>
      <c r="AF95" s="152"/>
      <c r="AG95" s="152"/>
      <c r="AH95" s="152"/>
      <c r="AI95" s="152"/>
      <c r="AJ95" s="152"/>
      <c r="AK95" s="152"/>
      <c r="AL95" s="152"/>
      <c r="AM95" s="152"/>
      <c r="AN95" s="152"/>
      <c r="AO95" s="152"/>
      <c r="AP95" s="152"/>
      <c r="AQ95" s="152"/>
      <c r="AR95" s="152"/>
      <c r="AS95" s="152"/>
      <c r="AT95" s="152"/>
      <c r="AU95" s="152"/>
      <c r="AV95" s="152"/>
      <c r="AW95" s="152"/>
      <c r="AX95" s="152"/>
      <c r="AY95" s="152"/>
      <c r="AZ95" s="152"/>
      <c r="BA95" s="152"/>
      <c r="BB95" s="152"/>
      <c r="BC95" s="152"/>
      <c r="BD95" s="152"/>
      <c r="BE95" s="152"/>
      <c r="BF95" s="152"/>
      <c r="BG95" s="152"/>
      <c r="BH95" s="152"/>
      <c r="BI95" s="152"/>
      <c r="BJ95" s="152"/>
      <c r="BK95" s="152"/>
      <c r="BL95" s="152"/>
      <c r="BM95" s="152"/>
      <c r="BN95" s="152"/>
      <c r="BO95" s="152"/>
      <c r="BP95" s="152"/>
      <c r="BQ95" s="152"/>
      <c r="BR95" s="152"/>
      <c r="BS95" s="152"/>
      <c r="BT95" s="152"/>
      <c r="BU95" s="152"/>
      <c r="BV95" s="152"/>
      <c r="BW95" s="152"/>
      <c r="BX95" s="152"/>
      <c r="BY95" s="152"/>
      <c r="BZ95" s="152"/>
      <c r="CA95" s="152"/>
      <c r="CB95" s="152"/>
      <c r="CC95" s="152"/>
      <c r="CD95" s="152"/>
      <c r="CE95" s="11"/>
      <c r="CF95" s="11"/>
      <c r="CG95" s="11"/>
      <c r="CH95" s="11"/>
      <c r="CI95" s="153"/>
      <c r="CJ95" s="152"/>
      <c r="CK95" s="152"/>
      <c r="CL95" s="152"/>
      <c r="CM95" s="152"/>
      <c r="CN95" s="150">
        <f ca="1">CN94/CN64</f>
        <v>4964.5284302238024</v>
      </c>
    </row>
    <row r="96" spans="2:290" s="6" customFormat="1" hidden="1" x14ac:dyDescent="0.25">
      <c r="B96" s="11" t="s">
        <v>210</v>
      </c>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c r="AA96" s="152"/>
      <c r="AB96" s="152"/>
      <c r="AC96" s="152"/>
      <c r="AD96" s="152"/>
      <c r="AE96" s="152"/>
      <c r="AF96" s="152"/>
      <c r="AG96" s="152"/>
      <c r="AH96" s="152"/>
      <c r="AI96" s="152"/>
      <c r="AJ96" s="152"/>
      <c r="AK96" s="152"/>
      <c r="AL96" s="152"/>
      <c r="AM96" s="152"/>
      <c r="AN96" s="152"/>
      <c r="AO96" s="152"/>
      <c r="AP96" s="152"/>
      <c r="AQ96" s="152"/>
      <c r="AR96" s="152"/>
      <c r="AS96" s="152"/>
      <c r="AT96" s="152"/>
      <c r="AU96" s="152"/>
      <c r="AV96" s="152"/>
      <c r="AW96" s="152"/>
      <c r="AX96" s="152"/>
      <c r="AY96" s="152"/>
      <c r="AZ96" s="152"/>
      <c r="BA96" s="152"/>
      <c r="BB96" s="152"/>
      <c r="BC96" s="152"/>
      <c r="BD96" s="152"/>
      <c r="BE96" s="152"/>
      <c r="BF96" s="152"/>
      <c r="BG96" s="152"/>
      <c r="BH96" s="152"/>
      <c r="BI96" s="152"/>
      <c r="BJ96" s="152"/>
      <c r="BK96" s="152"/>
      <c r="BL96" s="152"/>
      <c r="BM96" s="152"/>
      <c r="BN96" s="152"/>
      <c r="BO96" s="152"/>
      <c r="BP96" s="152"/>
      <c r="BQ96" s="152"/>
      <c r="BR96" s="152"/>
      <c r="BS96" s="152"/>
      <c r="BT96" s="152"/>
      <c r="BU96" s="152"/>
      <c r="BV96" s="152"/>
      <c r="BW96" s="152"/>
      <c r="BX96" s="152"/>
      <c r="BY96" s="152"/>
      <c r="BZ96" s="152"/>
      <c r="CA96" s="152"/>
      <c r="CB96" s="152"/>
      <c r="CC96" s="152"/>
      <c r="CD96" s="152"/>
      <c r="CE96" s="11"/>
      <c r="CF96" s="11"/>
      <c r="CG96" s="11"/>
      <c r="CH96" s="11"/>
      <c r="CI96" s="153"/>
      <c r="CJ96" s="152"/>
      <c r="CK96" s="152"/>
      <c r="CL96" s="152"/>
      <c r="CM96" s="152"/>
      <c r="CN96" s="149">
        <f ca="1">CN95/CN59</f>
        <v>32.373176066791679</v>
      </c>
    </row>
    <row r="97" spans="2:290" s="6" customFormat="1" hidden="1" x14ac:dyDescent="0.25">
      <c r="B97" s="11" t="s">
        <v>211</v>
      </c>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c r="AA97" s="152"/>
      <c r="AB97" s="152"/>
      <c r="AC97" s="152"/>
      <c r="AD97" s="152"/>
      <c r="AE97" s="152"/>
      <c r="AF97" s="152"/>
      <c r="AG97" s="152"/>
      <c r="AH97" s="152"/>
      <c r="AI97" s="152"/>
      <c r="AJ97" s="152"/>
      <c r="AK97" s="152"/>
      <c r="AL97" s="152"/>
      <c r="AM97" s="152"/>
      <c r="AN97" s="152"/>
      <c r="AO97" s="152"/>
      <c r="AP97" s="152"/>
      <c r="AQ97" s="152"/>
      <c r="AR97" s="152"/>
      <c r="AS97" s="152"/>
      <c r="AT97" s="152"/>
      <c r="AU97" s="152"/>
      <c r="AV97" s="152"/>
      <c r="AW97" s="152"/>
      <c r="AX97" s="152"/>
      <c r="AY97" s="152"/>
      <c r="AZ97" s="152"/>
      <c r="BA97" s="152"/>
      <c r="BB97" s="152"/>
      <c r="BC97" s="152"/>
      <c r="BD97" s="152"/>
      <c r="BE97" s="152"/>
      <c r="BF97" s="152"/>
      <c r="BG97" s="152"/>
      <c r="BH97" s="152"/>
      <c r="BI97" s="152"/>
      <c r="BJ97" s="152"/>
      <c r="BK97" s="152"/>
      <c r="BL97" s="152"/>
      <c r="BM97" s="152"/>
      <c r="BN97" s="152"/>
      <c r="BO97" s="152"/>
      <c r="BP97" s="152"/>
      <c r="BQ97" s="152"/>
      <c r="BR97" s="152"/>
      <c r="BS97" s="152"/>
      <c r="BT97" s="152"/>
      <c r="BU97" s="152"/>
      <c r="BV97" s="152"/>
      <c r="BW97" s="152"/>
      <c r="BX97" s="152"/>
      <c r="BY97" s="152"/>
      <c r="BZ97" s="152"/>
      <c r="CA97" s="152"/>
      <c r="CB97" s="152"/>
      <c r="CC97" s="152"/>
      <c r="CD97" s="152"/>
      <c r="CE97" s="11"/>
      <c r="CF97" s="11"/>
      <c r="CG97" s="11"/>
      <c r="CH97" s="11"/>
      <c r="CI97" s="153"/>
      <c r="CJ97" s="152"/>
      <c r="CK97" s="152"/>
      <c r="CL97" s="152"/>
      <c r="CM97" s="152"/>
      <c r="CN97" s="42">
        <f ca="1">(CN95/CN65)^(1/5)-1</f>
        <v>8.408459787112621E-2</v>
      </c>
    </row>
    <row r="98" spans="2:290" s="6" customFormat="1" x14ac:dyDescent="0.25">
      <c r="BJ98" s="225"/>
      <c r="BO98" s="225"/>
      <c r="BT98" s="225"/>
      <c r="BY98" s="225"/>
      <c r="CD98" s="225"/>
      <c r="CI98" s="225"/>
      <c r="CN98" s="32"/>
    </row>
    <row r="99" spans="2:290" s="60" customFormat="1" hidden="1" x14ac:dyDescent="0.25">
      <c r="B99" s="58"/>
      <c r="C99" s="4"/>
      <c r="D99" s="4" t="str">
        <f t="shared" ref="D99:AI99" si="167">D2</f>
        <v>1QFY10</v>
      </c>
      <c r="E99" s="4" t="str">
        <f t="shared" si="167"/>
        <v>2QFY10</v>
      </c>
      <c r="F99" s="4" t="str">
        <f t="shared" si="167"/>
        <v>3QFY10</v>
      </c>
      <c r="G99" s="4" t="str">
        <f t="shared" si="167"/>
        <v>4QFY10</v>
      </c>
      <c r="H99" s="145" t="str">
        <f t="shared" si="167"/>
        <v>CY10</v>
      </c>
      <c r="I99" s="156" t="str">
        <f t="shared" si="167"/>
        <v>1QFY11</v>
      </c>
      <c r="J99" s="156" t="str">
        <f t="shared" si="167"/>
        <v>2QFY11</v>
      </c>
      <c r="K99" s="156" t="str">
        <f t="shared" si="167"/>
        <v>3QFY11</v>
      </c>
      <c r="L99" s="156" t="str">
        <f t="shared" si="167"/>
        <v>4QFY11</v>
      </c>
      <c r="M99" s="145" t="str">
        <f t="shared" si="167"/>
        <v>CY11</v>
      </c>
      <c r="N99" s="156" t="str">
        <f t="shared" si="167"/>
        <v>1QFY12</v>
      </c>
      <c r="O99" s="156" t="str">
        <f t="shared" si="167"/>
        <v>2QFY12</v>
      </c>
      <c r="P99" s="156" t="str">
        <f t="shared" si="167"/>
        <v>3QFY12</v>
      </c>
      <c r="Q99" s="156" t="str">
        <f t="shared" si="167"/>
        <v>4QFY12</v>
      </c>
      <c r="R99" s="145" t="str">
        <f t="shared" si="167"/>
        <v>CY12</v>
      </c>
      <c r="S99" s="156" t="str">
        <f t="shared" si="167"/>
        <v>1QFY13</v>
      </c>
      <c r="T99" s="156" t="str">
        <f t="shared" si="167"/>
        <v>2QFY13</v>
      </c>
      <c r="U99" s="156" t="str">
        <f t="shared" si="167"/>
        <v>3QFY13</v>
      </c>
      <c r="V99" s="156" t="str">
        <f t="shared" si="167"/>
        <v>4QFY13</v>
      </c>
      <c r="W99" s="145" t="str">
        <f t="shared" si="167"/>
        <v>CY13</v>
      </c>
      <c r="X99" s="156" t="str">
        <f t="shared" si="167"/>
        <v>1QFY14</v>
      </c>
      <c r="Y99" s="156" t="str">
        <f t="shared" si="167"/>
        <v>2QFY14</v>
      </c>
      <c r="Z99" s="156" t="str">
        <f t="shared" si="167"/>
        <v>3QFY14</v>
      </c>
      <c r="AA99" s="156" t="str">
        <f t="shared" si="167"/>
        <v>4QFY14</v>
      </c>
      <c r="AB99" s="145" t="str">
        <f t="shared" si="167"/>
        <v>CY14</v>
      </c>
      <c r="AC99" s="156" t="str">
        <f t="shared" si="167"/>
        <v>1QFY15</v>
      </c>
      <c r="AD99" s="156" t="str">
        <f t="shared" si="167"/>
        <v>2QFY15</v>
      </c>
      <c r="AE99" s="156" t="str">
        <f t="shared" si="167"/>
        <v>3QFY15</v>
      </c>
      <c r="AF99" s="156" t="str">
        <f t="shared" si="167"/>
        <v>4QFY15</v>
      </c>
      <c r="AG99" s="145" t="str">
        <f t="shared" si="167"/>
        <v>CY15</v>
      </c>
      <c r="AH99" s="156" t="str">
        <f t="shared" si="167"/>
        <v>1QFY16</v>
      </c>
      <c r="AI99" s="156" t="str">
        <f t="shared" si="167"/>
        <v>2QFY16</v>
      </c>
      <c r="AJ99" s="156" t="str">
        <f t="shared" ref="AJ99:BO99" si="168">AJ2</f>
        <v>3QFY16</v>
      </c>
      <c r="AK99" s="145" t="str">
        <f t="shared" si="168"/>
        <v>FY16</v>
      </c>
      <c r="AL99" s="156" t="str">
        <f t="shared" si="168"/>
        <v>1QFY17</v>
      </c>
      <c r="AM99" s="156" t="str">
        <f t="shared" si="168"/>
        <v>2QFY17</v>
      </c>
      <c r="AN99" s="156" t="str">
        <f t="shared" si="168"/>
        <v>3QFY17</v>
      </c>
      <c r="AO99" s="156" t="str">
        <f t="shared" si="168"/>
        <v>4QFY17</v>
      </c>
      <c r="AP99" s="145" t="str">
        <f t="shared" si="168"/>
        <v>FY17</v>
      </c>
      <c r="AQ99" s="156" t="str">
        <f t="shared" si="168"/>
        <v>1QFY18</v>
      </c>
      <c r="AR99" s="156" t="str">
        <f t="shared" si="168"/>
        <v>2QFY18</v>
      </c>
      <c r="AS99" s="156" t="str">
        <f t="shared" si="168"/>
        <v>3QFY18</v>
      </c>
      <c r="AT99" s="156" t="str">
        <f t="shared" si="168"/>
        <v>4QFY18</v>
      </c>
      <c r="AU99" s="145" t="str">
        <f t="shared" si="168"/>
        <v>FY18</v>
      </c>
      <c r="AV99" s="148" t="str">
        <f t="shared" si="168"/>
        <v>1QFY19</v>
      </c>
      <c r="AW99" s="148" t="str">
        <f t="shared" si="168"/>
        <v>2QFY19</v>
      </c>
      <c r="AX99" s="148" t="str">
        <f t="shared" si="168"/>
        <v>3QFY19</v>
      </c>
      <c r="AY99" s="148" t="str">
        <f t="shared" si="168"/>
        <v>4QFY19</v>
      </c>
      <c r="AZ99" s="145" t="str">
        <f t="shared" si="168"/>
        <v>FY19</v>
      </c>
      <c r="BA99" s="148" t="str">
        <f t="shared" si="168"/>
        <v>1QFY20</v>
      </c>
      <c r="BB99" s="148" t="str">
        <f t="shared" si="168"/>
        <v>2QFY20</v>
      </c>
      <c r="BC99" s="148" t="str">
        <f t="shared" si="168"/>
        <v>3QFY20</v>
      </c>
      <c r="BD99" s="148" t="str">
        <f t="shared" si="168"/>
        <v>4QFY20</v>
      </c>
      <c r="BE99" s="145" t="str">
        <f t="shared" si="168"/>
        <v>FY20</v>
      </c>
      <c r="BF99" s="148" t="str">
        <f t="shared" si="168"/>
        <v>1QFY21</v>
      </c>
      <c r="BG99" s="148" t="str">
        <f t="shared" si="168"/>
        <v>2QFY21</v>
      </c>
      <c r="BH99" s="148" t="str">
        <f t="shared" si="168"/>
        <v>3QFY21</v>
      </c>
      <c r="BI99" s="148" t="str">
        <f t="shared" si="168"/>
        <v>4QFY21</v>
      </c>
      <c r="BJ99" s="145" t="str">
        <f t="shared" si="168"/>
        <v>FY21</v>
      </c>
      <c r="BK99" s="148" t="str">
        <f t="shared" si="168"/>
        <v>1QFY22</v>
      </c>
      <c r="BL99" s="148" t="str">
        <f t="shared" si="168"/>
        <v>2QFY22</v>
      </c>
      <c r="BM99" s="148" t="str">
        <f t="shared" si="168"/>
        <v>3QFY22</v>
      </c>
      <c r="BN99" s="148" t="str">
        <f t="shared" si="168"/>
        <v>4QFY22</v>
      </c>
      <c r="BO99" s="145" t="str">
        <f t="shared" si="168"/>
        <v>FY22</v>
      </c>
      <c r="BP99" s="148" t="str">
        <f t="shared" ref="BP99:CN99" si="169">BP2</f>
        <v>1QFY23</v>
      </c>
      <c r="BQ99" s="148" t="str">
        <f t="shared" si="169"/>
        <v>2QFY23</v>
      </c>
      <c r="BR99" s="148" t="str">
        <f t="shared" si="169"/>
        <v>3QFY23</v>
      </c>
      <c r="BS99" s="148" t="str">
        <f t="shared" si="169"/>
        <v>4QFY23</v>
      </c>
      <c r="BT99" s="145" t="str">
        <f t="shared" si="169"/>
        <v>FY23</v>
      </c>
      <c r="BU99" s="148" t="str">
        <f t="shared" si="169"/>
        <v>1QFY24</v>
      </c>
      <c r="BV99" s="148" t="str">
        <f t="shared" si="169"/>
        <v>2QFY24</v>
      </c>
      <c r="BW99" s="148" t="str">
        <f t="shared" si="169"/>
        <v>3QFY24</v>
      </c>
      <c r="BX99" s="148" t="str">
        <f t="shared" si="169"/>
        <v>4QFY24</v>
      </c>
      <c r="BY99" s="145" t="str">
        <f t="shared" si="169"/>
        <v>FY24</v>
      </c>
      <c r="BZ99" s="148" t="str">
        <f t="shared" si="169"/>
        <v>1QFY25</v>
      </c>
      <c r="CA99" s="148" t="str">
        <f t="shared" si="169"/>
        <v>2QFY25</v>
      </c>
      <c r="CB99" s="148" t="str">
        <f t="shared" si="169"/>
        <v>3QFY25</v>
      </c>
      <c r="CC99" s="148" t="str">
        <f t="shared" si="169"/>
        <v>4QFY25</v>
      </c>
      <c r="CD99" s="145" t="str">
        <f t="shared" si="169"/>
        <v>FY25</v>
      </c>
      <c r="CE99" s="148" t="str">
        <f t="shared" si="169"/>
        <v>1QFY26</v>
      </c>
      <c r="CF99" s="148" t="str">
        <f t="shared" si="169"/>
        <v>2QFY26</v>
      </c>
      <c r="CG99" s="148" t="str">
        <f t="shared" si="169"/>
        <v>3QFY26</v>
      </c>
      <c r="CH99" s="148" t="str">
        <f t="shared" si="169"/>
        <v>4QFY26</v>
      </c>
      <c r="CI99" s="145" t="str">
        <f t="shared" si="169"/>
        <v>FY26</v>
      </c>
      <c r="CJ99" s="145" t="str">
        <f t="shared" si="169"/>
        <v>FY27E</v>
      </c>
      <c r="CK99" s="145" t="str">
        <f t="shared" si="169"/>
        <v>FY28E</v>
      </c>
      <c r="CL99" s="145" t="str">
        <f t="shared" si="169"/>
        <v>FY29E</v>
      </c>
      <c r="CM99" s="145" t="str">
        <f t="shared" si="169"/>
        <v>FY30E</v>
      </c>
      <c r="CN99" s="145" t="str">
        <f t="shared" si="169"/>
        <v>FY31E</v>
      </c>
      <c r="CO99" s="148"/>
      <c r="CP99" s="148"/>
      <c r="CQ99" s="58"/>
      <c r="CR99" s="58"/>
      <c r="CS99" s="58"/>
      <c r="CT99" s="143"/>
      <c r="CU99" s="143"/>
      <c r="CV99" s="143"/>
      <c r="CW99" s="143"/>
      <c r="CX99" s="143"/>
      <c r="CY99" s="143"/>
      <c r="CZ99" s="143"/>
      <c r="DA99" s="143"/>
      <c r="DB99" s="143"/>
      <c r="DC99" s="143"/>
      <c r="DD99" s="143"/>
      <c r="DE99" s="143"/>
      <c r="DF99" s="143"/>
      <c r="DG99" s="143"/>
      <c r="DH99" s="143"/>
      <c r="DI99" s="143"/>
      <c r="DK99" s="143"/>
      <c r="DL99" s="143"/>
      <c r="DM99" s="58"/>
      <c r="DN99" s="143"/>
      <c r="DO99" s="143"/>
      <c r="DQ99" s="4"/>
      <c r="DR99" s="143"/>
      <c r="DS99" s="143"/>
      <c r="DT99" s="143"/>
      <c r="DV99" s="143"/>
      <c r="DW99" s="143"/>
      <c r="DX99" s="143"/>
      <c r="EA99" s="119"/>
      <c r="EB99" s="119"/>
      <c r="EC99" s="119"/>
      <c r="ED99" s="143"/>
      <c r="EE99" s="143"/>
      <c r="EF99" s="143"/>
      <c r="EJ99" s="119"/>
      <c r="EK99" s="119"/>
      <c r="EL99" s="143"/>
      <c r="EM99" s="143"/>
      <c r="EN99" s="143"/>
      <c r="EP99" s="119"/>
      <c r="EQ99" s="143"/>
      <c r="ER99" s="143"/>
      <c r="ES99" s="143"/>
      <c r="EV99" s="119"/>
      <c r="EW99" s="119"/>
      <c r="EX99" s="119"/>
      <c r="EY99" s="119"/>
      <c r="EZ99" s="143"/>
      <c r="FA99" s="143"/>
      <c r="FD99" s="119"/>
      <c r="FE99" s="119"/>
      <c r="FF99" s="119"/>
      <c r="FG99" s="143"/>
      <c r="FH99" s="143"/>
      <c r="FK99" s="143"/>
      <c r="FL99" s="143"/>
      <c r="FO99" s="119"/>
      <c r="FP99" s="119"/>
      <c r="FQ99" s="143"/>
      <c r="FR99" s="143"/>
      <c r="FU99" s="119"/>
      <c r="FV99" s="143"/>
      <c r="FW99" s="143"/>
      <c r="FX99" s="143"/>
      <c r="FY99" s="143"/>
      <c r="GA99" s="143"/>
      <c r="GB99" s="143"/>
      <c r="GC99" s="143"/>
      <c r="GF99" s="119"/>
      <c r="GG99" s="119"/>
      <c r="GH99" s="119"/>
      <c r="GI99" s="143"/>
      <c r="GJ99" s="143"/>
      <c r="GK99" s="143"/>
      <c r="GN99" s="119"/>
      <c r="GO99" s="119"/>
      <c r="GP99" s="143"/>
      <c r="GQ99" s="143"/>
      <c r="GR99" s="143"/>
      <c r="GV99" s="119"/>
      <c r="GW99" s="143"/>
      <c r="GX99" s="143"/>
      <c r="GY99" s="143"/>
      <c r="HC99" s="143"/>
      <c r="HD99" s="143">
        <v>18.114807101859817</v>
      </c>
      <c r="HE99" s="143">
        <v>17.716185702492737</v>
      </c>
      <c r="HF99" s="143">
        <v>16.007158357994232</v>
      </c>
      <c r="HI99" s="119"/>
      <c r="HJ99" s="119"/>
      <c r="HK99" s="119"/>
      <c r="HL99" s="119"/>
      <c r="HM99" s="143">
        <v>21.632492087298701</v>
      </c>
      <c r="HN99" s="143">
        <v>19.55758613782109</v>
      </c>
      <c r="HO99" s="143">
        <v>17.979478831551319</v>
      </c>
      <c r="HR99" s="119"/>
      <c r="HS99" s="119"/>
      <c r="HT99" s="119"/>
      <c r="HU99" s="143">
        <v>24.034559948755252</v>
      </c>
      <c r="HV99" s="143">
        <v>19.130242248528855</v>
      </c>
      <c r="HW99" s="143">
        <v>17.343981675324788</v>
      </c>
      <c r="HZ99" s="119"/>
      <c r="IA99" s="143">
        <v>26.782959932471915</v>
      </c>
      <c r="IB99" s="143">
        <v>22.099276346211568</v>
      </c>
      <c r="IC99" s="143">
        <v>19.227233736425244</v>
      </c>
      <c r="IE99" s="119"/>
      <c r="IF99" s="143">
        <v>27.827689590111472</v>
      </c>
      <c r="IG99" s="143">
        <v>21.733545909278085</v>
      </c>
      <c r="IH99" s="143">
        <v>18.876967569001799</v>
      </c>
      <c r="IK99" s="143">
        <v>21.733545909278085</v>
      </c>
      <c r="IL99" s="143">
        <v>18.876967569001799</v>
      </c>
      <c r="IO99" s="143"/>
      <c r="IP99" s="143"/>
      <c r="IS99" s="157"/>
      <c r="IT99" s="157"/>
      <c r="IU99" s="157"/>
      <c r="IX99" s="143"/>
      <c r="IY99" s="143"/>
      <c r="IZ99" s="143"/>
      <c r="JA99" s="143"/>
      <c r="JD99" s="143"/>
      <c r="JE99" s="143"/>
      <c r="JH99" s="143"/>
      <c r="JI99" s="143"/>
      <c r="JJ99" s="143"/>
      <c r="JM99" s="143"/>
      <c r="JN99" s="143"/>
      <c r="JQ99" s="143"/>
      <c r="JR99" s="143"/>
      <c r="JS99" s="143"/>
      <c r="JV99" s="143"/>
      <c r="JW99" s="143"/>
      <c r="JY99" s="143"/>
      <c r="JZ99" s="143"/>
      <c r="KB99" s="143"/>
      <c r="KC99" s="143"/>
      <c r="KD99" s="143"/>
    </row>
    <row r="100" spans="2:290" hidden="1" x14ac:dyDescent="0.25">
      <c r="B100" s="6" t="s">
        <v>214</v>
      </c>
      <c r="C100" s="136"/>
      <c r="D100" s="136"/>
      <c r="E100" s="136"/>
      <c r="F100" s="136"/>
      <c r="G100" s="136"/>
      <c r="H100" s="132">
        <f t="shared" ref="H100:M100" si="170">H9-(H13+H15+H17)</f>
        <v>0</v>
      </c>
      <c r="I100" s="158">
        <f t="shared" si="170"/>
        <v>162.07999999999998</v>
      </c>
      <c r="J100" s="158">
        <f t="shared" si="170"/>
        <v>223.45120000000003</v>
      </c>
      <c r="K100" s="158">
        <f t="shared" si="170"/>
        <v>219.83090000000004</v>
      </c>
      <c r="L100" s="158">
        <f t="shared" si="170"/>
        <v>243.48099999999999</v>
      </c>
      <c r="M100" s="132">
        <f t="shared" si="170"/>
        <v>848.84309999999982</v>
      </c>
      <c r="N100" s="158">
        <f>(N13+N15+N17)</f>
        <v>304.85590000000002</v>
      </c>
      <c r="O100" s="158">
        <f>(O13+O15+O17)</f>
        <v>477.38949999999994</v>
      </c>
      <c r="P100" s="158">
        <f>(P13+P15+P17)</f>
        <v>505.34940000000006</v>
      </c>
      <c r="Q100" s="158">
        <f>(Q13+Q15+Q17)</f>
        <v>604.60069999999996</v>
      </c>
      <c r="R100" s="132">
        <f t="shared" ref="R100:BG100" si="171">R9-(R13+R15+R17)</f>
        <v>1004.3978999999999</v>
      </c>
      <c r="S100" s="158">
        <f t="shared" si="171"/>
        <v>225.30709999999999</v>
      </c>
      <c r="T100" s="158">
        <f t="shared" si="171"/>
        <v>277.34479999999996</v>
      </c>
      <c r="U100" s="158">
        <f t="shared" si="171"/>
        <v>317.22390000000007</v>
      </c>
      <c r="V100" s="158">
        <f t="shared" si="171"/>
        <v>344.08089999999982</v>
      </c>
      <c r="W100" s="132">
        <f t="shared" si="171"/>
        <v>1163.9566999999997</v>
      </c>
      <c r="X100" s="158">
        <f t="shared" si="171"/>
        <v>247.87990000000002</v>
      </c>
      <c r="Y100" s="158">
        <f t="shared" si="171"/>
        <v>299.24799999999993</v>
      </c>
      <c r="Z100" s="158">
        <f t="shared" si="171"/>
        <v>305.52390000000003</v>
      </c>
      <c r="AA100" s="158">
        <f t="shared" si="171"/>
        <v>382.06280000000015</v>
      </c>
      <c r="AB100" s="132">
        <f t="shared" si="171"/>
        <v>1234.7145999999998</v>
      </c>
      <c r="AC100" s="158">
        <f t="shared" si="171"/>
        <v>215.80520000000001</v>
      </c>
      <c r="AD100" s="158">
        <f t="shared" si="171"/>
        <v>252.07939999999985</v>
      </c>
      <c r="AE100" s="158">
        <f t="shared" si="171"/>
        <v>342.61749999999995</v>
      </c>
      <c r="AF100" s="158">
        <f t="shared" si="171"/>
        <v>397.89829999999984</v>
      </c>
      <c r="AG100" s="132">
        <f t="shared" si="171"/>
        <v>1208.4003999999991</v>
      </c>
      <c r="AH100" s="158">
        <f t="shared" si="171"/>
        <v>241.98749999999995</v>
      </c>
      <c r="AI100" s="158">
        <f t="shared" si="171"/>
        <v>364.42560000000003</v>
      </c>
      <c r="AJ100" s="158">
        <f t="shared" si="171"/>
        <v>431.68349999999998</v>
      </c>
      <c r="AK100" s="132">
        <f t="shared" si="171"/>
        <v>1038.0965999999996</v>
      </c>
      <c r="AL100" s="158">
        <f t="shared" si="171"/>
        <v>431.12210000000005</v>
      </c>
      <c r="AM100" s="158">
        <f t="shared" si="171"/>
        <v>337.33149999999978</v>
      </c>
      <c r="AN100" s="158">
        <f t="shared" si="171"/>
        <v>411.00759999999991</v>
      </c>
      <c r="AO100" s="158">
        <f t="shared" si="171"/>
        <v>464.56000000000006</v>
      </c>
      <c r="AP100" s="132">
        <f t="shared" si="171"/>
        <v>1644.0500000000002</v>
      </c>
      <c r="AQ100" s="158">
        <f t="shared" si="171"/>
        <v>367.67000000000007</v>
      </c>
      <c r="AR100" s="158">
        <f t="shared" si="171"/>
        <v>357.46999999999991</v>
      </c>
      <c r="AS100" s="158">
        <f t="shared" si="171"/>
        <v>429.54999999999995</v>
      </c>
      <c r="AT100" s="158">
        <f t="shared" si="171"/>
        <v>525.83000000000004</v>
      </c>
      <c r="AU100" s="132">
        <f t="shared" si="171"/>
        <v>1680.54</v>
      </c>
      <c r="AV100" s="137">
        <f t="shared" si="171"/>
        <v>423.43000000000006</v>
      </c>
      <c r="AW100" s="137">
        <f t="shared" si="171"/>
        <v>394.08000000000004</v>
      </c>
      <c r="AX100" s="137">
        <f t="shared" si="171"/>
        <v>441.19000000000005</v>
      </c>
      <c r="AY100" s="137">
        <f t="shared" si="171"/>
        <v>469.92000000000007</v>
      </c>
      <c r="AZ100" s="132">
        <f t="shared" si="171"/>
        <v>1736.2399999999993</v>
      </c>
      <c r="BA100" s="137">
        <f t="shared" si="171"/>
        <v>434.18299999999999</v>
      </c>
      <c r="BB100" s="137">
        <f t="shared" si="171"/>
        <v>442.17000000000019</v>
      </c>
      <c r="BC100" s="137">
        <f t="shared" si="171"/>
        <v>484.25</v>
      </c>
      <c r="BD100" s="137">
        <f t="shared" si="171"/>
        <v>582.35</v>
      </c>
      <c r="BE100" s="132">
        <f t="shared" si="171"/>
        <v>1933.3899999999999</v>
      </c>
      <c r="BF100" s="137">
        <f t="shared" si="171"/>
        <v>299.50000000000011</v>
      </c>
      <c r="BG100" s="137">
        <f t="shared" si="171"/>
        <v>526.14</v>
      </c>
      <c r="BH100" s="137">
        <f>BH9-(BH13+BH15+BH17)-80</f>
        <v>602.77</v>
      </c>
      <c r="BI100" s="137">
        <f>BI9-(BI13+BI15+BI17)-120</f>
        <v>690.18000000000006</v>
      </c>
      <c r="BJ100" s="132">
        <f t="shared" ref="BJ100:CI100" si="172">BJ9-(BJ13+BJ15+BJ17)</f>
        <v>2318.6</v>
      </c>
      <c r="BK100" s="137">
        <f t="shared" si="172"/>
        <v>475.86999999999989</v>
      </c>
      <c r="BL100" s="137">
        <f t="shared" si="172"/>
        <v>607.81999999999994</v>
      </c>
      <c r="BM100" s="137">
        <f t="shared" si="172"/>
        <v>622.72</v>
      </c>
      <c r="BN100" s="137">
        <f t="shared" si="172"/>
        <v>713.24</v>
      </c>
      <c r="BO100" s="132">
        <f t="shared" si="172"/>
        <v>2419.6499999999996</v>
      </c>
      <c r="BP100" s="137">
        <f t="shared" si="172"/>
        <v>583.56999999999994</v>
      </c>
      <c r="BQ100" s="137">
        <f t="shared" si="172"/>
        <v>484.44999999999982</v>
      </c>
      <c r="BR100" s="137">
        <f t="shared" si="172"/>
        <v>664.41000000000008</v>
      </c>
      <c r="BS100" s="137">
        <f t="shared" si="172"/>
        <v>869.97</v>
      </c>
      <c r="BT100" s="132">
        <f t="shared" si="172"/>
        <v>2602.2999999999993</v>
      </c>
      <c r="BU100" s="137">
        <f t="shared" si="172"/>
        <v>712.56999999999994</v>
      </c>
      <c r="BV100" s="137">
        <f t="shared" si="172"/>
        <v>773</v>
      </c>
      <c r="BW100" s="137">
        <f t="shared" si="172"/>
        <v>808.63000000000011</v>
      </c>
      <c r="BX100" s="137">
        <f t="shared" si="172"/>
        <v>981.65999999999985</v>
      </c>
      <c r="BY100" s="132">
        <f t="shared" si="172"/>
        <v>3276.1000000000004</v>
      </c>
      <c r="BZ100" s="137">
        <f t="shared" si="172"/>
        <v>840.58999999999992</v>
      </c>
      <c r="CA100" s="137">
        <f t="shared" si="172"/>
        <v>784.3599999999999</v>
      </c>
      <c r="CB100" s="137">
        <f t="shared" si="172"/>
        <v>780.95</v>
      </c>
      <c r="CC100" s="137">
        <f t="shared" si="172"/>
        <v>895.16000000000031</v>
      </c>
      <c r="CD100" s="132">
        <f t="shared" si="172"/>
        <v>3299.7999999999993</v>
      </c>
      <c r="CE100" s="137">
        <f t="shared" si="172"/>
        <v>819.74</v>
      </c>
      <c r="CF100" s="137">
        <f t="shared" si="172"/>
        <v>806.88000000000011</v>
      </c>
      <c r="CG100" s="137">
        <f t="shared" si="172"/>
        <v>859.96</v>
      </c>
      <c r="CH100" s="137">
        <f t="shared" si="172"/>
        <v>1171.9399999999996</v>
      </c>
      <c r="CI100" s="132">
        <f t="shared" si="172"/>
        <v>3658.5200000000004</v>
      </c>
      <c r="CJ100" s="159"/>
      <c r="CK100" s="132"/>
      <c r="CL100" s="132"/>
      <c r="CM100" s="132"/>
      <c r="CN100" s="132"/>
      <c r="CO100" s="137"/>
      <c r="CP100" s="137"/>
      <c r="CQ100" s="6"/>
      <c r="CR100" s="6"/>
      <c r="CS100" s="6"/>
      <c r="CT100" s="124"/>
      <c r="CU100" s="124"/>
      <c r="CV100" s="124"/>
      <c r="CW100" s="124"/>
      <c r="CX100" s="124"/>
      <c r="CY100" s="124"/>
      <c r="CZ100" s="124"/>
      <c r="DA100" s="124"/>
      <c r="DB100" s="124"/>
      <c r="DC100" s="124">
        <v>3168.2535013349998</v>
      </c>
      <c r="DD100" s="124"/>
      <c r="DE100" s="124"/>
      <c r="DF100" s="124"/>
      <c r="DG100" s="124"/>
      <c r="DH100" s="124"/>
      <c r="DI100" s="124"/>
      <c r="DK100" s="124"/>
      <c r="DL100" s="124"/>
      <c r="DM100" s="6"/>
      <c r="DN100" s="124">
        <v>0</v>
      </c>
      <c r="DO100" s="124"/>
      <c r="DQ100" s="136"/>
      <c r="DR100" s="124"/>
      <c r="DS100" s="124"/>
      <c r="DT100" s="124"/>
      <c r="DV100" s="124"/>
      <c r="DW100" s="124"/>
      <c r="DX100" s="124"/>
      <c r="EA100" s="111"/>
      <c r="EB100" s="111"/>
      <c r="EC100" s="111"/>
      <c r="ED100" s="124"/>
      <c r="EE100" s="124"/>
      <c r="EF100" s="124"/>
      <c r="EJ100" s="111"/>
      <c r="EK100" s="111"/>
      <c r="EL100" s="124"/>
      <c r="EM100" s="124"/>
      <c r="EN100" s="124"/>
      <c r="EP100" s="111"/>
      <c r="EQ100" s="124"/>
      <c r="ER100" s="124"/>
      <c r="ES100" s="124"/>
      <c r="EV100" s="111"/>
      <c r="EW100" s="111"/>
      <c r="EX100" s="111"/>
      <c r="EY100" s="111"/>
      <c r="EZ100" s="124"/>
      <c r="FA100" s="124"/>
      <c r="FD100" s="111"/>
      <c r="FE100" s="111"/>
      <c r="FF100" s="111"/>
      <c r="FG100" s="124"/>
      <c r="FH100" s="124"/>
      <c r="FK100" s="124"/>
      <c r="FL100" s="124"/>
      <c r="FO100" s="111"/>
      <c r="FP100" s="111"/>
      <c r="FQ100" s="124"/>
      <c r="FR100" s="124"/>
      <c r="FU100" s="111"/>
      <c r="FV100" s="124"/>
      <c r="FW100" s="124"/>
      <c r="FX100" s="124"/>
      <c r="FY100" s="124"/>
      <c r="GA100" s="124"/>
      <c r="GB100" s="124"/>
      <c r="GC100" s="124"/>
      <c r="GF100" s="111"/>
      <c r="GG100" s="111"/>
      <c r="GH100" s="111"/>
      <c r="GI100" s="124"/>
      <c r="GJ100" s="124"/>
      <c r="GK100" s="124"/>
      <c r="GN100" s="111"/>
      <c r="GO100" s="111"/>
      <c r="GP100" s="124"/>
      <c r="GQ100" s="124"/>
      <c r="GR100" s="124"/>
      <c r="GV100" s="111"/>
      <c r="GW100" s="124"/>
      <c r="GX100" s="124"/>
      <c r="GY100" s="124"/>
      <c r="HC100" s="124"/>
      <c r="HD100" s="124"/>
      <c r="HE100" s="124"/>
      <c r="HF100" s="124"/>
      <c r="HI100" s="111"/>
      <c r="HJ100" s="111"/>
      <c r="HK100" s="111"/>
      <c r="HL100" s="111"/>
      <c r="HM100" s="124"/>
      <c r="HN100" s="124"/>
      <c r="HO100" s="124"/>
      <c r="HR100" s="111"/>
      <c r="HS100" s="111"/>
      <c r="HT100" s="111"/>
      <c r="HU100" s="124"/>
      <c r="HV100" s="124"/>
      <c r="HW100" s="124"/>
      <c r="HZ100" s="111"/>
      <c r="IA100" s="124"/>
      <c r="IB100" s="124"/>
      <c r="IC100" s="124"/>
      <c r="IE100" s="111"/>
      <c r="IF100" s="124"/>
      <c r="IG100" s="124"/>
      <c r="IH100" s="124"/>
      <c r="IK100" s="124"/>
      <c r="IL100" s="124"/>
      <c r="IO100" s="124"/>
      <c r="IP100" s="124"/>
      <c r="IS100" s="160"/>
      <c r="IT100" s="160"/>
      <c r="IU100" s="160"/>
      <c r="IX100" s="124">
        <v>2950.7972020000002</v>
      </c>
      <c r="IY100" s="124"/>
      <c r="IZ100" s="124"/>
      <c r="JA100" s="124"/>
      <c r="JD100" s="124"/>
      <c r="JE100" s="124"/>
      <c r="JH100" s="124"/>
      <c r="JI100" s="124"/>
      <c r="JJ100" s="124"/>
      <c r="JM100" s="124"/>
      <c r="JN100" s="124"/>
      <c r="JQ100" s="124"/>
      <c r="JR100" s="124"/>
      <c r="JS100" s="124"/>
      <c r="JV100" s="124"/>
      <c r="JW100" s="124"/>
      <c r="JY100" s="124"/>
      <c r="JZ100" s="124"/>
      <c r="KB100" s="124"/>
      <c r="KC100" s="124"/>
      <c r="KD100" s="124"/>
    </row>
    <row r="101" spans="2:290" hidden="1" x14ac:dyDescent="0.25">
      <c r="B101" s="6" t="s">
        <v>215</v>
      </c>
      <c r="C101" s="136"/>
      <c r="D101" s="136"/>
      <c r="E101" s="136"/>
      <c r="F101" s="136"/>
      <c r="G101" s="136"/>
      <c r="H101" s="132"/>
      <c r="I101" s="158">
        <f t="shared" ref="I101:AN101" si="173">I100/I9</f>
        <v>0.37024853801169588</v>
      </c>
      <c r="J101" s="158">
        <f t="shared" si="173"/>
        <v>0.38451095957898646</v>
      </c>
      <c r="K101" s="158">
        <f t="shared" si="173"/>
        <v>0.3318172713631683</v>
      </c>
      <c r="L101" s="158">
        <f t="shared" si="173"/>
        <v>0.32532077661932868</v>
      </c>
      <c r="M101" s="132">
        <f t="shared" si="173"/>
        <v>0.34934253024408612</v>
      </c>
      <c r="N101" s="158">
        <f t="shared" si="173"/>
        <v>0.634542990106025</v>
      </c>
      <c r="O101" s="158">
        <f t="shared" si="173"/>
        <v>0.66184661485183749</v>
      </c>
      <c r="P101" s="158">
        <f t="shared" si="173"/>
        <v>0.65753536948561253</v>
      </c>
      <c r="Q101" s="158">
        <f t="shared" si="173"/>
        <v>0.65269843963582796</v>
      </c>
      <c r="R101" s="132">
        <f t="shared" si="173"/>
        <v>0.34675142876456183</v>
      </c>
      <c r="S101" s="158">
        <f t="shared" si="173"/>
        <v>0.36478774248189361</v>
      </c>
      <c r="T101" s="158">
        <f t="shared" si="173"/>
        <v>0.34030583804475872</v>
      </c>
      <c r="U101" s="158">
        <f t="shared" si="173"/>
        <v>0.34568075452979852</v>
      </c>
      <c r="V101" s="158">
        <f t="shared" si="173"/>
        <v>0.33158505103474528</v>
      </c>
      <c r="W101" s="132">
        <f t="shared" si="173"/>
        <v>0.34355377929414066</v>
      </c>
      <c r="X101" s="158">
        <f t="shared" si="173"/>
        <v>0.3515327375275531</v>
      </c>
      <c r="Y101" s="158">
        <f t="shared" si="173"/>
        <v>0.31969164106267595</v>
      </c>
      <c r="Z101" s="158">
        <f t="shared" si="173"/>
        <v>0.30393429325285826</v>
      </c>
      <c r="AA101" s="158">
        <f t="shared" si="173"/>
        <v>0.30427208220175872</v>
      </c>
      <c r="AB101" s="161">
        <f t="shared" si="173"/>
        <v>0.31642439485094642</v>
      </c>
      <c r="AC101" s="162">
        <f t="shared" si="173"/>
        <v>0.28412202944607678</v>
      </c>
      <c r="AD101" s="162">
        <f t="shared" si="173"/>
        <v>0.24717597249288062</v>
      </c>
      <c r="AE101" s="162">
        <f t="shared" si="173"/>
        <v>0.31662912009232602</v>
      </c>
      <c r="AF101" s="162">
        <f t="shared" si="173"/>
        <v>0.31720175991526783</v>
      </c>
      <c r="AG101" s="161">
        <f t="shared" si="173"/>
        <v>0.29359548294606574</v>
      </c>
      <c r="AH101" s="162">
        <f t="shared" si="173"/>
        <v>0.31313216011403772</v>
      </c>
      <c r="AI101" s="162">
        <f t="shared" si="173"/>
        <v>0.36383102733512895</v>
      </c>
      <c r="AJ101" s="162">
        <f t="shared" si="173"/>
        <v>0.35964421105232153</v>
      </c>
      <c r="AK101" s="161">
        <f t="shared" si="173"/>
        <v>0.34897076650111697</v>
      </c>
      <c r="AL101" s="162">
        <f t="shared" si="173"/>
        <v>0.36248995552389646</v>
      </c>
      <c r="AM101" s="162">
        <f t="shared" si="173"/>
        <v>0.38208192892920334</v>
      </c>
      <c r="AN101" s="162">
        <f t="shared" si="173"/>
        <v>0.37113959873417546</v>
      </c>
      <c r="AO101" s="162">
        <f t="shared" ref="AO101:BT101" si="174">AO100/AO9</f>
        <v>0.36219330594169791</v>
      </c>
      <c r="AP101" s="161">
        <f t="shared" si="174"/>
        <v>0.36843438078462487</v>
      </c>
      <c r="AQ101" s="162">
        <f t="shared" si="174"/>
        <v>0.31650396845892953</v>
      </c>
      <c r="AR101" s="162">
        <f t="shared" si="174"/>
        <v>0.33881485413151852</v>
      </c>
      <c r="AS101" s="162">
        <f t="shared" si="174"/>
        <v>0.33603223030587498</v>
      </c>
      <c r="AT101" s="162">
        <f t="shared" si="174"/>
        <v>0.3574011391596319</v>
      </c>
      <c r="AU101" s="161">
        <f t="shared" si="174"/>
        <v>0.33838942147961554</v>
      </c>
      <c r="AV101" s="74">
        <f t="shared" si="174"/>
        <v>0.31465174517540928</v>
      </c>
      <c r="AW101" s="74">
        <f t="shared" si="174"/>
        <v>0.31901045882848167</v>
      </c>
      <c r="AX101" s="74">
        <f t="shared" si="174"/>
        <v>0.31189424198508364</v>
      </c>
      <c r="AY101" s="74">
        <f t="shared" si="174"/>
        <v>0.30695468708153978</v>
      </c>
      <c r="AZ101" s="161">
        <f t="shared" si="174"/>
        <v>0.31249201329707282</v>
      </c>
      <c r="BA101" s="74">
        <f t="shared" si="174"/>
        <v>0.30218055960574403</v>
      </c>
      <c r="BB101" s="74">
        <f t="shared" si="174"/>
        <v>0.34528346087771367</v>
      </c>
      <c r="BC101" s="74">
        <f t="shared" si="174"/>
        <v>0.35261264672472548</v>
      </c>
      <c r="BD101" s="74">
        <f t="shared" si="174"/>
        <v>0.40709826702738222</v>
      </c>
      <c r="BE101" s="161">
        <f t="shared" si="174"/>
        <v>0.35078943453190942</v>
      </c>
      <c r="BF101" s="74">
        <f t="shared" si="174"/>
        <v>0.28418795308763811</v>
      </c>
      <c r="BG101" s="74">
        <f t="shared" si="174"/>
        <v>0.38270850608824686</v>
      </c>
      <c r="BH101" s="74">
        <f t="shared" si="174"/>
        <v>0.32691723614274865</v>
      </c>
      <c r="BI101" s="74">
        <f t="shared" si="174"/>
        <v>0.33108668850949108</v>
      </c>
      <c r="BJ101" s="161">
        <f t="shared" si="174"/>
        <v>0.36472834926837244</v>
      </c>
      <c r="BK101" s="74">
        <f t="shared" si="174"/>
        <v>0.35457647830233663</v>
      </c>
      <c r="BL101" s="74">
        <f t="shared" si="174"/>
        <v>0.31517106204693701</v>
      </c>
      <c r="BM101" s="74">
        <f t="shared" si="174"/>
        <v>0.32014641845448333</v>
      </c>
      <c r="BN101" s="74">
        <f t="shared" si="174"/>
        <v>0.27892643590956906</v>
      </c>
      <c r="BO101" s="161">
        <f t="shared" si="174"/>
        <v>0.3112962862899179</v>
      </c>
      <c r="BP101" s="74">
        <f t="shared" si="174"/>
        <v>0.26454002302831392</v>
      </c>
      <c r="BQ101" s="74">
        <f t="shared" si="174"/>
        <v>0.23217195437553909</v>
      </c>
      <c r="BR101" s="74">
        <f t="shared" si="174"/>
        <v>0.28753500006491517</v>
      </c>
      <c r="BS101" s="74">
        <f t="shared" si="174"/>
        <v>0.33482276873340261</v>
      </c>
      <c r="BT101" s="161">
        <f t="shared" si="174"/>
        <v>0.28281289225984046</v>
      </c>
      <c r="BU101" s="74">
        <f t="shared" ref="BU101:CI101" si="175">BU100/BU9</f>
        <v>0.30084269900108923</v>
      </c>
      <c r="BV101" s="74">
        <f t="shared" si="175"/>
        <v>0.33482191199338152</v>
      </c>
      <c r="BW101" s="74">
        <f t="shared" si="175"/>
        <v>0.3301743497611368</v>
      </c>
      <c r="BX101" s="74">
        <f t="shared" si="175"/>
        <v>0.32636166881102696</v>
      </c>
      <c r="BY101" s="161">
        <f t="shared" si="175"/>
        <v>0.3232697799345981</v>
      </c>
      <c r="BZ101" s="74">
        <f t="shared" si="175"/>
        <v>0.31884613196275152</v>
      </c>
      <c r="CA101" s="74">
        <f t="shared" si="175"/>
        <v>0.34508458171099232</v>
      </c>
      <c r="CB101" s="74">
        <f t="shared" si="175"/>
        <v>0.31115033388050423</v>
      </c>
      <c r="CC101" s="74">
        <f t="shared" si="175"/>
        <v>0.29571830185625053</v>
      </c>
      <c r="CD101" s="161">
        <f t="shared" si="175"/>
        <v>0.31588369031949259</v>
      </c>
      <c r="CE101" s="74">
        <f t="shared" si="175"/>
        <v>0.31417172247538527</v>
      </c>
      <c r="CF101" s="74">
        <f t="shared" si="175"/>
        <v>0.33706090974029507</v>
      </c>
      <c r="CG101" s="74">
        <f t="shared" si="175"/>
        <v>0.32005180614379181</v>
      </c>
      <c r="CH101" s="74">
        <f t="shared" si="175"/>
        <v>0.33221455582454079</v>
      </c>
      <c r="CI101" s="161">
        <f t="shared" si="175"/>
        <v>0.32613873813480154</v>
      </c>
      <c r="CJ101" s="161"/>
      <c r="CK101" s="161"/>
      <c r="CL101" s="161"/>
      <c r="CM101" s="161"/>
      <c r="CN101" s="161"/>
      <c r="CO101" s="74"/>
      <c r="CP101" s="74"/>
      <c r="CQ101" s="6"/>
      <c r="CR101" s="6"/>
      <c r="CS101" s="6"/>
      <c r="CT101" s="124"/>
      <c r="CU101" s="124"/>
      <c r="CV101" s="124"/>
      <c r="CW101" s="124"/>
      <c r="CX101" s="124"/>
      <c r="CY101" s="124"/>
      <c r="CZ101" s="124"/>
      <c r="DA101" s="124"/>
      <c r="DB101" s="124"/>
      <c r="DC101" s="124">
        <v>0.34300000000000003</v>
      </c>
      <c r="DD101" s="124"/>
      <c r="DE101" s="124"/>
      <c r="DF101" s="124"/>
      <c r="DG101" s="124"/>
      <c r="DH101" s="124"/>
      <c r="DI101" s="124"/>
      <c r="DK101" s="124"/>
      <c r="DL101" s="124"/>
      <c r="DM101" s="6"/>
      <c r="DN101" s="124">
        <v>1</v>
      </c>
      <c r="DO101" s="124"/>
      <c r="DQ101" s="136"/>
      <c r="DR101" s="124"/>
      <c r="DS101" s="124"/>
      <c r="DT101" s="124"/>
      <c r="DV101" s="124"/>
      <c r="DW101" s="124"/>
      <c r="DX101" s="124"/>
      <c r="EA101" s="111"/>
      <c r="EB101" s="111"/>
      <c r="EC101" s="111"/>
      <c r="ED101" s="124"/>
      <c r="EE101" s="124"/>
      <c r="EF101" s="124"/>
      <c r="EJ101" s="111"/>
      <c r="EK101" s="111"/>
      <c r="EL101" s="124"/>
      <c r="EM101" s="124"/>
      <c r="EN101" s="124"/>
      <c r="EP101" s="111"/>
      <c r="EQ101" s="124"/>
      <c r="ER101" s="124"/>
      <c r="ES101" s="124"/>
      <c r="EV101" s="111"/>
      <c r="EW101" s="111"/>
      <c r="EX101" s="111"/>
      <c r="EY101" s="111"/>
      <c r="EZ101" s="124"/>
      <c r="FA101" s="124"/>
      <c r="FD101" s="111"/>
      <c r="FE101" s="111"/>
      <c r="FF101" s="111"/>
      <c r="FG101" s="124"/>
      <c r="FH101" s="124"/>
      <c r="FK101" s="124"/>
      <c r="FL101" s="124"/>
      <c r="FO101" s="111"/>
      <c r="FP101" s="111"/>
      <c r="FQ101" s="124"/>
      <c r="FR101" s="124"/>
      <c r="FU101" s="111"/>
      <c r="FV101" s="124"/>
      <c r="FW101" s="124"/>
      <c r="FX101" s="124"/>
      <c r="FY101" s="124"/>
      <c r="GA101" s="124"/>
      <c r="GB101" s="124"/>
      <c r="GC101" s="124"/>
      <c r="GF101" s="111"/>
      <c r="GG101" s="111"/>
      <c r="GH101" s="111"/>
      <c r="GI101" s="124"/>
      <c r="GJ101" s="124"/>
      <c r="GK101" s="124"/>
      <c r="GN101" s="111"/>
      <c r="GO101" s="111"/>
      <c r="GP101" s="124"/>
      <c r="GQ101" s="124"/>
      <c r="GR101" s="124"/>
      <c r="GV101" s="111"/>
      <c r="GW101" s="124"/>
      <c r="GX101" s="124"/>
      <c r="GY101" s="124"/>
      <c r="HC101" s="124"/>
      <c r="HD101" s="124"/>
      <c r="HE101" s="124"/>
      <c r="HF101" s="124"/>
      <c r="HI101" s="111"/>
      <c r="HJ101" s="111"/>
      <c r="HK101" s="111"/>
      <c r="HL101" s="111"/>
      <c r="HM101" s="124"/>
      <c r="HN101" s="124"/>
      <c r="HO101" s="124"/>
      <c r="HR101" s="111"/>
      <c r="HS101" s="111"/>
      <c r="HT101" s="111"/>
      <c r="HU101" s="124"/>
      <c r="HV101" s="124"/>
      <c r="HW101" s="124"/>
      <c r="HZ101" s="111"/>
      <c r="IA101" s="124"/>
      <c r="IB101" s="124"/>
      <c r="IC101" s="124"/>
      <c r="IE101" s="111"/>
      <c r="IF101" s="124"/>
      <c r="IG101" s="124"/>
      <c r="IH101" s="124"/>
      <c r="IK101" s="124"/>
      <c r="IL101" s="124"/>
      <c r="IO101" s="124"/>
      <c r="IP101" s="124"/>
      <c r="IS101" s="160"/>
      <c r="IT101" s="160"/>
      <c r="IU101" s="160"/>
      <c r="IX101" s="124">
        <v>1</v>
      </c>
      <c r="IY101" s="124"/>
      <c r="IZ101" s="124"/>
      <c r="JA101" s="124"/>
      <c r="JD101" s="124"/>
      <c r="JE101" s="124"/>
      <c r="JH101" s="124"/>
      <c r="JI101" s="124"/>
      <c r="JJ101" s="124"/>
      <c r="JM101" s="124"/>
      <c r="JN101" s="124"/>
      <c r="JQ101" s="124"/>
      <c r="JR101" s="124"/>
      <c r="JS101" s="124"/>
      <c r="JV101" s="124"/>
      <c r="JW101" s="124"/>
      <c r="JY101" s="124"/>
      <c r="JZ101" s="124"/>
      <c r="KB101" s="124"/>
      <c r="KC101" s="124"/>
      <c r="KD101" s="124"/>
    </row>
    <row r="102" spans="2:290" hidden="1" x14ac:dyDescent="0.25">
      <c r="B102" s="6" t="s">
        <v>216</v>
      </c>
      <c r="C102" s="136"/>
      <c r="D102" s="136"/>
      <c r="E102" s="136"/>
      <c r="F102" s="136"/>
      <c r="G102" s="136"/>
      <c r="H102" s="132"/>
      <c r="I102" s="158"/>
      <c r="J102" s="158"/>
      <c r="K102" s="158"/>
      <c r="L102" s="158"/>
      <c r="M102" s="132"/>
      <c r="N102" s="158"/>
      <c r="O102" s="158"/>
      <c r="P102" s="158"/>
      <c r="Q102" s="158"/>
      <c r="R102" s="132"/>
      <c r="S102" s="158"/>
      <c r="T102" s="158"/>
      <c r="U102" s="158"/>
      <c r="V102" s="158"/>
      <c r="W102" s="132"/>
      <c r="X102" s="158"/>
      <c r="Y102" s="158"/>
      <c r="Z102" s="158"/>
      <c r="AA102" s="158"/>
      <c r="AB102" s="132"/>
      <c r="AC102" s="158"/>
      <c r="AD102" s="158"/>
      <c r="AE102" s="158"/>
      <c r="AF102" s="158"/>
      <c r="AG102" s="132"/>
      <c r="AH102" s="158"/>
      <c r="AI102" s="158"/>
      <c r="AJ102" s="158"/>
      <c r="AK102" s="132"/>
      <c r="AL102" s="158"/>
      <c r="AM102" s="158"/>
      <c r="AN102" s="158"/>
      <c r="AO102" s="158"/>
      <c r="AP102" s="132">
        <f t="shared" ref="AP102:CI102" si="176">AP100*10^7/(AP123*1000)</f>
        <v>48.261579197660978</v>
      </c>
      <c r="AQ102" s="158">
        <f t="shared" si="176"/>
        <v>39.885659734652485</v>
      </c>
      <c r="AR102" s="158">
        <f t="shared" si="176"/>
        <v>45.234479791461027</v>
      </c>
      <c r="AS102" s="158">
        <f t="shared" si="176"/>
        <v>44.403899231938141</v>
      </c>
      <c r="AT102" s="158">
        <f t="shared" si="176"/>
        <v>50.957457117937786</v>
      </c>
      <c r="AU102" s="132">
        <f t="shared" si="176"/>
        <v>45.281219182289952</v>
      </c>
      <c r="AV102" s="137">
        <f t="shared" si="176"/>
        <v>42.419779801440612</v>
      </c>
      <c r="AW102" s="137">
        <f t="shared" si="176"/>
        <v>47.380760583362395</v>
      </c>
      <c r="AX102" s="137">
        <f t="shared" si="176"/>
        <v>43.689964548137304</v>
      </c>
      <c r="AY102" s="137">
        <f t="shared" si="176"/>
        <v>41.217798594847785</v>
      </c>
      <c r="AZ102" s="132">
        <f t="shared" si="176"/>
        <v>43.625984024443234</v>
      </c>
      <c r="BA102" s="137">
        <f t="shared" si="176"/>
        <v>38.278291074514229</v>
      </c>
      <c r="BB102" s="137">
        <f t="shared" si="176"/>
        <v>47.290909090909111</v>
      </c>
      <c r="BC102" s="137">
        <f t="shared" si="176"/>
        <v>47.759707277622717</v>
      </c>
      <c r="BD102" s="137">
        <f t="shared" si="176"/>
        <v>56.429263565891475</v>
      </c>
      <c r="BE102" s="132">
        <f t="shared" si="176"/>
        <v>46.981563516807164</v>
      </c>
      <c r="BF102" s="137">
        <f t="shared" si="176"/>
        <v>32.749778569944574</v>
      </c>
      <c r="BG102" s="137">
        <f t="shared" si="176"/>
        <v>55.478932051119827</v>
      </c>
      <c r="BH102" s="137">
        <f t="shared" si="176"/>
        <v>54.019393461428159</v>
      </c>
      <c r="BI102" s="137">
        <f t="shared" si="176"/>
        <v>62.045344216904304</v>
      </c>
      <c r="BJ102" s="132">
        <f t="shared" si="176"/>
        <v>56.674382621746282</v>
      </c>
      <c r="BK102" s="137">
        <f t="shared" si="176"/>
        <v>66.775651100134695</v>
      </c>
      <c r="BL102" s="137">
        <f t="shared" si="176"/>
        <v>59.199594830189035</v>
      </c>
      <c r="BM102" s="137">
        <f t="shared" si="176"/>
        <v>68.15888269868546</v>
      </c>
      <c r="BN102" s="137">
        <f t="shared" si="176"/>
        <v>55.458878599143127</v>
      </c>
      <c r="BO102" s="132">
        <f t="shared" si="176"/>
        <v>61.426935799566891</v>
      </c>
      <c r="BP102" s="137">
        <f t="shared" si="176"/>
        <v>53.576871522741037</v>
      </c>
      <c r="BQ102" s="137">
        <f t="shared" si="176"/>
        <v>43.330679856533351</v>
      </c>
      <c r="BR102" s="137">
        <f t="shared" si="176"/>
        <v>48.019687486448596</v>
      </c>
      <c r="BS102" s="137">
        <f t="shared" si="176"/>
        <v>59.015425943261832</v>
      </c>
      <c r="BT102" s="132">
        <f t="shared" si="176"/>
        <v>51.37798345906522</v>
      </c>
      <c r="BU102" s="137">
        <f t="shared" si="176"/>
        <v>47.970298362774656</v>
      </c>
      <c r="BV102" s="137">
        <f t="shared" si="176"/>
        <v>56.110857051603112</v>
      </c>
      <c r="BW102" s="137">
        <f t="shared" si="176"/>
        <v>51.171017244106949</v>
      </c>
      <c r="BX102" s="137">
        <f t="shared" si="176"/>
        <v>50.24645670500437</v>
      </c>
      <c r="BY102" s="132">
        <f t="shared" si="176"/>
        <v>51.212988568096662</v>
      </c>
      <c r="BZ102" s="137">
        <f t="shared" si="176"/>
        <v>48.355624586533203</v>
      </c>
      <c r="CA102" s="137">
        <f t="shared" si="176"/>
        <v>56.805985066303577</v>
      </c>
      <c r="CB102" s="137">
        <f t="shared" si="176"/>
        <v>47.67122451471127</v>
      </c>
      <c r="CC102" s="137">
        <f t="shared" si="176"/>
        <v>44.786215315648874</v>
      </c>
      <c r="CD102" s="132">
        <f t="shared" si="176"/>
        <v>48.921439267023459</v>
      </c>
      <c r="CE102" s="137">
        <f t="shared" si="176"/>
        <v>44.601263377821788</v>
      </c>
      <c r="CF102" s="137">
        <f t="shared" si="176"/>
        <v>52.248577034403723</v>
      </c>
      <c r="CG102" s="137">
        <f t="shared" si="176"/>
        <v>46.789340239616095</v>
      </c>
      <c r="CH102" s="137">
        <f t="shared" si="176"/>
        <v>50.539271282995578</v>
      </c>
      <c r="CI102" s="132">
        <f t="shared" si="176"/>
        <v>48.527599631253288</v>
      </c>
      <c r="CJ102" s="132"/>
      <c r="CK102" s="132"/>
      <c r="CL102" s="132"/>
      <c r="CM102" s="132"/>
      <c r="CN102" s="132"/>
      <c r="CO102" s="137"/>
      <c r="CP102" s="137"/>
      <c r="CQ102" s="6"/>
      <c r="CR102" s="6"/>
      <c r="CS102" s="6"/>
      <c r="CT102" s="124"/>
      <c r="CU102" s="124"/>
      <c r="CV102" s="124"/>
      <c r="CW102" s="124"/>
      <c r="CX102" s="124"/>
      <c r="CY102" s="124"/>
      <c r="CZ102" s="124"/>
      <c r="DA102" s="124"/>
      <c r="DB102" s="124"/>
      <c r="DC102" s="124"/>
      <c r="DD102" s="124"/>
      <c r="DE102" s="124"/>
      <c r="DF102" s="124"/>
      <c r="DG102" s="124"/>
      <c r="DH102" s="124"/>
      <c r="DI102" s="124"/>
      <c r="DK102" s="124"/>
      <c r="DL102" s="124"/>
      <c r="DM102" s="6"/>
      <c r="DN102" s="124"/>
      <c r="DO102" s="124"/>
      <c r="DQ102" s="136"/>
      <c r="DR102" s="124"/>
      <c r="DS102" s="124"/>
      <c r="DT102" s="124"/>
      <c r="DV102" s="124"/>
      <c r="DW102" s="124"/>
      <c r="DX102" s="124"/>
      <c r="EA102" s="111"/>
      <c r="EB102" s="111"/>
      <c r="EC102" s="111"/>
      <c r="ED102" s="124"/>
      <c r="EE102" s="124"/>
      <c r="EF102" s="124"/>
      <c r="EJ102" s="111"/>
      <c r="EK102" s="111"/>
      <c r="EL102" s="124"/>
      <c r="EM102" s="124"/>
      <c r="EN102" s="124"/>
      <c r="EP102" s="111"/>
      <c r="EQ102" s="124"/>
      <c r="ER102" s="124"/>
      <c r="ES102" s="124"/>
      <c r="EV102" s="111"/>
      <c r="EW102" s="111"/>
      <c r="EX102" s="111"/>
      <c r="EY102" s="111"/>
      <c r="EZ102" s="124"/>
      <c r="FA102" s="124"/>
      <c r="FD102" s="111"/>
      <c r="FE102" s="111"/>
      <c r="FF102" s="111"/>
      <c r="FG102" s="124"/>
      <c r="FH102" s="124"/>
      <c r="FK102" s="124"/>
      <c r="FL102" s="124"/>
      <c r="FO102" s="111"/>
      <c r="FP102" s="111"/>
      <c r="FQ102" s="124"/>
      <c r="FR102" s="124"/>
      <c r="FU102" s="111"/>
      <c r="FV102" s="124"/>
      <c r="FW102" s="124"/>
      <c r="FX102" s="124"/>
      <c r="FY102" s="124"/>
      <c r="GA102" s="124"/>
      <c r="GB102" s="124"/>
      <c r="GC102" s="124"/>
      <c r="GF102" s="111"/>
      <c r="GG102" s="111"/>
      <c r="GH102" s="111"/>
      <c r="GI102" s="124"/>
      <c r="GJ102" s="124"/>
      <c r="GK102" s="124"/>
      <c r="GN102" s="111"/>
      <c r="GO102" s="111"/>
      <c r="GP102" s="124"/>
      <c r="GQ102" s="124"/>
      <c r="GR102" s="124"/>
      <c r="GV102" s="111"/>
      <c r="GW102" s="124"/>
      <c r="GX102" s="124"/>
      <c r="GY102" s="124"/>
      <c r="HC102" s="124"/>
      <c r="HD102" s="124"/>
      <c r="HE102" s="124"/>
      <c r="HF102" s="124"/>
      <c r="HI102" s="111"/>
      <c r="HJ102" s="111"/>
      <c r="HK102" s="111"/>
      <c r="HL102" s="111"/>
      <c r="HM102" s="124"/>
      <c r="HN102" s="124"/>
      <c r="HO102" s="124"/>
      <c r="HR102" s="111"/>
      <c r="HS102" s="111"/>
      <c r="HT102" s="111"/>
      <c r="HU102" s="124"/>
      <c r="HV102" s="124"/>
      <c r="HW102" s="124"/>
      <c r="HZ102" s="111"/>
      <c r="IA102" s="124"/>
      <c r="IB102" s="124"/>
      <c r="IC102" s="124"/>
      <c r="IE102" s="111"/>
      <c r="IF102" s="124"/>
      <c r="IG102" s="124"/>
      <c r="IH102" s="124"/>
      <c r="IK102" s="124"/>
      <c r="IL102" s="124"/>
      <c r="IO102" s="124"/>
      <c r="IP102" s="124"/>
      <c r="IS102" s="160"/>
      <c r="IT102" s="160"/>
      <c r="IU102" s="160"/>
      <c r="IX102" s="124">
        <v>156.13002477193453</v>
      </c>
      <c r="IY102" s="124"/>
      <c r="IZ102" s="124"/>
      <c r="JA102" s="124"/>
      <c r="JD102" s="124"/>
      <c r="JE102" s="124"/>
      <c r="JH102" s="124"/>
      <c r="JI102" s="124"/>
      <c r="JJ102" s="124"/>
      <c r="JM102" s="124"/>
      <c r="JN102" s="124"/>
      <c r="JQ102" s="124"/>
      <c r="JR102" s="124"/>
      <c r="JS102" s="124"/>
      <c r="JV102" s="124"/>
      <c r="JW102" s="124"/>
      <c r="JY102" s="124"/>
      <c r="JZ102" s="124"/>
      <c r="KB102" s="124"/>
      <c r="KC102" s="124"/>
      <c r="KD102" s="124"/>
    </row>
    <row r="103" spans="2:290" hidden="1" x14ac:dyDescent="0.25">
      <c r="B103" s="6" t="s">
        <v>217</v>
      </c>
      <c r="C103" s="136"/>
      <c r="D103" s="136"/>
      <c r="E103" s="136"/>
      <c r="F103" s="136"/>
      <c r="G103" s="136"/>
      <c r="H103" s="132"/>
      <c r="I103" s="158"/>
      <c r="J103" s="158"/>
      <c r="K103" s="158"/>
      <c r="L103" s="158"/>
      <c r="M103" s="132"/>
      <c r="N103" s="158"/>
      <c r="O103" s="158"/>
      <c r="P103" s="158"/>
      <c r="Q103" s="158"/>
      <c r="R103" s="132"/>
      <c r="S103" s="158"/>
      <c r="T103" s="158"/>
      <c r="U103" s="158"/>
      <c r="V103" s="158"/>
      <c r="W103" s="132"/>
      <c r="X103" s="158"/>
      <c r="Y103" s="158"/>
      <c r="Z103" s="158"/>
      <c r="AA103" s="158"/>
      <c r="AB103" s="161"/>
      <c r="AC103" s="162">
        <f t="shared" ref="AC103:AJ103" si="177">(AC100/X100-1)</f>
        <v>-0.12939613094889901</v>
      </c>
      <c r="AD103" s="162">
        <f t="shared" si="177"/>
        <v>-0.15762377693418195</v>
      </c>
      <c r="AE103" s="162">
        <f t="shared" si="177"/>
        <v>0.1214098144204101</v>
      </c>
      <c r="AF103" s="162">
        <f t="shared" si="177"/>
        <v>4.1447374620087851E-2</v>
      </c>
      <c r="AG103" s="161"/>
      <c r="AH103" s="162">
        <f t="shared" si="177"/>
        <v>0.12132376791662081</v>
      </c>
      <c r="AI103" s="162">
        <f t="shared" si="177"/>
        <v>0.44567783008052331</v>
      </c>
      <c r="AJ103" s="162">
        <f t="shared" si="177"/>
        <v>0.25995753281720879</v>
      </c>
      <c r="AK103" s="161"/>
      <c r="AL103" s="162">
        <f>(AL100/AF100-1)</f>
        <v>8.3498220525195066E-2</v>
      </c>
      <c r="AM103" s="162">
        <f t="shared" ref="AM103:AW103" si="178">(AM100/AH100-1)</f>
        <v>0.3940038225114928</v>
      </c>
      <c r="AN103" s="162">
        <f t="shared" si="178"/>
        <v>0.12782307280278848</v>
      </c>
      <c r="AO103" s="162">
        <f t="shared" si="178"/>
        <v>7.6158806162385462E-2</v>
      </c>
      <c r="AP103" s="161">
        <f t="shared" si="178"/>
        <v>0.58371581218934798</v>
      </c>
      <c r="AQ103" s="162">
        <f t="shared" si="178"/>
        <v>-0.14717895463953246</v>
      </c>
      <c r="AR103" s="162">
        <f t="shared" si="178"/>
        <v>5.9699435125389E-2</v>
      </c>
      <c r="AS103" s="162">
        <f t="shared" si="178"/>
        <v>4.5114494233196689E-2</v>
      </c>
      <c r="AT103" s="162">
        <f t="shared" si="178"/>
        <v>0.13188823833304619</v>
      </c>
      <c r="AU103" s="161">
        <f t="shared" si="178"/>
        <v>2.2195188710805391E-2</v>
      </c>
      <c r="AV103" s="74">
        <f t="shared" si="178"/>
        <v>0.15165773655723869</v>
      </c>
      <c r="AW103" s="74">
        <f t="shared" si="178"/>
        <v>0.10241418860323992</v>
      </c>
      <c r="AX103" s="74">
        <f>(AX100/AS100-1)</f>
        <v>2.7098125945757445E-2</v>
      </c>
      <c r="AY103" s="74">
        <f>(AY100/AT100-1)</f>
        <v>-0.10632713995017395</v>
      </c>
      <c r="AZ103" s="161">
        <f>(AZ100/AU100-1)</f>
        <v>3.3144108441333975E-2</v>
      </c>
      <c r="BA103" s="74">
        <f>(BA100/AV100-1)</f>
        <v>2.539498854592237E-2</v>
      </c>
      <c r="BB103" s="74">
        <f t="shared" ref="BB103:BK103" si="179">(BB100/AW100-1)</f>
        <v>0.1220310596833134</v>
      </c>
      <c r="BC103" s="74">
        <f t="shared" si="179"/>
        <v>9.7599673610009097E-2</v>
      </c>
      <c r="BD103" s="74">
        <f t="shared" si="179"/>
        <v>0.23925348995573703</v>
      </c>
      <c r="BE103" s="161">
        <f t="shared" si="179"/>
        <v>0.11354997005022383</v>
      </c>
      <c r="BF103" s="74">
        <f t="shared" si="179"/>
        <v>-0.31019869502030217</v>
      </c>
      <c r="BG103" s="74">
        <f t="shared" si="179"/>
        <v>0.18990433543659635</v>
      </c>
      <c r="BH103" s="74">
        <f t="shared" si="179"/>
        <v>0.24474961280330398</v>
      </c>
      <c r="BI103" s="74">
        <f t="shared" si="179"/>
        <v>0.18516356143212853</v>
      </c>
      <c r="BJ103" s="161">
        <f t="shared" si="179"/>
        <v>0.19924071191016823</v>
      </c>
      <c r="BK103" s="74">
        <f t="shared" si="179"/>
        <v>0.58888146911519113</v>
      </c>
      <c r="BL103" s="74">
        <f>(BL100/BG100-1)</f>
        <v>0.15524385144638297</v>
      </c>
      <c r="BM103" s="74">
        <f t="shared" ref="BM103:CI103" si="180">(BM100/BH100-1)</f>
        <v>3.3097201254209896E-2</v>
      </c>
      <c r="BN103" s="74">
        <f t="shared" si="180"/>
        <v>3.341157379234394E-2</v>
      </c>
      <c r="BO103" s="161">
        <f t="shared" si="180"/>
        <v>4.3582334167169723E-2</v>
      </c>
      <c r="BP103" s="74">
        <f t="shared" si="180"/>
        <v>0.22632231491793986</v>
      </c>
      <c r="BQ103" s="74">
        <f t="shared" si="180"/>
        <v>-0.20297127439044471</v>
      </c>
      <c r="BR103" s="74">
        <f t="shared" si="180"/>
        <v>6.6948227132579641E-2</v>
      </c>
      <c r="BS103" s="74">
        <f t="shared" si="180"/>
        <v>0.21974370478380356</v>
      </c>
      <c r="BT103" s="161">
        <f t="shared" si="180"/>
        <v>7.5486124026201917E-2</v>
      </c>
      <c r="BU103" s="74">
        <f t="shared" si="180"/>
        <v>0.22105317271278513</v>
      </c>
      <c r="BV103" s="74">
        <f t="shared" si="180"/>
        <v>0.59562390339560389</v>
      </c>
      <c r="BW103" s="74">
        <f t="shared" si="180"/>
        <v>0.21706476422690812</v>
      </c>
      <c r="BX103" s="74">
        <f t="shared" si="180"/>
        <v>0.12838373737025388</v>
      </c>
      <c r="BY103" s="161">
        <f t="shared" si="180"/>
        <v>0.2589247972947013</v>
      </c>
      <c r="BZ103" s="74">
        <f t="shared" si="180"/>
        <v>0.17965954222041347</v>
      </c>
      <c r="CA103" s="74">
        <f t="shared" si="180"/>
        <v>1.4695989650711283E-2</v>
      </c>
      <c r="CB103" s="74">
        <f t="shared" si="180"/>
        <v>-3.4230735936089496E-2</v>
      </c>
      <c r="CC103" s="74">
        <f t="shared" si="180"/>
        <v>-8.8116048326303931E-2</v>
      </c>
      <c r="CD103" s="161">
        <f t="shared" si="180"/>
        <v>7.2342114099077648E-3</v>
      </c>
      <c r="CE103" s="74">
        <f t="shared" si="180"/>
        <v>-2.4804006709572946E-2</v>
      </c>
      <c r="CF103" s="74">
        <f t="shared" si="180"/>
        <v>2.871130603294425E-2</v>
      </c>
      <c r="CG103" s="74">
        <f t="shared" si="180"/>
        <v>0.10117164991356686</v>
      </c>
      <c r="CH103" s="74">
        <f t="shared" si="180"/>
        <v>0.30919612136377772</v>
      </c>
      <c r="CI103" s="161">
        <f t="shared" si="180"/>
        <v>0.10870961876477403</v>
      </c>
      <c r="CJ103" s="161"/>
      <c r="CK103" s="161"/>
      <c r="CL103" s="161"/>
      <c r="CM103" s="161"/>
      <c r="CN103" s="161"/>
      <c r="CO103" s="74"/>
      <c r="CP103" s="74"/>
      <c r="CQ103" s="6"/>
      <c r="CR103" s="6"/>
      <c r="CS103" s="6">
        <f>(55/30)^(1/7)-1</f>
        <v>9.0450407828785773E-2</v>
      </c>
      <c r="CT103" s="124"/>
      <c r="CU103" s="124"/>
      <c r="CV103" s="124"/>
      <c r="CW103" s="124"/>
      <c r="CX103" s="124"/>
      <c r="CY103" s="124"/>
      <c r="CZ103" s="124"/>
      <c r="DA103" s="124"/>
      <c r="DB103" s="124"/>
      <c r="DC103" s="124"/>
      <c r="DD103" s="124"/>
      <c r="DE103" s="124"/>
      <c r="DF103" s="124"/>
      <c r="DG103" s="124"/>
      <c r="DH103" s="124"/>
      <c r="DI103" s="124"/>
      <c r="DK103" s="124"/>
      <c r="DL103" s="124"/>
      <c r="DM103" s="6"/>
      <c r="DN103" s="124"/>
      <c r="DO103" s="124"/>
      <c r="DQ103" s="136"/>
      <c r="DR103" s="124"/>
      <c r="DS103" s="124"/>
      <c r="DT103" s="124"/>
      <c r="DV103" s="124"/>
      <c r="DW103" s="124"/>
      <c r="DX103" s="124"/>
      <c r="EA103" s="111"/>
      <c r="EB103" s="111"/>
      <c r="EC103" s="111"/>
      <c r="ED103" s="124"/>
      <c r="EE103" s="124"/>
      <c r="EF103" s="124"/>
      <c r="EJ103" s="111"/>
      <c r="EK103" s="111"/>
      <c r="EL103" s="124"/>
      <c r="EM103" s="124"/>
      <c r="EN103" s="124"/>
      <c r="EP103" s="111"/>
      <c r="EQ103" s="124"/>
      <c r="ER103" s="124"/>
      <c r="ES103" s="124"/>
      <c r="EV103" s="111"/>
      <c r="EW103" s="111"/>
      <c r="EX103" s="111"/>
      <c r="EY103" s="111"/>
      <c r="EZ103" s="124"/>
      <c r="FA103" s="124"/>
      <c r="FD103" s="111"/>
      <c r="FE103" s="111"/>
      <c r="FF103" s="111"/>
      <c r="FG103" s="124"/>
      <c r="FH103" s="124"/>
      <c r="FK103" s="124"/>
      <c r="FL103" s="124"/>
      <c r="FO103" s="111"/>
      <c r="FP103" s="111"/>
      <c r="FQ103" s="124"/>
      <c r="FR103" s="124"/>
      <c r="FU103" s="111"/>
      <c r="FV103" s="124"/>
      <c r="FW103" s="124"/>
      <c r="FX103" s="124"/>
      <c r="FY103" s="124"/>
      <c r="GA103" s="124"/>
      <c r="GB103" s="124"/>
      <c r="GC103" s="124"/>
      <c r="GF103" s="111"/>
      <c r="GG103" s="111"/>
      <c r="GH103" s="111"/>
      <c r="GI103" s="124"/>
      <c r="GJ103" s="124"/>
      <c r="GK103" s="124"/>
      <c r="GN103" s="111"/>
      <c r="GO103" s="111"/>
      <c r="GP103" s="124"/>
      <c r="GQ103" s="124"/>
      <c r="GR103" s="124"/>
      <c r="GV103" s="111"/>
      <c r="GW103" s="124"/>
      <c r="GX103" s="124"/>
      <c r="GY103" s="124"/>
      <c r="HC103" s="124"/>
      <c r="HD103" s="124"/>
      <c r="HE103" s="124"/>
      <c r="HF103" s="124"/>
      <c r="HI103" s="111"/>
      <c r="HJ103" s="111"/>
      <c r="HK103" s="111"/>
      <c r="HL103" s="111"/>
      <c r="HM103" s="124"/>
      <c r="HN103" s="124"/>
      <c r="HO103" s="124"/>
      <c r="HR103" s="111"/>
      <c r="HS103" s="111"/>
      <c r="HT103" s="111"/>
      <c r="HU103" s="124"/>
      <c r="HV103" s="124"/>
      <c r="HW103" s="124"/>
      <c r="HZ103" s="111"/>
      <c r="IA103" s="124"/>
      <c r="IB103" s="124"/>
      <c r="IC103" s="124">
        <v>0.15060478988490517</v>
      </c>
      <c r="IE103" s="111"/>
      <c r="IF103" s="124"/>
      <c r="IG103" s="124"/>
      <c r="IH103" s="124">
        <v>0.15060478988490517</v>
      </c>
      <c r="IK103" s="124"/>
      <c r="IL103" s="124">
        <v>0.15060478988490517</v>
      </c>
      <c r="IO103" s="124"/>
      <c r="IP103" s="124"/>
      <c r="IS103" s="160"/>
      <c r="IT103" s="160"/>
      <c r="IU103" s="160"/>
      <c r="IX103" s="124">
        <v>2.3918378817660382</v>
      </c>
      <c r="IY103" s="124"/>
      <c r="IZ103" s="124"/>
      <c r="JA103" s="124"/>
      <c r="JD103" s="124"/>
      <c r="JE103" s="124"/>
      <c r="JH103" s="124"/>
      <c r="JI103" s="124"/>
      <c r="JJ103" s="124"/>
      <c r="JM103" s="124"/>
      <c r="JN103" s="124"/>
      <c r="JQ103" s="124"/>
      <c r="JR103" s="124"/>
      <c r="JS103" s="124"/>
      <c r="JV103" s="124"/>
      <c r="JW103" s="124"/>
      <c r="JY103" s="124"/>
      <c r="JZ103" s="124"/>
      <c r="KB103" s="124"/>
      <c r="KC103" s="124"/>
      <c r="KD103" s="124"/>
    </row>
    <row r="104" spans="2:290" hidden="1" x14ac:dyDescent="0.25">
      <c r="B104" s="6" t="s">
        <v>218</v>
      </c>
      <c r="C104" s="136"/>
      <c r="D104" s="136"/>
      <c r="E104" s="136"/>
      <c r="F104" s="136"/>
      <c r="G104" s="136"/>
      <c r="H104" s="132"/>
      <c r="I104" s="158"/>
      <c r="J104" s="158"/>
      <c r="K104" s="158"/>
      <c r="L104" s="158"/>
      <c r="M104" s="132"/>
      <c r="N104" s="158"/>
      <c r="O104" s="158"/>
      <c r="P104" s="158"/>
      <c r="Q104" s="158"/>
      <c r="R104" s="132"/>
      <c r="S104" s="158"/>
      <c r="T104" s="158"/>
      <c r="U104" s="158"/>
      <c r="V104" s="158"/>
      <c r="W104" s="132"/>
      <c r="X104" s="158"/>
      <c r="Y104" s="158"/>
      <c r="Z104" s="158"/>
      <c r="AA104" s="158"/>
      <c r="AB104" s="132"/>
      <c r="AC104" s="158"/>
      <c r="AD104" s="158"/>
      <c r="AE104" s="158"/>
      <c r="AF104" s="158"/>
      <c r="AG104" s="132"/>
      <c r="AH104" s="158"/>
      <c r="AI104" s="158"/>
      <c r="AJ104" s="158"/>
      <c r="AK104" s="132"/>
      <c r="AL104" s="158"/>
      <c r="AM104" s="158">
        <f t="shared" ref="AM104:BN104" si="181">((AM21+AM19)*10^7)/(AM123*1000)</f>
        <v>30.54458484294997</v>
      </c>
      <c r="AN104" s="158">
        <f t="shared" si="181"/>
        <v>27.869511654265018</v>
      </c>
      <c r="AO104" s="158">
        <f t="shared" si="181"/>
        <v>23.198661997595778</v>
      </c>
      <c r="AP104" s="132">
        <f t="shared" si="181"/>
        <v>25.896657605664398</v>
      </c>
      <c r="AQ104" s="158">
        <f t="shared" si="181"/>
        <v>22.674954708670981</v>
      </c>
      <c r="AR104" s="158">
        <f t="shared" si="181"/>
        <v>27.017690380381143</v>
      </c>
      <c r="AS104" s="158">
        <f t="shared" si="181"/>
        <v>23.963943475609124</v>
      </c>
      <c r="AT104" s="158">
        <f t="shared" si="181"/>
        <v>23.167942630099816</v>
      </c>
      <c r="AU104" s="132">
        <f t="shared" si="181"/>
        <v>24.072976337387573</v>
      </c>
      <c r="AV104" s="137">
        <f t="shared" si="181"/>
        <v>23.817108967230688</v>
      </c>
      <c r="AW104" s="137">
        <f t="shared" si="181"/>
        <v>28.220696620297453</v>
      </c>
      <c r="AX104" s="137">
        <f t="shared" si="181"/>
        <v>25.886791705452453</v>
      </c>
      <c r="AY104" s="137">
        <f t="shared" si="181"/>
        <v>23.508670368128833</v>
      </c>
      <c r="AZ104" s="132">
        <f t="shared" si="181"/>
        <v>25.316407987275838</v>
      </c>
      <c r="BA104" s="137">
        <f t="shared" si="181"/>
        <v>23.523292308777375</v>
      </c>
      <c r="BB104" s="137">
        <f t="shared" si="181"/>
        <v>27.343315508021394</v>
      </c>
      <c r="BC104" s="137">
        <f t="shared" si="181"/>
        <v>25.970234631582063</v>
      </c>
      <c r="BD104" s="137">
        <f t="shared" si="181"/>
        <v>29.934108527131777</v>
      </c>
      <c r="BE104" s="132">
        <f t="shared" si="181"/>
        <v>26.698758994073206</v>
      </c>
      <c r="BF104" s="137">
        <f t="shared" si="181"/>
        <v>19.94292025237559</v>
      </c>
      <c r="BG104" s="137">
        <f t="shared" si="181"/>
        <v>28.500780294402965</v>
      </c>
      <c r="BH104" s="137">
        <f t="shared" si="181"/>
        <v>25.201641812446233</v>
      </c>
      <c r="BI104" s="137">
        <f t="shared" si="181"/>
        <v>27.006059080530029</v>
      </c>
      <c r="BJ104" s="132">
        <f t="shared" si="181"/>
        <v>25.282993040974411</v>
      </c>
      <c r="BK104" s="137">
        <f t="shared" si="181"/>
        <v>35.622474180511901</v>
      </c>
      <c r="BL104" s="137">
        <f t="shared" si="181"/>
        <v>28.929708881594962</v>
      </c>
      <c r="BM104" s="137">
        <f t="shared" si="181"/>
        <v>33.365804537942047</v>
      </c>
      <c r="BN104" s="137">
        <f t="shared" si="181"/>
        <v>25.022743707574239</v>
      </c>
      <c r="BO104" s="132">
        <f>758/BO6</f>
        <v>9.7519304448063893E-2</v>
      </c>
      <c r="BP104" s="137">
        <f t="shared" ref="BP104:CI104" si="182">((BP21+BP19)*10^7)/(BP123*1000)</f>
        <v>28.888562457538416</v>
      </c>
      <c r="BQ104" s="137">
        <f t="shared" si="182"/>
        <v>30.170925646002342</v>
      </c>
      <c r="BR104" s="137">
        <f t="shared" si="182"/>
        <v>26.094592445902776</v>
      </c>
      <c r="BS104" s="137">
        <f t="shared" si="182"/>
        <v>26.435074009252855</v>
      </c>
      <c r="BT104" s="132">
        <f t="shared" si="182"/>
        <v>27.694318471236972</v>
      </c>
      <c r="BU104" s="137">
        <f t="shared" si="182"/>
        <v>26.320820766910813</v>
      </c>
      <c r="BV104" s="137">
        <f t="shared" si="182"/>
        <v>30.252680327809355</v>
      </c>
      <c r="BW104" s="137">
        <f t="shared" si="182"/>
        <v>27.197595317196647</v>
      </c>
      <c r="BX104" s="137">
        <f t="shared" si="182"/>
        <v>25.131417983405761</v>
      </c>
      <c r="BY104" s="132">
        <f t="shared" si="182"/>
        <v>27.020905079091634</v>
      </c>
      <c r="BZ104" s="137">
        <f t="shared" si="182"/>
        <v>26.074150775160355</v>
      </c>
      <c r="CA104" s="137">
        <f t="shared" si="182"/>
        <v>33.686276497896102</v>
      </c>
      <c r="CB104" s="137">
        <f t="shared" si="182"/>
        <v>28.820046392381883</v>
      </c>
      <c r="CC104" s="137">
        <f t="shared" si="182"/>
        <v>23.896554829542612</v>
      </c>
      <c r="CD104" s="132">
        <f t="shared" si="182"/>
        <v>27.680241953418037</v>
      </c>
      <c r="CE104" s="137">
        <f t="shared" si="182"/>
        <v>27.251309897547785</v>
      </c>
      <c r="CF104" s="137">
        <f t="shared" si="182"/>
        <v>32.990785528812218</v>
      </c>
      <c r="CG104" s="137">
        <f t="shared" si="182"/>
        <v>28.879071133986965</v>
      </c>
      <c r="CH104" s="137">
        <f t="shared" si="182"/>
        <v>23.710255426134278</v>
      </c>
      <c r="CI104" s="132">
        <f t="shared" si="182"/>
        <v>27.925401741598744</v>
      </c>
      <c r="CJ104" s="132"/>
      <c r="CK104" s="132"/>
      <c r="CL104" s="132"/>
      <c r="CM104" s="132"/>
      <c r="CN104" s="132"/>
      <c r="CO104" s="137"/>
      <c r="CP104" s="137"/>
      <c r="CQ104" s="6"/>
      <c r="CR104" s="6"/>
      <c r="CS104" s="6"/>
      <c r="CT104" s="124"/>
      <c r="CU104" s="124"/>
      <c r="CV104" s="124"/>
      <c r="CW104" s="124"/>
      <c r="CX104" s="124"/>
      <c r="CY104" s="124"/>
      <c r="CZ104" s="124"/>
      <c r="DA104" s="124"/>
      <c r="DB104" s="124"/>
      <c r="DC104" s="124"/>
      <c r="DD104" s="124"/>
      <c r="DE104" s="124"/>
      <c r="DF104" s="124"/>
      <c r="DG104" s="124"/>
      <c r="DH104" s="124"/>
      <c r="DI104" s="124"/>
      <c r="DK104" s="124"/>
      <c r="DL104" s="124"/>
      <c r="DM104" s="6"/>
      <c r="DN104" s="124"/>
      <c r="DO104" s="124"/>
      <c r="DQ104" s="136"/>
      <c r="DR104" s="124"/>
      <c r="DS104" s="124"/>
      <c r="DT104" s="124"/>
      <c r="DV104" s="124"/>
      <c r="DW104" s="124"/>
      <c r="DX104" s="124"/>
      <c r="EA104" s="111"/>
      <c r="EB104" s="111"/>
      <c r="EC104" s="111"/>
      <c r="ED104" s="124"/>
      <c r="EE104" s="124"/>
      <c r="EF104" s="124"/>
      <c r="EJ104" s="111"/>
      <c r="EK104" s="111"/>
      <c r="EL104" s="124"/>
      <c r="EM104" s="124"/>
      <c r="EN104" s="124"/>
      <c r="EP104" s="111"/>
      <c r="EQ104" s="124"/>
      <c r="ER104" s="124"/>
      <c r="ES104" s="124"/>
      <c r="EV104" s="111"/>
      <c r="EW104" s="111"/>
      <c r="EX104" s="111"/>
      <c r="EY104" s="111"/>
      <c r="EZ104" s="124"/>
      <c r="FA104" s="124"/>
      <c r="FD104" s="111"/>
      <c r="FE104" s="111"/>
      <c r="FF104" s="111"/>
      <c r="FG104" s="124"/>
      <c r="FH104" s="124"/>
      <c r="FK104" s="124"/>
      <c r="FL104" s="124"/>
      <c r="FO104" s="111"/>
      <c r="FP104" s="111"/>
      <c r="FQ104" s="124"/>
      <c r="FR104" s="124"/>
      <c r="FU104" s="111"/>
      <c r="FV104" s="124"/>
      <c r="FW104" s="124"/>
      <c r="FX104" s="124"/>
      <c r="FY104" s="124"/>
      <c r="GA104" s="124"/>
      <c r="GB104" s="124"/>
      <c r="GC104" s="124"/>
      <c r="GF104" s="111"/>
      <c r="GG104" s="111"/>
      <c r="GH104" s="111"/>
      <c r="GI104" s="124"/>
      <c r="GJ104" s="124"/>
      <c r="GK104" s="124"/>
      <c r="GN104" s="111"/>
      <c r="GO104" s="111"/>
      <c r="GP104" s="124"/>
      <c r="GQ104" s="124"/>
      <c r="GR104" s="124"/>
      <c r="GV104" s="111"/>
      <c r="GW104" s="124"/>
      <c r="GX104" s="124"/>
      <c r="GY104" s="124"/>
      <c r="HC104" s="124"/>
      <c r="HD104" s="124"/>
      <c r="HE104" s="124"/>
      <c r="HF104" s="124"/>
      <c r="HI104" s="111"/>
      <c r="HJ104" s="111"/>
      <c r="HK104" s="111"/>
      <c r="HL104" s="111"/>
      <c r="HM104" s="124"/>
      <c r="HN104" s="124"/>
      <c r="HO104" s="124"/>
      <c r="HR104" s="111"/>
      <c r="HS104" s="111"/>
      <c r="HT104" s="111"/>
      <c r="HU104" s="124"/>
      <c r="HV104" s="124"/>
      <c r="HW104" s="124"/>
      <c r="HZ104" s="111"/>
      <c r="IA104" s="124">
        <v>4707.42</v>
      </c>
      <c r="IB104" s="124">
        <v>1125</v>
      </c>
      <c r="IC104" s="124">
        <v>708.96000000000026</v>
      </c>
      <c r="IE104" s="111"/>
      <c r="IF104" s="124">
        <v>4707.42</v>
      </c>
      <c r="IG104" s="124">
        <v>1125</v>
      </c>
      <c r="IH104" s="124">
        <v>708.96000000000026</v>
      </c>
      <c r="IK104" s="124">
        <v>1125</v>
      </c>
      <c r="IL104" s="124">
        <v>708.96000000000026</v>
      </c>
      <c r="IO104" s="124"/>
      <c r="IP104" s="124"/>
      <c r="IS104" s="160"/>
      <c r="IT104" s="160"/>
      <c r="IU104" s="160"/>
      <c r="IX104" s="124">
        <v>0</v>
      </c>
      <c r="IY104" s="124"/>
      <c r="IZ104" s="124"/>
      <c r="JA104" s="124"/>
      <c r="JD104" s="124"/>
      <c r="JE104" s="124"/>
      <c r="JH104" s="124"/>
      <c r="JI104" s="124"/>
      <c r="JJ104" s="124"/>
      <c r="JM104" s="124"/>
      <c r="JN104" s="124"/>
      <c r="JQ104" s="124"/>
      <c r="JR104" s="124"/>
      <c r="JS104" s="124"/>
      <c r="JV104" s="124"/>
      <c r="JW104" s="124"/>
      <c r="JY104" s="124"/>
      <c r="JZ104" s="124"/>
      <c r="KB104" s="124"/>
      <c r="KC104" s="124"/>
      <c r="KD104" s="124"/>
    </row>
    <row r="105" spans="2:290" hidden="1" x14ac:dyDescent="0.25">
      <c r="B105" s="6" t="s">
        <v>219</v>
      </c>
      <c r="C105" s="136"/>
      <c r="D105" s="136"/>
      <c r="E105" s="136"/>
      <c r="F105" s="136"/>
      <c r="G105" s="136"/>
      <c r="H105" s="132"/>
      <c r="I105" s="158"/>
      <c r="J105" s="158"/>
      <c r="K105" s="158"/>
      <c r="L105" s="158"/>
      <c r="M105" s="132"/>
      <c r="N105" s="158"/>
      <c r="O105" s="158"/>
      <c r="P105" s="158"/>
      <c r="Q105" s="158"/>
      <c r="R105" s="132"/>
      <c r="S105" s="158"/>
      <c r="T105" s="158"/>
      <c r="U105" s="158"/>
      <c r="V105" s="158"/>
      <c r="W105" s="132"/>
      <c r="X105" s="158"/>
      <c r="Y105" s="158"/>
      <c r="Z105" s="158"/>
      <c r="AA105" s="158"/>
      <c r="AB105" s="132">
        <f t="shared" ref="AB105:BG105" si="183">(AB28*10^7)/(AB123*1000)</f>
        <v>20.080671451338297</v>
      </c>
      <c r="AC105" s="158">
        <f t="shared" si="183"/>
        <v>16.576359193646901</v>
      </c>
      <c r="AD105" s="158">
        <f t="shared" si="183"/>
        <v>13.555514484420319</v>
      </c>
      <c r="AE105" s="158">
        <f t="shared" si="183"/>
        <v>16.835055755143934</v>
      </c>
      <c r="AF105" s="158">
        <f t="shared" si="183"/>
        <v>25.465537408021767</v>
      </c>
      <c r="AG105" s="132">
        <f t="shared" si="183"/>
        <v>18.68776868810648</v>
      </c>
      <c r="AH105" s="158">
        <f t="shared" si="183"/>
        <v>15.86417013245728</v>
      </c>
      <c r="AI105" s="158">
        <f t="shared" si="183"/>
        <v>20.244697375119113</v>
      </c>
      <c r="AJ105" s="158">
        <f t="shared" si="183"/>
        <v>21.212128081050974</v>
      </c>
      <c r="AK105" s="132">
        <f t="shared" si="183"/>
        <v>19.596529625253893</v>
      </c>
      <c r="AL105" s="158">
        <f t="shared" si="183"/>
        <v>20.728765344299809</v>
      </c>
      <c r="AM105" s="158">
        <f t="shared" si="183"/>
        <v>19.958678923256549</v>
      </c>
      <c r="AN105" s="158">
        <f t="shared" si="183"/>
        <v>22.764647908145658</v>
      </c>
      <c r="AO105" s="158">
        <f t="shared" si="183"/>
        <v>25.362462760675282</v>
      </c>
      <c r="AP105" s="132">
        <f t="shared" si="183"/>
        <v>22.364921591996584</v>
      </c>
      <c r="AQ105" s="158">
        <f t="shared" si="183"/>
        <v>17.210705025981504</v>
      </c>
      <c r="AR105" s="158">
        <f t="shared" si="183"/>
        <v>18.21678941107989</v>
      </c>
      <c r="AS105" s="158">
        <f t="shared" si="183"/>
        <v>20.439955756329017</v>
      </c>
      <c r="AT105" s="158">
        <f t="shared" si="183"/>
        <v>27.78951448783797</v>
      </c>
      <c r="AU105" s="132">
        <f t="shared" si="183"/>
        <v>21.208242844902372</v>
      </c>
      <c r="AV105" s="137">
        <f t="shared" si="183"/>
        <v>18.602670834209924</v>
      </c>
      <c r="AW105" s="137">
        <f t="shared" si="183"/>
        <v>19.16006396306495</v>
      </c>
      <c r="AX105" s="137">
        <f t="shared" si="183"/>
        <v>17.803172842684855</v>
      </c>
      <c r="AY105" s="137">
        <f t="shared" si="183"/>
        <v>17.709128226718953</v>
      </c>
      <c r="AZ105" s="132">
        <f t="shared" si="183"/>
        <v>18.309576037167407</v>
      </c>
      <c r="BA105" s="137">
        <f t="shared" si="183"/>
        <v>14.754998765736859</v>
      </c>
      <c r="BB105" s="137">
        <f t="shared" si="183"/>
        <v>19.947593582887723</v>
      </c>
      <c r="BC105" s="137">
        <f t="shared" si="183"/>
        <v>21.789472646040657</v>
      </c>
      <c r="BD105" s="137">
        <f t="shared" si="183"/>
        <v>26.495155038759695</v>
      </c>
      <c r="BE105" s="132">
        <f t="shared" si="183"/>
        <v>20.28280452273394</v>
      </c>
      <c r="BF105" s="137">
        <f t="shared" si="183"/>
        <v>12.806858317568985</v>
      </c>
      <c r="BG105" s="137">
        <f t="shared" si="183"/>
        <v>26.978151756716873</v>
      </c>
      <c r="BH105" s="137">
        <f t="shared" ref="BH105:CI105" si="184">(BH28*10^7)/(BH123*1000)</f>
        <v>35.987238313736732</v>
      </c>
      <c r="BI105" s="137">
        <f t="shared" si="184"/>
        <v>45.826965605278772</v>
      </c>
      <c r="BJ105" s="132">
        <f t="shared" si="184"/>
        <v>26.502716879853537</v>
      </c>
      <c r="BK105" s="137">
        <f t="shared" si="184"/>
        <v>31.153176919622812</v>
      </c>
      <c r="BL105" s="137">
        <f t="shared" si="184"/>
        <v>30.269885948594077</v>
      </c>
      <c r="BM105" s="137">
        <f t="shared" si="184"/>
        <v>34.79307816074342</v>
      </c>
      <c r="BN105" s="137">
        <f t="shared" si="184"/>
        <v>30.436134891568877</v>
      </c>
      <c r="BO105" s="132">
        <f t="shared" si="184"/>
        <v>31.533077604612245</v>
      </c>
      <c r="BP105" s="137">
        <f t="shared" si="184"/>
        <v>24.68830906520261</v>
      </c>
      <c r="BQ105" s="137">
        <f t="shared" si="184"/>
        <v>13.159754210531013</v>
      </c>
      <c r="BR105" s="137">
        <f t="shared" si="184"/>
        <v>21.925095040545809</v>
      </c>
      <c r="BS105" s="137">
        <f t="shared" si="184"/>
        <v>32.580351934008959</v>
      </c>
      <c r="BT105" s="132">
        <f t="shared" si="184"/>
        <v>23.683664987828259</v>
      </c>
      <c r="BU105" s="137">
        <f t="shared" si="184"/>
        <v>21.649477595863846</v>
      </c>
      <c r="BV105" s="137">
        <f t="shared" si="184"/>
        <v>25.858176723793761</v>
      </c>
      <c r="BW105" s="137">
        <f t="shared" si="184"/>
        <v>23.973421926910309</v>
      </c>
      <c r="BX105" s="137">
        <f t="shared" si="184"/>
        <v>25.115038721598598</v>
      </c>
      <c r="BY105" s="132">
        <f t="shared" si="184"/>
        <v>24.192083489005043</v>
      </c>
      <c r="BZ105" s="137">
        <f t="shared" si="184"/>
        <v>22.281473811372848</v>
      </c>
      <c r="CA105" s="137">
        <f t="shared" si="184"/>
        <v>25.654526097757049</v>
      </c>
      <c r="CB105" s="137">
        <f t="shared" si="184"/>
        <v>18.851178122329394</v>
      </c>
      <c r="CC105" s="137">
        <f t="shared" si="184"/>
        <v>20.889660486106255</v>
      </c>
      <c r="CD105" s="132">
        <f t="shared" si="184"/>
        <v>21.241197313605401</v>
      </c>
      <c r="CE105" s="137">
        <f t="shared" si="184"/>
        <v>17.34995348027401</v>
      </c>
      <c r="CF105" s="137">
        <f t="shared" si="184"/>
        <v>19.257791505591499</v>
      </c>
      <c r="CG105" s="137">
        <f t="shared" si="184"/>
        <v>17.910269105629119</v>
      </c>
      <c r="CH105" s="137">
        <f t="shared" si="184"/>
        <v>23.379059628180951</v>
      </c>
      <c r="CI105" s="132">
        <f t="shared" si="184"/>
        <v>20.602197889654519</v>
      </c>
      <c r="CJ105" s="132"/>
      <c r="CK105" s="132"/>
      <c r="CL105" s="132"/>
      <c r="CM105" s="132"/>
      <c r="CN105" s="132"/>
      <c r="CO105" s="137"/>
      <c r="CP105" s="137"/>
      <c r="CQ105" s="6"/>
      <c r="CR105" s="6"/>
      <c r="CS105" s="6"/>
      <c r="CT105" s="124"/>
      <c r="CU105" s="124"/>
      <c r="CV105" s="124"/>
      <c r="CW105" s="124"/>
      <c r="CX105" s="124"/>
      <c r="CY105" s="124"/>
      <c r="CZ105" s="124"/>
      <c r="DA105" s="124"/>
      <c r="DB105" s="124"/>
      <c r="DC105" s="124"/>
      <c r="DD105" s="124"/>
      <c r="DE105" s="124"/>
      <c r="DF105" s="124"/>
      <c r="DG105" s="124"/>
      <c r="DH105" s="124"/>
      <c r="DI105" s="124"/>
      <c r="DK105" s="124"/>
      <c r="DL105" s="124"/>
      <c r="DM105" s="6"/>
      <c r="DN105" s="124"/>
      <c r="DO105" s="124"/>
      <c r="DQ105" s="136"/>
      <c r="DR105" s="124"/>
      <c r="DS105" s="124"/>
      <c r="DT105" s="124"/>
      <c r="DV105" s="124"/>
      <c r="DW105" s="124"/>
      <c r="DX105" s="124"/>
      <c r="EA105" s="111"/>
      <c r="EB105" s="111"/>
      <c r="EC105" s="111"/>
      <c r="ED105" s="124"/>
      <c r="EE105" s="124"/>
      <c r="EF105" s="124"/>
      <c r="EJ105" s="111">
        <v>17.839141176592204</v>
      </c>
      <c r="EK105" s="111">
        <v>27.90477917998329</v>
      </c>
      <c r="EL105" s="124">
        <v>21.220024021929316</v>
      </c>
      <c r="EM105" s="124">
        <v>22.684660031631424</v>
      </c>
      <c r="EN105" s="124">
        <v>23.097108395842902</v>
      </c>
      <c r="EP105" s="111">
        <v>20.910184997740032</v>
      </c>
      <c r="EQ105" s="124">
        <v>19.056295225498737</v>
      </c>
      <c r="ER105" s="124">
        <v>21.842900301132172</v>
      </c>
      <c r="ES105" s="124">
        <v>22.936898653184031</v>
      </c>
      <c r="EV105" s="111">
        <v>18.150166625524562</v>
      </c>
      <c r="EW105" s="111">
        <v>22.27862407271591</v>
      </c>
      <c r="EX105" s="111">
        <v>21.966999969391477</v>
      </c>
      <c r="EY105" s="111">
        <v>21.287260814337621</v>
      </c>
      <c r="EZ105" s="124">
        <v>21.243483903949297</v>
      </c>
      <c r="FA105" s="124">
        <v>21.919412937256773</v>
      </c>
      <c r="FD105" s="111">
        <v>20.05076166544432</v>
      </c>
      <c r="FE105" s="111">
        <v>21.966999969391477</v>
      </c>
      <c r="FF105" s="111">
        <v>21.261270043274084</v>
      </c>
      <c r="FG105" s="124">
        <v>18.411019383422726</v>
      </c>
      <c r="FH105" s="124">
        <v>20.458118741439655</v>
      </c>
      <c r="FK105" s="124">
        <v>18.810762360109944</v>
      </c>
      <c r="FL105" s="124">
        <v>20.128149084319659</v>
      </c>
      <c r="FO105" s="111">
        <v>20.345941158949305</v>
      </c>
      <c r="FP105" s="111">
        <v>17.781761680681761</v>
      </c>
      <c r="FQ105" s="124">
        <v>18.095527673620584</v>
      </c>
      <c r="FR105" s="124">
        <v>18.998321361560059</v>
      </c>
      <c r="FU105" s="111">
        <v>16.836890507351622</v>
      </c>
      <c r="FV105" s="124">
        <v>18.175678242278511</v>
      </c>
      <c r="FW105" s="124">
        <v>15.886035717681661</v>
      </c>
      <c r="FX105" s="124">
        <v>20.209249223644505</v>
      </c>
      <c r="FY105" s="124">
        <v>20.183909092828394</v>
      </c>
      <c r="GA105" s="124">
        <v>17.631056307404293</v>
      </c>
      <c r="GB105" s="124">
        <v>21.51220195872034</v>
      </c>
      <c r="GC105" s="124">
        <v>21.513009506678319</v>
      </c>
      <c r="GF105" s="111"/>
      <c r="GG105" s="111"/>
      <c r="GH105" s="111"/>
      <c r="GI105" s="124">
        <v>18.805254996737197</v>
      </c>
      <c r="GJ105" s="124">
        <v>21.622311155383489</v>
      </c>
      <c r="GK105" s="124">
        <v>21.590413348451637</v>
      </c>
      <c r="GN105" s="111"/>
      <c r="GO105" s="111"/>
      <c r="GP105" s="124">
        <v>23.008735032663971</v>
      </c>
      <c r="GQ105" s="124">
        <v>21.69296191676515</v>
      </c>
      <c r="GR105" s="124">
        <v>21.67600734239463</v>
      </c>
      <c r="GV105" s="111"/>
      <c r="GW105" s="124">
        <v>27.184681406250384</v>
      </c>
      <c r="GX105" s="124">
        <v>20.821807608577529</v>
      </c>
      <c r="GY105" s="124">
        <v>23.385004348884966</v>
      </c>
      <c r="HC105" s="124">
        <v>31.693928634754357</v>
      </c>
      <c r="HD105" s="124">
        <v>31.948367011893534</v>
      </c>
      <c r="HE105" s="124">
        <v>28.134207351860905</v>
      </c>
      <c r="HF105" s="124">
        <v>28.133382939272302</v>
      </c>
      <c r="HI105" s="111"/>
      <c r="HJ105" s="111"/>
      <c r="HK105" s="111"/>
      <c r="HL105" s="111"/>
      <c r="HM105" s="124">
        <v>21.020926826953087</v>
      </c>
      <c r="HN105" s="124">
        <v>21.001513673832733</v>
      </c>
      <c r="HO105" s="124">
        <v>21.040952667403396</v>
      </c>
      <c r="HR105" s="111">
        <v>15</v>
      </c>
      <c r="HS105" s="111">
        <v>22</v>
      </c>
      <c r="HT105" s="111">
        <v>22.104505845826889</v>
      </c>
      <c r="HU105" s="124">
        <v>21.020926826953087</v>
      </c>
      <c r="HV105" s="124">
        <v>23.854757224300815</v>
      </c>
      <c r="HW105" s="124">
        <v>24.233900119625126</v>
      </c>
      <c r="HZ105" s="111">
        <v>22</v>
      </c>
      <c r="IA105" s="124">
        <v>22.435218829051049</v>
      </c>
      <c r="IB105" s="124">
        <v>24.5594340215955</v>
      </c>
      <c r="IC105" s="124">
        <v>25.998965445203432</v>
      </c>
      <c r="IE105" s="111">
        <v>23.968009823422374</v>
      </c>
      <c r="IF105" s="124">
        <v>21.175416333638637</v>
      </c>
      <c r="IG105" s="124">
        <v>24.484087186379316</v>
      </c>
      <c r="IH105" s="124">
        <v>25.975639304571903</v>
      </c>
      <c r="IK105" s="124">
        <v>24.484087186379316</v>
      </c>
      <c r="IL105" s="124">
        <v>25.975639304571903</v>
      </c>
      <c r="IO105" s="124">
        <v>25.244654759347096</v>
      </c>
      <c r="IP105" s="124">
        <v>28.152980716914428</v>
      </c>
      <c r="IS105" s="160"/>
      <c r="IT105" s="160"/>
      <c r="IU105" s="160"/>
      <c r="IX105" s="124">
        <v>26.39155646247589</v>
      </c>
      <c r="IY105" s="124">
        <v>24.559941865207506</v>
      </c>
      <c r="IZ105" s="124">
        <v>28.150355759094303</v>
      </c>
      <c r="JA105" s="124">
        <v>28.144226553711764</v>
      </c>
      <c r="JD105" s="124">
        <v>27.225660509391602</v>
      </c>
      <c r="JE105" s="124">
        <v>27.231883459599935</v>
      </c>
      <c r="JH105" s="124">
        <v>24.795423593762557</v>
      </c>
      <c r="JI105" s="124">
        <v>25.182302977118518</v>
      </c>
      <c r="JJ105" s="124">
        <v>25.16767790605558</v>
      </c>
      <c r="JM105" s="124">
        <v>26.0172864192992</v>
      </c>
      <c r="JN105" s="124">
        <v>26.006467323797615</v>
      </c>
      <c r="JQ105" s="124">
        <v>21.317446016893964</v>
      </c>
      <c r="JR105" s="124">
        <v>23.278657609363343</v>
      </c>
      <c r="JS105" s="124">
        <v>24.040179829702392</v>
      </c>
      <c r="JV105" s="124">
        <v>23.28839991226041</v>
      </c>
      <c r="JW105" s="124">
        <v>24.051770627039534</v>
      </c>
      <c r="JY105" s="124">
        <v>23.253114782398811</v>
      </c>
      <c r="JZ105" s="124">
        <v>24.022887441524325</v>
      </c>
      <c r="KB105" s="124">
        <v>19.652386430059998</v>
      </c>
      <c r="KC105" s="124">
        <v>21.683789434907986</v>
      </c>
      <c r="KD105" s="124">
        <v>21.645583828915065</v>
      </c>
    </row>
    <row r="106" spans="2:290" hidden="1" x14ac:dyDescent="0.25">
      <c r="B106" s="11" t="s">
        <v>217</v>
      </c>
      <c r="C106" s="23"/>
      <c r="D106" s="23"/>
      <c r="E106" s="23"/>
      <c r="F106" s="23"/>
      <c r="G106" s="23"/>
      <c r="H106" s="88"/>
      <c r="I106" s="23"/>
      <c r="J106" s="23"/>
      <c r="K106" s="23"/>
      <c r="L106" s="23"/>
      <c r="M106" s="88"/>
      <c r="N106" s="23"/>
      <c r="O106" s="23"/>
      <c r="P106" s="23"/>
      <c r="Q106" s="23"/>
      <c r="R106" s="88"/>
      <c r="S106" s="23"/>
      <c r="T106" s="23"/>
      <c r="U106" s="23"/>
      <c r="V106" s="23"/>
      <c r="W106" s="88"/>
      <c r="X106" s="23"/>
      <c r="Y106" s="23"/>
      <c r="Z106" s="23"/>
      <c r="AA106" s="23"/>
      <c r="AB106" s="88"/>
      <c r="AC106" s="23" t="e">
        <f>(AC104/X104-1)</f>
        <v>#DIV/0!</v>
      </c>
      <c r="AD106" s="23" t="e">
        <f>(AD104/Y104-1)</f>
        <v>#DIV/0!</v>
      </c>
      <c r="AE106" s="23" t="e">
        <f>(AE104/Z104-1)</f>
        <v>#DIV/0!</v>
      </c>
      <c r="AF106" s="23" t="e">
        <f>(AF104/AA104-1)</f>
        <v>#DIV/0!</v>
      </c>
      <c r="AG106" s="88"/>
      <c r="AH106" s="23" t="e">
        <f>(AH104/AC104-1)</f>
        <v>#DIV/0!</v>
      </c>
      <c r="AI106" s="23" t="e">
        <f>(AI104/AD104-1)</f>
        <v>#DIV/0!</v>
      </c>
      <c r="AJ106" s="23" t="e">
        <f>(AJ104/AE104-1)</f>
        <v>#DIV/0!</v>
      </c>
      <c r="AK106" s="108"/>
      <c r="AL106" s="23" t="e">
        <f>(AL104/AF104-1)</f>
        <v>#DIV/0!</v>
      </c>
      <c r="AM106" s="23" t="e">
        <f>(AM104/AH104-1)</f>
        <v>#DIV/0!</v>
      </c>
      <c r="AN106" s="23" t="e">
        <f>(AN104/AI104-1)</f>
        <v>#DIV/0!</v>
      </c>
      <c r="AO106" s="23" t="e">
        <f>(AO104/AJ104-1)</f>
        <v>#DIV/0!</v>
      </c>
      <c r="AP106" s="108" t="e">
        <f>(AP104/AK104-1)</f>
        <v>#DIV/0!</v>
      </c>
      <c r="AQ106" s="23">
        <f t="shared" ref="AQ106:AW106" si="185">(AQ105/AL105-1)</f>
        <v>-0.16971875844432449</v>
      </c>
      <c r="AR106" s="23">
        <f t="shared" si="185"/>
        <v>-8.7274790023649684E-2</v>
      </c>
      <c r="AS106" s="23">
        <f t="shared" si="185"/>
        <v>-0.10211851996115517</v>
      </c>
      <c r="AT106" s="23">
        <f t="shared" si="185"/>
        <v>9.5694639359938272E-2</v>
      </c>
      <c r="AU106" s="88">
        <f t="shared" si="185"/>
        <v>-5.171843515463681E-2</v>
      </c>
      <c r="AV106" s="105">
        <f t="shared" si="185"/>
        <v>8.0877907449293351E-2</v>
      </c>
      <c r="AW106" s="105">
        <f t="shared" si="185"/>
        <v>5.1780504824375795E-2</v>
      </c>
      <c r="AX106" s="105"/>
      <c r="AY106" s="105"/>
      <c r="AZ106" s="88"/>
      <c r="BA106" s="105">
        <f>1209.75/1049.85-1</f>
        <v>0.15230747249607091</v>
      </c>
      <c r="BB106" s="105"/>
      <c r="BC106" s="105"/>
      <c r="BD106" s="105"/>
      <c r="BE106" s="88"/>
      <c r="BF106" s="105"/>
      <c r="BG106" s="105"/>
      <c r="BH106" s="105"/>
      <c r="BI106" s="105">
        <f>(BI119/AY119)^(1/2)-1</f>
        <v>-4.5848342254123819E-2</v>
      </c>
      <c r="BJ106" s="88"/>
      <c r="BK106" s="105"/>
      <c r="BL106" s="105"/>
      <c r="BM106" s="105"/>
      <c r="BN106" s="105"/>
      <c r="BO106" s="88"/>
      <c r="BP106" s="105"/>
      <c r="BQ106" s="105"/>
      <c r="BR106" s="105"/>
      <c r="BS106" s="105"/>
      <c r="BT106" s="88"/>
      <c r="BU106" s="105"/>
      <c r="BV106" s="105"/>
      <c r="BW106" s="105"/>
      <c r="BX106" s="105"/>
      <c r="BY106" s="88"/>
      <c r="BZ106" s="105"/>
      <c r="CA106" s="105"/>
      <c r="CB106" s="105"/>
      <c r="CC106" s="105"/>
      <c r="CD106" s="88"/>
      <c r="CE106" s="105"/>
      <c r="CF106" s="105"/>
      <c r="CG106" s="105"/>
      <c r="CH106" s="105"/>
      <c r="CI106" s="88" t="e">
        <f>125000/CD106</f>
        <v>#DIV/0!</v>
      </c>
      <c r="CJ106" s="88" t="e">
        <f>125000/CI106</f>
        <v>#DIV/0!</v>
      </c>
      <c r="CK106" s="88" t="e">
        <f>125000/CJ106</f>
        <v>#DIV/0!</v>
      </c>
      <c r="CL106" s="88"/>
      <c r="CM106" s="88"/>
      <c r="CN106" s="88"/>
      <c r="CO106" s="90"/>
      <c r="CP106" s="90"/>
      <c r="CQ106" s="6"/>
      <c r="CR106" s="30"/>
      <c r="CS106" s="40">
        <v>4640</v>
      </c>
      <c r="CT106" s="124"/>
      <c r="CU106" s="124"/>
      <c r="CV106" s="124"/>
      <c r="CW106" s="124"/>
      <c r="CX106" s="124"/>
      <c r="DC106" s="108"/>
      <c r="DE106" s="23"/>
      <c r="DF106" s="23"/>
      <c r="DG106" s="88"/>
      <c r="DH106" s="88"/>
      <c r="DI106" s="88"/>
      <c r="DK106" s="88"/>
      <c r="DL106" s="88"/>
      <c r="DM106" s="6"/>
      <c r="DN106" s="88"/>
      <c r="DO106" s="88"/>
      <c r="DQ106" s="23"/>
      <c r="DR106" s="88"/>
      <c r="DS106" s="88"/>
      <c r="DT106" s="88"/>
      <c r="DV106" s="88"/>
      <c r="DW106" s="88"/>
      <c r="DX106" s="88"/>
      <c r="EA106" s="105"/>
      <c r="EB106" s="105"/>
      <c r="EC106" s="105"/>
      <c r="ED106" s="88"/>
      <c r="EE106" s="88"/>
      <c r="EF106" s="88"/>
      <c r="EJ106" s="105"/>
      <c r="EK106" s="105"/>
      <c r="EL106" s="88"/>
      <c r="EM106" s="88"/>
      <c r="EN106" s="88"/>
      <c r="EP106" s="105"/>
      <c r="EQ106" s="88"/>
      <c r="ER106" s="88"/>
      <c r="ES106" s="88"/>
      <c r="EV106" s="105"/>
      <c r="EW106" s="105"/>
      <c r="EX106" s="105"/>
      <c r="EY106" s="105"/>
      <c r="EZ106" s="88"/>
      <c r="FA106" s="88"/>
      <c r="FD106" s="105"/>
      <c r="FE106" s="105"/>
      <c r="FF106" s="105"/>
      <c r="FG106" s="88"/>
      <c r="FH106" s="88"/>
      <c r="FK106" s="88"/>
      <c r="FL106" s="88"/>
      <c r="FO106" s="105"/>
      <c r="FP106" s="105"/>
      <c r="FQ106" s="88"/>
      <c r="FR106" s="88"/>
      <c r="FU106" s="105"/>
      <c r="FV106" s="88"/>
      <c r="FW106" s="88"/>
      <c r="FX106" s="88"/>
      <c r="FY106" s="88"/>
      <c r="GA106" s="88"/>
      <c r="GB106" s="88"/>
      <c r="GC106" s="88"/>
      <c r="GF106" s="105"/>
      <c r="GG106" s="105"/>
      <c r="GH106" s="105"/>
      <c r="GI106" s="88"/>
      <c r="GJ106" s="88"/>
      <c r="GK106" s="88"/>
      <c r="GN106" s="105"/>
      <c r="GO106" s="105"/>
      <c r="GP106" s="88"/>
      <c r="GQ106" s="88"/>
      <c r="GR106" s="88"/>
      <c r="GV106" s="105"/>
      <c r="GW106" s="88"/>
      <c r="GX106" s="88"/>
      <c r="GY106" s="88"/>
      <c r="HC106" s="88">
        <v>3.0557410505570592E-2</v>
      </c>
      <c r="HD106" s="88">
        <v>2.9406944665202328E-2</v>
      </c>
      <c r="HE106" s="88">
        <v>9.727188096570849E-2</v>
      </c>
      <c r="HF106" s="88">
        <v>4.5373518234179455E-2</v>
      </c>
      <c r="HI106" s="105"/>
      <c r="HJ106" s="105"/>
      <c r="HK106" s="105"/>
      <c r="HL106" s="105"/>
      <c r="HM106" s="88" t="s">
        <v>220</v>
      </c>
      <c r="HN106" s="88">
        <v>5.8677872966711897E-2</v>
      </c>
      <c r="HO106" s="88">
        <v>6.9062289058288817E-2</v>
      </c>
      <c r="HR106" s="105"/>
      <c r="HS106" s="105"/>
      <c r="HT106" s="105"/>
      <c r="HU106" s="88" t="s">
        <v>220</v>
      </c>
      <c r="HV106" s="88">
        <v>5.8677872966711897E-2</v>
      </c>
      <c r="HW106" s="88">
        <v>6.9062289058288817E-2</v>
      </c>
      <c r="HZ106" s="105">
        <v>3.9169532933668094E-2</v>
      </c>
      <c r="IA106" s="88"/>
      <c r="IB106" s="88">
        <v>5.8684671664249954E-2</v>
      </c>
      <c r="IC106" s="88">
        <v>6.9069244651189576E-2</v>
      </c>
      <c r="IE106" s="105">
        <v>0.12452061113922186</v>
      </c>
      <c r="IF106" s="88"/>
      <c r="IG106" s="88">
        <v>7.0750677719334076E-2</v>
      </c>
      <c r="IH106" s="88">
        <v>8.1150287316527292E-2</v>
      </c>
      <c r="IK106" s="88">
        <v>7.0750677719334076E-2</v>
      </c>
      <c r="IL106" s="88">
        <v>8.1150287316527292E-2</v>
      </c>
      <c r="IO106" s="88"/>
      <c r="IP106" s="88"/>
      <c r="IS106" s="132"/>
      <c r="IT106" s="132"/>
      <c r="IU106" s="132"/>
      <c r="IX106" s="88"/>
      <c r="IY106" s="88"/>
      <c r="IZ106" s="88"/>
      <c r="JA106" s="88"/>
      <c r="JD106" s="88">
        <v>501001</v>
      </c>
      <c r="JE106" s="88">
        <v>0.24950049999900201</v>
      </c>
      <c r="JH106" s="88">
        <v>501001</v>
      </c>
      <c r="JI106" s="88">
        <v>0.24950049999900201</v>
      </c>
      <c r="JJ106" s="88">
        <v>501001</v>
      </c>
      <c r="JM106" s="88">
        <v>0.24950049999900201</v>
      </c>
      <c r="JN106" s="88">
        <v>501001</v>
      </c>
      <c r="JQ106" s="88">
        <v>501001</v>
      </c>
      <c r="JR106" s="88">
        <v>0.24950049999900201</v>
      </c>
      <c r="JS106" s="88">
        <v>501001</v>
      </c>
      <c r="JV106" s="88">
        <v>0.24950049999900201</v>
      </c>
      <c r="JW106" s="88">
        <v>501001</v>
      </c>
      <c r="JY106" s="88">
        <v>0.24950049999900201</v>
      </c>
      <c r="JZ106" s="88">
        <v>501001</v>
      </c>
      <c r="KB106" s="88">
        <v>0.24950049999900201</v>
      </c>
      <c r="KC106" s="88">
        <v>501001</v>
      </c>
      <c r="KD106" s="88">
        <v>0.24950049999900201</v>
      </c>
    </row>
    <row r="107" spans="2:290" s="6" customFormat="1" hidden="1" x14ac:dyDescent="0.25"/>
    <row r="108" spans="2:290" s="60" customFormat="1" hidden="1" x14ac:dyDescent="0.25">
      <c r="B108" s="58" t="s">
        <v>221</v>
      </c>
      <c r="C108" s="4"/>
      <c r="D108" s="4" t="e">
        <f>#REF!</f>
        <v>#REF!</v>
      </c>
      <c r="E108" s="4" t="e">
        <f t="shared" ref="E108:G108" si="186">#REF!</f>
        <v>#REF!</v>
      </c>
      <c r="F108" s="4" t="e">
        <f t="shared" si="186"/>
        <v>#REF!</v>
      </c>
      <c r="G108" s="4" t="e">
        <f t="shared" si="186"/>
        <v>#REF!</v>
      </c>
      <c r="H108" s="145" t="str">
        <f>H99</f>
        <v>CY10</v>
      </c>
      <c r="I108" s="145" t="str">
        <f t="shared" ref="I108:BT108" si="187">I99</f>
        <v>1QFY11</v>
      </c>
      <c r="J108" s="145" t="str">
        <f t="shared" si="187"/>
        <v>2QFY11</v>
      </c>
      <c r="K108" s="145" t="str">
        <f t="shared" si="187"/>
        <v>3QFY11</v>
      </c>
      <c r="L108" s="145" t="str">
        <f t="shared" si="187"/>
        <v>4QFY11</v>
      </c>
      <c r="M108" s="145" t="str">
        <f t="shared" si="187"/>
        <v>CY11</v>
      </c>
      <c r="N108" s="145" t="str">
        <f t="shared" si="187"/>
        <v>1QFY12</v>
      </c>
      <c r="O108" s="145" t="str">
        <f t="shared" si="187"/>
        <v>2QFY12</v>
      </c>
      <c r="P108" s="145" t="str">
        <f t="shared" si="187"/>
        <v>3QFY12</v>
      </c>
      <c r="Q108" s="145" t="str">
        <f t="shared" si="187"/>
        <v>4QFY12</v>
      </c>
      <c r="R108" s="145" t="str">
        <f t="shared" si="187"/>
        <v>CY12</v>
      </c>
      <c r="S108" s="145" t="str">
        <f t="shared" si="187"/>
        <v>1QFY13</v>
      </c>
      <c r="T108" s="145" t="str">
        <f t="shared" si="187"/>
        <v>2QFY13</v>
      </c>
      <c r="U108" s="145" t="str">
        <f t="shared" si="187"/>
        <v>3QFY13</v>
      </c>
      <c r="V108" s="145" t="str">
        <f t="shared" si="187"/>
        <v>4QFY13</v>
      </c>
      <c r="W108" s="145" t="str">
        <f t="shared" si="187"/>
        <v>CY13</v>
      </c>
      <c r="X108" s="145" t="str">
        <f t="shared" si="187"/>
        <v>1QFY14</v>
      </c>
      <c r="Y108" s="145" t="str">
        <f t="shared" si="187"/>
        <v>2QFY14</v>
      </c>
      <c r="Z108" s="145" t="str">
        <f t="shared" si="187"/>
        <v>3QFY14</v>
      </c>
      <c r="AA108" s="145" t="str">
        <f t="shared" si="187"/>
        <v>4QFY14</v>
      </c>
      <c r="AB108" s="145" t="str">
        <f t="shared" si="187"/>
        <v>CY14</v>
      </c>
      <c r="AC108" s="145" t="str">
        <f t="shared" si="187"/>
        <v>1QFY15</v>
      </c>
      <c r="AD108" s="145" t="str">
        <f t="shared" si="187"/>
        <v>2QFY15</v>
      </c>
      <c r="AE108" s="145" t="str">
        <f t="shared" si="187"/>
        <v>3QFY15</v>
      </c>
      <c r="AF108" s="145" t="str">
        <f t="shared" si="187"/>
        <v>4QFY15</v>
      </c>
      <c r="AG108" s="145" t="str">
        <f t="shared" si="187"/>
        <v>CY15</v>
      </c>
      <c r="AH108" s="145" t="str">
        <f t="shared" si="187"/>
        <v>1QFY16</v>
      </c>
      <c r="AI108" s="145" t="str">
        <f t="shared" si="187"/>
        <v>2QFY16</v>
      </c>
      <c r="AJ108" s="145" t="str">
        <f t="shared" si="187"/>
        <v>3QFY16</v>
      </c>
      <c r="AK108" s="145" t="str">
        <f t="shared" si="187"/>
        <v>FY16</v>
      </c>
      <c r="AL108" s="145" t="str">
        <f t="shared" si="187"/>
        <v>1QFY17</v>
      </c>
      <c r="AM108" s="145" t="str">
        <f t="shared" si="187"/>
        <v>2QFY17</v>
      </c>
      <c r="AN108" s="145" t="str">
        <f t="shared" si="187"/>
        <v>3QFY17</v>
      </c>
      <c r="AO108" s="145" t="str">
        <f t="shared" si="187"/>
        <v>4QFY17</v>
      </c>
      <c r="AP108" s="145" t="str">
        <f t="shared" si="187"/>
        <v>FY17</v>
      </c>
      <c r="AQ108" s="145" t="str">
        <f t="shared" si="187"/>
        <v>1QFY18</v>
      </c>
      <c r="AR108" s="145" t="str">
        <f t="shared" si="187"/>
        <v>2QFY18</v>
      </c>
      <c r="AS108" s="145" t="str">
        <f t="shared" si="187"/>
        <v>3QFY18</v>
      </c>
      <c r="AT108" s="145" t="str">
        <f t="shared" si="187"/>
        <v>4QFY18</v>
      </c>
      <c r="AU108" s="145" t="str">
        <f t="shared" si="187"/>
        <v>FY18</v>
      </c>
      <c r="AV108" s="145" t="str">
        <f t="shared" si="187"/>
        <v>1QFY19</v>
      </c>
      <c r="AW108" s="145" t="str">
        <f t="shared" si="187"/>
        <v>2QFY19</v>
      </c>
      <c r="AX108" s="145" t="str">
        <f t="shared" si="187"/>
        <v>3QFY19</v>
      </c>
      <c r="AY108" s="145" t="str">
        <f t="shared" si="187"/>
        <v>4QFY19</v>
      </c>
      <c r="AZ108" s="145" t="str">
        <f t="shared" si="187"/>
        <v>FY19</v>
      </c>
      <c r="BA108" s="145" t="str">
        <f t="shared" si="187"/>
        <v>1QFY20</v>
      </c>
      <c r="BB108" s="145" t="str">
        <f t="shared" si="187"/>
        <v>2QFY20</v>
      </c>
      <c r="BC108" s="145" t="str">
        <f t="shared" si="187"/>
        <v>3QFY20</v>
      </c>
      <c r="BD108" s="145" t="str">
        <f t="shared" si="187"/>
        <v>4QFY20</v>
      </c>
      <c r="BE108" s="145" t="str">
        <f t="shared" si="187"/>
        <v>FY20</v>
      </c>
      <c r="BF108" s="145" t="str">
        <f t="shared" si="187"/>
        <v>1QFY21</v>
      </c>
      <c r="BG108" s="145" t="str">
        <f t="shared" si="187"/>
        <v>2QFY21</v>
      </c>
      <c r="BH108" s="145" t="str">
        <f t="shared" si="187"/>
        <v>3QFY21</v>
      </c>
      <c r="BI108" s="145" t="str">
        <f t="shared" si="187"/>
        <v>4QFY21</v>
      </c>
      <c r="BJ108" s="145" t="str">
        <f t="shared" si="187"/>
        <v>FY21</v>
      </c>
      <c r="BK108" s="145" t="str">
        <f t="shared" si="187"/>
        <v>1QFY22</v>
      </c>
      <c r="BL108" s="145" t="str">
        <f t="shared" si="187"/>
        <v>2QFY22</v>
      </c>
      <c r="BM108" s="145" t="str">
        <f t="shared" si="187"/>
        <v>3QFY22</v>
      </c>
      <c r="BN108" s="145" t="str">
        <f t="shared" si="187"/>
        <v>4QFY22</v>
      </c>
      <c r="BO108" s="145" t="str">
        <f t="shared" si="187"/>
        <v>FY22</v>
      </c>
      <c r="BP108" s="145" t="str">
        <f t="shared" si="187"/>
        <v>1QFY23</v>
      </c>
      <c r="BQ108" s="145" t="str">
        <f t="shared" si="187"/>
        <v>2QFY23</v>
      </c>
      <c r="BR108" s="145" t="str">
        <f t="shared" si="187"/>
        <v>3QFY23</v>
      </c>
      <c r="BS108" s="145" t="str">
        <f t="shared" si="187"/>
        <v>4QFY23</v>
      </c>
      <c r="BT108" s="145" t="str">
        <f t="shared" si="187"/>
        <v>FY23</v>
      </c>
      <c r="BU108" s="145" t="str">
        <f t="shared" ref="BU108:CN108" si="188">BU99</f>
        <v>1QFY24</v>
      </c>
      <c r="BV108" s="145" t="str">
        <f t="shared" si="188"/>
        <v>2QFY24</v>
      </c>
      <c r="BW108" s="145" t="str">
        <f t="shared" si="188"/>
        <v>3QFY24</v>
      </c>
      <c r="BX108" s="145" t="str">
        <f t="shared" si="188"/>
        <v>4QFY24</v>
      </c>
      <c r="BY108" s="145" t="str">
        <f t="shared" si="188"/>
        <v>FY24</v>
      </c>
      <c r="BZ108" s="145" t="str">
        <f t="shared" si="188"/>
        <v>1QFY25</v>
      </c>
      <c r="CA108" s="145" t="str">
        <f t="shared" si="188"/>
        <v>2QFY25</v>
      </c>
      <c r="CB108" s="145" t="str">
        <f t="shared" si="188"/>
        <v>3QFY25</v>
      </c>
      <c r="CC108" s="145" t="str">
        <f t="shared" si="188"/>
        <v>4QFY25</v>
      </c>
      <c r="CD108" s="145" t="str">
        <f t="shared" si="188"/>
        <v>FY25</v>
      </c>
      <c r="CE108" s="145" t="str">
        <f t="shared" si="188"/>
        <v>1QFY26</v>
      </c>
      <c r="CF108" s="145" t="str">
        <f t="shared" si="188"/>
        <v>2QFY26</v>
      </c>
      <c r="CG108" s="145" t="str">
        <f t="shared" si="188"/>
        <v>3QFY26</v>
      </c>
      <c r="CH108" s="145" t="str">
        <f t="shared" si="188"/>
        <v>4QFY26</v>
      </c>
      <c r="CI108" s="145" t="str">
        <f t="shared" si="188"/>
        <v>FY26</v>
      </c>
      <c r="CJ108" s="145" t="str">
        <f t="shared" si="188"/>
        <v>FY27E</v>
      </c>
      <c r="CK108" s="145" t="str">
        <f t="shared" si="188"/>
        <v>FY28E</v>
      </c>
      <c r="CL108" s="145" t="str">
        <f t="shared" si="188"/>
        <v>FY29E</v>
      </c>
      <c r="CM108" s="145" t="str">
        <f t="shared" si="188"/>
        <v>FY30E</v>
      </c>
      <c r="CN108" s="145" t="str">
        <f t="shared" si="188"/>
        <v>FY31E</v>
      </c>
      <c r="CO108" s="148"/>
      <c r="CP108" s="148"/>
      <c r="CQ108" s="58"/>
      <c r="CR108" s="58"/>
      <c r="CS108" s="58"/>
      <c r="CT108" s="143"/>
      <c r="CU108" s="143"/>
      <c r="CV108" s="143"/>
      <c r="CW108" s="143"/>
      <c r="CX108" s="143"/>
      <c r="CY108" s="143"/>
      <c r="CZ108" s="143"/>
      <c r="DA108" s="143"/>
      <c r="DB108" s="143"/>
      <c r="DC108" s="143"/>
      <c r="DD108" s="143"/>
      <c r="DE108" s="143"/>
      <c r="DF108" s="143"/>
      <c r="DG108" s="143"/>
      <c r="DH108" s="143"/>
      <c r="DI108" s="143"/>
      <c r="DK108" s="143"/>
      <c r="DL108" s="143"/>
      <c r="DM108" s="58"/>
      <c r="DN108" s="143"/>
      <c r="DO108" s="143"/>
      <c r="DQ108" s="4"/>
      <c r="DR108" s="143"/>
      <c r="DS108" s="143"/>
      <c r="DT108" s="143"/>
      <c r="DV108" s="143"/>
      <c r="DW108" s="143"/>
      <c r="DX108" s="143"/>
      <c r="EA108" s="119"/>
      <c r="EB108" s="119"/>
      <c r="EC108" s="119"/>
      <c r="ED108" s="143"/>
      <c r="EE108" s="143"/>
      <c r="EF108" s="143"/>
      <c r="EJ108" s="119"/>
      <c r="EK108" s="119"/>
      <c r="EL108" s="143"/>
      <c r="EM108" s="143"/>
      <c r="EN108" s="143"/>
      <c r="EP108" s="119"/>
      <c r="EQ108" s="143"/>
      <c r="ER108" s="143"/>
      <c r="ES108" s="143"/>
      <c r="EV108" s="119"/>
      <c r="EW108" s="119"/>
      <c r="EX108" s="119"/>
      <c r="EY108" s="119"/>
      <c r="EZ108" s="143"/>
      <c r="FA108" s="143"/>
      <c r="FD108" s="119"/>
      <c r="FE108" s="119"/>
      <c r="FF108" s="119"/>
      <c r="FG108" s="143"/>
      <c r="FH108" s="143"/>
      <c r="FK108" s="143"/>
      <c r="FL108" s="143"/>
      <c r="FO108" s="119"/>
      <c r="FP108" s="119"/>
      <c r="FQ108" s="143"/>
      <c r="FR108" s="143"/>
      <c r="FU108" s="119"/>
      <c r="FV108" s="143"/>
      <c r="FW108" s="143"/>
      <c r="FX108" s="143"/>
      <c r="FY108" s="143"/>
      <c r="GA108" s="143"/>
      <c r="GB108" s="143"/>
      <c r="GC108" s="143"/>
      <c r="GF108" s="119"/>
      <c r="GG108" s="119"/>
      <c r="GH108" s="119"/>
      <c r="GI108" s="143"/>
      <c r="GJ108" s="143"/>
      <c r="GK108" s="143"/>
      <c r="GN108" s="119"/>
      <c r="GO108" s="119"/>
      <c r="GP108" s="143"/>
      <c r="GQ108" s="143"/>
      <c r="GR108" s="143"/>
      <c r="GV108" s="119"/>
      <c r="GW108" s="143"/>
      <c r="GX108" s="143"/>
      <c r="GY108" s="143"/>
      <c r="HC108" s="143"/>
      <c r="HD108" s="143"/>
      <c r="HE108" s="143"/>
      <c r="HF108" s="143"/>
      <c r="HI108" s="119"/>
      <c r="HJ108" s="119"/>
      <c r="HK108" s="119"/>
      <c r="HL108" s="119"/>
      <c r="HM108" s="143"/>
      <c r="HN108" s="143"/>
      <c r="HO108" s="143"/>
      <c r="HR108" s="119"/>
      <c r="HS108" s="119"/>
      <c r="HT108" s="119"/>
      <c r="HU108" s="143"/>
      <c r="HV108" s="143"/>
      <c r="HW108" s="143"/>
      <c r="HZ108" s="119"/>
      <c r="IA108" s="143"/>
      <c r="IB108" s="143"/>
      <c r="IC108" s="143"/>
      <c r="IE108" s="119"/>
      <c r="IF108" s="143"/>
      <c r="IG108" s="143"/>
      <c r="IH108" s="143"/>
      <c r="IK108" s="143"/>
      <c r="IL108" s="143"/>
      <c r="IO108" s="143"/>
      <c r="IP108" s="143"/>
      <c r="IS108" s="157"/>
      <c r="IT108" s="157"/>
      <c r="IU108" s="157"/>
      <c r="IX108" s="143"/>
      <c r="IY108" s="143"/>
      <c r="IZ108" s="143"/>
      <c r="JA108" s="143"/>
      <c r="JD108" s="143"/>
      <c r="JE108" s="143"/>
      <c r="JH108" s="143"/>
      <c r="JI108" s="143"/>
      <c r="JJ108" s="143"/>
      <c r="JM108" s="143"/>
      <c r="JN108" s="143"/>
      <c r="JQ108" s="143"/>
      <c r="JR108" s="143"/>
      <c r="JS108" s="143"/>
      <c r="JV108" s="143"/>
      <c r="JW108" s="143"/>
      <c r="JY108" s="143"/>
      <c r="JZ108" s="143"/>
      <c r="KB108" s="143"/>
      <c r="KC108" s="143"/>
      <c r="KD108" s="143"/>
    </row>
    <row r="109" spans="2:290" hidden="1" x14ac:dyDescent="0.25">
      <c r="B109" s="6" t="s">
        <v>222</v>
      </c>
      <c r="C109" s="136"/>
      <c r="D109" s="136"/>
      <c r="E109" s="136"/>
      <c r="F109" s="136"/>
      <c r="G109" s="136"/>
      <c r="H109" s="132"/>
      <c r="I109" s="158"/>
      <c r="J109" s="158"/>
      <c r="K109" s="158"/>
      <c r="L109" s="158"/>
      <c r="M109" s="132"/>
      <c r="N109" s="158"/>
      <c r="O109" s="158"/>
      <c r="P109" s="158"/>
      <c r="Q109" s="158"/>
      <c r="R109" s="132"/>
      <c r="S109" s="158"/>
      <c r="T109" s="158"/>
      <c r="U109" s="158"/>
      <c r="V109" s="158"/>
      <c r="W109" s="132"/>
      <c r="X109" s="158"/>
      <c r="Y109" s="158"/>
      <c r="Z109" s="158"/>
      <c r="AA109" s="158"/>
      <c r="AB109" s="132"/>
      <c r="AC109" s="158"/>
      <c r="AD109" s="158"/>
      <c r="AE109" s="158"/>
      <c r="AF109" s="158"/>
      <c r="AG109" s="132"/>
      <c r="AH109" s="158"/>
      <c r="AI109" s="158"/>
      <c r="AJ109" s="158"/>
      <c r="AK109" s="132"/>
      <c r="AL109" s="158"/>
      <c r="AM109" s="158"/>
      <c r="AN109" s="158"/>
      <c r="AO109" s="158"/>
      <c r="AP109" s="132"/>
      <c r="AQ109" s="158"/>
      <c r="AR109" s="158"/>
      <c r="AS109" s="158"/>
      <c r="AT109" s="158"/>
      <c r="AU109" s="132"/>
      <c r="AV109" s="137"/>
      <c r="AW109" s="137"/>
      <c r="AX109" s="137"/>
      <c r="AY109" s="137"/>
      <c r="AZ109" s="132"/>
      <c r="BA109" s="137"/>
      <c r="BB109" s="137"/>
      <c r="BC109" s="137"/>
      <c r="BD109" s="137"/>
      <c r="BE109" s="132"/>
      <c r="BF109" s="137"/>
      <c r="BG109" s="137"/>
      <c r="BH109" s="137"/>
      <c r="BI109" s="137"/>
      <c r="BJ109" s="132">
        <v>509496</v>
      </c>
      <c r="BK109" s="137"/>
      <c r="BL109" s="137"/>
      <c r="BM109" s="137"/>
      <c r="BN109" s="137"/>
      <c r="BO109" s="132">
        <v>528150</v>
      </c>
      <c r="BP109" s="137"/>
      <c r="BQ109" s="137"/>
      <c r="BR109" s="137"/>
      <c r="BS109" s="137"/>
      <c r="BT109" s="132">
        <v>602634</v>
      </c>
      <c r="BU109" s="137"/>
      <c r="BV109" s="137"/>
      <c r="BW109" s="137"/>
      <c r="BX109" s="137"/>
      <c r="BY109" s="132">
        <v>739428</v>
      </c>
      <c r="BZ109" s="137"/>
      <c r="CA109" s="137"/>
      <c r="CB109" s="137"/>
      <c r="CC109" s="137"/>
      <c r="CD109" s="132">
        <v>872532</v>
      </c>
      <c r="CE109" s="137"/>
      <c r="CF109" s="137"/>
      <c r="CG109" s="137"/>
      <c r="CH109" s="137"/>
      <c r="CI109" s="132">
        <v>1000056</v>
      </c>
      <c r="CJ109" s="132">
        <f>CI109+110000</f>
        <v>1110056</v>
      </c>
      <c r="CK109" s="132">
        <f>CJ109+100000</f>
        <v>1210056</v>
      </c>
      <c r="CL109" s="132"/>
      <c r="CM109" s="132"/>
      <c r="CN109" s="132"/>
      <c r="CO109" s="137"/>
      <c r="CP109" s="137"/>
      <c r="CQ109" s="6"/>
      <c r="CR109" s="6"/>
      <c r="CS109" s="6"/>
      <c r="CT109" s="124"/>
      <c r="CU109" s="124"/>
      <c r="CV109" s="124"/>
      <c r="CW109" s="124"/>
      <c r="CX109" s="124"/>
      <c r="CY109" s="124"/>
      <c r="CZ109" s="124"/>
      <c r="DA109" s="124"/>
      <c r="DB109" s="124"/>
      <c r="DC109" s="124"/>
      <c r="DD109" s="124"/>
      <c r="DE109" s="124"/>
      <c r="DF109" s="124"/>
      <c r="DG109" s="124"/>
      <c r="DH109" s="124"/>
      <c r="DI109" s="124"/>
      <c r="DK109" s="124"/>
      <c r="DL109" s="124"/>
      <c r="DM109" s="6"/>
      <c r="DN109" s="124"/>
      <c r="DO109" s="124"/>
      <c r="DQ109" s="136"/>
      <c r="DR109" s="124"/>
      <c r="DS109" s="124"/>
      <c r="DT109" s="124"/>
      <c r="DV109" s="124"/>
      <c r="DW109" s="124"/>
      <c r="DX109" s="124"/>
      <c r="EA109" s="111"/>
      <c r="EB109" s="111"/>
      <c r="EC109" s="111"/>
      <c r="ED109" s="124"/>
      <c r="EE109" s="124"/>
      <c r="EF109" s="124"/>
      <c r="EJ109" s="111"/>
      <c r="EK109" s="111"/>
      <c r="EL109" s="124"/>
      <c r="EM109" s="124"/>
      <c r="EN109" s="124"/>
      <c r="EP109" s="111"/>
      <c r="EQ109" s="124"/>
      <c r="ER109" s="124"/>
      <c r="ES109" s="124"/>
      <c r="EV109" s="111"/>
      <c r="EW109" s="111"/>
      <c r="EX109" s="111"/>
      <c r="EY109" s="111"/>
      <c r="EZ109" s="124"/>
      <c r="FA109" s="124"/>
      <c r="FD109" s="111"/>
      <c r="FE109" s="111"/>
      <c r="FF109" s="111"/>
      <c r="FG109" s="124"/>
      <c r="FH109" s="124"/>
      <c r="FK109" s="124"/>
      <c r="FL109" s="124"/>
      <c r="FO109" s="111">
        <v>77028.600000000006</v>
      </c>
      <c r="FP109" s="111">
        <v>91655.599999999948</v>
      </c>
      <c r="FQ109" s="124">
        <v>321710.19999999995</v>
      </c>
      <c r="FR109" s="124">
        <v>369966.72999999992</v>
      </c>
      <c r="FU109" s="111">
        <v>78670.840000000026</v>
      </c>
      <c r="FV109" s="124">
        <v>302127.84000000003</v>
      </c>
      <c r="FW109" s="124">
        <v>265872.49920000002</v>
      </c>
      <c r="FX109" s="124">
        <v>297777.19910400006</v>
      </c>
      <c r="FY109" s="124">
        <v>333510.46299648011</v>
      </c>
      <c r="GA109" s="124">
        <v>276710.24</v>
      </c>
      <c r="GB109" s="124">
        <v>318216.77599999995</v>
      </c>
      <c r="GC109" s="124">
        <v>356402.78911999997</v>
      </c>
      <c r="GF109" s="111"/>
      <c r="GG109" s="111"/>
      <c r="GH109" s="111"/>
      <c r="GI109" s="124">
        <v>294756.56</v>
      </c>
      <c r="GJ109" s="124">
        <v>359603.00319999998</v>
      </c>
      <c r="GK109" s="124">
        <v>402755.36358400004</v>
      </c>
      <c r="GN109" s="111"/>
      <c r="GO109" s="111"/>
      <c r="GP109" s="124">
        <v>306787.44</v>
      </c>
      <c r="GQ109" s="124">
        <v>374280.67680000002</v>
      </c>
      <c r="GR109" s="124">
        <v>419194.35801600007</v>
      </c>
      <c r="GV109" s="111">
        <v>79404.27999999997</v>
      </c>
      <c r="GW109" s="124">
        <v>297764.27999999997</v>
      </c>
      <c r="GX109" s="124">
        <v>345406.56479999993</v>
      </c>
      <c r="GY109" s="124">
        <v>397217.54951999988</v>
      </c>
      <c r="HC109" s="124">
        <v>84189.73000000001</v>
      </c>
      <c r="HD109" s="124">
        <v>261977.73</v>
      </c>
      <c r="HE109" s="124">
        <v>305204.05545000004</v>
      </c>
      <c r="HF109" s="124">
        <v>338776.5015495001</v>
      </c>
      <c r="HI109" s="111">
        <v>91681.65</v>
      </c>
      <c r="HJ109" s="111">
        <v>76104</v>
      </c>
      <c r="HK109" s="111">
        <v>74356.100000000006</v>
      </c>
      <c r="HL109" s="111">
        <v>97984.049999999988</v>
      </c>
      <c r="HM109" s="124">
        <v>340125.8</v>
      </c>
      <c r="HN109" s="124">
        <v>377539.63800000004</v>
      </c>
      <c r="HO109" s="124">
        <v>407742.80904000008</v>
      </c>
      <c r="HR109" s="111">
        <v>76104</v>
      </c>
      <c r="HS109" s="111">
        <v>74356.100000000006</v>
      </c>
      <c r="HT109" s="111">
        <v>110241.69999999998</v>
      </c>
      <c r="HU109" s="124">
        <v>340125.8</v>
      </c>
      <c r="HV109" s="124">
        <v>377539.63800000004</v>
      </c>
      <c r="HW109" s="124">
        <v>407742.80904000008</v>
      </c>
      <c r="HZ109" s="111">
        <v>74356.100000000006</v>
      </c>
      <c r="IA109" s="124">
        <v>340125.8</v>
      </c>
      <c r="IB109" s="124">
        <v>377539.63800000004</v>
      </c>
      <c r="IC109" s="124">
        <v>407742.80904000008</v>
      </c>
      <c r="IE109" s="111">
        <v>110288.19999999995</v>
      </c>
      <c r="IF109" s="124">
        <v>373041.19999999995</v>
      </c>
      <c r="IG109" s="124">
        <v>414075.73199999996</v>
      </c>
      <c r="IH109" s="124">
        <v>447201.79055999999</v>
      </c>
      <c r="IK109" s="124">
        <v>414075.73199999996</v>
      </c>
      <c r="IL109" s="124">
        <v>447201.79055999999</v>
      </c>
      <c r="IO109" s="124">
        <v>457556.12</v>
      </c>
      <c r="IP109" s="124">
        <v>512462.85440000007</v>
      </c>
      <c r="IS109" s="160">
        <v>62378.299999999996</v>
      </c>
      <c r="IT109" s="160">
        <v>68616.13</v>
      </c>
      <c r="IU109" s="160">
        <v>75477.743000000017</v>
      </c>
      <c r="IX109" s="124">
        <v>145353.79999999999</v>
      </c>
      <c r="IY109" s="124">
        <v>487559.8</v>
      </c>
      <c r="IZ109" s="124">
        <v>565569.3679999999</v>
      </c>
      <c r="JA109" s="124">
        <v>656060.46687999985</v>
      </c>
      <c r="JD109" s="124">
        <v>626251.25</v>
      </c>
      <c r="JE109" s="124">
        <v>751501.5</v>
      </c>
      <c r="JH109" s="124">
        <v>626251.25</v>
      </c>
      <c r="JI109" s="124">
        <v>751501.5</v>
      </c>
      <c r="JJ109" s="124">
        <v>864226.72499999998</v>
      </c>
      <c r="JM109" s="124">
        <v>673946.54519999993</v>
      </c>
      <c r="JN109" s="124">
        <v>775038.52697999985</v>
      </c>
      <c r="JQ109" s="124">
        <v>536071.07000000007</v>
      </c>
      <c r="JR109" s="124">
        <v>600399.59840000013</v>
      </c>
      <c r="JS109" s="124">
        <v>672447.55020800023</v>
      </c>
      <c r="JV109" s="124">
        <v>594868.96000000008</v>
      </c>
      <c r="JW109" s="124">
        <v>666253.23520000011</v>
      </c>
      <c r="JY109" s="124">
        <v>616114.27999999991</v>
      </c>
      <c r="JZ109" s="124">
        <v>690047.99359999993</v>
      </c>
      <c r="KB109" s="124">
        <v>610802.94999999995</v>
      </c>
      <c r="KC109" s="124">
        <v>696315.36300000001</v>
      </c>
      <c r="KD109" s="124">
        <v>793799.51382000011</v>
      </c>
    </row>
    <row r="110" spans="2:290" hidden="1" x14ac:dyDescent="0.25">
      <c r="B110" s="6" t="s">
        <v>223</v>
      </c>
      <c r="C110" s="136"/>
      <c r="D110" s="136"/>
      <c r="E110" s="136"/>
      <c r="F110" s="136"/>
      <c r="G110" s="136"/>
      <c r="H110" s="132"/>
      <c r="I110" s="158"/>
      <c r="J110" s="158"/>
      <c r="K110" s="158"/>
      <c r="L110" s="158"/>
      <c r="M110" s="132"/>
      <c r="N110" s="158"/>
      <c r="O110" s="158"/>
      <c r="P110" s="158"/>
      <c r="Q110" s="158"/>
      <c r="R110" s="132"/>
      <c r="S110" s="158"/>
      <c r="T110" s="158"/>
      <c r="U110" s="158"/>
      <c r="V110" s="158"/>
      <c r="W110" s="132"/>
      <c r="X110" s="158"/>
      <c r="Y110" s="158"/>
      <c r="Z110" s="158"/>
      <c r="AA110" s="158"/>
      <c r="AB110" s="132"/>
      <c r="AC110" s="158"/>
      <c r="AD110" s="158"/>
      <c r="AE110" s="158"/>
      <c r="AF110" s="158"/>
      <c r="AG110" s="132"/>
      <c r="AH110" s="158"/>
      <c r="AI110" s="158"/>
      <c r="AJ110" s="158"/>
      <c r="AK110" s="132"/>
      <c r="AL110" s="158"/>
      <c r="AM110" s="158"/>
      <c r="AN110" s="158"/>
      <c r="AO110" s="158"/>
      <c r="AP110" s="132"/>
      <c r="AQ110" s="158"/>
      <c r="AR110" s="158"/>
      <c r="AS110" s="158"/>
      <c r="AT110" s="158"/>
      <c r="AU110" s="132"/>
      <c r="AV110" s="137"/>
      <c r="AW110" s="137"/>
      <c r="AX110" s="137"/>
      <c r="AY110" s="137"/>
      <c r="AZ110" s="132"/>
      <c r="BA110" s="137"/>
      <c r="BB110" s="137"/>
      <c r="BC110" s="137"/>
      <c r="BD110" s="137"/>
      <c r="BE110" s="132"/>
      <c r="BF110" s="137"/>
      <c r="BG110" s="137"/>
      <c r="BH110" s="137"/>
      <c r="BI110" s="137"/>
      <c r="BJ110" s="132">
        <v>86345</v>
      </c>
      <c r="BK110" s="137"/>
      <c r="BL110" s="137"/>
      <c r="BM110" s="137"/>
      <c r="BN110" s="137"/>
      <c r="BO110" s="132">
        <v>89371</v>
      </c>
      <c r="BP110" s="137"/>
      <c r="BQ110" s="137"/>
      <c r="BR110" s="137"/>
      <c r="BS110" s="137"/>
      <c r="BT110" s="132">
        <v>90468</v>
      </c>
      <c r="BU110" s="137"/>
      <c r="BV110" s="137"/>
      <c r="BW110" s="137"/>
      <c r="BX110" s="137"/>
      <c r="BY110" s="132">
        <v>93410</v>
      </c>
      <c r="BZ110" s="137"/>
      <c r="CA110" s="137"/>
      <c r="CB110" s="137"/>
      <c r="CC110" s="137"/>
      <c r="CD110" s="132">
        <v>100720</v>
      </c>
      <c r="CE110" s="137"/>
      <c r="CF110" s="137"/>
      <c r="CG110" s="137"/>
      <c r="CH110" s="137"/>
      <c r="CI110" s="132">
        <v>108393</v>
      </c>
      <c r="CJ110" s="132">
        <v>108393</v>
      </c>
      <c r="CK110" s="132">
        <v>108393</v>
      </c>
      <c r="CL110" s="132"/>
      <c r="CM110" s="132"/>
      <c r="CN110" s="132"/>
      <c r="CO110" s="137"/>
      <c r="CP110" s="137"/>
      <c r="CQ110" s="6"/>
      <c r="CR110" s="6"/>
      <c r="CS110" s="6"/>
      <c r="CT110" s="124"/>
      <c r="CU110" s="124"/>
      <c r="CV110" s="124"/>
      <c r="CW110" s="124"/>
      <c r="CX110" s="124"/>
      <c r="CY110" s="124"/>
      <c r="CZ110" s="124"/>
      <c r="DA110" s="124"/>
      <c r="DB110" s="124"/>
      <c r="DC110" s="124"/>
      <c r="DD110" s="124"/>
      <c r="DE110" s="124"/>
      <c r="DF110" s="124"/>
      <c r="DG110" s="124"/>
      <c r="DH110" s="124"/>
      <c r="DI110" s="124"/>
      <c r="DK110" s="124"/>
      <c r="DL110" s="124"/>
      <c r="DM110" s="6"/>
      <c r="DN110" s="124"/>
      <c r="DO110" s="124"/>
      <c r="DQ110" s="136"/>
      <c r="DR110" s="124"/>
      <c r="DS110" s="124"/>
      <c r="DT110" s="124"/>
      <c r="DV110" s="124"/>
      <c r="DW110" s="124"/>
      <c r="DX110" s="124"/>
      <c r="EA110" s="111"/>
      <c r="EB110" s="111"/>
      <c r="EC110" s="111"/>
      <c r="ED110" s="124"/>
      <c r="EE110" s="124"/>
      <c r="EF110" s="124"/>
      <c r="EJ110" s="111"/>
      <c r="EK110" s="111"/>
      <c r="EL110" s="124"/>
      <c r="EM110" s="124"/>
      <c r="EN110" s="124"/>
      <c r="EP110" s="111"/>
      <c r="EQ110" s="124"/>
      <c r="ER110" s="124"/>
      <c r="ES110" s="124"/>
      <c r="EV110" s="111"/>
      <c r="EW110" s="111"/>
      <c r="EX110" s="111"/>
      <c r="EY110" s="111"/>
      <c r="EZ110" s="124"/>
      <c r="FA110" s="124"/>
      <c r="FD110" s="111"/>
      <c r="FE110" s="111"/>
      <c r="FF110" s="111"/>
      <c r="FG110" s="124"/>
      <c r="FH110" s="124"/>
      <c r="FK110" s="124"/>
      <c r="FL110" s="124"/>
      <c r="FO110" s="111">
        <v>16450.350000000002</v>
      </c>
      <c r="FP110" s="111">
        <v>14640.850000000002</v>
      </c>
      <c r="FQ110" s="124">
        <v>54898.200000000004</v>
      </c>
      <c r="FR110" s="124">
        <v>60388.020000000011</v>
      </c>
      <c r="FU110" s="111">
        <v>13646.520000000004</v>
      </c>
      <c r="FV110" s="124">
        <v>53852.520000000004</v>
      </c>
      <c r="FW110" s="124">
        <v>45774.642</v>
      </c>
      <c r="FX110" s="124">
        <v>50352.106200000002</v>
      </c>
      <c r="FY110" s="124">
        <v>55387.316820000007</v>
      </c>
      <c r="GA110" s="124">
        <v>43650.049999999996</v>
      </c>
      <c r="GB110" s="124">
        <v>48015.055</v>
      </c>
      <c r="GC110" s="124">
        <v>52816.560500000007</v>
      </c>
      <c r="GF110" s="111"/>
      <c r="GG110" s="111"/>
      <c r="GH110" s="111"/>
      <c r="GI110" s="124">
        <v>46217.700000000004</v>
      </c>
      <c r="GJ110" s="124">
        <v>50839.470000000008</v>
      </c>
      <c r="GK110" s="124">
        <v>55923.417000000016</v>
      </c>
      <c r="GN110" s="111"/>
      <c r="GO110" s="111"/>
      <c r="GP110" s="124">
        <v>49812.409999999996</v>
      </c>
      <c r="GQ110" s="124">
        <v>54793.650999999998</v>
      </c>
      <c r="GR110" s="124">
        <v>60273.016100000001</v>
      </c>
      <c r="GV110" s="111">
        <v>14714.650000000001</v>
      </c>
      <c r="GW110" s="124">
        <v>53920.65</v>
      </c>
      <c r="GX110" s="124">
        <v>59312.715000000004</v>
      </c>
      <c r="GY110" s="124">
        <v>68209.62225</v>
      </c>
      <c r="HC110" s="124">
        <v>17058.650000000001</v>
      </c>
      <c r="HD110" s="124">
        <v>57574.65</v>
      </c>
      <c r="HE110" s="124">
        <v>67938.087</v>
      </c>
      <c r="HF110" s="124">
        <v>74731.895700000008</v>
      </c>
      <c r="HI110" s="111">
        <v>13607.759999999998</v>
      </c>
      <c r="HJ110" s="111">
        <v>14620.199999999999</v>
      </c>
      <c r="HK110" s="111">
        <v>19580.919999999998</v>
      </c>
      <c r="HL110" s="111">
        <v>15494.580000000002</v>
      </c>
      <c r="HM110" s="124">
        <v>63303.46</v>
      </c>
      <c r="HN110" s="124">
        <v>69633.806000000011</v>
      </c>
      <c r="HO110" s="124">
        <v>76597.186600000015</v>
      </c>
      <c r="HR110" s="111">
        <v>14620.199999999999</v>
      </c>
      <c r="HS110" s="111">
        <v>19580.919999999998</v>
      </c>
      <c r="HT110" s="111">
        <v>16236.340000000004</v>
      </c>
      <c r="HU110" s="124">
        <v>63303.46</v>
      </c>
      <c r="HV110" s="124">
        <v>69633.806000000011</v>
      </c>
      <c r="HW110" s="124">
        <v>76597.186600000015</v>
      </c>
      <c r="HZ110" s="111">
        <v>19580.919999999998</v>
      </c>
      <c r="IA110" s="124">
        <v>63911.159999999996</v>
      </c>
      <c r="IB110" s="124">
        <v>70302.275999999998</v>
      </c>
      <c r="IC110" s="124">
        <v>77332.503600000011</v>
      </c>
      <c r="IE110" s="111">
        <v>16160.100000000006</v>
      </c>
      <c r="IF110" s="124">
        <v>56870.100000000006</v>
      </c>
      <c r="IG110" s="124">
        <v>62557.110000000008</v>
      </c>
      <c r="IH110" s="124">
        <v>68812.821000000011</v>
      </c>
      <c r="IK110" s="124">
        <v>62557.110000000008</v>
      </c>
      <c r="IL110" s="124">
        <v>68812.821000000011</v>
      </c>
      <c r="IO110" s="124">
        <v>64547.979999999996</v>
      </c>
      <c r="IP110" s="124">
        <v>71002.778000000006</v>
      </c>
      <c r="IS110" s="160">
        <v>63676.800000000003</v>
      </c>
      <c r="IT110" s="160">
        <v>70044.48000000001</v>
      </c>
      <c r="IU110" s="160">
        <v>77048.928000000014</v>
      </c>
      <c r="IX110" s="124">
        <v>18922.299999999996</v>
      </c>
      <c r="IY110" s="124">
        <v>62378.299999999996</v>
      </c>
      <c r="IZ110" s="124">
        <v>68616.13</v>
      </c>
      <c r="JA110" s="124">
        <v>75477.743000000017</v>
      </c>
      <c r="JD110" s="124">
        <v>64357.700000000004</v>
      </c>
      <c r="JE110" s="124">
        <v>73367.77800000002</v>
      </c>
      <c r="JH110" s="124">
        <v>62602.490000000005</v>
      </c>
      <c r="JI110" s="124">
        <v>71366.838600000017</v>
      </c>
      <c r="JJ110" s="124">
        <v>79930.859232000032</v>
      </c>
      <c r="JM110" s="124">
        <v>76035.697200000024</v>
      </c>
      <c r="JN110" s="124">
        <v>85159.980864000041</v>
      </c>
      <c r="JQ110" s="124">
        <v>64357.700000000004</v>
      </c>
      <c r="JR110" s="124">
        <v>73367.77800000002</v>
      </c>
      <c r="JS110" s="124">
        <v>82171.911360000027</v>
      </c>
      <c r="JV110" s="124">
        <v>69946.98000000001</v>
      </c>
      <c r="JW110" s="124">
        <v>78340.617600000012</v>
      </c>
      <c r="JY110" s="124">
        <v>69946.98000000001</v>
      </c>
      <c r="JZ110" s="124">
        <v>78340.617600000012</v>
      </c>
      <c r="KB110" s="124">
        <v>64424.850000000006</v>
      </c>
      <c r="KC110" s="124">
        <v>70867.335000000006</v>
      </c>
      <c r="KD110" s="124">
        <v>77954.068500000008</v>
      </c>
    </row>
    <row r="111" spans="2:290" hidden="1" x14ac:dyDescent="0.25">
      <c r="B111" s="6" t="s">
        <v>224</v>
      </c>
      <c r="C111" s="136"/>
      <c r="D111" s="136"/>
      <c r="E111" s="136"/>
      <c r="F111" s="136"/>
      <c r="G111" s="136"/>
      <c r="H111" s="132"/>
      <c r="I111" s="158"/>
      <c r="J111" s="158"/>
      <c r="K111" s="158"/>
      <c r="L111" s="158"/>
      <c r="M111" s="132"/>
      <c r="N111" s="158"/>
      <c r="O111" s="158"/>
      <c r="P111" s="158"/>
      <c r="Q111" s="158"/>
      <c r="R111" s="132"/>
      <c r="S111" s="158"/>
      <c r="T111" s="158"/>
      <c r="U111" s="158"/>
      <c r="V111" s="158"/>
      <c r="W111" s="132"/>
      <c r="X111" s="158"/>
      <c r="Y111" s="158"/>
      <c r="Z111" s="158"/>
      <c r="AA111" s="158"/>
      <c r="AB111" s="132"/>
      <c r="AC111" s="158"/>
      <c r="AD111" s="158"/>
      <c r="AE111" s="158"/>
      <c r="AF111" s="158"/>
      <c r="AG111" s="132"/>
      <c r="AH111" s="158"/>
      <c r="AI111" s="158"/>
      <c r="AJ111" s="158"/>
      <c r="AK111" s="132"/>
      <c r="AL111" s="158"/>
      <c r="AM111" s="158"/>
      <c r="AN111" s="158"/>
      <c r="AO111" s="158"/>
      <c r="AP111" s="132"/>
      <c r="AQ111" s="158"/>
      <c r="AR111" s="158"/>
      <c r="AS111" s="158"/>
      <c r="AT111" s="158"/>
      <c r="AU111" s="132"/>
      <c r="AV111" s="137"/>
      <c r="AW111" s="137"/>
      <c r="AX111" s="137"/>
      <c r="AY111" s="137"/>
      <c r="AZ111" s="132"/>
      <c r="BA111" s="137"/>
      <c r="BB111" s="137"/>
      <c r="BC111" s="137"/>
      <c r="BD111" s="137"/>
      <c r="BE111" s="132"/>
      <c r="BF111" s="137"/>
      <c r="BG111" s="137"/>
      <c r="BH111" s="137"/>
      <c r="BI111" s="137"/>
      <c r="BJ111" s="132">
        <v>71444</v>
      </c>
      <c r="BK111" s="137"/>
      <c r="BL111" s="137"/>
      <c r="BM111" s="137"/>
      <c r="BN111" s="137"/>
      <c r="BO111" s="132">
        <v>77540</v>
      </c>
      <c r="BP111" s="137"/>
      <c r="BQ111" s="137"/>
      <c r="BR111" s="137"/>
      <c r="BS111" s="137"/>
      <c r="BT111" s="132">
        <v>84780</v>
      </c>
      <c r="BU111" s="137"/>
      <c r="BV111" s="137"/>
      <c r="BW111" s="137"/>
      <c r="BX111" s="137"/>
      <c r="BY111" s="132">
        <v>90000</v>
      </c>
      <c r="BZ111" s="137"/>
      <c r="CA111" s="137"/>
      <c r="CB111" s="137"/>
      <c r="CC111" s="137"/>
      <c r="CD111" s="132">
        <v>90960</v>
      </c>
      <c r="CE111" s="137"/>
      <c r="CF111" s="137"/>
      <c r="CG111" s="137"/>
      <c r="CH111" s="137"/>
      <c r="CI111" s="132">
        <v>101676</v>
      </c>
      <c r="CJ111" s="132">
        <v>101676</v>
      </c>
      <c r="CK111" s="132">
        <v>101676</v>
      </c>
      <c r="CL111" s="132"/>
      <c r="CM111" s="132"/>
      <c r="CN111" s="132"/>
      <c r="CO111" s="137"/>
      <c r="CP111" s="137"/>
      <c r="CQ111" s="6"/>
      <c r="CR111" s="6"/>
      <c r="CS111" s="6"/>
      <c r="CT111" s="124"/>
      <c r="CU111" s="124"/>
      <c r="CV111" s="124"/>
      <c r="CW111" s="124"/>
      <c r="CX111" s="124"/>
      <c r="CY111" s="124"/>
      <c r="CZ111" s="124"/>
      <c r="DA111" s="124"/>
      <c r="DB111" s="124"/>
      <c r="DC111" s="124"/>
      <c r="DD111" s="124"/>
      <c r="DE111" s="124"/>
      <c r="DF111" s="124"/>
      <c r="DG111" s="124"/>
      <c r="DH111" s="124"/>
      <c r="DI111" s="124"/>
      <c r="DK111" s="124"/>
      <c r="DL111" s="124"/>
      <c r="DM111" s="6"/>
      <c r="DN111" s="124"/>
      <c r="DO111" s="124"/>
      <c r="DQ111" s="136"/>
      <c r="DR111" s="124"/>
      <c r="DS111" s="124"/>
      <c r="DT111" s="124"/>
      <c r="DV111" s="124"/>
      <c r="DW111" s="124"/>
      <c r="DX111" s="124"/>
      <c r="EA111" s="111"/>
      <c r="EB111" s="111"/>
      <c r="EC111" s="111"/>
      <c r="ED111" s="124"/>
      <c r="EE111" s="124"/>
      <c r="EF111" s="124"/>
      <c r="EJ111" s="111"/>
      <c r="EK111" s="111"/>
      <c r="EL111" s="124"/>
      <c r="EM111" s="124"/>
      <c r="EN111" s="124"/>
      <c r="EP111" s="111"/>
      <c r="EQ111" s="124"/>
      <c r="ER111" s="124"/>
      <c r="ES111" s="124"/>
      <c r="EV111" s="111"/>
      <c r="EW111" s="111"/>
      <c r="EX111" s="111"/>
      <c r="EY111" s="111"/>
      <c r="EZ111" s="124"/>
      <c r="FA111" s="124"/>
      <c r="FD111" s="111"/>
      <c r="FE111" s="111"/>
      <c r="FF111" s="111"/>
      <c r="FG111" s="124"/>
      <c r="FH111" s="124"/>
      <c r="FK111" s="124"/>
      <c r="FL111" s="124"/>
      <c r="FO111" s="111">
        <v>9885</v>
      </c>
      <c r="FP111" s="111">
        <v>12089.849999999999</v>
      </c>
      <c r="FQ111" s="124">
        <v>42296.85</v>
      </c>
      <c r="FR111" s="124">
        <v>45257.629500000003</v>
      </c>
      <c r="FU111" s="111">
        <v>10057.239999999998</v>
      </c>
      <c r="FV111" s="124">
        <v>39180.239999999998</v>
      </c>
      <c r="FW111" s="124">
        <v>33303.203999999998</v>
      </c>
      <c r="FX111" s="124">
        <v>35634.42828</v>
      </c>
      <c r="FY111" s="124">
        <v>38128.838259600001</v>
      </c>
      <c r="GA111" s="124">
        <v>27031.899999999998</v>
      </c>
      <c r="GB111" s="124">
        <v>28924.132999999998</v>
      </c>
      <c r="GC111" s="124">
        <v>30948.82231</v>
      </c>
      <c r="GF111" s="111"/>
      <c r="GG111" s="111"/>
      <c r="GH111" s="111"/>
      <c r="GI111" s="124">
        <v>28962.75</v>
      </c>
      <c r="GJ111" s="124">
        <v>30990.142500000002</v>
      </c>
      <c r="GK111" s="124">
        <v>33159.452475000006</v>
      </c>
      <c r="GN111" s="111"/>
      <c r="GO111" s="111"/>
      <c r="GP111" s="124">
        <v>34755.300000000003</v>
      </c>
      <c r="GQ111" s="124">
        <v>37188.171000000002</v>
      </c>
      <c r="GR111" s="124">
        <v>39791.342970000005</v>
      </c>
      <c r="GV111" s="111">
        <v>13227.020000000004</v>
      </c>
      <c r="GW111" s="124">
        <v>40934.020000000004</v>
      </c>
      <c r="GX111" s="124">
        <v>45846.102400000011</v>
      </c>
      <c r="GY111" s="124">
        <v>52723.01776000001</v>
      </c>
      <c r="HC111" s="124">
        <v>12886.649999999994</v>
      </c>
      <c r="HD111" s="124">
        <v>47668.649999999994</v>
      </c>
      <c r="HE111" s="124">
        <v>54818.947499999987</v>
      </c>
      <c r="HF111" s="124">
        <v>60300.842249999994</v>
      </c>
      <c r="HI111" s="111">
        <v>10938.8</v>
      </c>
      <c r="HJ111" s="111">
        <v>14840.749999999998</v>
      </c>
      <c r="HK111" s="111">
        <v>14219.749999999998</v>
      </c>
      <c r="HL111" s="111">
        <v>15827.449999999999</v>
      </c>
      <c r="HM111" s="124">
        <v>55826.749999999993</v>
      </c>
      <c r="HN111" s="124">
        <v>61409.424999999996</v>
      </c>
      <c r="HO111" s="124">
        <v>67550.367500000008</v>
      </c>
      <c r="HR111" s="111">
        <v>14840.749999999998</v>
      </c>
      <c r="HS111" s="111">
        <v>14219.749999999998</v>
      </c>
      <c r="HT111" s="111">
        <v>13865.249999999995</v>
      </c>
      <c r="HU111" s="124">
        <v>55826.749999999993</v>
      </c>
      <c r="HV111" s="124">
        <v>61409.424999999996</v>
      </c>
      <c r="HW111" s="124">
        <v>67550.367500000008</v>
      </c>
      <c r="HZ111" s="111">
        <v>14219.749999999998</v>
      </c>
      <c r="IA111" s="124">
        <v>55234.499999999993</v>
      </c>
      <c r="IB111" s="124">
        <v>60757.95</v>
      </c>
      <c r="IC111" s="124">
        <v>66833.744999999995</v>
      </c>
      <c r="IE111" s="111">
        <v>15184</v>
      </c>
      <c r="IF111" s="124">
        <v>57636</v>
      </c>
      <c r="IG111" s="124">
        <v>63399.600000000006</v>
      </c>
      <c r="IH111" s="124">
        <v>69739.560000000012</v>
      </c>
      <c r="IK111" s="124">
        <v>63399.600000000006</v>
      </c>
      <c r="IL111" s="124">
        <v>69739.560000000012</v>
      </c>
      <c r="IO111" s="124">
        <v>64856.000000000007</v>
      </c>
      <c r="IP111" s="124">
        <v>71341.60000000002</v>
      </c>
      <c r="IS111" s="160">
        <v>19713.240000000002</v>
      </c>
      <c r="IT111" s="160">
        <v>21684.564000000002</v>
      </c>
      <c r="IU111" s="160">
        <v>23853.020400000005</v>
      </c>
      <c r="IX111" s="124">
        <v>18611.800000000003</v>
      </c>
      <c r="IY111" s="124">
        <v>63676.800000000003</v>
      </c>
      <c r="IZ111" s="124">
        <v>70044.48000000001</v>
      </c>
      <c r="JA111" s="124">
        <v>77048.928000000014</v>
      </c>
      <c r="JD111" s="124">
        <v>68129.600000000006</v>
      </c>
      <c r="JE111" s="124">
        <v>76305.152000000016</v>
      </c>
      <c r="JH111" s="124">
        <v>66271.520000000004</v>
      </c>
      <c r="JI111" s="124">
        <v>74224.102400000018</v>
      </c>
      <c r="JJ111" s="124">
        <v>83130.994688000035</v>
      </c>
      <c r="JM111" s="124">
        <v>74224.102400000018</v>
      </c>
      <c r="JN111" s="124">
        <v>83130.994688000035</v>
      </c>
      <c r="JQ111" s="124">
        <v>64413.440000000002</v>
      </c>
      <c r="JR111" s="124">
        <v>70854.784000000014</v>
      </c>
      <c r="JS111" s="124">
        <v>77940.262400000021</v>
      </c>
      <c r="JV111" s="124">
        <v>70699.200000000012</v>
      </c>
      <c r="JW111" s="124">
        <v>77769.120000000024</v>
      </c>
      <c r="JY111" s="124">
        <v>70699.200000000012</v>
      </c>
      <c r="JZ111" s="124">
        <v>77769.120000000024</v>
      </c>
      <c r="KB111" s="124">
        <v>64272</v>
      </c>
      <c r="KC111" s="124">
        <v>68771.040000000008</v>
      </c>
      <c r="KD111" s="124">
        <v>73585.012800000011</v>
      </c>
    </row>
    <row r="112" spans="2:290" hidden="1" x14ac:dyDescent="0.25">
      <c r="B112" s="6" t="s">
        <v>225</v>
      </c>
      <c r="C112" s="136"/>
      <c r="D112" s="136"/>
      <c r="E112" s="136"/>
      <c r="F112" s="136"/>
      <c r="G112" s="136"/>
      <c r="H112" s="132"/>
      <c r="I112" s="158"/>
      <c r="J112" s="158"/>
      <c r="K112" s="158"/>
      <c r="L112" s="158"/>
      <c r="M112" s="132"/>
      <c r="N112" s="158"/>
      <c r="O112" s="158"/>
      <c r="P112" s="158"/>
      <c r="Q112" s="158"/>
      <c r="R112" s="132"/>
      <c r="S112" s="158"/>
      <c r="T112" s="158"/>
      <c r="U112" s="158"/>
      <c r="V112" s="158"/>
      <c r="W112" s="132"/>
      <c r="X112" s="158"/>
      <c r="Y112" s="158"/>
      <c r="Z112" s="158"/>
      <c r="AA112" s="158"/>
      <c r="AB112" s="132"/>
      <c r="AC112" s="158"/>
      <c r="AD112" s="158"/>
      <c r="AE112" s="158"/>
      <c r="AF112" s="158"/>
      <c r="AG112" s="132"/>
      <c r="AH112" s="158"/>
      <c r="AI112" s="158"/>
      <c r="AJ112" s="158"/>
      <c r="AK112" s="132"/>
      <c r="AL112" s="158"/>
      <c r="AM112" s="158"/>
      <c r="AN112" s="158"/>
      <c r="AO112" s="158"/>
      <c r="AP112" s="132"/>
      <c r="AQ112" s="158"/>
      <c r="AR112" s="158"/>
      <c r="AS112" s="158"/>
      <c r="AT112" s="158"/>
      <c r="AU112" s="132"/>
      <c r="AV112" s="137"/>
      <c r="AW112" s="137"/>
      <c r="AX112" s="137"/>
      <c r="AY112" s="137"/>
      <c r="AZ112" s="132"/>
      <c r="BA112" s="137"/>
      <c r="BB112" s="137"/>
      <c r="BC112" s="137"/>
      <c r="BD112" s="137"/>
      <c r="BE112" s="132"/>
      <c r="BF112" s="137"/>
      <c r="BG112" s="137"/>
      <c r="BH112" s="137"/>
      <c r="BI112" s="137"/>
      <c r="BJ112" s="132">
        <v>30588</v>
      </c>
      <c r="BK112" s="137"/>
      <c r="BL112" s="137"/>
      <c r="BM112" s="137"/>
      <c r="BN112" s="137"/>
      <c r="BO112" s="132">
        <v>30648</v>
      </c>
      <c r="BP112" s="137"/>
      <c r="BQ112" s="137"/>
      <c r="BR112" s="137"/>
      <c r="BS112" s="137"/>
      <c r="BT112" s="132">
        <v>29040</v>
      </c>
      <c r="BU112" s="137"/>
      <c r="BV112" s="137"/>
      <c r="BW112" s="137"/>
      <c r="BX112" s="137"/>
      <c r="BY112" s="132">
        <v>29160</v>
      </c>
      <c r="BZ112" s="137"/>
      <c r="CA112" s="137"/>
      <c r="CB112" s="137"/>
      <c r="CC112" s="137"/>
      <c r="CD112" s="132">
        <v>27540</v>
      </c>
      <c r="CE112" s="137"/>
      <c r="CF112" s="137"/>
      <c r="CG112" s="137"/>
      <c r="CH112" s="137"/>
      <c r="CI112" s="132">
        <v>27840</v>
      </c>
      <c r="CJ112" s="132">
        <v>27840</v>
      </c>
      <c r="CK112" s="132">
        <v>27840</v>
      </c>
      <c r="CL112" s="132"/>
      <c r="CM112" s="132"/>
      <c r="CN112" s="132"/>
      <c r="CO112" s="137"/>
      <c r="CP112" s="137"/>
      <c r="CQ112" s="6"/>
      <c r="CR112" s="6"/>
      <c r="CS112" s="6"/>
      <c r="CT112" s="124"/>
      <c r="CU112" s="124"/>
      <c r="CV112" s="124"/>
      <c r="CW112" s="124"/>
      <c r="CX112" s="124"/>
      <c r="CY112" s="124"/>
      <c r="CZ112" s="124"/>
      <c r="DA112" s="124"/>
      <c r="DB112" s="124"/>
      <c r="DC112" s="124"/>
      <c r="DD112" s="124"/>
      <c r="DE112" s="124"/>
      <c r="DF112" s="124"/>
      <c r="DG112" s="124"/>
      <c r="DH112" s="124"/>
      <c r="DI112" s="124"/>
      <c r="DK112" s="124"/>
      <c r="DL112" s="124"/>
      <c r="DM112" s="6"/>
      <c r="DN112" s="124"/>
      <c r="DO112" s="124"/>
      <c r="DQ112" s="136"/>
      <c r="DR112" s="124"/>
      <c r="DS112" s="124"/>
      <c r="DT112" s="124"/>
      <c r="DV112" s="124"/>
      <c r="DW112" s="124"/>
      <c r="DX112" s="124"/>
      <c r="EA112" s="111"/>
      <c r="EB112" s="111"/>
      <c r="EC112" s="111"/>
      <c r="ED112" s="124"/>
      <c r="EE112" s="124"/>
      <c r="EF112" s="124"/>
      <c r="EJ112" s="111"/>
      <c r="EK112" s="111"/>
      <c r="EL112" s="124"/>
      <c r="EM112" s="124"/>
      <c r="EN112" s="124"/>
      <c r="EP112" s="111"/>
      <c r="EQ112" s="124"/>
      <c r="ER112" s="124"/>
      <c r="ES112" s="124"/>
      <c r="EV112" s="111"/>
      <c r="EW112" s="111"/>
      <c r="EX112" s="111"/>
      <c r="EY112" s="111"/>
      <c r="EZ112" s="124"/>
      <c r="FA112" s="124"/>
      <c r="FD112" s="111"/>
      <c r="FE112" s="111"/>
      <c r="FF112" s="111"/>
      <c r="FG112" s="124"/>
      <c r="FH112" s="124"/>
      <c r="FK112" s="124"/>
      <c r="FL112" s="124"/>
      <c r="FO112" s="111">
        <v>5512.08</v>
      </c>
      <c r="FP112" s="111">
        <v>6785.76</v>
      </c>
      <c r="FQ112" s="124">
        <v>22070.84</v>
      </c>
      <c r="FR112" s="124">
        <v>23836.5072</v>
      </c>
      <c r="FU112" s="111">
        <v>5250.16</v>
      </c>
      <c r="FV112" s="124">
        <v>20785.16</v>
      </c>
      <c r="FW112" s="124">
        <v>16628.128000000001</v>
      </c>
      <c r="FX112" s="124">
        <v>17958.378240000002</v>
      </c>
      <c r="FY112" s="124">
        <v>19395.048499200002</v>
      </c>
      <c r="GA112" s="124">
        <v>13506.35</v>
      </c>
      <c r="GB112" s="124">
        <v>14586.858000000002</v>
      </c>
      <c r="GC112" s="124">
        <v>15753.806640000003</v>
      </c>
      <c r="GF112" s="111"/>
      <c r="GG112" s="111"/>
      <c r="GH112" s="111"/>
      <c r="GI112" s="124">
        <v>18701.100000000002</v>
      </c>
      <c r="GJ112" s="124">
        <v>20197.188000000002</v>
      </c>
      <c r="GK112" s="124">
        <v>21812.963040000002</v>
      </c>
      <c r="GN112" s="111"/>
      <c r="GO112" s="111"/>
      <c r="GP112" s="124">
        <v>19740.05</v>
      </c>
      <c r="GQ112" s="124">
        <v>21319.254000000001</v>
      </c>
      <c r="GR112" s="124">
        <v>23024.794320000001</v>
      </c>
      <c r="GV112" s="111">
        <v>7142.0499999999993</v>
      </c>
      <c r="GW112" s="124">
        <v>19740.05</v>
      </c>
      <c r="GX112" s="124">
        <v>21319.254000000001</v>
      </c>
      <c r="GY112" s="124">
        <v>23024.794320000001</v>
      </c>
      <c r="HC112" s="124">
        <v>7177.4000000000015</v>
      </c>
      <c r="HD112" s="124">
        <v>19391.400000000001</v>
      </c>
      <c r="HE112" s="124">
        <v>20942.712000000003</v>
      </c>
      <c r="HF112" s="124">
        <v>23036.983200000006</v>
      </c>
      <c r="HI112" s="111">
        <v>2277.7200000000003</v>
      </c>
      <c r="HJ112" s="111">
        <v>5289.84</v>
      </c>
      <c r="HK112" s="111">
        <v>5623.56</v>
      </c>
      <c r="HL112" s="111">
        <v>5622.4800000000005</v>
      </c>
      <c r="HM112" s="124">
        <v>18813.600000000002</v>
      </c>
      <c r="HN112" s="124">
        <v>20694.960000000003</v>
      </c>
      <c r="HO112" s="124">
        <v>22764.456000000006</v>
      </c>
      <c r="HR112" s="111">
        <v>5289.84</v>
      </c>
      <c r="HS112" s="111">
        <v>5623.56</v>
      </c>
      <c r="HT112" s="111">
        <v>4169.2000000000016</v>
      </c>
      <c r="HU112" s="124">
        <v>18813.600000000002</v>
      </c>
      <c r="HV112" s="124">
        <v>20694.960000000003</v>
      </c>
      <c r="HW112" s="124">
        <v>22764.456000000006</v>
      </c>
      <c r="HZ112" s="111">
        <v>5623.56</v>
      </c>
      <c r="IA112" s="124">
        <v>18813.600000000002</v>
      </c>
      <c r="IB112" s="124">
        <v>20694.960000000003</v>
      </c>
      <c r="IC112" s="124">
        <v>22764.456000000006</v>
      </c>
      <c r="IE112" s="111">
        <v>5119</v>
      </c>
      <c r="IF112" s="124">
        <v>18291</v>
      </c>
      <c r="IG112" s="124">
        <v>20120.100000000002</v>
      </c>
      <c r="IH112" s="124">
        <v>22132.110000000004</v>
      </c>
      <c r="IK112" s="124">
        <v>20120.100000000002</v>
      </c>
      <c r="IL112" s="124">
        <v>22132.110000000004</v>
      </c>
      <c r="IO112" s="124">
        <v>19713.240000000002</v>
      </c>
      <c r="IP112" s="124">
        <v>21684.564000000002</v>
      </c>
      <c r="IS112" s="160"/>
      <c r="IT112" s="160"/>
      <c r="IU112" s="160"/>
      <c r="IX112" s="124">
        <v>6108.2400000000016</v>
      </c>
      <c r="IY112" s="124">
        <v>19713.240000000002</v>
      </c>
      <c r="IZ112" s="124">
        <v>21684.564000000002</v>
      </c>
      <c r="JA112" s="124">
        <v>23853.020400000005</v>
      </c>
      <c r="JD112" s="124">
        <v>20082.7</v>
      </c>
      <c r="JE112" s="124">
        <v>22492.624000000003</v>
      </c>
      <c r="JH112" s="124">
        <v>19534.990000000002</v>
      </c>
      <c r="JI112" s="124">
        <v>21879.188800000004</v>
      </c>
      <c r="JJ112" s="124">
        <v>24504.691456000008</v>
      </c>
      <c r="JM112" s="124">
        <v>20856.7968</v>
      </c>
      <c r="JN112" s="124">
        <v>23359.612416000004</v>
      </c>
      <c r="JQ112" s="124">
        <v>17709.29</v>
      </c>
      <c r="JR112" s="124">
        <v>18948.940300000002</v>
      </c>
      <c r="JS112" s="124">
        <v>20275.366121000003</v>
      </c>
      <c r="JV112" s="124">
        <v>18990.36</v>
      </c>
      <c r="JW112" s="124">
        <v>20319.685200000004</v>
      </c>
      <c r="JY112" s="124">
        <v>18990.36</v>
      </c>
      <c r="JZ112" s="124">
        <v>20319.685200000004</v>
      </c>
      <c r="KB112" s="124">
        <v>18102.96</v>
      </c>
      <c r="KC112" s="124">
        <v>19370.1672</v>
      </c>
      <c r="KD112" s="124">
        <v>20726.078904000002</v>
      </c>
    </row>
    <row r="113" spans="2:290" hidden="1" x14ac:dyDescent="0.25">
      <c r="B113" s="6" t="s">
        <v>226</v>
      </c>
      <c r="C113" s="136"/>
      <c r="D113" s="136"/>
      <c r="E113" s="136"/>
      <c r="F113" s="136"/>
      <c r="G113" s="136"/>
      <c r="H113" s="132"/>
      <c r="I113" s="158"/>
      <c r="J113" s="158"/>
      <c r="K113" s="158"/>
      <c r="L113" s="158"/>
      <c r="M113" s="132"/>
      <c r="N113" s="158"/>
      <c r="O113" s="158"/>
      <c r="P113" s="158"/>
      <c r="Q113" s="158"/>
      <c r="R113" s="132"/>
      <c r="S113" s="158"/>
      <c r="T113" s="158"/>
      <c r="U113" s="158"/>
      <c r="V113" s="158"/>
      <c r="W113" s="132"/>
      <c r="X113" s="158"/>
      <c r="Y113" s="158"/>
      <c r="Z113" s="158"/>
      <c r="AA113" s="158"/>
      <c r="AB113" s="132"/>
      <c r="AC113" s="158"/>
      <c r="AD113" s="158"/>
      <c r="AE113" s="158"/>
      <c r="AF113" s="158"/>
      <c r="AG113" s="132"/>
      <c r="AH113" s="158"/>
      <c r="AI113" s="158"/>
      <c r="AJ113" s="158"/>
      <c r="AK113" s="132"/>
      <c r="AL113" s="158"/>
      <c r="AM113" s="158"/>
      <c r="AN113" s="158"/>
      <c r="AO113" s="158"/>
      <c r="AP113" s="132"/>
      <c r="AQ113" s="158"/>
      <c r="AR113" s="158"/>
      <c r="AS113" s="158"/>
      <c r="AT113" s="158"/>
      <c r="AU113" s="132"/>
      <c r="AV113" s="137"/>
      <c r="AW113" s="137"/>
      <c r="AX113" s="137"/>
      <c r="AY113" s="137"/>
      <c r="AZ113" s="132"/>
      <c r="BA113" s="137"/>
      <c r="BB113" s="137"/>
      <c r="BC113" s="137"/>
      <c r="BD113" s="137"/>
      <c r="BE113" s="132"/>
      <c r="BF113" s="137"/>
      <c r="BG113" s="137"/>
      <c r="BH113" s="137"/>
      <c r="BI113" s="137"/>
      <c r="BJ113" s="132"/>
      <c r="BK113" s="137"/>
      <c r="BL113" s="137"/>
      <c r="BM113" s="137"/>
      <c r="BN113" s="137"/>
      <c r="BO113" s="132"/>
      <c r="BP113" s="137"/>
      <c r="BQ113" s="137"/>
      <c r="BR113" s="137"/>
      <c r="BS113" s="137"/>
      <c r="BT113" s="132"/>
      <c r="BU113" s="137"/>
      <c r="BV113" s="137"/>
      <c r="BW113" s="137"/>
      <c r="BX113" s="137"/>
      <c r="BY113" s="132"/>
      <c r="BZ113" s="137"/>
      <c r="CA113" s="137"/>
      <c r="CB113" s="137"/>
      <c r="CC113" s="137"/>
      <c r="CD113" s="132"/>
      <c r="CE113" s="137"/>
      <c r="CF113" s="137"/>
      <c r="CG113" s="137"/>
      <c r="CH113" s="137"/>
      <c r="CI113" s="132">
        <v>5000</v>
      </c>
      <c r="CJ113" s="132">
        <v>5000</v>
      </c>
      <c r="CK113" s="132">
        <v>5000</v>
      </c>
      <c r="CL113" s="132"/>
      <c r="CM113" s="132"/>
      <c r="CN113" s="132"/>
      <c r="CO113" s="137"/>
      <c r="CP113" s="137"/>
      <c r="CQ113" s="6"/>
      <c r="CR113" s="6"/>
      <c r="CS113" s="6"/>
      <c r="CT113" s="124"/>
      <c r="CU113" s="124"/>
      <c r="CV113" s="124"/>
      <c r="CW113" s="124"/>
      <c r="CX113" s="124"/>
      <c r="CY113" s="124"/>
      <c r="CZ113" s="124"/>
      <c r="DA113" s="124"/>
      <c r="DB113" s="124"/>
      <c r="DC113" s="124"/>
      <c r="DD113" s="124"/>
      <c r="DE113" s="124"/>
      <c r="DF113" s="124"/>
      <c r="DG113" s="124"/>
      <c r="DH113" s="124"/>
      <c r="DI113" s="124"/>
      <c r="DK113" s="124"/>
      <c r="DL113" s="124"/>
      <c r="DM113" s="6"/>
      <c r="DN113" s="124"/>
      <c r="DO113" s="124"/>
      <c r="DQ113" s="136"/>
      <c r="DR113" s="124"/>
      <c r="DS113" s="124"/>
      <c r="DT113" s="124"/>
      <c r="DV113" s="124"/>
      <c r="DW113" s="124"/>
      <c r="DX113" s="124"/>
      <c r="EA113" s="111"/>
      <c r="EB113" s="111"/>
      <c r="EC113" s="111"/>
      <c r="ED113" s="124"/>
      <c r="EE113" s="124"/>
      <c r="EF113" s="124"/>
      <c r="EJ113" s="111"/>
      <c r="EK113" s="111"/>
      <c r="EL113" s="124"/>
      <c r="EM113" s="124"/>
      <c r="EN113" s="124"/>
      <c r="EP113" s="111"/>
      <c r="EQ113" s="124"/>
      <c r="ER113" s="124"/>
      <c r="ES113" s="124"/>
      <c r="EV113" s="111"/>
      <c r="EW113" s="111"/>
      <c r="EX113" s="111"/>
      <c r="EY113" s="111"/>
      <c r="EZ113" s="124"/>
      <c r="FA113" s="124"/>
      <c r="FD113" s="111"/>
      <c r="FE113" s="111"/>
      <c r="FF113" s="111"/>
      <c r="FG113" s="124"/>
      <c r="FH113" s="124"/>
      <c r="FK113" s="124"/>
      <c r="FL113" s="124"/>
      <c r="FO113" s="111"/>
      <c r="FP113" s="111"/>
      <c r="FQ113" s="124"/>
      <c r="FR113" s="124"/>
      <c r="FU113" s="111"/>
      <c r="FV113" s="124"/>
      <c r="FW113" s="124"/>
      <c r="FX113" s="124"/>
      <c r="FY113" s="124"/>
      <c r="GA113" s="124"/>
      <c r="GB113" s="124"/>
      <c r="GC113" s="124"/>
      <c r="GF113" s="111"/>
      <c r="GG113" s="111"/>
      <c r="GH113" s="111"/>
      <c r="GI113" s="124"/>
      <c r="GJ113" s="124"/>
      <c r="GK113" s="124"/>
      <c r="GN113" s="111"/>
      <c r="GO113" s="111"/>
      <c r="GP113" s="124"/>
      <c r="GQ113" s="124"/>
      <c r="GR113" s="124"/>
      <c r="GV113" s="111"/>
      <c r="GW113" s="124"/>
      <c r="GX113" s="124"/>
      <c r="GY113" s="124"/>
      <c r="HC113" s="124"/>
      <c r="HD113" s="124"/>
      <c r="HE113" s="124"/>
      <c r="HF113" s="124"/>
      <c r="HI113" s="111"/>
      <c r="HJ113" s="111"/>
      <c r="HK113" s="111"/>
      <c r="HL113" s="111"/>
      <c r="HM113" s="124"/>
      <c r="HN113" s="124"/>
      <c r="HO113" s="124"/>
      <c r="HR113" s="111"/>
      <c r="HS113" s="111"/>
      <c r="HT113" s="111"/>
      <c r="HU113" s="124"/>
      <c r="HV113" s="124"/>
      <c r="HW113" s="124"/>
      <c r="HZ113" s="111"/>
      <c r="IA113" s="124"/>
      <c r="IB113" s="124"/>
      <c r="IC113" s="124"/>
      <c r="IE113" s="111"/>
      <c r="IF113" s="124"/>
      <c r="IG113" s="124"/>
      <c r="IH113" s="124"/>
      <c r="IK113" s="124"/>
      <c r="IL113" s="124"/>
      <c r="IO113" s="124"/>
      <c r="IP113" s="124"/>
      <c r="IS113" s="160"/>
      <c r="IT113" s="160"/>
      <c r="IU113" s="160"/>
      <c r="IX113" s="124"/>
      <c r="IY113" s="124"/>
      <c r="IZ113" s="124"/>
      <c r="JA113" s="124"/>
      <c r="JD113" s="124"/>
      <c r="JE113" s="124"/>
      <c r="JH113" s="124"/>
      <c r="JI113" s="124"/>
      <c r="JJ113" s="124"/>
      <c r="JM113" s="124"/>
      <c r="JN113" s="124"/>
      <c r="JQ113" s="124"/>
      <c r="JR113" s="124"/>
      <c r="JS113" s="124"/>
      <c r="JV113" s="124"/>
      <c r="JW113" s="124"/>
      <c r="JY113" s="124"/>
      <c r="JZ113" s="124"/>
      <c r="KB113" s="124"/>
      <c r="KC113" s="124"/>
      <c r="KD113" s="124"/>
    </row>
    <row r="114" spans="2:290" s="60" customFormat="1" hidden="1" x14ac:dyDescent="0.25">
      <c r="B114" s="58" t="s">
        <v>221</v>
      </c>
      <c r="C114" s="4"/>
      <c r="D114" s="4"/>
      <c r="E114" s="4"/>
      <c r="F114" s="4"/>
      <c r="G114" s="4"/>
      <c r="H114" s="145"/>
      <c r="I114" s="156"/>
      <c r="J114" s="156"/>
      <c r="K114" s="156"/>
      <c r="L114" s="156"/>
      <c r="M114" s="145"/>
      <c r="N114" s="156"/>
      <c r="O114" s="156"/>
      <c r="P114" s="156"/>
      <c r="Q114" s="156"/>
      <c r="R114" s="145"/>
      <c r="S114" s="156"/>
      <c r="T114" s="156"/>
      <c r="U114" s="156"/>
      <c r="V114" s="156"/>
      <c r="W114" s="145"/>
      <c r="X114" s="156"/>
      <c r="Y114" s="156"/>
      <c r="Z114" s="156"/>
      <c r="AA114" s="156"/>
      <c r="AB114" s="145"/>
      <c r="AC114" s="156"/>
      <c r="AD114" s="156"/>
      <c r="AE114" s="156"/>
      <c r="AF114" s="156"/>
      <c r="AG114" s="145"/>
      <c r="AH114" s="156"/>
      <c r="AI114" s="156"/>
      <c r="AJ114" s="156"/>
      <c r="AK114" s="145"/>
      <c r="AL114" s="156"/>
      <c r="AM114" s="156"/>
      <c r="AN114" s="156"/>
      <c r="AO114" s="156"/>
      <c r="AP114" s="145"/>
      <c r="AQ114" s="156"/>
      <c r="AR114" s="156"/>
      <c r="AS114" s="156"/>
      <c r="AT114" s="156"/>
      <c r="AU114" s="145"/>
      <c r="AV114" s="156"/>
      <c r="AW114" s="156"/>
      <c r="AX114" s="156"/>
      <c r="AY114" s="156"/>
      <c r="AZ114" s="145"/>
      <c r="BA114" s="156"/>
      <c r="BB114" s="156"/>
      <c r="BC114" s="156"/>
      <c r="BD114" s="156"/>
      <c r="BE114" s="145"/>
      <c r="BF114" s="156"/>
      <c r="BG114" s="156"/>
      <c r="BH114" s="156"/>
      <c r="BI114" s="156"/>
      <c r="BJ114" s="145">
        <f>SUM(BJ109:BJ112)</f>
        <v>697873</v>
      </c>
      <c r="BK114" s="156"/>
      <c r="BL114" s="156"/>
      <c r="BM114" s="156"/>
      <c r="BN114" s="156"/>
      <c r="BO114" s="145">
        <f>SUM(BO109:BO112)</f>
        <v>725709</v>
      </c>
      <c r="BP114" s="156"/>
      <c r="BQ114" s="156"/>
      <c r="BR114" s="156"/>
      <c r="BS114" s="156"/>
      <c r="BT114" s="145">
        <f>SUM(BT109:BT112)</f>
        <v>806922</v>
      </c>
      <c r="BU114" s="156"/>
      <c r="BV114" s="156"/>
      <c r="BW114" s="156"/>
      <c r="BX114" s="156"/>
      <c r="BY114" s="145">
        <f>SUM(BY109:BY112)</f>
        <v>951998</v>
      </c>
      <c r="BZ114" s="156"/>
      <c r="CA114" s="156"/>
      <c r="CB114" s="156"/>
      <c r="CC114" s="156"/>
      <c r="CD114" s="145">
        <f>SUM(CD109:CD112)</f>
        <v>1091752</v>
      </c>
      <c r="CE114" s="156"/>
      <c r="CF114" s="156"/>
      <c r="CG114" s="156"/>
      <c r="CH114" s="156"/>
      <c r="CI114" s="145">
        <f>SUM(CI109:CI113)</f>
        <v>1242965</v>
      </c>
      <c r="CJ114" s="145">
        <f t="shared" ref="CJ114" si="189">SUM(CJ109:CJ113)</f>
        <v>1352965</v>
      </c>
      <c r="CK114" s="145">
        <f>SUM(CK109:CK113)+50000</f>
        <v>1502965</v>
      </c>
      <c r="CL114" s="145">
        <f>CK114+150000+50000</f>
        <v>1702965</v>
      </c>
      <c r="CM114" s="145">
        <f>CL114+100000+50000</f>
        <v>1852965</v>
      </c>
      <c r="CN114" s="145">
        <f>CM114+100000+50000</f>
        <v>2002965</v>
      </c>
      <c r="CO114" s="148"/>
      <c r="CP114" s="148"/>
      <c r="CQ114" s="58"/>
      <c r="CR114" s="58"/>
      <c r="CS114" s="58">
        <v>14.31</v>
      </c>
      <c r="CT114" s="143"/>
      <c r="CU114" s="143"/>
      <c r="CV114" s="143"/>
      <c r="CW114" s="143"/>
      <c r="CX114" s="143"/>
      <c r="CY114" s="143"/>
      <c r="CZ114" s="143"/>
      <c r="DA114" s="143"/>
      <c r="DB114" s="143"/>
      <c r="DC114" s="143"/>
      <c r="DD114" s="143"/>
      <c r="DE114" s="143"/>
      <c r="DF114" s="143"/>
      <c r="DG114" s="143"/>
      <c r="DH114" s="143"/>
      <c r="DI114" s="143"/>
      <c r="DK114" s="143"/>
      <c r="DL114" s="143"/>
      <c r="DM114" s="58"/>
      <c r="DN114" s="143"/>
      <c r="DO114" s="143"/>
      <c r="DQ114" s="4"/>
      <c r="DR114" s="143"/>
      <c r="DS114" s="143"/>
      <c r="DT114" s="143"/>
      <c r="DV114" s="143"/>
      <c r="DW114" s="143"/>
      <c r="DX114" s="143"/>
      <c r="EA114" s="119"/>
      <c r="EB114" s="119"/>
      <c r="EC114" s="119"/>
      <c r="ED114" s="143"/>
      <c r="EE114" s="143"/>
      <c r="EF114" s="143"/>
      <c r="EJ114" s="119">
        <v>106410.70000000001</v>
      </c>
      <c r="EK114" s="119">
        <v>118804.90000000002</v>
      </c>
      <c r="EL114" s="143">
        <v>408293.60000000003</v>
      </c>
      <c r="EM114" s="143">
        <v>449122.96000000008</v>
      </c>
      <c r="EN114" s="143">
        <v>494035.25600000011</v>
      </c>
      <c r="EP114" s="119">
        <v>111242.44</v>
      </c>
      <c r="EQ114" s="143">
        <v>395302.44</v>
      </c>
      <c r="ER114" s="143">
        <v>442738.73280000006</v>
      </c>
      <c r="ES114" s="143">
        <v>487012.60608000011</v>
      </c>
      <c r="EV114" s="119">
        <v>113428</v>
      </c>
      <c r="EW114" s="119">
        <v>91490.3</v>
      </c>
      <c r="EX114" s="119">
        <v>111080.20000000001</v>
      </c>
      <c r="EY114" s="119">
        <v>125409.90000000001</v>
      </c>
      <c r="EZ114" s="143">
        <v>437781.30000000005</v>
      </c>
      <c r="FA114" s="143">
        <v>481559.43000000011</v>
      </c>
      <c r="FD114" s="119">
        <v>91490.3</v>
      </c>
      <c r="FE114" s="119">
        <v>111080.20000000001</v>
      </c>
      <c r="FF114" s="119">
        <v>125409.90000000001</v>
      </c>
      <c r="FG114" s="143">
        <v>437781.30000000005</v>
      </c>
      <c r="FH114" s="143">
        <v>481559.43000000011</v>
      </c>
      <c r="FK114" s="143">
        <v>437781.30000000005</v>
      </c>
      <c r="FL114" s="143">
        <v>481559.43000000011</v>
      </c>
      <c r="FO114" s="119">
        <v>108876.03000000001</v>
      </c>
      <c r="FP114" s="119">
        <v>125172.05999999995</v>
      </c>
      <c r="FQ114" s="143">
        <v>440976.08999999997</v>
      </c>
      <c r="FR114" s="143">
        <v>499448.88669999992</v>
      </c>
      <c r="FU114" s="119">
        <v>107624.76000000001</v>
      </c>
      <c r="FV114" s="143">
        <v>415945.76</v>
      </c>
      <c r="FW114" s="143">
        <v>361578.47320000001</v>
      </c>
      <c r="FX114" s="143">
        <v>401722.11182400002</v>
      </c>
      <c r="FY114" s="143">
        <v>446421.66657528013</v>
      </c>
      <c r="GA114" s="143">
        <v>360898.54</v>
      </c>
      <c r="GB114" s="143">
        <v>409742.82199999993</v>
      </c>
      <c r="GC114" s="143">
        <v>455921.97857000004</v>
      </c>
      <c r="GF114" s="119">
        <v>89760</v>
      </c>
      <c r="GG114" s="119">
        <v>101393</v>
      </c>
      <c r="GH114" s="119">
        <v>106034.10999999999</v>
      </c>
      <c r="GI114" s="143">
        <v>388638.11</v>
      </c>
      <c r="GJ114" s="143">
        <v>461629.80370000005</v>
      </c>
      <c r="GK114" s="143">
        <v>513651.19609900005</v>
      </c>
      <c r="GN114" s="119">
        <v>108490.51000000001</v>
      </c>
      <c r="GO114" s="119">
        <v>116317.68999999994</v>
      </c>
      <c r="GP114" s="143">
        <v>411095.19999999995</v>
      </c>
      <c r="GQ114" s="143">
        <v>487581.75280000007</v>
      </c>
      <c r="GR114" s="143">
        <v>542283.51140600012</v>
      </c>
      <c r="GV114" s="119">
        <v>114488</v>
      </c>
      <c r="GW114" s="143">
        <v>412359</v>
      </c>
      <c r="GX114" s="143">
        <v>471884.63620000001</v>
      </c>
      <c r="GY114" s="143">
        <v>541174.98384999996</v>
      </c>
      <c r="HC114" s="143">
        <v>121311.43000000005</v>
      </c>
      <c r="HD114" s="143">
        <v>386612.43000000005</v>
      </c>
      <c r="HE114" s="143">
        <v>448903.80195000005</v>
      </c>
      <c r="HF114" s="143">
        <v>496846.2226995001</v>
      </c>
      <c r="HI114" s="119">
        <v>118505.93</v>
      </c>
      <c r="HJ114" s="119">
        <v>110854.79</v>
      </c>
      <c r="HK114" s="119">
        <v>113780.33</v>
      </c>
      <c r="HL114" s="119">
        <v>134928.56</v>
      </c>
      <c r="HM114" s="143">
        <v>478069.61</v>
      </c>
      <c r="HN114" s="143">
        <v>529277.82900000003</v>
      </c>
      <c r="HO114" s="143">
        <v>574654.81914000015</v>
      </c>
      <c r="HR114" s="119">
        <v>110854.79</v>
      </c>
      <c r="HS114" s="119">
        <v>113780.33</v>
      </c>
      <c r="HT114" s="119">
        <v>144512.49</v>
      </c>
      <c r="HU114" s="143">
        <v>478069.61</v>
      </c>
      <c r="HV114" s="143">
        <v>529277.82900000003</v>
      </c>
      <c r="HW114" s="143">
        <v>574654.81914000015</v>
      </c>
      <c r="HZ114" s="119">
        <v>113780.33</v>
      </c>
      <c r="IA114" s="143">
        <v>478085.05999999994</v>
      </c>
      <c r="IB114" s="143">
        <v>529294.82400000002</v>
      </c>
      <c r="IC114" s="143">
        <v>574673.51364000002</v>
      </c>
      <c r="IE114" s="119">
        <v>146751.29999999996</v>
      </c>
      <c r="IF114" s="143">
        <v>505838.29999999993</v>
      </c>
      <c r="IG114" s="143">
        <v>560152.5419999999</v>
      </c>
      <c r="IH114" s="143">
        <v>607886.28156000003</v>
      </c>
      <c r="IK114" s="143">
        <v>560152.5419999999</v>
      </c>
      <c r="IL114" s="143">
        <v>607886.28156000003</v>
      </c>
      <c r="IO114" s="143">
        <v>606673.34</v>
      </c>
      <c r="IP114" s="143">
        <v>676491.79640000011</v>
      </c>
      <c r="IS114" s="157">
        <v>463181.80999999994</v>
      </c>
      <c r="IT114" s="157">
        <v>537290.89959999989</v>
      </c>
      <c r="IU114" s="157">
        <v>623257.44353599986</v>
      </c>
      <c r="IX114" s="143">
        <v>188996.14</v>
      </c>
      <c r="IY114" s="143">
        <v>633328.14</v>
      </c>
      <c r="IZ114" s="143">
        <v>725914.5419999999</v>
      </c>
      <c r="JA114" s="143">
        <v>832440.15827999986</v>
      </c>
      <c r="JD114" s="143">
        <v>778821.24999999988</v>
      </c>
      <c r="JE114" s="143">
        <v>923667.054</v>
      </c>
      <c r="JH114" s="143">
        <v>774660.25</v>
      </c>
      <c r="JI114" s="143">
        <v>918971.6298</v>
      </c>
      <c r="JJ114" s="143">
        <v>1051793.2703760001</v>
      </c>
      <c r="JM114" s="143">
        <v>845063.14159999997</v>
      </c>
      <c r="JN114" s="143">
        <v>966689.11494799994</v>
      </c>
      <c r="JQ114" s="143">
        <v>682551.5</v>
      </c>
      <c r="JR114" s="143">
        <v>763571.10070000018</v>
      </c>
      <c r="JS114" s="143">
        <v>852835.0900890003</v>
      </c>
      <c r="JV114" s="143">
        <v>754505.50000000012</v>
      </c>
      <c r="JW114" s="143">
        <v>842682.65800000005</v>
      </c>
      <c r="JY114" s="143">
        <v>775750.82</v>
      </c>
      <c r="JZ114" s="143">
        <v>866477.41639999987</v>
      </c>
      <c r="KB114" s="143">
        <v>757602.75999999989</v>
      </c>
      <c r="KC114" s="143">
        <v>855323.90520000004</v>
      </c>
      <c r="KD114" s="143">
        <v>966064.67402400018</v>
      </c>
    </row>
    <row r="115" spans="2:290" s="6" customFormat="1" hidden="1" x14ac:dyDescent="0.25">
      <c r="BJ115" s="163">
        <f>BJ114-BE114</f>
        <v>697873</v>
      </c>
      <c r="BO115" s="163">
        <f>BO114-BJ114</f>
        <v>27836</v>
      </c>
      <c r="BP115" s="163"/>
      <c r="BQ115" s="163"/>
      <c r="BR115" s="163"/>
      <c r="BS115" s="163"/>
      <c r="BT115" s="163">
        <f>BT114-BO114</f>
        <v>81213</v>
      </c>
      <c r="BU115" s="163"/>
      <c r="BV115" s="163"/>
      <c r="BW115" s="163"/>
      <c r="BX115" s="163"/>
      <c r="BY115" s="163">
        <f>BY114-BT114</f>
        <v>145076</v>
      </c>
      <c r="BZ115" s="163"/>
      <c r="CA115" s="163"/>
      <c r="CB115" s="163"/>
      <c r="CC115" s="163"/>
      <c r="CD115" s="163">
        <f>CD114-BY114</f>
        <v>139754</v>
      </c>
      <c r="CE115" s="163"/>
      <c r="CF115" s="163"/>
      <c r="CG115" s="163"/>
      <c r="CH115" s="163"/>
      <c r="CI115" s="163">
        <f>CI114-CD114</f>
        <v>151213</v>
      </c>
      <c r="CJ115" s="163">
        <f t="shared" ref="CJ115:CK115" si="190">CJ114-CI114</f>
        <v>110000</v>
      </c>
      <c r="CK115" s="163">
        <f t="shared" si="190"/>
        <v>150000</v>
      </c>
      <c r="CL115" s="163">
        <f>CL114-CK114</f>
        <v>200000</v>
      </c>
      <c r="CM115" s="163">
        <f t="shared" ref="CM115:CN115" si="191">CM114-CL114</f>
        <v>150000</v>
      </c>
      <c r="CN115" s="163">
        <f t="shared" si="191"/>
        <v>150000</v>
      </c>
    </row>
    <row r="116" spans="2:290" s="6" customFormat="1" hidden="1" x14ac:dyDescent="0.25">
      <c r="BJ116" s="163"/>
      <c r="BO116" s="163">
        <f>BO74*10000000/BO115/1000</f>
        <v>167.40911050438282</v>
      </c>
      <c r="BP116" s="163"/>
      <c r="BQ116" s="163"/>
      <c r="BR116" s="163"/>
      <c r="BS116" s="163"/>
      <c r="BT116" s="163">
        <f>BT74*10000000/BT115/1000</f>
        <v>51.962124290446113</v>
      </c>
      <c r="BU116" s="163"/>
      <c r="BV116" s="163"/>
      <c r="BW116" s="163"/>
      <c r="BX116" s="163"/>
      <c r="BY116" s="163">
        <f>BY74*10000000/BY115/1000</f>
        <v>37.704375637596847</v>
      </c>
      <c r="BZ116" s="163"/>
      <c r="CA116" s="163"/>
      <c r="CB116" s="163"/>
      <c r="CC116" s="163"/>
      <c r="CD116" s="163">
        <f>CD74*10000000/CD115/1000</f>
        <v>63.540220673469101</v>
      </c>
      <c r="CE116" s="163"/>
      <c r="CF116" s="163"/>
      <c r="CG116" s="163"/>
      <c r="CH116" s="163"/>
      <c r="CI116" s="163">
        <f>CI74*10000000/CI115/1000</f>
        <v>53.434559197952559</v>
      </c>
      <c r="CJ116" s="163"/>
      <c r="CK116" s="163"/>
      <c r="CL116" s="163"/>
      <c r="CN116" s="32"/>
    </row>
    <row r="117" spans="2:290" s="6" customFormat="1" hidden="1" x14ac:dyDescent="0.25">
      <c r="BO117" s="163"/>
      <c r="BP117" s="163"/>
      <c r="BQ117" s="163"/>
      <c r="BR117" s="163"/>
      <c r="BS117" s="163"/>
      <c r="BT117" s="163"/>
      <c r="BU117" s="163"/>
      <c r="BV117" s="163"/>
      <c r="BW117" s="163"/>
      <c r="BX117" s="163"/>
      <c r="BY117" s="163"/>
      <c r="BZ117" s="163"/>
      <c r="CA117" s="163"/>
      <c r="CB117" s="163"/>
      <c r="CC117" s="163"/>
      <c r="CD117" s="163"/>
      <c r="CE117" s="163"/>
      <c r="CF117" s="163"/>
      <c r="CG117" s="163"/>
      <c r="CH117" s="163"/>
      <c r="CI117" s="163"/>
      <c r="CJ117" s="163"/>
      <c r="CK117" s="163"/>
      <c r="CN117" s="32"/>
    </row>
    <row r="118" spans="2:290" s="60" customFormat="1" hidden="1" x14ac:dyDescent="0.25">
      <c r="B118" s="58" t="s">
        <v>227</v>
      </c>
      <c r="C118" s="4"/>
      <c r="D118" s="4" t="str">
        <f t="shared" ref="D118:AI118" si="192">D2</f>
        <v>1QFY10</v>
      </c>
      <c r="E118" s="4" t="str">
        <f t="shared" si="192"/>
        <v>2QFY10</v>
      </c>
      <c r="F118" s="4" t="str">
        <f t="shared" si="192"/>
        <v>3QFY10</v>
      </c>
      <c r="G118" s="4" t="str">
        <f t="shared" si="192"/>
        <v>4QFY10</v>
      </c>
      <c r="H118" s="145" t="str">
        <f t="shared" si="192"/>
        <v>CY10</v>
      </c>
      <c r="I118" s="156" t="str">
        <f t="shared" si="192"/>
        <v>1QFY11</v>
      </c>
      <c r="J118" s="156" t="str">
        <f t="shared" si="192"/>
        <v>2QFY11</v>
      </c>
      <c r="K118" s="156" t="str">
        <f t="shared" si="192"/>
        <v>3QFY11</v>
      </c>
      <c r="L118" s="156" t="str">
        <f t="shared" si="192"/>
        <v>4QFY11</v>
      </c>
      <c r="M118" s="145" t="str">
        <f t="shared" si="192"/>
        <v>CY11</v>
      </c>
      <c r="N118" s="156" t="str">
        <f t="shared" si="192"/>
        <v>1QFY12</v>
      </c>
      <c r="O118" s="156" t="str">
        <f t="shared" si="192"/>
        <v>2QFY12</v>
      </c>
      <c r="P118" s="156" t="str">
        <f t="shared" si="192"/>
        <v>3QFY12</v>
      </c>
      <c r="Q118" s="156" t="str">
        <f t="shared" si="192"/>
        <v>4QFY12</v>
      </c>
      <c r="R118" s="145" t="str">
        <f t="shared" si="192"/>
        <v>CY12</v>
      </c>
      <c r="S118" s="156" t="str">
        <f t="shared" si="192"/>
        <v>1QFY13</v>
      </c>
      <c r="T118" s="156" t="str">
        <f t="shared" si="192"/>
        <v>2QFY13</v>
      </c>
      <c r="U118" s="156" t="str">
        <f t="shared" si="192"/>
        <v>3QFY13</v>
      </c>
      <c r="V118" s="156" t="str">
        <f t="shared" si="192"/>
        <v>4QFY13</v>
      </c>
      <c r="W118" s="145" t="str">
        <f t="shared" si="192"/>
        <v>CY13</v>
      </c>
      <c r="X118" s="156" t="str">
        <f t="shared" si="192"/>
        <v>1QFY14</v>
      </c>
      <c r="Y118" s="156" t="str">
        <f t="shared" si="192"/>
        <v>2QFY14</v>
      </c>
      <c r="Z118" s="156" t="str">
        <f t="shared" si="192"/>
        <v>3QFY14</v>
      </c>
      <c r="AA118" s="156" t="str">
        <f t="shared" si="192"/>
        <v>4QFY14</v>
      </c>
      <c r="AB118" s="145" t="str">
        <f t="shared" si="192"/>
        <v>CY14</v>
      </c>
      <c r="AC118" s="156" t="str">
        <f t="shared" si="192"/>
        <v>1QFY15</v>
      </c>
      <c r="AD118" s="156" t="str">
        <f t="shared" si="192"/>
        <v>2QFY15</v>
      </c>
      <c r="AE118" s="156" t="str">
        <f t="shared" si="192"/>
        <v>3QFY15</v>
      </c>
      <c r="AF118" s="156" t="str">
        <f t="shared" si="192"/>
        <v>4QFY15</v>
      </c>
      <c r="AG118" s="145" t="str">
        <f t="shared" si="192"/>
        <v>CY15</v>
      </c>
      <c r="AH118" s="156" t="str">
        <f t="shared" si="192"/>
        <v>1QFY16</v>
      </c>
      <c r="AI118" s="156" t="str">
        <f t="shared" si="192"/>
        <v>2QFY16</v>
      </c>
      <c r="AJ118" s="156" t="str">
        <f t="shared" ref="AJ118:BO118" si="193">AJ2</f>
        <v>3QFY16</v>
      </c>
      <c r="AK118" s="145" t="str">
        <f t="shared" si="193"/>
        <v>FY16</v>
      </c>
      <c r="AL118" s="156" t="str">
        <f t="shared" si="193"/>
        <v>1QFY17</v>
      </c>
      <c r="AM118" s="156" t="str">
        <f t="shared" si="193"/>
        <v>2QFY17</v>
      </c>
      <c r="AN118" s="156" t="str">
        <f t="shared" si="193"/>
        <v>3QFY17</v>
      </c>
      <c r="AO118" s="156" t="str">
        <f t="shared" si="193"/>
        <v>4QFY17</v>
      </c>
      <c r="AP118" s="145" t="str">
        <f t="shared" si="193"/>
        <v>FY17</v>
      </c>
      <c r="AQ118" s="156" t="str">
        <f t="shared" si="193"/>
        <v>1QFY18</v>
      </c>
      <c r="AR118" s="156" t="str">
        <f t="shared" si="193"/>
        <v>2QFY18</v>
      </c>
      <c r="AS118" s="156" t="str">
        <f t="shared" si="193"/>
        <v>3QFY18</v>
      </c>
      <c r="AT118" s="156" t="str">
        <f t="shared" si="193"/>
        <v>4QFY18</v>
      </c>
      <c r="AU118" s="145" t="str">
        <f t="shared" si="193"/>
        <v>FY18</v>
      </c>
      <c r="AV118" s="148" t="str">
        <f t="shared" si="193"/>
        <v>1QFY19</v>
      </c>
      <c r="AW118" s="148" t="str">
        <f t="shared" si="193"/>
        <v>2QFY19</v>
      </c>
      <c r="AX118" s="148" t="str">
        <f t="shared" si="193"/>
        <v>3QFY19</v>
      </c>
      <c r="AY118" s="148" t="str">
        <f t="shared" si="193"/>
        <v>4QFY19</v>
      </c>
      <c r="AZ118" s="145" t="str">
        <f t="shared" si="193"/>
        <v>FY19</v>
      </c>
      <c r="BA118" s="148" t="str">
        <f t="shared" si="193"/>
        <v>1QFY20</v>
      </c>
      <c r="BB118" s="148" t="str">
        <f t="shared" si="193"/>
        <v>2QFY20</v>
      </c>
      <c r="BC118" s="148" t="str">
        <f t="shared" si="193"/>
        <v>3QFY20</v>
      </c>
      <c r="BD118" s="148" t="str">
        <f t="shared" si="193"/>
        <v>4QFY20</v>
      </c>
      <c r="BE118" s="145" t="str">
        <f t="shared" si="193"/>
        <v>FY20</v>
      </c>
      <c r="BF118" s="148" t="str">
        <f t="shared" si="193"/>
        <v>1QFY21</v>
      </c>
      <c r="BG118" s="148" t="str">
        <f t="shared" si="193"/>
        <v>2QFY21</v>
      </c>
      <c r="BH118" s="148" t="str">
        <f t="shared" si="193"/>
        <v>3QFY21</v>
      </c>
      <c r="BI118" s="148" t="str">
        <f t="shared" si="193"/>
        <v>4QFY21</v>
      </c>
      <c r="BJ118" s="145" t="str">
        <f t="shared" si="193"/>
        <v>FY21</v>
      </c>
      <c r="BK118" s="148" t="str">
        <f t="shared" si="193"/>
        <v>1QFY22</v>
      </c>
      <c r="BL118" s="148" t="str">
        <f t="shared" si="193"/>
        <v>2QFY22</v>
      </c>
      <c r="BM118" s="148" t="str">
        <f t="shared" si="193"/>
        <v>3QFY22</v>
      </c>
      <c r="BN118" s="148" t="str">
        <f t="shared" si="193"/>
        <v>4QFY22</v>
      </c>
      <c r="BO118" s="145" t="str">
        <f t="shared" si="193"/>
        <v>FY22</v>
      </c>
      <c r="BP118" s="148" t="str">
        <f t="shared" ref="BP118:CN118" si="194">BP2</f>
        <v>1QFY23</v>
      </c>
      <c r="BQ118" s="148" t="str">
        <f t="shared" si="194"/>
        <v>2QFY23</v>
      </c>
      <c r="BR118" s="148" t="str">
        <f t="shared" si="194"/>
        <v>3QFY23</v>
      </c>
      <c r="BS118" s="148" t="str">
        <f t="shared" si="194"/>
        <v>4QFY23</v>
      </c>
      <c r="BT118" s="145" t="str">
        <f t="shared" si="194"/>
        <v>FY23</v>
      </c>
      <c r="BU118" s="148" t="str">
        <f t="shared" si="194"/>
        <v>1QFY24</v>
      </c>
      <c r="BV118" s="148" t="str">
        <f t="shared" si="194"/>
        <v>2QFY24</v>
      </c>
      <c r="BW118" s="148" t="str">
        <f t="shared" si="194"/>
        <v>3QFY24</v>
      </c>
      <c r="BX118" s="148" t="str">
        <f t="shared" si="194"/>
        <v>4QFY24</v>
      </c>
      <c r="BY118" s="145" t="str">
        <f t="shared" si="194"/>
        <v>FY24</v>
      </c>
      <c r="BZ118" s="148" t="str">
        <f t="shared" si="194"/>
        <v>1QFY25</v>
      </c>
      <c r="CA118" s="148" t="str">
        <f t="shared" si="194"/>
        <v>2QFY25</v>
      </c>
      <c r="CB118" s="148" t="str">
        <f t="shared" si="194"/>
        <v>3QFY25</v>
      </c>
      <c r="CC118" s="148" t="str">
        <f t="shared" si="194"/>
        <v>4QFY25</v>
      </c>
      <c r="CD118" s="145" t="str">
        <f t="shared" si="194"/>
        <v>FY25</v>
      </c>
      <c r="CE118" s="148" t="str">
        <f t="shared" si="194"/>
        <v>1QFY26</v>
      </c>
      <c r="CF118" s="148" t="str">
        <f t="shared" si="194"/>
        <v>2QFY26</v>
      </c>
      <c r="CG118" s="148" t="str">
        <f t="shared" si="194"/>
        <v>3QFY26</v>
      </c>
      <c r="CH118" s="148" t="str">
        <f t="shared" si="194"/>
        <v>4QFY26</v>
      </c>
      <c r="CI118" s="145" t="str">
        <f t="shared" si="194"/>
        <v>FY26</v>
      </c>
      <c r="CJ118" s="145" t="str">
        <f t="shared" si="194"/>
        <v>FY27E</v>
      </c>
      <c r="CK118" s="145" t="str">
        <f t="shared" si="194"/>
        <v>FY28E</v>
      </c>
      <c r="CL118" s="145" t="str">
        <f t="shared" si="194"/>
        <v>FY29E</v>
      </c>
      <c r="CM118" s="145" t="str">
        <f t="shared" si="194"/>
        <v>FY30E</v>
      </c>
      <c r="CN118" s="145" t="str">
        <f t="shared" si="194"/>
        <v>FY31E</v>
      </c>
      <c r="CO118" s="148"/>
      <c r="CP118" s="148"/>
      <c r="CQ118" s="58"/>
      <c r="CR118" s="58"/>
      <c r="CS118" s="58"/>
      <c r="CT118" s="143"/>
      <c r="CU118" s="143"/>
      <c r="CV118" s="143"/>
      <c r="CW118" s="143"/>
      <c r="CX118" s="143"/>
      <c r="CY118" s="143"/>
      <c r="CZ118" s="143"/>
      <c r="DA118" s="143"/>
      <c r="DB118" s="143"/>
      <c r="DC118" s="143"/>
      <c r="DD118" s="143"/>
      <c r="DE118" s="143"/>
      <c r="DF118" s="143"/>
      <c r="DG118" s="143"/>
      <c r="DH118" s="143"/>
      <c r="DI118" s="143"/>
      <c r="DK118" s="143"/>
      <c r="DL118" s="143"/>
      <c r="DM118" s="58"/>
      <c r="DN118" s="143"/>
      <c r="DO118" s="143"/>
      <c r="DQ118" s="4"/>
      <c r="DR118" s="143"/>
      <c r="DS118" s="143"/>
      <c r="DT118" s="143"/>
      <c r="DV118" s="143"/>
      <c r="DW118" s="143"/>
      <c r="DX118" s="143"/>
      <c r="EA118" s="119"/>
      <c r="EB118" s="119"/>
      <c r="EC118" s="119"/>
      <c r="ED118" s="143"/>
      <c r="EE118" s="143"/>
      <c r="EF118" s="143"/>
      <c r="EJ118" s="119"/>
      <c r="EK118" s="119"/>
      <c r="EL118" s="143"/>
      <c r="EM118" s="143"/>
      <c r="EN118" s="143"/>
      <c r="EP118" s="119"/>
      <c r="EQ118" s="143"/>
      <c r="ER118" s="143"/>
      <c r="ES118" s="143"/>
      <c r="EV118" s="119"/>
      <c r="EW118" s="119"/>
      <c r="EX118" s="119"/>
      <c r="EY118" s="119"/>
      <c r="EZ118" s="143"/>
      <c r="FA118" s="143"/>
      <c r="FD118" s="119"/>
      <c r="FE118" s="119"/>
      <c r="FF118" s="119"/>
      <c r="FG118" s="143"/>
      <c r="FH118" s="143"/>
      <c r="FK118" s="143"/>
      <c r="FL118" s="143"/>
      <c r="FO118" s="119"/>
      <c r="FP118" s="119"/>
      <c r="FQ118" s="143"/>
      <c r="FR118" s="143"/>
      <c r="FU118" s="119"/>
      <c r="FV118" s="143"/>
      <c r="FW118" s="143"/>
      <c r="FX118" s="143"/>
      <c r="FY118" s="143"/>
      <c r="GA118" s="143"/>
      <c r="GB118" s="143"/>
      <c r="GC118" s="143"/>
      <c r="GF118" s="119"/>
      <c r="GG118" s="119"/>
      <c r="GH118" s="119"/>
      <c r="GI118" s="143"/>
      <c r="GJ118" s="143"/>
      <c r="GK118" s="143"/>
      <c r="GN118" s="119"/>
      <c r="GO118" s="119"/>
      <c r="GP118" s="143"/>
      <c r="GQ118" s="143"/>
      <c r="GR118" s="143"/>
      <c r="GV118" s="119"/>
      <c r="GW118" s="143"/>
      <c r="GX118" s="143"/>
      <c r="GY118" s="143"/>
      <c r="HC118" s="143"/>
      <c r="HD118" s="143"/>
      <c r="HE118" s="143"/>
      <c r="HF118" s="143"/>
      <c r="HI118" s="119"/>
      <c r="HJ118" s="119"/>
      <c r="HK118" s="119"/>
      <c r="HL118" s="119"/>
      <c r="HM118" s="143"/>
      <c r="HN118" s="143"/>
      <c r="HO118" s="143"/>
      <c r="HR118" s="119"/>
      <c r="HS118" s="119"/>
      <c r="HT118" s="119"/>
      <c r="HU118" s="143"/>
      <c r="HV118" s="143"/>
      <c r="HW118" s="143"/>
      <c r="HZ118" s="119"/>
      <c r="IA118" s="143"/>
      <c r="IB118" s="143"/>
      <c r="IC118" s="143"/>
      <c r="IE118" s="119"/>
      <c r="IF118" s="143"/>
      <c r="IG118" s="143"/>
      <c r="IH118" s="143"/>
      <c r="IK118" s="143"/>
      <c r="IL118" s="143"/>
      <c r="IO118" s="143"/>
      <c r="IP118" s="143"/>
      <c r="IS118" s="157"/>
      <c r="IT118" s="157"/>
      <c r="IU118" s="157"/>
      <c r="IX118" s="143"/>
      <c r="IY118" s="143"/>
      <c r="IZ118" s="143"/>
      <c r="JA118" s="143"/>
      <c r="JD118" s="143"/>
      <c r="JE118" s="143"/>
      <c r="JH118" s="143"/>
      <c r="JI118" s="143"/>
      <c r="JJ118" s="143"/>
      <c r="JM118" s="143"/>
      <c r="JN118" s="143"/>
      <c r="JQ118" s="143"/>
      <c r="JR118" s="143"/>
      <c r="JS118" s="143"/>
      <c r="JV118" s="143"/>
      <c r="JW118" s="143"/>
      <c r="JY118" s="143"/>
      <c r="JZ118" s="143"/>
      <c r="KB118" s="143"/>
      <c r="KC118" s="143"/>
      <c r="KD118" s="143"/>
    </row>
    <row r="119" spans="2:290" hidden="1" x14ac:dyDescent="0.25">
      <c r="B119" s="6" t="s">
        <v>222</v>
      </c>
      <c r="C119" s="136"/>
      <c r="D119" s="136"/>
      <c r="E119" s="136"/>
      <c r="F119" s="136"/>
      <c r="G119" s="136"/>
      <c r="H119" s="132"/>
      <c r="I119" s="158"/>
      <c r="J119" s="158"/>
      <c r="K119" s="158"/>
      <c r="L119" s="158"/>
      <c r="M119" s="132"/>
      <c r="N119" s="158"/>
      <c r="O119" s="158"/>
      <c r="P119" s="158"/>
      <c r="Q119" s="158"/>
      <c r="R119" s="132"/>
      <c r="S119" s="158"/>
      <c r="T119" s="158"/>
      <c r="U119" s="158"/>
      <c r="V119" s="158"/>
      <c r="W119" s="132">
        <v>180746</v>
      </c>
      <c r="X119" s="158">
        <v>32337</v>
      </c>
      <c r="Y119" s="158">
        <v>42388</v>
      </c>
      <c r="Z119" s="158">
        <v>50521</v>
      </c>
      <c r="AA119" s="158">
        <v>62705</v>
      </c>
      <c r="AB119" s="132">
        <v>187951</v>
      </c>
      <c r="AC119" s="158">
        <v>30086</v>
      </c>
      <c r="AD119" s="158">
        <v>47675</v>
      </c>
      <c r="AE119" s="158">
        <v>59714</v>
      </c>
      <c r="AF119" s="158">
        <v>66789</v>
      </c>
      <c r="AG119" s="132">
        <v>204264</v>
      </c>
      <c r="AH119" s="158">
        <v>37867</v>
      </c>
      <c r="AI119" s="158">
        <v>49714</v>
      </c>
      <c r="AJ119" s="158">
        <v>75450</v>
      </c>
      <c r="AK119" s="132">
        <v>163031</v>
      </c>
      <c r="AL119" s="158">
        <v>70872</v>
      </c>
      <c r="AM119" s="158">
        <v>45266</v>
      </c>
      <c r="AN119" s="158">
        <v>51570</v>
      </c>
      <c r="AO119" s="158">
        <f>AP119-AL119-AM119-AN119</f>
        <v>67549</v>
      </c>
      <c r="AP119" s="132">
        <v>235257</v>
      </c>
      <c r="AQ119" s="158">
        <v>66149</v>
      </c>
      <c r="AR119" s="158">
        <v>52967</v>
      </c>
      <c r="AS119" s="158">
        <v>64435</v>
      </c>
      <c r="AT119" s="158">
        <f>AU119-AQ119-AR119-AS119</f>
        <v>72779</v>
      </c>
      <c r="AU119" s="132">
        <v>256330</v>
      </c>
      <c r="AV119" s="137">
        <v>69619</v>
      </c>
      <c r="AW119" s="137">
        <v>56627</v>
      </c>
      <c r="AX119" s="137">
        <v>70026</v>
      </c>
      <c r="AY119" s="137">
        <f>AZ119-AV119-AW119-AX119</f>
        <v>83476</v>
      </c>
      <c r="AZ119" s="132">
        <v>279748</v>
      </c>
      <c r="BA119" s="137">
        <v>85214</v>
      </c>
      <c r="BB119" s="137">
        <v>67812</v>
      </c>
      <c r="BC119" s="137">
        <v>70431</v>
      </c>
      <c r="BD119" s="137">
        <f>BE119-BA119-BB119-BC119</f>
        <v>77315</v>
      </c>
      <c r="BE119" s="132">
        <v>300772</v>
      </c>
      <c r="BF119" s="137">
        <v>74992</v>
      </c>
      <c r="BG119" s="137">
        <v>66609</v>
      </c>
      <c r="BH119" s="137">
        <v>76759</v>
      </c>
      <c r="BI119" s="137">
        <f>BJ119-BF119-BG119-BH119</f>
        <v>75997</v>
      </c>
      <c r="BJ119" s="132">
        <v>294357</v>
      </c>
      <c r="BK119" s="137">
        <v>48111</v>
      </c>
      <c r="BL119" s="137">
        <v>72480</v>
      </c>
      <c r="BM119" s="137">
        <v>57197</v>
      </c>
      <c r="BN119" s="137">
        <v>96507</v>
      </c>
      <c r="BO119" s="132">
        <f>SUM(BK119:BN119)</f>
        <v>274295</v>
      </c>
      <c r="BP119" s="137">
        <v>79424</v>
      </c>
      <c r="BQ119" s="137">
        <v>79220</v>
      </c>
      <c r="BR119" s="137">
        <v>104109</v>
      </c>
      <c r="BS119" s="137">
        <v>112293</v>
      </c>
      <c r="BT119" s="132">
        <v>375046</v>
      </c>
      <c r="BU119" s="137">
        <f>117274</f>
        <v>117274</v>
      </c>
      <c r="BV119" s="137">
        <v>102929</v>
      </c>
      <c r="BW119" s="137">
        <v>122003</v>
      </c>
      <c r="BX119" s="137">
        <v>158795</v>
      </c>
      <c r="BY119" s="132">
        <v>501001</v>
      </c>
      <c r="BZ119" s="137">
        <v>140153</v>
      </c>
      <c r="CA119" s="137">
        <v>102238</v>
      </c>
      <c r="CB119" s="137">
        <v>126515</v>
      </c>
      <c r="CC119" s="137">
        <v>162227</v>
      </c>
      <c r="CD119" s="132">
        <v>531133</v>
      </c>
      <c r="CE119" s="137">
        <v>148768</v>
      </c>
      <c r="CF119" s="137">
        <f>119860</f>
        <v>119860</v>
      </c>
      <c r="CG119" s="137">
        <v>146986</v>
      </c>
      <c r="CH119" s="137">
        <v>191873</v>
      </c>
      <c r="CI119" s="132">
        <v>607487</v>
      </c>
      <c r="CJ119" s="132">
        <f t="shared" ref="CJ119:CK122" si="195">CI119*(1+CJ134)</f>
        <v>692535.18</v>
      </c>
      <c r="CK119" s="132">
        <f t="shared" si="195"/>
        <v>803340.8088</v>
      </c>
      <c r="CL119" s="132"/>
      <c r="CM119" s="132"/>
      <c r="CN119" s="132"/>
      <c r="CO119" s="137"/>
      <c r="CP119" s="137"/>
      <c r="CQ119" s="6"/>
      <c r="CR119" s="6"/>
      <c r="CS119" s="6"/>
      <c r="CT119" s="124"/>
      <c r="CU119" s="124"/>
      <c r="CV119" s="124"/>
      <c r="CW119" s="124"/>
      <c r="CX119" s="124"/>
      <c r="CY119" s="124"/>
      <c r="CZ119" s="124"/>
      <c r="DA119" s="124"/>
      <c r="DB119" s="124"/>
      <c r="DC119" s="124"/>
      <c r="DD119" s="124"/>
      <c r="DE119" s="124"/>
      <c r="DF119" s="124"/>
      <c r="DG119" s="124"/>
      <c r="DH119" s="124"/>
      <c r="DI119" s="124"/>
      <c r="DK119" s="124"/>
      <c r="DL119" s="124"/>
      <c r="DM119" s="6"/>
      <c r="DN119" s="124"/>
      <c r="DO119" s="124"/>
      <c r="DQ119" s="136"/>
      <c r="DR119" s="124"/>
      <c r="DS119" s="124"/>
      <c r="DT119" s="124"/>
      <c r="DV119" s="124"/>
      <c r="DW119" s="124"/>
      <c r="DX119" s="124"/>
      <c r="EA119" s="111"/>
      <c r="EB119" s="111"/>
      <c r="EC119" s="111"/>
      <c r="ED119" s="124"/>
      <c r="EE119" s="124"/>
      <c r="EF119" s="124"/>
      <c r="EJ119" s="111"/>
      <c r="EK119" s="111"/>
      <c r="EL119" s="124"/>
      <c r="EM119" s="124"/>
      <c r="EN119" s="124"/>
      <c r="EP119" s="111"/>
      <c r="EQ119" s="124"/>
      <c r="ER119" s="124"/>
      <c r="ES119" s="124"/>
      <c r="EV119" s="111"/>
      <c r="EW119" s="111"/>
      <c r="EX119" s="111"/>
      <c r="EY119" s="111"/>
      <c r="EZ119" s="124"/>
      <c r="FA119" s="124"/>
      <c r="FD119" s="111"/>
      <c r="FE119" s="111"/>
      <c r="FF119" s="111"/>
      <c r="FG119" s="124"/>
      <c r="FH119" s="124"/>
      <c r="FK119" s="124"/>
      <c r="FL119" s="124"/>
      <c r="FO119" s="111">
        <v>77028.600000000006</v>
      </c>
      <c r="FP119" s="111">
        <v>91655.599999999948</v>
      </c>
      <c r="FQ119" s="124">
        <v>321710.19999999995</v>
      </c>
      <c r="FR119" s="124">
        <v>369966.72999999992</v>
      </c>
      <c r="FU119" s="111">
        <v>78670.840000000026</v>
      </c>
      <c r="FV119" s="124">
        <v>302127.84000000003</v>
      </c>
      <c r="FW119" s="124">
        <v>265872.49920000002</v>
      </c>
      <c r="FX119" s="124">
        <v>297777.19910400006</v>
      </c>
      <c r="FY119" s="124">
        <v>333510.46299648011</v>
      </c>
      <c r="GA119" s="124">
        <v>276710.24</v>
      </c>
      <c r="GB119" s="124">
        <v>318216.77599999995</v>
      </c>
      <c r="GC119" s="124">
        <v>356402.78911999997</v>
      </c>
      <c r="GF119" s="111"/>
      <c r="GG119" s="111"/>
      <c r="GH119" s="111"/>
      <c r="GI119" s="124">
        <v>294756.56</v>
      </c>
      <c r="GJ119" s="124">
        <v>359603.00319999998</v>
      </c>
      <c r="GK119" s="124">
        <v>402755.36358400004</v>
      </c>
      <c r="GN119" s="111"/>
      <c r="GO119" s="111"/>
      <c r="GP119" s="124">
        <v>306787.44</v>
      </c>
      <c r="GQ119" s="124">
        <v>374280.67680000002</v>
      </c>
      <c r="GR119" s="124">
        <v>419194.35801600007</v>
      </c>
      <c r="GV119" s="111">
        <v>79404.27999999997</v>
      </c>
      <c r="GW119" s="124">
        <v>297764.27999999997</v>
      </c>
      <c r="GX119" s="124">
        <v>345406.56479999993</v>
      </c>
      <c r="GY119" s="124">
        <v>397217.54951999988</v>
      </c>
      <c r="HC119" s="124">
        <v>84189.73000000001</v>
      </c>
      <c r="HD119" s="124">
        <v>261977.73</v>
      </c>
      <c r="HE119" s="124">
        <v>305204.05545000004</v>
      </c>
      <c r="HF119" s="124">
        <v>338776.5015495001</v>
      </c>
      <c r="HI119" s="111">
        <v>91681.65</v>
      </c>
      <c r="HJ119" s="111">
        <v>76104</v>
      </c>
      <c r="HK119" s="111">
        <v>74356.100000000006</v>
      </c>
      <c r="HL119" s="111">
        <v>97984.049999999988</v>
      </c>
      <c r="HM119" s="124">
        <v>340125.8</v>
      </c>
      <c r="HN119" s="124">
        <v>377539.63800000004</v>
      </c>
      <c r="HO119" s="124">
        <v>407742.80904000008</v>
      </c>
      <c r="HR119" s="111">
        <v>76104</v>
      </c>
      <c r="HS119" s="111">
        <v>74356.100000000006</v>
      </c>
      <c r="HT119" s="111">
        <v>110241.69999999998</v>
      </c>
      <c r="HU119" s="124">
        <v>340125.8</v>
      </c>
      <c r="HV119" s="124">
        <v>377539.63800000004</v>
      </c>
      <c r="HW119" s="124">
        <v>407742.80904000008</v>
      </c>
      <c r="HZ119" s="111">
        <v>74356.100000000006</v>
      </c>
      <c r="IA119" s="124">
        <v>340125.8</v>
      </c>
      <c r="IB119" s="124">
        <v>377539.63800000004</v>
      </c>
      <c r="IC119" s="124">
        <v>407742.80904000008</v>
      </c>
      <c r="IE119" s="111">
        <v>110288.19999999995</v>
      </c>
      <c r="IF119" s="124">
        <v>373041.19999999995</v>
      </c>
      <c r="IG119" s="124">
        <v>414075.73199999996</v>
      </c>
      <c r="IH119" s="124">
        <v>447201.79055999999</v>
      </c>
      <c r="IK119" s="124">
        <v>414075.73199999996</v>
      </c>
      <c r="IL119" s="124">
        <v>447201.79055999999</v>
      </c>
      <c r="IO119" s="124">
        <v>457556.12</v>
      </c>
      <c r="IP119" s="124">
        <v>512462.85440000007</v>
      </c>
      <c r="IS119" s="160">
        <v>62378.299999999996</v>
      </c>
      <c r="IT119" s="160">
        <v>68616.13</v>
      </c>
      <c r="IU119" s="160">
        <v>75477.743000000017</v>
      </c>
      <c r="IX119" s="124">
        <v>145353.79999999999</v>
      </c>
      <c r="IY119" s="124">
        <v>487559.8</v>
      </c>
      <c r="IZ119" s="124">
        <v>565569.3679999999</v>
      </c>
      <c r="JA119" s="124">
        <v>656060.46687999985</v>
      </c>
      <c r="JD119" s="124">
        <v>626251.25</v>
      </c>
      <c r="JE119" s="124">
        <v>751501.5</v>
      </c>
      <c r="JH119" s="124">
        <v>626251.25</v>
      </c>
      <c r="JI119" s="124">
        <v>751501.5</v>
      </c>
      <c r="JJ119" s="124">
        <v>864226.72499999998</v>
      </c>
      <c r="JM119" s="124">
        <v>673946.54519999993</v>
      </c>
      <c r="JN119" s="124">
        <v>775038.52697999985</v>
      </c>
      <c r="JQ119" s="124">
        <v>536071.07000000007</v>
      </c>
      <c r="JR119" s="124">
        <v>600399.59840000013</v>
      </c>
      <c r="JS119" s="124">
        <v>672447.55020800023</v>
      </c>
      <c r="JV119" s="124">
        <v>594868.96000000008</v>
      </c>
      <c r="JW119" s="124">
        <v>666253.23520000011</v>
      </c>
      <c r="JY119" s="124">
        <v>616114.27999999991</v>
      </c>
      <c r="JZ119" s="124">
        <v>690047.99359999993</v>
      </c>
      <c r="KB119" s="124">
        <v>610802.94999999995</v>
      </c>
      <c r="KC119" s="124">
        <v>696315.36300000001</v>
      </c>
      <c r="KD119" s="124">
        <v>793799.51382000011</v>
      </c>
    </row>
    <row r="120" spans="2:290" hidden="1" x14ac:dyDescent="0.25">
      <c r="B120" s="6" t="s">
        <v>223</v>
      </c>
      <c r="C120" s="136"/>
      <c r="D120" s="136"/>
      <c r="E120" s="136"/>
      <c r="F120" s="136"/>
      <c r="G120" s="136"/>
      <c r="H120" s="132"/>
      <c r="I120" s="158"/>
      <c r="J120" s="158"/>
      <c r="K120" s="158"/>
      <c r="L120" s="158"/>
      <c r="M120" s="132"/>
      <c r="N120" s="158"/>
      <c r="O120" s="158"/>
      <c r="P120" s="158"/>
      <c r="Q120" s="158"/>
      <c r="R120" s="132"/>
      <c r="S120" s="158"/>
      <c r="T120" s="158"/>
      <c r="U120" s="158"/>
      <c r="V120" s="158"/>
      <c r="W120" s="132">
        <v>41307</v>
      </c>
      <c r="X120" s="158">
        <v>6915</v>
      </c>
      <c r="Y120" s="158">
        <v>12125</v>
      </c>
      <c r="Z120" s="158">
        <v>8556</v>
      </c>
      <c r="AA120" s="158">
        <v>11120</v>
      </c>
      <c r="AB120" s="132">
        <v>38716</v>
      </c>
      <c r="AC120" s="158">
        <v>7482</v>
      </c>
      <c r="AD120" s="158">
        <v>12836</v>
      </c>
      <c r="AE120" s="158">
        <v>10648</v>
      </c>
      <c r="AF120" s="158">
        <v>13131</v>
      </c>
      <c r="AG120" s="132">
        <v>44097</v>
      </c>
      <c r="AH120" s="158">
        <v>7771</v>
      </c>
      <c r="AI120" s="158">
        <v>14566</v>
      </c>
      <c r="AJ120" s="158">
        <v>10868</v>
      </c>
      <c r="AK120" s="132">
        <v>33205</v>
      </c>
      <c r="AL120" s="158">
        <v>11739</v>
      </c>
      <c r="AM120" s="158">
        <v>8299</v>
      </c>
      <c r="AN120" s="158">
        <v>15333</v>
      </c>
      <c r="AO120" s="158">
        <f>AP120-AL120-AM120-AN120</f>
        <v>12245</v>
      </c>
      <c r="AP120" s="132">
        <v>47616</v>
      </c>
      <c r="AQ120" s="158">
        <v>11469</v>
      </c>
      <c r="AR120" s="158">
        <v>10751</v>
      </c>
      <c r="AS120" s="158">
        <v>17486</v>
      </c>
      <c r="AT120" s="158">
        <f>AU120-AQ120-AR120-AS120</f>
        <v>10225</v>
      </c>
      <c r="AU120" s="132">
        <v>49931</v>
      </c>
      <c r="AV120" s="137">
        <v>12647</v>
      </c>
      <c r="AW120" s="137">
        <v>10443</v>
      </c>
      <c r="AX120" s="137">
        <v>15667</v>
      </c>
      <c r="AY120" s="137">
        <f>AZ120-AV120-AW120-AX120</f>
        <v>13527</v>
      </c>
      <c r="AZ120" s="132">
        <v>52284</v>
      </c>
      <c r="BA120" s="137">
        <v>12745</v>
      </c>
      <c r="BB120" s="137">
        <v>11062</v>
      </c>
      <c r="BC120" s="137">
        <v>16399</v>
      </c>
      <c r="BD120" s="137">
        <f>BE120-BA120-BB120-BC120</f>
        <v>11147</v>
      </c>
      <c r="BE120" s="132">
        <v>51353</v>
      </c>
      <c r="BF120" s="137">
        <v>10182</v>
      </c>
      <c r="BG120" s="137">
        <v>12239</v>
      </c>
      <c r="BH120" s="137">
        <v>16785</v>
      </c>
      <c r="BI120" s="137">
        <f>BJ120-BF120-BG120-BH120</f>
        <v>15627</v>
      </c>
      <c r="BJ120" s="132">
        <v>54833</v>
      </c>
      <c r="BK120" s="137">
        <v>11532</v>
      </c>
      <c r="BL120" s="137">
        <v>12905</v>
      </c>
      <c r="BM120" s="137">
        <v>16594</v>
      </c>
      <c r="BN120" s="137">
        <v>13131</v>
      </c>
      <c r="BO120" s="132">
        <f>SUM(BK120:BN120)</f>
        <v>54162</v>
      </c>
      <c r="BP120" s="137">
        <v>12866</v>
      </c>
      <c r="BQ120" s="137">
        <v>13297</v>
      </c>
      <c r="BR120" s="137">
        <v>14547</v>
      </c>
      <c r="BS120" s="137">
        <v>13532</v>
      </c>
      <c r="BT120" s="132">
        <v>54242</v>
      </c>
      <c r="BU120" s="137">
        <v>13568</v>
      </c>
      <c r="BV120" s="137">
        <v>14890</v>
      </c>
      <c r="BW120" s="137">
        <v>14998</v>
      </c>
      <c r="BX120" s="137">
        <v>15051</v>
      </c>
      <c r="BY120" s="132">
        <v>58507</v>
      </c>
      <c r="BZ120" s="137">
        <v>14717</v>
      </c>
      <c r="CA120" s="137">
        <v>16593</v>
      </c>
      <c r="CB120" s="137">
        <v>16281</v>
      </c>
      <c r="CC120" s="137">
        <v>15812</v>
      </c>
      <c r="CD120" s="132">
        <v>61357</v>
      </c>
      <c r="CE120" s="137">
        <v>14649</v>
      </c>
      <c r="CF120" s="137">
        <v>16263</v>
      </c>
      <c r="CG120" s="137">
        <v>16533</v>
      </c>
      <c r="CH120" s="137">
        <v>16529</v>
      </c>
      <c r="CI120" s="132">
        <v>60558</v>
      </c>
      <c r="CJ120" s="132">
        <f t="shared" si="195"/>
        <v>66613.8</v>
      </c>
      <c r="CK120" s="132">
        <f t="shared" si="195"/>
        <v>73275.180000000008</v>
      </c>
      <c r="CL120" s="132"/>
      <c r="CM120" s="132"/>
      <c r="CN120" s="132"/>
      <c r="CO120" s="137"/>
      <c r="CP120" s="137"/>
      <c r="CQ120" s="6"/>
      <c r="CR120" s="6"/>
      <c r="CS120" s="6"/>
      <c r="CT120" s="124"/>
      <c r="CU120" s="124"/>
      <c r="CV120" s="124"/>
      <c r="CW120" s="124"/>
      <c r="CX120" s="124"/>
      <c r="CY120" s="124"/>
      <c r="CZ120" s="124"/>
      <c r="DA120" s="124"/>
      <c r="DB120" s="124"/>
      <c r="DC120" s="124"/>
      <c r="DD120" s="124"/>
      <c r="DE120" s="124"/>
      <c r="DF120" s="124"/>
      <c r="DG120" s="124"/>
      <c r="DH120" s="124"/>
      <c r="DI120" s="124"/>
      <c r="DK120" s="124"/>
      <c r="DL120" s="124"/>
      <c r="DM120" s="6"/>
      <c r="DN120" s="124"/>
      <c r="DO120" s="124"/>
      <c r="DQ120" s="136"/>
      <c r="DR120" s="124"/>
      <c r="DS120" s="124"/>
      <c r="DT120" s="124"/>
      <c r="DV120" s="124"/>
      <c r="DW120" s="124"/>
      <c r="DX120" s="124"/>
      <c r="EA120" s="111"/>
      <c r="EB120" s="111"/>
      <c r="EC120" s="111"/>
      <c r="ED120" s="124"/>
      <c r="EE120" s="124"/>
      <c r="EF120" s="124"/>
      <c r="EJ120" s="111"/>
      <c r="EK120" s="111"/>
      <c r="EL120" s="124"/>
      <c r="EM120" s="124"/>
      <c r="EN120" s="124"/>
      <c r="EP120" s="111"/>
      <c r="EQ120" s="124"/>
      <c r="ER120" s="124"/>
      <c r="ES120" s="124"/>
      <c r="EV120" s="111"/>
      <c r="EW120" s="111"/>
      <c r="EX120" s="111"/>
      <c r="EY120" s="111"/>
      <c r="EZ120" s="124"/>
      <c r="FA120" s="124"/>
      <c r="FD120" s="111"/>
      <c r="FE120" s="111"/>
      <c r="FF120" s="111"/>
      <c r="FG120" s="124"/>
      <c r="FH120" s="124"/>
      <c r="FK120" s="124"/>
      <c r="FL120" s="124"/>
      <c r="FO120" s="111">
        <v>16450.350000000002</v>
      </c>
      <c r="FP120" s="111">
        <v>14640.850000000002</v>
      </c>
      <c r="FQ120" s="124">
        <v>54898.200000000004</v>
      </c>
      <c r="FR120" s="124">
        <v>60388.020000000011</v>
      </c>
      <c r="FU120" s="111">
        <v>13646.520000000004</v>
      </c>
      <c r="FV120" s="124">
        <v>53852.520000000004</v>
      </c>
      <c r="FW120" s="124">
        <v>45774.642</v>
      </c>
      <c r="FX120" s="124">
        <v>50352.106200000002</v>
      </c>
      <c r="FY120" s="124">
        <v>55387.316820000007</v>
      </c>
      <c r="GA120" s="124">
        <v>43650.049999999996</v>
      </c>
      <c r="GB120" s="124">
        <v>48015.055</v>
      </c>
      <c r="GC120" s="124">
        <v>52816.560500000007</v>
      </c>
      <c r="GF120" s="111"/>
      <c r="GG120" s="111"/>
      <c r="GH120" s="111"/>
      <c r="GI120" s="124">
        <v>46217.700000000004</v>
      </c>
      <c r="GJ120" s="124">
        <v>50839.470000000008</v>
      </c>
      <c r="GK120" s="124">
        <v>55923.417000000016</v>
      </c>
      <c r="GN120" s="111"/>
      <c r="GO120" s="111"/>
      <c r="GP120" s="124">
        <v>49812.409999999996</v>
      </c>
      <c r="GQ120" s="124">
        <v>54793.650999999998</v>
      </c>
      <c r="GR120" s="124">
        <v>60273.016100000001</v>
      </c>
      <c r="GV120" s="111">
        <v>14714.650000000001</v>
      </c>
      <c r="GW120" s="124">
        <v>53920.65</v>
      </c>
      <c r="GX120" s="124">
        <v>59312.715000000004</v>
      </c>
      <c r="GY120" s="124">
        <v>68209.62225</v>
      </c>
      <c r="HC120" s="124">
        <v>17058.650000000001</v>
      </c>
      <c r="HD120" s="124">
        <v>57574.65</v>
      </c>
      <c r="HE120" s="124">
        <v>67938.087</v>
      </c>
      <c r="HF120" s="124">
        <v>74731.895700000008</v>
      </c>
      <c r="HI120" s="111">
        <v>13607.759999999998</v>
      </c>
      <c r="HJ120" s="111">
        <v>14620.199999999999</v>
      </c>
      <c r="HK120" s="111">
        <v>19580.919999999998</v>
      </c>
      <c r="HL120" s="111">
        <v>15494.580000000002</v>
      </c>
      <c r="HM120" s="124">
        <v>63303.46</v>
      </c>
      <c r="HN120" s="124">
        <v>69633.806000000011</v>
      </c>
      <c r="HO120" s="124">
        <v>76597.186600000015</v>
      </c>
      <c r="HR120" s="111">
        <v>14620.199999999999</v>
      </c>
      <c r="HS120" s="111">
        <v>19580.919999999998</v>
      </c>
      <c r="HT120" s="111">
        <v>16236.340000000004</v>
      </c>
      <c r="HU120" s="124">
        <v>63303.46</v>
      </c>
      <c r="HV120" s="124">
        <v>69633.806000000011</v>
      </c>
      <c r="HW120" s="124">
        <v>76597.186600000015</v>
      </c>
      <c r="HZ120" s="111">
        <v>19580.919999999998</v>
      </c>
      <c r="IA120" s="124">
        <v>63911.159999999996</v>
      </c>
      <c r="IB120" s="124">
        <v>70302.275999999998</v>
      </c>
      <c r="IC120" s="124">
        <v>77332.503600000011</v>
      </c>
      <c r="IE120" s="111">
        <v>16160.100000000006</v>
      </c>
      <c r="IF120" s="124">
        <v>56870.100000000006</v>
      </c>
      <c r="IG120" s="124">
        <v>62557.110000000008</v>
      </c>
      <c r="IH120" s="124">
        <v>68812.821000000011</v>
      </c>
      <c r="IK120" s="124">
        <v>62557.110000000008</v>
      </c>
      <c r="IL120" s="124">
        <v>68812.821000000011</v>
      </c>
      <c r="IO120" s="124">
        <v>64547.979999999996</v>
      </c>
      <c r="IP120" s="124">
        <v>71002.778000000006</v>
      </c>
      <c r="IS120" s="160">
        <v>63676.800000000003</v>
      </c>
      <c r="IT120" s="160">
        <v>70044.48000000001</v>
      </c>
      <c r="IU120" s="160">
        <v>77048.928000000014</v>
      </c>
      <c r="IX120" s="124">
        <v>18922.299999999996</v>
      </c>
      <c r="IY120" s="124">
        <v>62378.299999999996</v>
      </c>
      <c r="IZ120" s="124">
        <v>68616.13</v>
      </c>
      <c r="JA120" s="124">
        <v>75477.743000000017</v>
      </c>
      <c r="JD120" s="124">
        <v>64357.700000000004</v>
      </c>
      <c r="JE120" s="124">
        <v>73367.77800000002</v>
      </c>
      <c r="JH120" s="124">
        <v>62602.490000000005</v>
      </c>
      <c r="JI120" s="124">
        <v>71366.838600000017</v>
      </c>
      <c r="JJ120" s="124">
        <v>79930.859232000032</v>
      </c>
      <c r="JM120" s="124">
        <v>76035.697200000024</v>
      </c>
      <c r="JN120" s="124">
        <v>85159.980864000041</v>
      </c>
      <c r="JQ120" s="124">
        <v>64357.700000000004</v>
      </c>
      <c r="JR120" s="124">
        <v>73367.77800000002</v>
      </c>
      <c r="JS120" s="124">
        <v>82171.911360000027</v>
      </c>
      <c r="JV120" s="124">
        <v>69946.98000000001</v>
      </c>
      <c r="JW120" s="124">
        <v>78340.617600000012</v>
      </c>
      <c r="JY120" s="124">
        <v>69946.98000000001</v>
      </c>
      <c r="JZ120" s="124">
        <v>78340.617600000012</v>
      </c>
      <c r="KB120" s="124">
        <v>64424.850000000006</v>
      </c>
      <c r="KC120" s="124">
        <v>70867.335000000006</v>
      </c>
      <c r="KD120" s="124">
        <v>77954.068500000008</v>
      </c>
    </row>
    <row r="121" spans="2:290" hidden="1" x14ac:dyDescent="0.25">
      <c r="B121" s="6" t="s">
        <v>224</v>
      </c>
      <c r="C121" s="136"/>
      <c r="D121" s="136"/>
      <c r="E121" s="136"/>
      <c r="F121" s="136"/>
      <c r="G121" s="136"/>
      <c r="H121" s="132"/>
      <c r="I121" s="158"/>
      <c r="J121" s="158"/>
      <c r="K121" s="158"/>
      <c r="L121" s="158"/>
      <c r="M121" s="132"/>
      <c r="N121" s="158"/>
      <c r="O121" s="158"/>
      <c r="P121" s="158"/>
      <c r="Q121" s="158"/>
      <c r="R121" s="132"/>
      <c r="S121" s="158"/>
      <c r="T121" s="158"/>
      <c r="U121" s="158"/>
      <c r="V121" s="158"/>
      <c r="W121" s="132">
        <v>40033</v>
      </c>
      <c r="X121" s="158">
        <v>7486</v>
      </c>
      <c r="Y121" s="158">
        <v>7747</v>
      </c>
      <c r="Z121" s="158">
        <v>9603</v>
      </c>
      <c r="AA121" s="158">
        <v>8784</v>
      </c>
      <c r="AB121" s="132">
        <v>33620</v>
      </c>
      <c r="AC121" s="158">
        <v>8519</v>
      </c>
      <c r="AD121" s="158">
        <v>8736</v>
      </c>
      <c r="AE121" s="158">
        <v>10919</v>
      </c>
      <c r="AF121" s="158">
        <v>9296</v>
      </c>
      <c r="AG121" s="132">
        <v>37470</v>
      </c>
      <c r="AH121" s="158">
        <v>8360</v>
      </c>
      <c r="AI121" s="158">
        <v>7660</v>
      </c>
      <c r="AJ121" s="158">
        <v>10019</v>
      </c>
      <c r="AK121" s="132">
        <v>26039</v>
      </c>
      <c r="AL121" s="158">
        <v>9436</v>
      </c>
      <c r="AM121" s="158">
        <v>9023</v>
      </c>
      <c r="AN121" s="158">
        <v>9708</v>
      </c>
      <c r="AO121" s="158">
        <f>AP121-AL121-AM121-AN121</f>
        <v>10817</v>
      </c>
      <c r="AP121" s="132">
        <v>38984</v>
      </c>
      <c r="AQ121" s="158">
        <v>9979</v>
      </c>
      <c r="AR121" s="158">
        <v>10559</v>
      </c>
      <c r="AS121" s="158">
        <v>9673</v>
      </c>
      <c r="AT121" s="158">
        <f>AU121-AQ121-AR121-AS121</f>
        <v>14277</v>
      </c>
      <c r="AU121" s="132">
        <v>44488</v>
      </c>
      <c r="AV121" s="137">
        <v>12278</v>
      </c>
      <c r="AW121" s="137">
        <v>11453</v>
      </c>
      <c r="AX121" s="137">
        <v>9885</v>
      </c>
      <c r="AY121" s="137">
        <f>AZ121-AV121-AW121-AX121</f>
        <v>10907</v>
      </c>
      <c r="AZ121" s="132">
        <v>44523</v>
      </c>
      <c r="BA121" s="137">
        <v>10369</v>
      </c>
      <c r="BB121" s="137">
        <v>9953</v>
      </c>
      <c r="BC121" s="137">
        <v>8801</v>
      </c>
      <c r="BD121" s="137">
        <f>BE121-BA121-BB121-BC121</f>
        <v>9494</v>
      </c>
      <c r="BE121" s="132">
        <v>38617</v>
      </c>
      <c r="BF121" s="137">
        <v>4770</v>
      </c>
      <c r="BG121" s="137">
        <v>11285</v>
      </c>
      <c r="BH121" s="137">
        <v>11652</v>
      </c>
      <c r="BI121" s="137">
        <f>BJ121-BF121-BG121-BH121</f>
        <v>13744</v>
      </c>
      <c r="BJ121" s="132">
        <v>41451</v>
      </c>
      <c r="BK121" s="137">
        <v>9512</v>
      </c>
      <c r="BL121" s="137">
        <v>12390</v>
      </c>
      <c r="BM121" s="137">
        <v>12365</v>
      </c>
      <c r="BN121" s="137">
        <v>13763</v>
      </c>
      <c r="BO121" s="132">
        <f>SUM(BK121:BN121)</f>
        <v>48030</v>
      </c>
      <c r="BP121" s="137">
        <v>12901</v>
      </c>
      <c r="BQ121" s="137">
        <v>14766</v>
      </c>
      <c r="BR121" s="137">
        <v>14785</v>
      </c>
      <c r="BS121" s="137">
        <v>16508</v>
      </c>
      <c r="BT121" s="132">
        <v>58960</v>
      </c>
      <c r="BU121" s="137">
        <v>13409</v>
      </c>
      <c r="BV121" s="137">
        <v>15425</v>
      </c>
      <c r="BW121" s="137">
        <v>16231</v>
      </c>
      <c r="BX121" s="137">
        <v>16871</v>
      </c>
      <c r="BY121" s="132">
        <v>61936</v>
      </c>
      <c r="BZ121" s="137">
        <v>14963</v>
      </c>
      <c r="CA121" s="137">
        <v>15110</v>
      </c>
      <c r="CB121" s="137">
        <v>16231</v>
      </c>
      <c r="CC121" s="137">
        <v>16681</v>
      </c>
      <c r="CD121" s="132">
        <v>64272</v>
      </c>
      <c r="CE121" s="137">
        <v>16178</v>
      </c>
      <c r="CF121" s="137">
        <v>13927</v>
      </c>
      <c r="CG121" s="137">
        <v>15453</v>
      </c>
      <c r="CH121" s="137">
        <v>18373</v>
      </c>
      <c r="CI121" s="132">
        <v>67347</v>
      </c>
      <c r="CJ121" s="132">
        <f t="shared" si="195"/>
        <v>72061.290000000008</v>
      </c>
      <c r="CK121" s="132">
        <f t="shared" si="195"/>
        <v>77105.580300000016</v>
      </c>
      <c r="CL121" s="132"/>
      <c r="CM121" s="132"/>
      <c r="CN121" s="132"/>
      <c r="CO121" s="137"/>
      <c r="CP121" s="137"/>
      <c r="CQ121" s="6"/>
      <c r="CR121" s="6"/>
      <c r="CS121" s="6"/>
      <c r="CT121" s="124"/>
      <c r="CU121" s="124"/>
      <c r="CV121" s="124"/>
      <c r="CW121" s="124"/>
      <c r="CX121" s="124"/>
      <c r="CY121" s="124"/>
      <c r="CZ121" s="124"/>
      <c r="DA121" s="124"/>
      <c r="DB121" s="124"/>
      <c r="DC121" s="124"/>
      <c r="DD121" s="124"/>
      <c r="DE121" s="124"/>
      <c r="DF121" s="124"/>
      <c r="DG121" s="124"/>
      <c r="DH121" s="124"/>
      <c r="DI121" s="124"/>
      <c r="DK121" s="124"/>
      <c r="DL121" s="124"/>
      <c r="DM121" s="6"/>
      <c r="DN121" s="124"/>
      <c r="DO121" s="124"/>
      <c r="DQ121" s="136"/>
      <c r="DR121" s="124"/>
      <c r="DS121" s="124"/>
      <c r="DT121" s="124"/>
      <c r="DV121" s="124"/>
      <c r="DW121" s="124"/>
      <c r="DX121" s="124"/>
      <c r="EA121" s="111"/>
      <c r="EB121" s="111"/>
      <c r="EC121" s="111"/>
      <c r="ED121" s="124"/>
      <c r="EE121" s="124"/>
      <c r="EF121" s="124"/>
      <c r="EJ121" s="111"/>
      <c r="EK121" s="111"/>
      <c r="EL121" s="124"/>
      <c r="EM121" s="124"/>
      <c r="EN121" s="124"/>
      <c r="EP121" s="111"/>
      <c r="EQ121" s="124"/>
      <c r="ER121" s="124"/>
      <c r="ES121" s="124"/>
      <c r="EV121" s="111"/>
      <c r="EW121" s="111"/>
      <c r="EX121" s="111"/>
      <c r="EY121" s="111"/>
      <c r="EZ121" s="124"/>
      <c r="FA121" s="124"/>
      <c r="FD121" s="111"/>
      <c r="FE121" s="111"/>
      <c r="FF121" s="111"/>
      <c r="FG121" s="124"/>
      <c r="FH121" s="124"/>
      <c r="FK121" s="124"/>
      <c r="FL121" s="124"/>
      <c r="FO121" s="111">
        <v>9885</v>
      </c>
      <c r="FP121" s="111">
        <v>12089.849999999999</v>
      </c>
      <c r="FQ121" s="124">
        <v>42296.85</v>
      </c>
      <c r="FR121" s="124">
        <v>45257.629500000003</v>
      </c>
      <c r="FU121" s="111">
        <v>10057.239999999998</v>
      </c>
      <c r="FV121" s="124">
        <v>39180.239999999998</v>
      </c>
      <c r="FW121" s="124">
        <v>33303.203999999998</v>
      </c>
      <c r="FX121" s="124">
        <v>35634.42828</v>
      </c>
      <c r="FY121" s="124">
        <v>38128.838259600001</v>
      </c>
      <c r="GA121" s="124">
        <v>27031.899999999998</v>
      </c>
      <c r="GB121" s="124">
        <v>28924.132999999998</v>
      </c>
      <c r="GC121" s="124">
        <v>30948.82231</v>
      </c>
      <c r="GF121" s="111"/>
      <c r="GG121" s="111"/>
      <c r="GH121" s="111"/>
      <c r="GI121" s="124">
        <v>28962.75</v>
      </c>
      <c r="GJ121" s="124">
        <v>30990.142500000002</v>
      </c>
      <c r="GK121" s="124">
        <v>33159.452475000006</v>
      </c>
      <c r="GN121" s="111"/>
      <c r="GO121" s="111"/>
      <c r="GP121" s="124">
        <v>34755.300000000003</v>
      </c>
      <c r="GQ121" s="124">
        <v>37188.171000000002</v>
      </c>
      <c r="GR121" s="124">
        <v>39791.342970000005</v>
      </c>
      <c r="GV121" s="111">
        <v>13227.020000000004</v>
      </c>
      <c r="GW121" s="124">
        <v>40934.020000000004</v>
      </c>
      <c r="GX121" s="124">
        <v>45846.102400000011</v>
      </c>
      <c r="GY121" s="124">
        <v>52723.01776000001</v>
      </c>
      <c r="HC121" s="124">
        <v>12886.649999999994</v>
      </c>
      <c r="HD121" s="124">
        <v>47668.649999999994</v>
      </c>
      <c r="HE121" s="124">
        <v>54818.947499999987</v>
      </c>
      <c r="HF121" s="124">
        <v>60300.842249999994</v>
      </c>
      <c r="HI121" s="111">
        <v>10938.8</v>
      </c>
      <c r="HJ121" s="111">
        <v>14840.749999999998</v>
      </c>
      <c r="HK121" s="111">
        <v>14219.749999999998</v>
      </c>
      <c r="HL121" s="111">
        <v>15827.449999999999</v>
      </c>
      <c r="HM121" s="124">
        <v>55826.749999999993</v>
      </c>
      <c r="HN121" s="124">
        <v>61409.424999999996</v>
      </c>
      <c r="HO121" s="124">
        <v>67550.367500000008</v>
      </c>
      <c r="HR121" s="111">
        <v>14840.749999999998</v>
      </c>
      <c r="HS121" s="111">
        <v>14219.749999999998</v>
      </c>
      <c r="HT121" s="111">
        <v>13865.249999999995</v>
      </c>
      <c r="HU121" s="124">
        <v>55826.749999999993</v>
      </c>
      <c r="HV121" s="124">
        <v>61409.424999999996</v>
      </c>
      <c r="HW121" s="124">
        <v>67550.367500000008</v>
      </c>
      <c r="HZ121" s="111">
        <v>14219.749999999998</v>
      </c>
      <c r="IA121" s="124">
        <v>55234.499999999993</v>
      </c>
      <c r="IB121" s="124">
        <v>60757.95</v>
      </c>
      <c r="IC121" s="124">
        <v>66833.744999999995</v>
      </c>
      <c r="IE121" s="111">
        <v>15184</v>
      </c>
      <c r="IF121" s="124">
        <v>57636</v>
      </c>
      <c r="IG121" s="124">
        <v>63399.600000000006</v>
      </c>
      <c r="IH121" s="124">
        <v>69739.560000000012</v>
      </c>
      <c r="IK121" s="124">
        <v>63399.600000000006</v>
      </c>
      <c r="IL121" s="124">
        <v>69739.560000000012</v>
      </c>
      <c r="IO121" s="124">
        <v>64856.000000000007</v>
      </c>
      <c r="IP121" s="124">
        <v>71341.60000000002</v>
      </c>
      <c r="IS121" s="160">
        <v>19713.240000000002</v>
      </c>
      <c r="IT121" s="160">
        <v>21684.564000000002</v>
      </c>
      <c r="IU121" s="160">
        <v>23853.020400000005</v>
      </c>
      <c r="IX121" s="124">
        <v>18611.800000000003</v>
      </c>
      <c r="IY121" s="124">
        <v>63676.800000000003</v>
      </c>
      <c r="IZ121" s="124">
        <v>70044.48000000001</v>
      </c>
      <c r="JA121" s="124">
        <v>77048.928000000014</v>
      </c>
      <c r="JD121" s="124">
        <v>68129.600000000006</v>
      </c>
      <c r="JE121" s="124">
        <v>76305.152000000016</v>
      </c>
      <c r="JH121" s="124">
        <v>66271.520000000004</v>
      </c>
      <c r="JI121" s="124">
        <v>74224.102400000018</v>
      </c>
      <c r="JJ121" s="124">
        <v>83130.994688000035</v>
      </c>
      <c r="JM121" s="124">
        <v>74224.102400000018</v>
      </c>
      <c r="JN121" s="124">
        <v>83130.994688000035</v>
      </c>
      <c r="JQ121" s="124">
        <v>64413.440000000002</v>
      </c>
      <c r="JR121" s="124">
        <v>70854.784000000014</v>
      </c>
      <c r="JS121" s="124">
        <v>77940.262400000021</v>
      </c>
      <c r="JV121" s="124">
        <v>70699.200000000012</v>
      </c>
      <c r="JW121" s="124">
        <v>77769.120000000024</v>
      </c>
      <c r="JY121" s="124">
        <v>70699.200000000012</v>
      </c>
      <c r="JZ121" s="124">
        <v>77769.120000000024</v>
      </c>
      <c r="KB121" s="124">
        <v>64272</v>
      </c>
      <c r="KC121" s="124">
        <v>68771.040000000008</v>
      </c>
      <c r="KD121" s="124">
        <v>73585.012800000011</v>
      </c>
    </row>
    <row r="122" spans="2:290" hidden="1" x14ac:dyDescent="0.25">
      <c r="B122" s="6" t="s">
        <v>225</v>
      </c>
      <c r="C122" s="136"/>
      <c r="D122" s="136"/>
      <c r="E122" s="136"/>
      <c r="F122" s="136"/>
      <c r="G122" s="136"/>
      <c r="H122" s="132"/>
      <c r="I122" s="158"/>
      <c r="J122" s="158"/>
      <c r="K122" s="158"/>
      <c r="L122" s="158"/>
      <c r="M122" s="132"/>
      <c r="N122" s="158"/>
      <c r="O122" s="158"/>
      <c r="P122" s="158"/>
      <c r="Q122" s="158"/>
      <c r="R122" s="132"/>
      <c r="S122" s="158"/>
      <c r="T122" s="158"/>
      <c r="U122" s="158"/>
      <c r="V122" s="158"/>
      <c r="W122" s="132">
        <v>19366</v>
      </c>
      <c r="X122" s="158">
        <v>3240</v>
      </c>
      <c r="Y122" s="158">
        <v>4058</v>
      </c>
      <c r="Z122" s="158">
        <v>3669</v>
      </c>
      <c r="AA122" s="158">
        <v>4209</v>
      </c>
      <c r="AB122" s="132">
        <v>15176</v>
      </c>
      <c r="AC122" s="158">
        <v>2926</v>
      </c>
      <c r="AD122" s="158">
        <v>3797</v>
      </c>
      <c r="AE122" s="158">
        <v>4432</v>
      </c>
      <c r="AF122" s="158">
        <v>4828</v>
      </c>
      <c r="AG122" s="132">
        <v>15983</v>
      </c>
      <c r="AH122" s="158">
        <v>3228</v>
      </c>
      <c r="AI122" s="158">
        <v>4667</v>
      </c>
      <c r="AJ122" s="158">
        <v>5130</v>
      </c>
      <c r="AK122" s="132">
        <v>13025</v>
      </c>
      <c r="AL122" s="158">
        <v>4976</v>
      </c>
      <c r="AM122" s="158">
        <v>4206</v>
      </c>
      <c r="AN122" s="158">
        <v>4561</v>
      </c>
      <c r="AO122" s="158">
        <f>AP122-AL122-AM122-AN122</f>
        <v>5054</v>
      </c>
      <c r="AP122" s="132">
        <v>18797</v>
      </c>
      <c r="AQ122" s="158">
        <v>4584</v>
      </c>
      <c r="AR122" s="158">
        <v>4749</v>
      </c>
      <c r="AS122" s="158">
        <v>5143</v>
      </c>
      <c r="AT122" s="158">
        <f>AU122-AQ122-AR122-AS122</f>
        <v>5909</v>
      </c>
      <c r="AU122" s="132">
        <v>20385</v>
      </c>
      <c r="AV122" s="137">
        <v>5275</v>
      </c>
      <c r="AW122" s="137">
        <v>4650</v>
      </c>
      <c r="AX122" s="137">
        <v>5404</v>
      </c>
      <c r="AY122" s="137">
        <f>AZ122-AV122-AW122-AX122</f>
        <v>6099</v>
      </c>
      <c r="AZ122" s="132">
        <v>21428</v>
      </c>
      <c r="BA122" s="137">
        <v>5100</v>
      </c>
      <c r="BB122" s="137">
        <v>4673</v>
      </c>
      <c r="BC122" s="137">
        <v>5762</v>
      </c>
      <c r="BD122" s="137">
        <f>BE122-BA122-BB122-BC122</f>
        <v>5244</v>
      </c>
      <c r="BE122" s="132">
        <v>20779</v>
      </c>
      <c r="BF122" s="137">
        <v>1507</v>
      </c>
      <c r="BG122" s="137">
        <v>4703</v>
      </c>
      <c r="BH122" s="137">
        <v>6388</v>
      </c>
      <c r="BI122" s="137">
        <f>BJ122-BF122-BG122-BH122</f>
        <v>5870</v>
      </c>
      <c r="BJ122" s="132">
        <v>18468</v>
      </c>
      <c r="BK122" s="137">
        <v>2109</v>
      </c>
      <c r="BL122" s="137">
        <v>4898</v>
      </c>
      <c r="BM122" s="137">
        <v>5207</v>
      </c>
      <c r="BN122" s="137">
        <v>5206</v>
      </c>
      <c r="BO122" s="132">
        <f>SUM(BK122:BN122)</f>
        <v>17420</v>
      </c>
      <c r="BP122" s="137">
        <v>3731</v>
      </c>
      <c r="BQ122" s="137">
        <v>4520</v>
      </c>
      <c r="BR122" s="137">
        <v>4921</v>
      </c>
      <c r="BS122" s="137">
        <v>5081</v>
      </c>
      <c r="BT122" s="132">
        <v>18253</v>
      </c>
      <c r="BU122" s="137">
        <v>4293</v>
      </c>
      <c r="BV122" s="137">
        <v>4519</v>
      </c>
      <c r="BW122" s="137">
        <v>4793</v>
      </c>
      <c r="BX122" s="137">
        <v>4652</v>
      </c>
      <c r="BY122" s="132">
        <v>18257</v>
      </c>
      <c r="BZ122" s="137">
        <v>4002</v>
      </c>
      <c r="CA122" s="137">
        <v>4136</v>
      </c>
      <c r="CB122" s="137">
        <v>4793</v>
      </c>
      <c r="CC122" s="137">
        <v>5154</v>
      </c>
      <c r="CD122" s="132">
        <v>17748</v>
      </c>
      <c r="CE122" s="137">
        <v>4198</v>
      </c>
      <c r="CF122" s="137">
        <v>4381</v>
      </c>
      <c r="CG122" s="137">
        <v>4822</v>
      </c>
      <c r="CH122" s="137">
        <v>5112</v>
      </c>
      <c r="CI122" s="132">
        <v>18513</v>
      </c>
      <c r="CJ122" s="132">
        <f t="shared" si="195"/>
        <v>19808.91</v>
      </c>
      <c r="CK122" s="132">
        <f t="shared" si="195"/>
        <v>21195.5337</v>
      </c>
      <c r="CL122" s="132"/>
      <c r="CM122" s="132"/>
      <c r="CN122" s="132"/>
      <c r="CO122" s="137"/>
      <c r="CP122" s="137"/>
      <c r="CQ122" s="6"/>
      <c r="CR122" s="6"/>
      <c r="CS122" s="6"/>
      <c r="CT122" s="124"/>
      <c r="CU122" s="124"/>
      <c r="CV122" s="124"/>
      <c r="CW122" s="124"/>
      <c r="CX122" s="124"/>
      <c r="CY122" s="124"/>
      <c r="CZ122" s="124"/>
      <c r="DA122" s="124"/>
      <c r="DB122" s="124"/>
      <c r="DC122" s="124"/>
      <c r="DD122" s="124"/>
      <c r="DE122" s="124"/>
      <c r="DF122" s="124"/>
      <c r="DG122" s="124"/>
      <c r="DH122" s="124"/>
      <c r="DI122" s="124"/>
      <c r="DK122" s="124"/>
      <c r="DL122" s="124"/>
      <c r="DM122" s="6"/>
      <c r="DN122" s="124"/>
      <c r="DO122" s="124"/>
      <c r="DQ122" s="136"/>
      <c r="DR122" s="124"/>
      <c r="DS122" s="124"/>
      <c r="DT122" s="124"/>
      <c r="DV122" s="124"/>
      <c r="DW122" s="124"/>
      <c r="DX122" s="124"/>
      <c r="EA122" s="111"/>
      <c r="EB122" s="111"/>
      <c r="EC122" s="111"/>
      <c r="ED122" s="124"/>
      <c r="EE122" s="124"/>
      <c r="EF122" s="124"/>
      <c r="EJ122" s="111"/>
      <c r="EK122" s="111"/>
      <c r="EL122" s="124"/>
      <c r="EM122" s="124"/>
      <c r="EN122" s="124"/>
      <c r="EP122" s="111"/>
      <c r="EQ122" s="124"/>
      <c r="ER122" s="124"/>
      <c r="ES122" s="124"/>
      <c r="EV122" s="111"/>
      <c r="EW122" s="111"/>
      <c r="EX122" s="111"/>
      <c r="EY122" s="111"/>
      <c r="EZ122" s="124"/>
      <c r="FA122" s="124"/>
      <c r="FD122" s="111"/>
      <c r="FE122" s="111"/>
      <c r="FF122" s="111"/>
      <c r="FG122" s="124"/>
      <c r="FH122" s="124"/>
      <c r="FK122" s="124"/>
      <c r="FL122" s="124"/>
      <c r="FO122" s="111">
        <v>5512.08</v>
      </c>
      <c r="FP122" s="111">
        <v>6785.76</v>
      </c>
      <c r="FQ122" s="124">
        <v>22070.84</v>
      </c>
      <c r="FR122" s="124">
        <v>23836.5072</v>
      </c>
      <c r="FU122" s="111">
        <v>5250.16</v>
      </c>
      <c r="FV122" s="124">
        <v>20785.16</v>
      </c>
      <c r="FW122" s="124">
        <v>16628.128000000001</v>
      </c>
      <c r="FX122" s="124">
        <v>17958.378240000002</v>
      </c>
      <c r="FY122" s="124">
        <v>19395.048499200002</v>
      </c>
      <c r="GA122" s="124">
        <v>13506.35</v>
      </c>
      <c r="GB122" s="124">
        <v>14586.858000000002</v>
      </c>
      <c r="GC122" s="124">
        <v>15753.806640000003</v>
      </c>
      <c r="GF122" s="111"/>
      <c r="GG122" s="111"/>
      <c r="GH122" s="111"/>
      <c r="GI122" s="124">
        <v>18701.100000000002</v>
      </c>
      <c r="GJ122" s="124">
        <v>20197.188000000002</v>
      </c>
      <c r="GK122" s="124">
        <v>21812.963040000002</v>
      </c>
      <c r="GN122" s="111"/>
      <c r="GO122" s="111"/>
      <c r="GP122" s="124">
        <v>19740.05</v>
      </c>
      <c r="GQ122" s="124">
        <v>21319.254000000001</v>
      </c>
      <c r="GR122" s="124">
        <v>23024.794320000001</v>
      </c>
      <c r="GV122" s="111">
        <v>7142.0499999999993</v>
      </c>
      <c r="GW122" s="124">
        <v>19740.05</v>
      </c>
      <c r="GX122" s="124">
        <v>21319.254000000001</v>
      </c>
      <c r="GY122" s="124">
        <v>23024.794320000001</v>
      </c>
      <c r="HC122" s="124">
        <v>7177.4000000000015</v>
      </c>
      <c r="HD122" s="124">
        <v>19391.400000000001</v>
      </c>
      <c r="HE122" s="124">
        <v>20942.712000000003</v>
      </c>
      <c r="HF122" s="124">
        <v>23036.983200000006</v>
      </c>
      <c r="HI122" s="111">
        <v>2277.7200000000003</v>
      </c>
      <c r="HJ122" s="111">
        <v>5289.84</v>
      </c>
      <c r="HK122" s="111">
        <v>5623.56</v>
      </c>
      <c r="HL122" s="111">
        <v>5622.4800000000005</v>
      </c>
      <c r="HM122" s="124">
        <v>18813.600000000002</v>
      </c>
      <c r="HN122" s="124">
        <v>20694.960000000003</v>
      </c>
      <c r="HO122" s="124">
        <v>22764.456000000006</v>
      </c>
      <c r="HR122" s="111">
        <v>5289.84</v>
      </c>
      <c r="HS122" s="111">
        <v>5623.56</v>
      </c>
      <c r="HT122" s="111">
        <v>4169.2000000000016</v>
      </c>
      <c r="HU122" s="124">
        <v>18813.600000000002</v>
      </c>
      <c r="HV122" s="124">
        <v>20694.960000000003</v>
      </c>
      <c r="HW122" s="124">
        <v>22764.456000000006</v>
      </c>
      <c r="HZ122" s="111">
        <v>5623.56</v>
      </c>
      <c r="IA122" s="124">
        <v>18813.600000000002</v>
      </c>
      <c r="IB122" s="124">
        <v>20694.960000000003</v>
      </c>
      <c r="IC122" s="124">
        <v>22764.456000000006</v>
      </c>
      <c r="IE122" s="111">
        <v>5119</v>
      </c>
      <c r="IF122" s="124">
        <v>18291</v>
      </c>
      <c r="IG122" s="124">
        <v>20120.100000000002</v>
      </c>
      <c r="IH122" s="124">
        <v>22132.110000000004</v>
      </c>
      <c r="IK122" s="124">
        <v>20120.100000000002</v>
      </c>
      <c r="IL122" s="124">
        <v>22132.110000000004</v>
      </c>
      <c r="IO122" s="124">
        <v>19713.240000000002</v>
      </c>
      <c r="IP122" s="124">
        <v>21684.564000000002</v>
      </c>
      <c r="IS122" s="160"/>
      <c r="IT122" s="160"/>
      <c r="IU122" s="160"/>
      <c r="IX122" s="124">
        <v>6108.2400000000016</v>
      </c>
      <c r="IY122" s="124">
        <v>19713.240000000002</v>
      </c>
      <c r="IZ122" s="124">
        <v>21684.564000000002</v>
      </c>
      <c r="JA122" s="124">
        <v>23853.020400000005</v>
      </c>
      <c r="JD122" s="124">
        <v>20082.7</v>
      </c>
      <c r="JE122" s="124">
        <v>22492.624000000003</v>
      </c>
      <c r="JH122" s="124">
        <v>19534.990000000002</v>
      </c>
      <c r="JI122" s="124">
        <v>21879.188800000004</v>
      </c>
      <c r="JJ122" s="124">
        <v>24504.691456000008</v>
      </c>
      <c r="JM122" s="124">
        <v>20856.7968</v>
      </c>
      <c r="JN122" s="124">
        <v>23359.612416000004</v>
      </c>
      <c r="JQ122" s="124">
        <v>17709.29</v>
      </c>
      <c r="JR122" s="124">
        <v>18948.940300000002</v>
      </c>
      <c r="JS122" s="124">
        <v>20275.366121000003</v>
      </c>
      <c r="JV122" s="124">
        <v>18990.36</v>
      </c>
      <c r="JW122" s="124">
        <v>20319.685200000004</v>
      </c>
      <c r="JY122" s="124">
        <v>18990.36</v>
      </c>
      <c r="JZ122" s="124">
        <v>20319.685200000004</v>
      </c>
      <c r="KB122" s="124">
        <v>18102.96</v>
      </c>
      <c r="KC122" s="124">
        <v>19370.1672</v>
      </c>
      <c r="KD122" s="124">
        <v>20726.078904000002</v>
      </c>
    </row>
    <row r="123" spans="2:290" s="60" customFormat="1" hidden="1" x14ac:dyDescent="0.25">
      <c r="B123" s="58" t="s">
        <v>228</v>
      </c>
      <c r="C123" s="4"/>
      <c r="D123" s="4"/>
      <c r="E123" s="4"/>
      <c r="F123" s="4"/>
      <c r="G123" s="4"/>
      <c r="H123" s="145"/>
      <c r="I123" s="156"/>
      <c r="J123" s="156"/>
      <c r="K123" s="156"/>
      <c r="L123" s="156"/>
      <c r="M123" s="145"/>
      <c r="N123" s="156"/>
      <c r="O123" s="156"/>
      <c r="P123" s="156"/>
      <c r="Q123" s="156"/>
      <c r="R123" s="145"/>
      <c r="S123" s="156"/>
      <c r="T123" s="156"/>
      <c r="U123" s="156"/>
      <c r="V123" s="156"/>
      <c r="W123" s="145">
        <v>281452</v>
      </c>
      <c r="X123" s="156">
        <v>49978</v>
      </c>
      <c r="Y123" s="156">
        <v>66318</v>
      </c>
      <c r="Z123" s="156">
        <v>72349</v>
      </c>
      <c r="AA123" s="156">
        <v>86818</v>
      </c>
      <c r="AB123" s="145">
        <v>275463</v>
      </c>
      <c r="AC123" s="156">
        <v>49110</v>
      </c>
      <c r="AD123" s="156">
        <v>73044</v>
      </c>
      <c r="AE123" s="156">
        <v>85732</v>
      </c>
      <c r="AF123" s="156">
        <v>94044</v>
      </c>
      <c r="AG123" s="145">
        <v>301930</v>
      </c>
      <c r="AH123" s="156">
        <v>57226</v>
      </c>
      <c r="AI123" s="156">
        <v>76613</v>
      </c>
      <c r="AJ123" s="156">
        <v>101467</v>
      </c>
      <c r="AK123" s="145">
        <v>235306</v>
      </c>
      <c r="AL123" s="156">
        <f t="shared" ref="AL123" si="196">SUM(AL119:AL122)</f>
        <v>97023</v>
      </c>
      <c r="AM123" s="156">
        <f>SUM(AM119:AM122)</f>
        <v>66794</v>
      </c>
      <c r="AN123" s="156">
        <f t="shared" ref="AN123:AO123" si="197">SUM(AN119:AN122)</f>
        <v>81172</v>
      </c>
      <c r="AO123" s="156">
        <f t="shared" si="197"/>
        <v>95665</v>
      </c>
      <c r="AP123" s="145">
        <f>SUM(AP119:AP122)</f>
        <v>340654</v>
      </c>
      <c r="AQ123" s="156">
        <f t="shared" ref="AQ123" si="198">SUM(AQ119:AQ122)</f>
        <v>92181</v>
      </c>
      <c r="AR123" s="156">
        <f>SUM(AR119:AR122)</f>
        <v>79026</v>
      </c>
      <c r="AS123" s="156">
        <f t="shared" ref="AS123:AT123" si="199">SUM(AS119:AS122)</f>
        <v>96737</v>
      </c>
      <c r="AT123" s="156">
        <f t="shared" si="199"/>
        <v>103190</v>
      </c>
      <c r="AU123" s="145">
        <f>SUM(AU119:AU122)</f>
        <v>371134</v>
      </c>
      <c r="AV123" s="156">
        <f t="shared" ref="AV123" si="200">SUM(AV119:AV122)</f>
        <v>99819</v>
      </c>
      <c r="AW123" s="156">
        <f>SUM(AW119:AW122)</f>
        <v>83173</v>
      </c>
      <c r="AX123" s="156">
        <f t="shared" ref="AX123:AY123" si="201">SUM(AX119:AX122)</f>
        <v>100982</v>
      </c>
      <c r="AY123" s="156">
        <f t="shared" si="201"/>
        <v>114009</v>
      </c>
      <c r="AZ123" s="145">
        <f>SUM(AZ119:AZ122)</f>
        <v>397983</v>
      </c>
      <c r="BA123" s="156">
        <f t="shared" ref="BA123" si="202">SUM(BA119:BA122)</f>
        <v>113428</v>
      </c>
      <c r="BB123" s="156">
        <f>SUM(BB119:BB122)</f>
        <v>93500</v>
      </c>
      <c r="BC123" s="156">
        <f t="shared" ref="BC123:BD123" si="203">SUM(BC119:BC122)</f>
        <v>101393</v>
      </c>
      <c r="BD123" s="156">
        <f t="shared" si="203"/>
        <v>103200</v>
      </c>
      <c r="BE123" s="145">
        <f>SUM(BE119:BE122)</f>
        <v>411521</v>
      </c>
      <c r="BF123" s="156">
        <f t="shared" ref="BF123" si="204">SUM(BF119:BF122)</f>
        <v>91451</v>
      </c>
      <c r="BG123" s="156">
        <f>SUM(BG119:BG122)</f>
        <v>94836</v>
      </c>
      <c r="BH123" s="156">
        <f t="shared" ref="BH123:BI123" si="205">SUM(BH119:BH122)</f>
        <v>111584</v>
      </c>
      <c r="BI123" s="156">
        <f t="shared" si="205"/>
        <v>111238</v>
      </c>
      <c r="BJ123" s="145">
        <f>SUM(BJ119:BJ122)</f>
        <v>409109</v>
      </c>
      <c r="BK123" s="156">
        <f t="shared" ref="BK123" si="206">SUM(BK119:BK122)</f>
        <v>71264</v>
      </c>
      <c r="BL123" s="156">
        <f>SUM(BL119:BL122)</f>
        <v>102673</v>
      </c>
      <c r="BM123" s="156">
        <f t="shared" ref="BM123:BN123" si="207">SUM(BM119:BM122)</f>
        <v>91363</v>
      </c>
      <c r="BN123" s="156">
        <f t="shared" si="207"/>
        <v>128607</v>
      </c>
      <c r="BO123" s="145">
        <f>SUM(BO119:BO122)</f>
        <v>393907</v>
      </c>
      <c r="BP123" s="156">
        <f t="shared" ref="BP123" si="208">SUM(BP119:BP122)</f>
        <v>108922</v>
      </c>
      <c r="BQ123" s="156">
        <f>SUM(BQ119:BQ122)</f>
        <v>111803</v>
      </c>
      <c r="BR123" s="156">
        <f t="shared" ref="BR123:BS123" si="209">SUM(BR119:BR122)</f>
        <v>138362</v>
      </c>
      <c r="BS123" s="156">
        <f t="shared" si="209"/>
        <v>147414</v>
      </c>
      <c r="BT123" s="145">
        <f>SUM(BT119:BT122)</f>
        <v>506501</v>
      </c>
      <c r="BU123" s="156">
        <f t="shared" ref="BU123" si="210">SUM(BU119:BU122)</f>
        <v>148544</v>
      </c>
      <c r="BV123" s="156">
        <f>SUM(BV119:BV122)</f>
        <v>137763</v>
      </c>
      <c r="BW123" s="156">
        <f t="shared" ref="BW123:BX123" si="211">SUM(BW119:BW122)</f>
        <v>158025</v>
      </c>
      <c r="BX123" s="156">
        <f t="shared" si="211"/>
        <v>195369</v>
      </c>
      <c r="BY123" s="145">
        <f>SUM(BY119:BY122)</f>
        <v>639701</v>
      </c>
      <c r="BZ123" s="156">
        <f t="shared" ref="BZ123" si="212">SUM(BZ119:BZ122)</f>
        <v>173835</v>
      </c>
      <c r="CA123" s="156">
        <f>SUM(CA119:CA122)</f>
        <v>138077</v>
      </c>
      <c r="CB123" s="156">
        <f t="shared" ref="CB123:CC123" si="213">SUM(CB119:CB122)</f>
        <v>163820</v>
      </c>
      <c r="CC123" s="156">
        <f t="shared" si="213"/>
        <v>199874</v>
      </c>
      <c r="CD123" s="145">
        <f>SUM(CD119:CD122)</f>
        <v>674510</v>
      </c>
      <c r="CE123" s="156">
        <f t="shared" ref="CE123" si="214">SUM(CE119:CE122)</f>
        <v>183793</v>
      </c>
      <c r="CF123" s="156">
        <f>SUM(CF119:CF122)</f>
        <v>154431</v>
      </c>
      <c r="CG123" s="156">
        <f t="shared" ref="CG123:CH123" si="215">SUM(CG119:CG122)</f>
        <v>183794</v>
      </c>
      <c r="CH123" s="156">
        <f t="shared" si="215"/>
        <v>231887</v>
      </c>
      <c r="CI123" s="145">
        <f>SUM(CI119:CI122)</f>
        <v>753905</v>
      </c>
      <c r="CJ123" s="145">
        <f t="shared" ref="CJ123:CK123" si="216">SUM(CJ119:CJ122)</f>
        <v>851019.18000000017</v>
      </c>
      <c r="CK123" s="145">
        <f t="shared" si="216"/>
        <v>974917.10280000011</v>
      </c>
      <c r="CL123" s="145">
        <f>CK123*(1+CL138)</f>
        <v>1121154.6682200001</v>
      </c>
      <c r="CM123" s="145">
        <f t="shared" ref="CM123:CN123" si="217">CL123*(1+CM138)</f>
        <v>1233270.1350420003</v>
      </c>
      <c r="CN123" s="145">
        <f t="shared" si="217"/>
        <v>1356597.1485462005</v>
      </c>
      <c r="CO123" s="148"/>
      <c r="CP123" s="148"/>
      <c r="CQ123" s="58"/>
      <c r="CR123" s="58"/>
      <c r="CS123" s="58">
        <v>14.31</v>
      </c>
      <c r="CT123" s="143"/>
      <c r="CU123" s="143"/>
      <c r="CV123" s="143"/>
      <c r="CW123" s="143"/>
      <c r="CX123" s="143"/>
      <c r="CY123" s="143"/>
      <c r="CZ123" s="143"/>
      <c r="DA123" s="143"/>
      <c r="DB123" s="143"/>
      <c r="DC123" s="143"/>
      <c r="DD123" s="143"/>
      <c r="DE123" s="143"/>
      <c r="DF123" s="143"/>
      <c r="DG123" s="143"/>
      <c r="DH123" s="143"/>
      <c r="DI123" s="143"/>
      <c r="DK123" s="143"/>
      <c r="DL123" s="143"/>
      <c r="DM123" s="58"/>
      <c r="DN123" s="143"/>
      <c r="DO123" s="143"/>
      <c r="DQ123" s="4"/>
      <c r="DR123" s="143"/>
      <c r="DS123" s="143"/>
      <c r="DT123" s="143"/>
      <c r="DV123" s="143"/>
      <c r="DW123" s="143"/>
      <c r="DX123" s="143"/>
      <c r="EA123" s="119"/>
      <c r="EB123" s="119"/>
      <c r="EC123" s="119"/>
      <c r="ED123" s="143"/>
      <c r="EE123" s="143"/>
      <c r="EF123" s="143"/>
      <c r="EJ123" s="119">
        <v>106410.70000000001</v>
      </c>
      <c r="EK123" s="119">
        <v>118804.90000000002</v>
      </c>
      <c r="EL123" s="143">
        <v>408293.60000000003</v>
      </c>
      <c r="EM123" s="143">
        <v>449122.96000000008</v>
      </c>
      <c r="EN123" s="143">
        <v>494035.25600000011</v>
      </c>
      <c r="EP123" s="119">
        <v>111242.44</v>
      </c>
      <c r="EQ123" s="143">
        <v>395302.44</v>
      </c>
      <c r="ER123" s="143">
        <v>442738.73280000006</v>
      </c>
      <c r="ES123" s="143">
        <v>487012.60608000011</v>
      </c>
      <c r="EV123" s="119">
        <v>113428</v>
      </c>
      <c r="EW123" s="119">
        <v>91490.3</v>
      </c>
      <c r="EX123" s="119">
        <v>111080.20000000001</v>
      </c>
      <c r="EY123" s="119">
        <v>125409.90000000001</v>
      </c>
      <c r="EZ123" s="143">
        <v>437781.30000000005</v>
      </c>
      <c r="FA123" s="143">
        <v>481559.43000000011</v>
      </c>
      <c r="FD123" s="119">
        <v>91490.3</v>
      </c>
      <c r="FE123" s="119">
        <v>111080.20000000001</v>
      </c>
      <c r="FF123" s="119">
        <v>125409.90000000001</v>
      </c>
      <c r="FG123" s="143">
        <v>437781.30000000005</v>
      </c>
      <c r="FH123" s="143">
        <v>481559.43000000011</v>
      </c>
      <c r="FK123" s="143">
        <v>437781.30000000005</v>
      </c>
      <c r="FL123" s="143">
        <v>481559.43000000011</v>
      </c>
      <c r="FO123" s="119">
        <v>108876.03000000001</v>
      </c>
      <c r="FP123" s="119">
        <v>125172.05999999995</v>
      </c>
      <c r="FQ123" s="143">
        <v>440976.08999999997</v>
      </c>
      <c r="FR123" s="143">
        <v>499448.88669999992</v>
      </c>
      <c r="FU123" s="119">
        <v>107624.76000000001</v>
      </c>
      <c r="FV123" s="143">
        <v>415945.76</v>
      </c>
      <c r="FW123" s="143">
        <v>361578.47320000001</v>
      </c>
      <c r="FX123" s="143">
        <v>401722.11182400002</v>
      </c>
      <c r="FY123" s="143">
        <v>446421.66657528013</v>
      </c>
      <c r="GA123" s="143">
        <v>360898.54</v>
      </c>
      <c r="GB123" s="143">
        <v>409742.82199999993</v>
      </c>
      <c r="GC123" s="143">
        <v>455921.97857000004</v>
      </c>
      <c r="GF123" s="119">
        <v>89760</v>
      </c>
      <c r="GG123" s="119">
        <v>101393</v>
      </c>
      <c r="GH123" s="119">
        <v>106034.10999999999</v>
      </c>
      <c r="GI123" s="143">
        <v>388638.11</v>
      </c>
      <c r="GJ123" s="143">
        <v>461629.80370000005</v>
      </c>
      <c r="GK123" s="143">
        <v>513651.19609900005</v>
      </c>
      <c r="GN123" s="119">
        <v>108490.51000000001</v>
      </c>
      <c r="GO123" s="119">
        <v>116317.68999999994</v>
      </c>
      <c r="GP123" s="143">
        <v>411095.19999999995</v>
      </c>
      <c r="GQ123" s="143">
        <v>487581.75280000007</v>
      </c>
      <c r="GR123" s="143">
        <v>542283.51140600012</v>
      </c>
      <c r="GV123" s="119">
        <v>114488</v>
      </c>
      <c r="GW123" s="143">
        <v>412359</v>
      </c>
      <c r="GX123" s="143">
        <v>471884.63620000001</v>
      </c>
      <c r="GY123" s="143">
        <v>541174.98384999996</v>
      </c>
      <c r="HC123" s="143">
        <v>121311.43000000005</v>
      </c>
      <c r="HD123" s="143">
        <v>386612.43000000005</v>
      </c>
      <c r="HE123" s="143">
        <v>448903.80195000005</v>
      </c>
      <c r="HF123" s="143">
        <v>496846.2226995001</v>
      </c>
      <c r="HI123" s="119">
        <v>118505.93</v>
      </c>
      <c r="HJ123" s="119">
        <v>110854.79</v>
      </c>
      <c r="HK123" s="119">
        <v>113780.33</v>
      </c>
      <c r="HL123" s="119">
        <v>134928.56</v>
      </c>
      <c r="HM123" s="143">
        <v>478069.61</v>
      </c>
      <c r="HN123" s="143">
        <v>529277.82900000003</v>
      </c>
      <c r="HO123" s="143">
        <v>574654.81914000015</v>
      </c>
      <c r="HR123" s="119">
        <v>110854.79</v>
      </c>
      <c r="HS123" s="119">
        <v>113780.33</v>
      </c>
      <c r="HT123" s="119">
        <v>144512.49</v>
      </c>
      <c r="HU123" s="143">
        <v>478069.61</v>
      </c>
      <c r="HV123" s="143">
        <v>529277.82900000003</v>
      </c>
      <c r="HW123" s="143">
        <v>574654.81914000015</v>
      </c>
      <c r="HZ123" s="119">
        <v>113780.33</v>
      </c>
      <c r="IA123" s="143">
        <v>478085.05999999994</v>
      </c>
      <c r="IB123" s="143">
        <v>529294.82400000002</v>
      </c>
      <c r="IC123" s="143">
        <v>574673.51364000002</v>
      </c>
      <c r="IE123" s="119">
        <v>146751.29999999996</v>
      </c>
      <c r="IF123" s="143">
        <v>505838.29999999993</v>
      </c>
      <c r="IG123" s="143">
        <v>560152.5419999999</v>
      </c>
      <c r="IH123" s="143">
        <v>607886.28156000003</v>
      </c>
      <c r="IK123" s="143">
        <v>560152.5419999999</v>
      </c>
      <c r="IL123" s="143">
        <v>607886.28156000003</v>
      </c>
      <c r="IO123" s="143">
        <v>606673.34</v>
      </c>
      <c r="IP123" s="143">
        <v>676491.79640000011</v>
      </c>
      <c r="IS123" s="157">
        <v>463181.80999999994</v>
      </c>
      <c r="IT123" s="157">
        <v>537290.89959999989</v>
      </c>
      <c r="IU123" s="157">
        <v>623257.44353599986</v>
      </c>
      <c r="IX123" s="143">
        <v>188996.14</v>
      </c>
      <c r="IY123" s="143">
        <v>633328.14</v>
      </c>
      <c r="IZ123" s="143">
        <v>725914.5419999999</v>
      </c>
      <c r="JA123" s="143">
        <v>832440.15827999986</v>
      </c>
      <c r="JD123" s="143">
        <v>778821.24999999988</v>
      </c>
      <c r="JE123" s="143">
        <v>923667.054</v>
      </c>
      <c r="JH123" s="143">
        <v>774660.25</v>
      </c>
      <c r="JI123" s="143">
        <v>918971.6298</v>
      </c>
      <c r="JJ123" s="143">
        <v>1051793.2703760001</v>
      </c>
      <c r="JM123" s="143">
        <v>845063.14159999997</v>
      </c>
      <c r="JN123" s="143">
        <v>966689.11494799994</v>
      </c>
      <c r="JQ123" s="143">
        <v>682551.5</v>
      </c>
      <c r="JR123" s="143">
        <v>763571.10070000018</v>
      </c>
      <c r="JS123" s="143">
        <v>852835.0900890003</v>
      </c>
      <c r="JV123" s="143">
        <v>754505.50000000012</v>
      </c>
      <c r="JW123" s="143">
        <v>842682.65800000005</v>
      </c>
      <c r="JY123" s="143">
        <v>775750.82</v>
      </c>
      <c r="JZ123" s="143">
        <v>866477.41639999987</v>
      </c>
      <c r="KB123" s="143">
        <v>757602.75999999989</v>
      </c>
      <c r="KC123" s="143">
        <v>855323.90520000004</v>
      </c>
      <c r="KD123" s="143">
        <v>966064.67402400018</v>
      </c>
    </row>
    <row r="124" spans="2:290" hidden="1" x14ac:dyDescent="0.25">
      <c r="B124" s="6" t="s">
        <v>229</v>
      </c>
      <c r="C124" s="136"/>
      <c r="D124" s="136"/>
      <c r="E124" s="136"/>
      <c r="F124" s="136"/>
      <c r="G124" s="136"/>
      <c r="H124" s="132"/>
      <c r="I124" s="158"/>
      <c r="J124" s="158"/>
      <c r="K124" s="158"/>
      <c r="L124" s="158"/>
      <c r="M124" s="132"/>
      <c r="N124" s="158"/>
      <c r="O124" s="158"/>
      <c r="P124" s="158"/>
      <c r="Q124" s="158"/>
      <c r="R124" s="132"/>
      <c r="S124" s="158"/>
      <c r="T124" s="158"/>
      <c r="U124" s="158"/>
      <c r="V124" s="158"/>
      <c r="W124" s="132"/>
      <c r="X124" s="158"/>
      <c r="Y124" s="158"/>
      <c r="Z124" s="158"/>
      <c r="AA124" s="158"/>
      <c r="AB124" s="132"/>
      <c r="AC124" s="158"/>
      <c r="AD124" s="158"/>
      <c r="AE124" s="158"/>
      <c r="AF124" s="158"/>
      <c r="AG124" s="132"/>
      <c r="AH124" s="158"/>
      <c r="AI124" s="158"/>
      <c r="AJ124" s="158"/>
      <c r="AK124" s="132"/>
      <c r="AL124" s="158"/>
      <c r="AM124" s="158"/>
      <c r="AN124" s="158"/>
      <c r="AO124" s="158"/>
      <c r="AP124" s="132"/>
      <c r="AQ124" s="158"/>
      <c r="AR124" s="158"/>
      <c r="AS124" s="158"/>
      <c r="AT124" s="158"/>
      <c r="AU124" s="132"/>
      <c r="AV124" s="137"/>
      <c r="AW124" s="137"/>
      <c r="AX124" s="137"/>
      <c r="AY124" s="137"/>
      <c r="AZ124" s="132"/>
      <c r="BA124" s="137"/>
      <c r="BB124" s="137"/>
      <c r="BC124" s="137"/>
      <c r="BD124" s="137"/>
      <c r="BE124" s="132"/>
      <c r="BF124" s="137"/>
      <c r="BG124" s="137"/>
      <c r="BH124" s="137"/>
      <c r="BI124" s="137"/>
      <c r="BJ124" s="132"/>
      <c r="BK124" s="137"/>
      <c r="BL124" s="137"/>
      <c r="BM124" s="137"/>
      <c r="BN124" s="137"/>
      <c r="BO124" s="132">
        <f t="shared" ref="BO124:CC124" si="218">BO119-BJ119</f>
        <v>-20062</v>
      </c>
      <c r="BP124" s="132">
        <f t="shared" si="218"/>
        <v>31313</v>
      </c>
      <c r="BQ124" s="132">
        <f t="shared" si="218"/>
        <v>6740</v>
      </c>
      <c r="BR124" s="132">
        <f t="shared" si="218"/>
        <v>46912</v>
      </c>
      <c r="BS124" s="132">
        <f t="shared" si="218"/>
        <v>15786</v>
      </c>
      <c r="BT124" s="132">
        <f t="shared" si="218"/>
        <v>100751</v>
      </c>
      <c r="BU124" s="132">
        <f t="shared" si="218"/>
        <v>37850</v>
      </c>
      <c r="BV124" s="132">
        <f t="shared" si="218"/>
        <v>23709</v>
      </c>
      <c r="BW124" s="132">
        <f t="shared" si="218"/>
        <v>17894</v>
      </c>
      <c r="BX124" s="132">
        <f t="shared" si="218"/>
        <v>46502</v>
      </c>
      <c r="BY124" s="132">
        <f t="shared" si="218"/>
        <v>125955</v>
      </c>
      <c r="BZ124" s="132">
        <f t="shared" si="218"/>
        <v>22879</v>
      </c>
      <c r="CA124" s="132">
        <f t="shared" si="218"/>
        <v>-691</v>
      </c>
      <c r="CB124" s="132">
        <f t="shared" si="218"/>
        <v>4512</v>
      </c>
      <c r="CC124" s="132">
        <f t="shared" si="218"/>
        <v>3432</v>
      </c>
      <c r="CD124" s="132">
        <f>CD119-BY119</f>
        <v>30132</v>
      </c>
      <c r="CE124" s="137"/>
      <c r="CF124" s="137"/>
      <c r="CG124" s="137"/>
      <c r="CH124" s="137"/>
      <c r="CI124" s="132">
        <f>CI119-CD119</f>
        <v>76354</v>
      </c>
      <c r="CJ124" s="132">
        <f>CJ119-CI119</f>
        <v>85048.180000000051</v>
      </c>
      <c r="CK124" s="132">
        <f>CK119-CJ119</f>
        <v>110805.62879999995</v>
      </c>
      <c r="CL124" s="132"/>
      <c r="CM124" s="132"/>
      <c r="CN124" s="132"/>
      <c r="CO124" s="137"/>
      <c r="CP124" s="137"/>
      <c r="CQ124" s="6"/>
      <c r="CR124" s="6"/>
      <c r="CS124" s="6"/>
      <c r="CT124" s="124"/>
      <c r="CU124" s="124"/>
      <c r="CV124" s="124"/>
      <c r="CW124" s="124"/>
      <c r="CX124" s="124"/>
      <c r="CY124" s="124"/>
      <c r="CZ124" s="124"/>
      <c r="DA124" s="124"/>
      <c r="DB124" s="124"/>
      <c r="DC124" s="124"/>
      <c r="DD124" s="124"/>
      <c r="DE124" s="124"/>
      <c r="DF124" s="124"/>
      <c r="DG124" s="124"/>
      <c r="DH124" s="124"/>
      <c r="DI124" s="124"/>
      <c r="DK124" s="124"/>
      <c r="DL124" s="124"/>
      <c r="DM124" s="6"/>
      <c r="DN124" s="124"/>
      <c r="DO124" s="124"/>
      <c r="DQ124" s="136"/>
      <c r="DR124" s="124"/>
      <c r="DS124" s="124"/>
      <c r="DT124" s="124"/>
      <c r="DV124" s="124"/>
      <c r="DW124" s="124"/>
      <c r="DX124" s="124"/>
      <c r="EA124" s="111"/>
      <c r="EB124" s="111"/>
      <c r="EC124" s="111">
        <v>4.0000000000000008E-2</v>
      </c>
      <c r="ED124" s="124">
        <v>1.6000000000000008</v>
      </c>
      <c r="EE124" s="124"/>
      <c r="EF124" s="124"/>
      <c r="EJ124" s="111"/>
      <c r="EK124" s="111"/>
      <c r="EL124" s="124"/>
      <c r="EM124" s="124"/>
      <c r="EN124" s="124"/>
      <c r="EP124" s="111"/>
      <c r="EQ124" s="124"/>
      <c r="ER124" s="124"/>
      <c r="ES124" s="124"/>
      <c r="EV124" s="111"/>
      <c r="EW124" s="111"/>
      <c r="EX124" s="111"/>
      <c r="EY124" s="111"/>
      <c r="EZ124" s="124"/>
      <c r="FA124" s="124"/>
      <c r="FD124" s="111"/>
      <c r="FE124" s="111"/>
      <c r="FF124" s="111"/>
      <c r="FG124" s="124"/>
      <c r="FH124" s="124"/>
      <c r="FK124" s="124"/>
      <c r="FL124" s="124"/>
      <c r="FO124" s="111"/>
      <c r="FP124" s="111"/>
      <c r="FQ124" s="124"/>
      <c r="FR124" s="124"/>
      <c r="FU124" s="111"/>
      <c r="FV124" s="124"/>
      <c r="FW124" s="124"/>
      <c r="FX124" s="124"/>
      <c r="FY124" s="124"/>
      <c r="GA124" s="124"/>
      <c r="GB124" s="124"/>
      <c r="GC124" s="124"/>
      <c r="GF124" s="111"/>
      <c r="GG124" s="111"/>
      <c r="GH124" s="111"/>
      <c r="GI124" s="124"/>
      <c r="GJ124" s="124"/>
      <c r="GK124" s="124"/>
      <c r="GN124" s="111"/>
      <c r="GO124" s="111"/>
      <c r="GP124" s="124">
        <v>0.61357492537313429</v>
      </c>
      <c r="GQ124" s="124">
        <v>0.67719687888888902</v>
      </c>
      <c r="GR124" s="124">
        <v>0.70426430052727285</v>
      </c>
      <c r="GV124" s="111"/>
      <c r="GW124" s="124">
        <v>0.61546119402985078</v>
      </c>
      <c r="GX124" s="124">
        <v>0.65539532805555556</v>
      </c>
      <c r="GY124" s="124">
        <v>0.70282465435064934</v>
      </c>
      <c r="HC124" s="124">
        <v>0.67762366047051303</v>
      </c>
      <c r="HD124" s="124">
        <v>0.53696170833333345</v>
      </c>
      <c r="HE124" s="124">
        <v>0.58299195058441566</v>
      </c>
      <c r="HF124" s="124"/>
      <c r="HI124" s="111"/>
      <c r="HJ124" s="111"/>
      <c r="HK124" s="111"/>
      <c r="HL124" s="111"/>
      <c r="HM124" s="124"/>
      <c r="HN124" s="124"/>
      <c r="HO124" s="124"/>
      <c r="HR124" s="111">
        <v>0.20890284025711586</v>
      </c>
      <c r="HS124" s="111"/>
      <c r="HT124" s="111"/>
      <c r="HU124" s="124"/>
      <c r="HV124" s="124"/>
      <c r="HW124" s="124"/>
      <c r="HZ124" s="111"/>
      <c r="IA124" s="124"/>
      <c r="IB124" s="124"/>
      <c r="IC124" s="124"/>
      <c r="IE124" s="111"/>
      <c r="IF124" s="124"/>
      <c r="IG124" s="124"/>
      <c r="IH124" s="124"/>
      <c r="IK124" s="124"/>
      <c r="IL124" s="124"/>
      <c r="IO124" s="124"/>
      <c r="IP124" s="124"/>
      <c r="IS124" s="160"/>
      <c r="IT124" s="160"/>
      <c r="IU124" s="160"/>
      <c r="IX124" s="124"/>
      <c r="IY124" s="124"/>
      <c r="IZ124" s="124"/>
      <c r="JA124" s="124"/>
      <c r="JD124" s="124">
        <v>125250.25</v>
      </c>
      <c r="JE124" s="124">
        <v>125250.25</v>
      </c>
      <c r="JH124" s="124">
        <v>125250.25</v>
      </c>
      <c r="JI124" s="124">
        <v>125250.25</v>
      </c>
      <c r="JJ124" s="124">
        <v>112725.22499999998</v>
      </c>
      <c r="JM124" s="124">
        <v>102805.40519999992</v>
      </c>
      <c r="JN124" s="124">
        <v>101091.98177999991</v>
      </c>
      <c r="JQ124" s="124">
        <v>35070.070000000065</v>
      </c>
      <c r="JR124" s="124">
        <v>64328.528400000068</v>
      </c>
      <c r="JS124" s="124">
        <v>72047.9518080001</v>
      </c>
      <c r="JV124" s="124">
        <v>63735.960000000079</v>
      </c>
      <c r="JW124" s="124">
        <v>71384.275200000033</v>
      </c>
      <c r="JY124" s="124">
        <v>84981.279999999912</v>
      </c>
      <c r="JZ124" s="124">
        <v>73933.713600000017</v>
      </c>
      <c r="KB124" s="124">
        <v>79669.949999999953</v>
      </c>
      <c r="KC124" s="124">
        <v>85512.413000000059</v>
      </c>
      <c r="KD124" s="124">
        <v>97484.150820000097</v>
      </c>
    </row>
    <row r="125" spans="2:290" hidden="1" x14ac:dyDescent="0.25">
      <c r="B125" s="6"/>
      <c r="C125" s="6"/>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64"/>
      <c r="AR125" s="164"/>
      <c r="AS125" s="164"/>
      <c r="AT125" s="164"/>
      <c r="AU125" s="164"/>
      <c r="AV125" s="164"/>
      <c r="AW125" s="164"/>
      <c r="AX125" s="164"/>
      <c r="AY125" s="164"/>
      <c r="AZ125" s="164"/>
      <c r="BA125" s="164"/>
      <c r="BB125" s="164"/>
      <c r="BC125" s="164"/>
      <c r="BD125" s="164"/>
      <c r="BE125" s="164"/>
      <c r="BF125" s="164"/>
      <c r="BG125" s="164"/>
      <c r="BH125" s="164"/>
      <c r="BI125" s="164"/>
      <c r="BJ125" s="164"/>
      <c r="BK125" s="164"/>
      <c r="BL125" s="164"/>
      <c r="BM125" s="164"/>
      <c r="BN125" s="164"/>
      <c r="BO125" s="164"/>
      <c r="BP125" s="164"/>
      <c r="BQ125" s="164"/>
      <c r="BR125" s="164"/>
      <c r="BS125" s="164"/>
      <c r="BT125" s="164"/>
      <c r="BU125" s="164"/>
      <c r="BV125" s="164"/>
      <c r="BW125" s="164"/>
      <c r="BX125" s="164"/>
      <c r="BY125" s="164"/>
      <c r="BZ125" s="164"/>
      <c r="CA125" s="164"/>
      <c r="CB125" s="164"/>
      <c r="CC125" s="164"/>
      <c r="CD125" s="164"/>
      <c r="CE125" s="164"/>
      <c r="CF125" s="164"/>
      <c r="CG125" s="164"/>
      <c r="CH125" s="164"/>
      <c r="CI125" s="164"/>
      <c r="CJ125" s="164"/>
      <c r="CK125" s="164"/>
      <c r="CL125" s="164"/>
      <c r="CM125" s="164"/>
      <c r="CN125" s="164"/>
      <c r="CO125" s="165"/>
      <c r="CP125" s="165"/>
      <c r="CQ125" s="6"/>
      <c r="CR125" s="6"/>
      <c r="CS125" s="6"/>
      <c r="CT125" s="15"/>
      <c r="CU125" s="15"/>
      <c r="CV125" s="15"/>
      <c r="CW125" s="15"/>
      <c r="CX125" s="15"/>
      <c r="DK125" s="6"/>
      <c r="DL125" s="6"/>
      <c r="DM125" s="6"/>
      <c r="DN125" s="6"/>
      <c r="DO125" s="6"/>
      <c r="EA125" s="15"/>
      <c r="EB125" s="166"/>
      <c r="EC125" s="15">
        <v>2.4999999999999994E-2</v>
      </c>
      <c r="ED125" s="15"/>
      <c r="EE125" s="15"/>
      <c r="EF125" s="15"/>
      <c r="EJ125" s="166"/>
      <c r="EK125" s="15"/>
      <c r="EL125" s="15"/>
      <c r="EM125" s="15"/>
      <c r="EN125" s="15"/>
      <c r="EP125" s="15"/>
      <c r="EQ125" s="15"/>
      <c r="ER125" s="15"/>
      <c r="ES125" s="15"/>
      <c r="EV125" s="15"/>
      <c r="EW125" s="15"/>
      <c r="EX125" s="15"/>
      <c r="EY125" s="15"/>
      <c r="EZ125" s="15"/>
      <c r="FA125" s="15"/>
      <c r="FD125" s="15"/>
      <c r="FE125" s="15"/>
      <c r="FF125" s="15"/>
      <c r="FG125" s="15"/>
      <c r="FH125" s="15"/>
      <c r="FK125" s="15"/>
      <c r="FL125" s="15"/>
      <c r="FO125" s="15"/>
      <c r="FP125" s="15"/>
      <c r="FQ125" s="15"/>
      <c r="FR125" s="15"/>
      <c r="FU125" s="15"/>
      <c r="FV125" s="15"/>
      <c r="FW125" s="15"/>
      <c r="FX125" s="15"/>
      <c r="FY125" s="15"/>
      <c r="GA125" s="15"/>
      <c r="GB125" s="15"/>
      <c r="GC125" s="15"/>
      <c r="GF125" s="15"/>
      <c r="GG125" s="15"/>
      <c r="GH125" s="15"/>
      <c r="GI125" s="166">
        <v>5.0694453103860893E-2</v>
      </c>
      <c r="GJ125" s="167">
        <v>5.91340219243075E-2</v>
      </c>
      <c r="GK125" s="15"/>
      <c r="GN125" s="15"/>
      <c r="GO125" s="15"/>
      <c r="GP125" s="166">
        <v>7.0025943607147312E-2</v>
      </c>
      <c r="GQ125" s="167">
        <v>8.8498214547273246E-2</v>
      </c>
      <c r="GR125" s="166">
        <v>9.6338837384752241E-2</v>
      </c>
      <c r="GV125" s="167"/>
      <c r="GW125" s="166">
        <v>5.8417727861849178E-2</v>
      </c>
      <c r="GX125" s="167">
        <v>7.0833422294217741E-2</v>
      </c>
      <c r="GY125" s="166">
        <v>9.559128815258755E-2</v>
      </c>
      <c r="HC125" s="166"/>
      <c r="HD125" s="167">
        <v>-3.0736395708793496E-2</v>
      </c>
      <c r="HE125" s="166">
        <v>2.9406944665202328E-2</v>
      </c>
      <c r="HF125" s="166"/>
      <c r="HI125" s="167"/>
      <c r="HJ125" s="167"/>
      <c r="HK125" s="167"/>
      <c r="HL125" s="167"/>
      <c r="HM125" s="166"/>
      <c r="HN125" s="166"/>
      <c r="HO125" s="166"/>
      <c r="HR125" s="167"/>
      <c r="HS125" s="167"/>
      <c r="HT125" s="167"/>
      <c r="HU125" s="167"/>
      <c r="HV125" s="166"/>
      <c r="HW125" s="166"/>
      <c r="HZ125" s="167"/>
      <c r="IA125" s="167"/>
      <c r="IB125" s="166"/>
      <c r="IC125" s="166">
        <v>0.64570057712359552</v>
      </c>
      <c r="IE125" s="167"/>
      <c r="IF125" s="168"/>
      <c r="IG125" s="166"/>
      <c r="IH125" s="166">
        <v>0.68301829388764046</v>
      </c>
      <c r="IK125" s="166"/>
      <c r="IL125" s="166">
        <v>0.68301829388764046</v>
      </c>
      <c r="IO125" s="166"/>
      <c r="IP125" s="166"/>
      <c r="IS125" s="15" t="s">
        <v>107</v>
      </c>
      <c r="IT125" s="15" t="s">
        <v>27</v>
      </c>
      <c r="IU125" s="15" t="s">
        <v>28</v>
      </c>
      <c r="IX125" s="167"/>
      <c r="IY125" s="166"/>
      <c r="IZ125" s="166"/>
      <c r="JA125" s="166"/>
      <c r="JD125" s="166"/>
      <c r="JE125" s="166"/>
      <c r="JH125" s="166"/>
      <c r="JI125" s="166"/>
      <c r="JJ125" s="166"/>
      <c r="JM125" s="166"/>
      <c r="JN125" s="166"/>
      <c r="JQ125" s="166"/>
      <c r="JR125" s="166"/>
      <c r="JS125" s="166"/>
      <c r="JV125" s="166"/>
      <c r="JW125" s="166"/>
      <c r="JY125" s="166"/>
      <c r="JZ125" s="166"/>
      <c r="KB125" s="166"/>
      <c r="KC125" s="166"/>
      <c r="KD125" s="166"/>
    </row>
    <row r="126" spans="2:290" s="60" customFormat="1" hidden="1" x14ac:dyDescent="0.25">
      <c r="B126" s="58" t="s">
        <v>230</v>
      </c>
      <c r="C126" s="4"/>
      <c r="D126" s="4"/>
      <c r="E126" s="4"/>
      <c r="F126" s="4"/>
      <c r="G126" s="4"/>
      <c r="H126" s="145" t="str">
        <f>H118</f>
        <v>CY10</v>
      </c>
      <c r="I126" s="145" t="str">
        <f t="shared" ref="I126:BT126" si="219">I118</f>
        <v>1QFY11</v>
      </c>
      <c r="J126" s="145" t="str">
        <f t="shared" si="219"/>
        <v>2QFY11</v>
      </c>
      <c r="K126" s="145" t="str">
        <f t="shared" si="219"/>
        <v>3QFY11</v>
      </c>
      <c r="L126" s="145" t="str">
        <f t="shared" si="219"/>
        <v>4QFY11</v>
      </c>
      <c r="M126" s="145" t="str">
        <f t="shared" si="219"/>
        <v>CY11</v>
      </c>
      <c r="N126" s="145" t="str">
        <f t="shared" si="219"/>
        <v>1QFY12</v>
      </c>
      <c r="O126" s="145" t="str">
        <f t="shared" si="219"/>
        <v>2QFY12</v>
      </c>
      <c r="P126" s="145" t="str">
        <f t="shared" si="219"/>
        <v>3QFY12</v>
      </c>
      <c r="Q126" s="145" t="str">
        <f t="shared" si="219"/>
        <v>4QFY12</v>
      </c>
      <c r="R126" s="145" t="str">
        <f t="shared" si="219"/>
        <v>CY12</v>
      </c>
      <c r="S126" s="145" t="str">
        <f t="shared" si="219"/>
        <v>1QFY13</v>
      </c>
      <c r="T126" s="145" t="str">
        <f t="shared" si="219"/>
        <v>2QFY13</v>
      </c>
      <c r="U126" s="145" t="str">
        <f t="shared" si="219"/>
        <v>3QFY13</v>
      </c>
      <c r="V126" s="145" t="str">
        <f t="shared" si="219"/>
        <v>4QFY13</v>
      </c>
      <c r="W126" s="145" t="str">
        <f t="shared" si="219"/>
        <v>CY13</v>
      </c>
      <c r="X126" s="145" t="str">
        <f t="shared" si="219"/>
        <v>1QFY14</v>
      </c>
      <c r="Y126" s="145" t="str">
        <f t="shared" si="219"/>
        <v>2QFY14</v>
      </c>
      <c r="Z126" s="145" t="str">
        <f t="shared" si="219"/>
        <v>3QFY14</v>
      </c>
      <c r="AA126" s="145" t="str">
        <f t="shared" si="219"/>
        <v>4QFY14</v>
      </c>
      <c r="AB126" s="145" t="str">
        <f t="shared" si="219"/>
        <v>CY14</v>
      </c>
      <c r="AC126" s="145" t="str">
        <f t="shared" si="219"/>
        <v>1QFY15</v>
      </c>
      <c r="AD126" s="145" t="str">
        <f t="shared" si="219"/>
        <v>2QFY15</v>
      </c>
      <c r="AE126" s="145" t="str">
        <f t="shared" si="219"/>
        <v>3QFY15</v>
      </c>
      <c r="AF126" s="145" t="str">
        <f t="shared" si="219"/>
        <v>4QFY15</v>
      </c>
      <c r="AG126" s="145" t="str">
        <f t="shared" si="219"/>
        <v>CY15</v>
      </c>
      <c r="AH126" s="145" t="str">
        <f t="shared" si="219"/>
        <v>1QFY16</v>
      </c>
      <c r="AI126" s="145" t="str">
        <f t="shared" si="219"/>
        <v>2QFY16</v>
      </c>
      <c r="AJ126" s="145" t="str">
        <f t="shared" si="219"/>
        <v>3QFY16</v>
      </c>
      <c r="AK126" s="145" t="str">
        <f t="shared" si="219"/>
        <v>FY16</v>
      </c>
      <c r="AL126" s="145" t="str">
        <f t="shared" si="219"/>
        <v>1QFY17</v>
      </c>
      <c r="AM126" s="145" t="str">
        <f t="shared" si="219"/>
        <v>2QFY17</v>
      </c>
      <c r="AN126" s="145" t="str">
        <f t="shared" si="219"/>
        <v>3QFY17</v>
      </c>
      <c r="AO126" s="145" t="str">
        <f t="shared" si="219"/>
        <v>4QFY17</v>
      </c>
      <c r="AP126" s="145" t="str">
        <f t="shared" si="219"/>
        <v>FY17</v>
      </c>
      <c r="AQ126" s="145" t="str">
        <f t="shared" si="219"/>
        <v>1QFY18</v>
      </c>
      <c r="AR126" s="145" t="str">
        <f t="shared" si="219"/>
        <v>2QFY18</v>
      </c>
      <c r="AS126" s="145" t="str">
        <f t="shared" si="219"/>
        <v>3QFY18</v>
      </c>
      <c r="AT126" s="145" t="str">
        <f t="shared" si="219"/>
        <v>4QFY18</v>
      </c>
      <c r="AU126" s="145" t="str">
        <f t="shared" si="219"/>
        <v>FY18</v>
      </c>
      <c r="AV126" s="145" t="str">
        <f t="shared" si="219"/>
        <v>1QFY19</v>
      </c>
      <c r="AW126" s="145" t="str">
        <f t="shared" si="219"/>
        <v>2QFY19</v>
      </c>
      <c r="AX126" s="145" t="str">
        <f t="shared" si="219"/>
        <v>3QFY19</v>
      </c>
      <c r="AY126" s="145" t="str">
        <f t="shared" si="219"/>
        <v>4QFY19</v>
      </c>
      <c r="AZ126" s="145" t="str">
        <f t="shared" si="219"/>
        <v>FY19</v>
      </c>
      <c r="BA126" s="145" t="str">
        <f t="shared" si="219"/>
        <v>1QFY20</v>
      </c>
      <c r="BB126" s="145" t="str">
        <f t="shared" si="219"/>
        <v>2QFY20</v>
      </c>
      <c r="BC126" s="145" t="str">
        <f t="shared" si="219"/>
        <v>3QFY20</v>
      </c>
      <c r="BD126" s="145" t="str">
        <f t="shared" si="219"/>
        <v>4QFY20</v>
      </c>
      <c r="BE126" s="145" t="str">
        <f t="shared" si="219"/>
        <v>FY20</v>
      </c>
      <c r="BF126" s="145" t="str">
        <f t="shared" si="219"/>
        <v>1QFY21</v>
      </c>
      <c r="BG126" s="145" t="str">
        <f t="shared" si="219"/>
        <v>2QFY21</v>
      </c>
      <c r="BH126" s="145" t="str">
        <f t="shared" si="219"/>
        <v>3QFY21</v>
      </c>
      <c r="BI126" s="145" t="str">
        <f t="shared" si="219"/>
        <v>4QFY21</v>
      </c>
      <c r="BJ126" s="145" t="str">
        <f t="shared" si="219"/>
        <v>FY21</v>
      </c>
      <c r="BK126" s="145" t="str">
        <f t="shared" si="219"/>
        <v>1QFY22</v>
      </c>
      <c r="BL126" s="145" t="str">
        <f t="shared" si="219"/>
        <v>2QFY22</v>
      </c>
      <c r="BM126" s="145" t="str">
        <f t="shared" si="219"/>
        <v>3QFY22</v>
      </c>
      <c r="BN126" s="145" t="str">
        <f t="shared" si="219"/>
        <v>4QFY22</v>
      </c>
      <c r="BO126" s="145" t="str">
        <f t="shared" si="219"/>
        <v>FY22</v>
      </c>
      <c r="BP126" s="145" t="str">
        <f t="shared" si="219"/>
        <v>1QFY23</v>
      </c>
      <c r="BQ126" s="145" t="str">
        <f t="shared" si="219"/>
        <v>2QFY23</v>
      </c>
      <c r="BR126" s="145" t="str">
        <f t="shared" si="219"/>
        <v>3QFY23</v>
      </c>
      <c r="BS126" s="145" t="str">
        <f t="shared" si="219"/>
        <v>4QFY23</v>
      </c>
      <c r="BT126" s="145" t="str">
        <f t="shared" si="219"/>
        <v>FY23</v>
      </c>
      <c r="BU126" s="145" t="str">
        <f t="shared" ref="BU126:CN126" si="220">BU118</f>
        <v>1QFY24</v>
      </c>
      <c r="BV126" s="145" t="str">
        <f t="shared" si="220"/>
        <v>2QFY24</v>
      </c>
      <c r="BW126" s="145" t="str">
        <f t="shared" si="220"/>
        <v>3QFY24</v>
      </c>
      <c r="BX126" s="145" t="str">
        <f t="shared" si="220"/>
        <v>4QFY24</v>
      </c>
      <c r="BY126" s="145" t="str">
        <f t="shared" si="220"/>
        <v>FY24</v>
      </c>
      <c r="BZ126" s="145" t="str">
        <f t="shared" si="220"/>
        <v>1QFY25</v>
      </c>
      <c r="CA126" s="145" t="str">
        <f t="shared" si="220"/>
        <v>2QFY25</v>
      </c>
      <c r="CB126" s="145" t="str">
        <f t="shared" si="220"/>
        <v>3QFY25</v>
      </c>
      <c r="CC126" s="145" t="str">
        <f t="shared" si="220"/>
        <v>4QFY25</v>
      </c>
      <c r="CD126" s="145" t="str">
        <f t="shared" si="220"/>
        <v>FY25</v>
      </c>
      <c r="CE126" s="145" t="str">
        <f t="shared" si="220"/>
        <v>1QFY26</v>
      </c>
      <c r="CF126" s="145" t="str">
        <f t="shared" si="220"/>
        <v>2QFY26</v>
      </c>
      <c r="CG126" s="145" t="str">
        <f t="shared" si="220"/>
        <v>3QFY26</v>
      </c>
      <c r="CH126" s="145" t="str">
        <f t="shared" si="220"/>
        <v>4QFY26</v>
      </c>
      <c r="CI126" s="145" t="str">
        <f t="shared" si="220"/>
        <v>FY26</v>
      </c>
      <c r="CJ126" s="145" t="str">
        <f t="shared" si="220"/>
        <v>FY27E</v>
      </c>
      <c r="CK126" s="145" t="str">
        <f t="shared" si="220"/>
        <v>FY28E</v>
      </c>
      <c r="CL126" s="145" t="str">
        <f t="shared" si="220"/>
        <v>FY29E</v>
      </c>
      <c r="CM126" s="145" t="str">
        <f t="shared" si="220"/>
        <v>FY30E</v>
      </c>
      <c r="CN126" s="145" t="str">
        <f t="shared" si="220"/>
        <v>FY31E</v>
      </c>
      <c r="CO126" s="148"/>
      <c r="CP126" s="148"/>
      <c r="CQ126" s="58"/>
      <c r="CR126" s="58"/>
      <c r="CS126" s="58"/>
      <c r="CT126" s="143"/>
      <c r="CU126" s="143"/>
      <c r="CV126" s="143"/>
      <c r="CW126" s="143"/>
      <c r="CX126" s="143"/>
      <c r="CY126" s="143"/>
      <c r="CZ126" s="143"/>
      <c r="DA126" s="143"/>
      <c r="DB126" s="143"/>
      <c r="DC126" s="143"/>
      <c r="DD126" s="143"/>
      <c r="DE126" s="143"/>
      <c r="DF126" s="143"/>
      <c r="DG126" s="143"/>
      <c r="DH126" s="143"/>
      <c r="DI126" s="143"/>
      <c r="DK126" s="143"/>
      <c r="DL126" s="143"/>
      <c r="DM126" s="58"/>
      <c r="DN126" s="143"/>
      <c r="DO126" s="143"/>
      <c r="DQ126" s="4"/>
      <c r="DR126" s="143"/>
      <c r="DS126" s="143"/>
      <c r="DT126" s="143"/>
      <c r="DV126" s="143"/>
      <c r="DW126" s="143"/>
      <c r="DX126" s="143"/>
      <c r="EA126" s="119"/>
      <c r="EB126" s="119"/>
      <c r="EC126" s="119"/>
      <c r="ED126" s="143"/>
      <c r="EE126" s="143"/>
      <c r="EF126" s="143"/>
      <c r="EJ126" s="119"/>
      <c r="EK126" s="119"/>
      <c r="EL126" s="143"/>
      <c r="EM126" s="143"/>
      <c r="EN126" s="143"/>
      <c r="EP126" s="119"/>
      <c r="EQ126" s="143"/>
      <c r="ER126" s="143"/>
      <c r="ES126" s="143"/>
      <c r="EV126" s="119"/>
      <c r="EW126" s="119"/>
      <c r="EX126" s="119"/>
      <c r="EY126" s="119"/>
      <c r="EZ126" s="143"/>
      <c r="FA126" s="143"/>
      <c r="FD126" s="119"/>
      <c r="FE126" s="119"/>
      <c r="FF126" s="119"/>
      <c r="FG126" s="143"/>
      <c r="FH126" s="143"/>
      <c r="FK126" s="143"/>
      <c r="FL126" s="143"/>
      <c r="FO126" s="119"/>
      <c r="FP126" s="119"/>
      <c r="FQ126" s="143"/>
      <c r="FR126" s="143"/>
      <c r="FU126" s="119"/>
      <c r="FV126" s="143"/>
      <c r="FW126" s="143"/>
      <c r="FX126" s="143"/>
      <c r="FY126" s="143"/>
      <c r="GA126" s="143"/>
      <c r="GB126" s="143"/>
      <c r="GC126" s="143"/>
      <c r="GF126" s="119"/>
      <c r="GG126" s="119"/>
      <c r="GH126" s="119"/>
      <c r="GI126" s="143"/>
      <c r="GJ126" s="143"/>
      <c r="GK126" s="143"/>
      <c r="GN126" s="119"/>
      <c r="GO126" s="119"/>
      <c r="GP126" s="143"/>
      <c r="GQ126" s="143"/>
      <c r="GR126" s="143"/>
      <c r="GV126" s="119"/>
      <c r="GW126" s="143"/>
      <c r="GX126" s="143"/>
      <c r="GY126" s="143"/>
      <c r="HC126" s="143"/>
      <c r="HD126" s="143"/>
      <c r="HE126" s="143"/>
      <c r="HF126" s="143"/>
      <c r="HI126" s="119"/>
      <c r="HJ126" s="119"/>
      <c r="HK126" s="119"/>
      <c r="HL126" s="119"/>
      <c r="HM126" s="143"/>
      <c r="HN126" s="143"/>
      <c r="HO126" s="143"/>
      <c r="HR126" s="119"/>
      <c r="HS126" s="119"/>
      <c r="HT126" s="119"/>
      <c r="HU126" s="143"/>
      <c r="HV126" s="143"/>
      <c r="HW126" s="143"/>
      <c r="HZ126" s="119"/>
      <c r="IA126" s="143"/>
      <c r="IB126" s="143"/>
      <c r="IC126" s="143"/>
      <c r="IE126" s="119"/>
      <c r="IF126" s="143"/>
      <c r="IG126" s="143"/>
      <c r="IH126" s="143"/>
      <c r="IK126" s="143"/>
      <c r="IL126" s="143"/>
      <c r="IO126" s="143"/>
      <c r="IP126" s="143"/>
      <c r="IS126" s="157"/>
      <c r="IT126" s="157"/>
      <c r="IU126" s="157"/>
      <c r="IX126" s="143"/>
      <c r="IY126" s="143"/>
      <c r="IZ126" s="143"/>
      <c r="JA126" s="143"/>
      <c r="JD126" s="143"/>
      <c r="JE126" s="143"/>
      <c r="JH126" s="143"/>
      <c r="JI126" s="143"/>
      <c r="JJ126" s="143"/>
      <c r="JM126" s="143"/>
      <c r="JN126" s="143"/>
      <c r="JQ126" s="143"/>
      <c r="JR126" s="143"/>
      <c r="JS126" s="143"/>
      <c r="JV126" s="143"/>
      <c r="JW126" s="143"/>
      <c r="JY126" s="143"/>
      <c r="JZ126" s="143"/>
      <c r="KB126" s="143"/>
      <c r="KC126" s="143"/>
      <c r="KD126" s="143"/>
    </row>
    <row r="127" spans="2:290" hidden="1" x14ac:dyDescent="0.25">
      <c r="B127" s="6" t="s">
        <v>222</v>
      </c>
      <c r="C127" s="136"/>
      <c r="D127" s="136"/>
      <c r="E127" s="136"/>
      <c r="F127" s="136"/>
      <c r="G127" s="136"/>
      <c r="H127" s="132"/>
      <c r="I127" s="158"/>
      <c r="J127" s="158"/>
      <c r="K127" s="158"/>
      <c r="L127" s="158"/>
      <c r="M127" s="132"/>
      <c r="N127" s="158"/>
      <c r="O127" s="158"/>
      <c r="P127" s="158"/>
      <c r="Q127" s="158"/>
      <c r="R127" s="132"/>
      <c r="S127" s="158"/>
      <c r="T127" s="158"/>
      <c r="U127" s="158"/>
      <c r="V127" s="158"/>
      <c r="W127" s="132"/>
      <c r="X127" s="158"/>
      <c r="Y127" s="158"/>
      <c r="Z127" s="158"/>
      <c r="AA127" s="158"/>
      <c r="AB127" s="132"/>
      <c r="AC127" s="158"/>
      <c r="AD127" s="158"/>
      <c r="AE127" s="158"/>
      <c r="AF127" s="158"/>
      <c r="AG127" s="132"/>
      <c r="AH127" s="158"/>
      <c r="AI127" s="158"/>
      <c r="AJ127" s="158"/>
      <c r="AK127" s="132"/>
      <c r="AL127" s="158"/>
      <c r="AM127" s="158"/>
      <c r="AN127" s="158"/>
      <c r="AO127" s="158"/>
      <c r="AP127" s="132"/>
      <c r="AQ127" s="158"/>
      <c r="AR127" s="158"/>
      <c r="AS127" s="158"/>
      <c r="AT127" s="158"/>
      <c r="AU127" s="132"/>
      <c r="AV127" s="137"/>
      <c r="AW127" s="137"/>
      <c r="AX127" s="137"/>
      <c r="AY127" s="137"/>
      <c r="AZ127" s="132"/>
      <c r="BA127" s="137"/>
      <c r="BB127" s="137"/>
      <c r="BC127" s="137"/>
      <c r="BD127" s="137"/>
      <c r="BE127" s="132"/>
      <c r="BF127" s="137"/>
      <c r="BG127" s="137"/>
      <c r="BH127" s="137"/>
      <c r="BI127" s="137"/>
      <c r="BJ127" s="161">
        <f>BJ119/BJ109</f>
        <v>0.57774153280889351</v>
      </c>
      <c r="BK127" s="137"/>
      <c r="BL127" s="137"/>
      <c r="BM127" s="137"/>
      <c r="BN127" s="137"/>
      <c r="BO127" s="161">
        <f>BO119/BO109</f>
        <v>0.51935056328694496</v>
      </c>
      <c r="BP127" s="137"/>
      <c r="BQ127" s="137"/>
      <c r="BR127" s="137"/>
      <c r="BS127" s="137"/>
      <c r="BT127" s="161">
        <f>BT119/BT109</f>
        <v>0.62234457398686438</v>
      </c>
      <c r="BU127" s="137"/>
      <c r="BV127" s="137"/>
      <c r="BW127" s="137"/>
      <c r="BX127" s="137"/>
      <c r="BY127" s="161">
        <f>BY119/BY109</f>
        <v>0.67755210784552389</v>
      </c>
      <c r="BZ127" s="137"/>
      <c r="CA127" s="137"/>
      <c r="CB127" s="137"/>
      <c r="CC127" s="137"/>
      <c r="CD127" s="161">
        <f>CD119/CD109</f>
        <v>0.60872609829782742</v>
      </c>
      <c r="CE127" s="137"/>
      <c r="CF127" s="137"/>
      <c r="CG127" s="137"/>
      <c r="CH127" s="137"/>
      <c r="CI127" s="161">
        <f t="shared" ref="CI127:CK130" si="221">CI119/CI109</f>
        <v>0.60745298263297254</v>
      </c>
      <c r="CJ127" s="161">
        <f t="shared" si="221"/>
        <v>0.62387409283855955</v>
      </c>
      <c r="CK127" s="161">
        <f t="shared" si="221"/>
        <v>0.66388729843908045</v>
      </c>
      <c r="CL127" s="161"/>
      <c r="CM127" s="161"/>
      <c r="CN127" s="161"/>
      <c r="CO127" s="74"/>
      <c r="CP127" s="74"/>
      <c r="CQ127" s="6"/>
      <c r="CR127" s="6"/>
      <c r="CS127" s="6"/>
      <c r="CT127" s="124"/>
      <c r="CU127" s="124"/>
      <c r="CV127" s="124"/>
      <c r="CW127" s="124"/>
      <c r="CX127" s="124"/>
      <c r="CY127" s="124"/>
      <c r="CZ127" s="124"/>
      <c r="DA127" s="124"/>
      <c r="DB127" s="124"/>
      <c r="DC127" s="124"/>
      <c r="DD127" s="124"/>
      <c r="DE127" s="124"/>
      <c r="DF127" s="124"/>
      <c r="DG127" s="124"/>
      <c r="DH127" s="124"/>
      <c r="DI127" s="124"/>
      <c r="DK127" s="124"/>
      <c r="DL127" s="124"/>
      <c r="DM127" s="6"/>
      <c r="DN127" s="124"/>
      <c r="DO127" s="124"/>
      <c r="DQ127" s="136"/>
      <c r="DR127" s="124"/>
      <c r="DS127" s="124"/>
      <c r="DT127" s="124"/>
      <c r="DV127" s="124"/>
      <c r="DW127" s="124"/>
      <c r="DX127" s="124"/>
      <c r="EA127" s="111"/>
      <c r="EB127" s="111"/>
      <c r="EC127" s="111"/>
      <c r="ED127" s="124"/>
      <c r="EE127" s="124"/>
      <c r="EF127" s="124"/>
      <c r="EJ127" s="111"/>
      <c r="EK127" s="111"/>
      <c r="EL127" s="124"/>
      <c r="EM127" s="124"/>
      <c r="EN127" s="124"/>
      <c r="EP127" s="111"/>
      <c r="EQ127" s="124"/>
      <c r="ER127" s="124"/>
      <c r="ES127" s="124"/>
      <c r="EV127" s="111"/>
      <c r="EW127" s="111"/>
      <c r="EX127" s="111"/>
      <c r="EY127" s="111"/>
      <c r="EZ127" s="124"/>
      <c r="FA127" s="124"/>
      <c r="FD127" s="111"/>
      <c r="FE127" s="111"/>
      <c r="FF127" s="111"/>
      <c r="FG127" s="124"/>
      <c r="FH127" s="124"/>
      <c r="FK127" s="124"/>
      <c r="FL127" s="124"/>
      <c r="FO127" s="111">
        <v>77028.600000000006</v>
      </c>
      <c r="FP127" s="111">
        <v>91655.599999999948</v>
      </c>
      <c r="FQ127" s="124">
        <v>321710.19999999995</v>
      </c>
      <c r="FR127" s="124">
        <v>369966.72999999992</v>
      </c>
      <c r="FU127" s="111">
        <v>78670.840000000026</v>
      </c>
      <c r="FV127" s="124">
        <v>302127.84000000003</v>
      </c>
      <c r="FW127" s="124">
        <v>265872.49920000002</v>
      </c>
      <c r="FX127" s="124">
        <v>297777.19910400006</v>
      </c>
      <c r="FY127" s="124">
        <v>333510.46299648011</v>
      </c>
      <c r="GA127" s="124">
        <v>276710.24</v>
      </c>
      <c r="GB127" s="124">
        <v>318216.77599999995</v>
      </c>
      <c r="GC127" s="124">
        <v>356402.78911999997</v>
      </c>
      <c r="GF127" s="111"/>
      <c r="GG127" s="111"/>
      <c r="GH127" s="111"/>
      <c r="GI127" s="124">
        <v>294756.56</v>
      </c>
      <c r="GJ127" s="124">
        <v>359603.00319999998</v>
      </c>
      <c r="GK127" s="124">
        <v>402755.36358400004</v>
      </c>
      <c r="GN127" s="111"/>
      <c r="GO127" s="111"/>
      <c r="GP127" s="124">
        <v>306787.44</v>
      </c>
      <c r="GQ127" s="124">
        <v>374280.67680000002</v>
      </c>
      <c r="GR127" s="124">
        <v>419194.35801600007</v>
      </c>
      <c r="GV127" s="111">
        <v>79404.27999999997</v>
      </c>
      <c r="GW127" s="124">
        <v>297764.27999999997</v>
      </c>
      <c r="GX127" s="124">
        <v>345406.56479999993</v>
      </c>
      <c r="GY127" s="124">
        <v>397217.54951999988</v>
      </c>
      <c r="HC127" s="124">
        <v>84189.73000000001</v>
      </c>
      <c r="HD127" s="124">
        <v>261977.73</v>
      </c>
      <c r="HE127" s="124">
        <v>305204.05545000004</v>
      </c>
      <c r="HF127" s="124">
        <v>338776.5015495001</v>
      </c>
      <c r="HI127" s="111">
        <v>91681.65</v>
      </c>
      <c r="HJ127" s="111">
        <v>76104</v>
      </c>
      <c r="HK127" s="111">
        <v>74356.100000000006</v>
      </c>
      <c r="HL127" s="111">
        <v>97984.049999999988</v>
      </c>
      <c r="HM127" s="124">
        <v>340125.8</v>
      </c>
      <c r="HN127" s="124">
        <v>377539.63800000004</v>
      </c>
      <c r="HO127" s="124">
        <v>407742.80904000008</v>
      </c>
      <c r="HR127" s="111">
        <v>76104</v>
      </c>
      <c r="HS127" s="111">
        <v>74356.100000000006</v>
      </c>
      <c r="HT127" s="111">
        <v>110241.69999999998</v>
      </c>
      <c r="HU127" s="124">
        <v>340125.8</v>
      </c>
      <c r="HV127" s="124">
        <v>377539.63800000004</v>
      </c>
      <c r="HW127" s="124">
        <v>407742.80904000008</v>
      </c>
      <c r="HZ127" s="111">
        <v>74356.100000000006</v>
      </c>
      <c r="IA127" s="124">
        <v>340125.8</v>
      </c>
      <c r="IB127" s="124">
        <v>377539.63800000004</v>
      </c>
      <c r="IC127" s="124">
        <v>407742.80904000008</v>
      </c>
      <c r="IE127" s="111">
        <v>110288.19999999995</v>
      </c>
      <c r="IF127" s="124">
        <v>373041.19999999995</v>
      </c>
      <c r="IG127" s="124">
        <v>414075.73199999996</v>
      </c>
      <c r="IH127" s="124">
        <v>447201.79055999999</v>
      </c>
      <c r="IK127" s="124">
        <v>414075.73199999996</v>
      </c>
      <c r="IL127" s="124">
        <v>447201.79055999999</v>
      </c>
      <c r="IO127" s="124">
        <v>457556.12</v>
      </c>
      <c r="IP127" s="124">
        <v>512462.85440000007</v>
      </c>
      <c r="IS127" s="160">
        <v>62378.299999999996</v>
      </c>
      <c r="IT127" s="160">
        <v>68616.13</v>
      </c>
      <c r="IU127" s="160">
        <v>75477.743000000017</v>
      </c>
      <c r="IX127" s="124">
        <v>145353.79999999999</v>
      </c>
      <c r="IY127" s="124">
        <v>487559.8</v>
      </c>
      <c r="IZ127" s="124">
        <v>565569.3679999999</v>
      </c>
      <c r="JA127" s="124">
        <v>656060.46687999985</v>
      </c>
      <c r="JD127" s="124">
        <v>626251.25</v>
      </c>
      <c r="JE127" s="124">
        <v>751501.5</v>
      </c>
      <c r="JH127" s="124">
        <v>626251.25</v>
      </c>
      <c r="JI127" s="124">
        <v>751501.5</v>
      </c>
      <c r="JJ127" s="124">
        <v>864226.72499999998</v>
      </c>
      <c r="JM127" s="124">
        <v>673946.54519999993</v>
      </c>
      <c r="JN127" s="124">
        <v>775038.52697999985</v>
      </c>
      <c r="JQ127" s="124">
        <v>536071.07000000007</v>
      </c>
      <c r="JR127" s="124">
        <v>600399.59840000013</v>
      </c>
      <c r="JS127" s="124">
        <v>672447.55020800023</v>
      </c>
      <c r="JV127" s="124">
        <v>594868.96000000008</v>
      </c>
      <c r="JW127" s="124">
        <v>666253.23520000011</v>
      </c>
      <c r="JY127" s="124">
        <v>616114.27999999991</v>
      </c>
      <c r="JZ127" s="124">
        <v>690047.99359999993</v>
      </c>
      <c r="KB127" s="124">
        <v>610802.94999999995</v>
      </c>
      <c r="KC127" s="124">
        <v>696315.36300000001</v>
      </c>
      <c r="KD127" s="124">
        <v>793799.51382000011</v>
      </c>
    </row>
    <row r="128" spans="2:290" hidden="1" x14ac:dyDescent="0.25">
      <c r="B128" s="6" t="s">
        <v>223</v>
      </c>
      <c r="C128" s="136"/>
      <c r="D128" s="136"/>
      <c r="E128" s="136"/>
      <c r="F128" s="136"/>
      <c r="G128" s="136"/>
      <c r="H128" s="132"/>
      <c r="I128" s="158"/>
      <c r="J128" s="158"/>
      <c r="K128" s="158"/>
      <c r="L128" s="158"/>
      <c r="M128" s="132"/>
      <c r="N128" s="158"/>
      <c r="O128" s="158"/>
      <c r="P128" s="158"/>
      <c r="Q128" s="158"/>
      <c r="R128" s="132"/>
      <c r="S128" s="158"/>
      <c r="T128" s="158"/>
      <c r="U128" s="158"/>
      <c r="V128" s="158"/>
      <c r="W128" s="132"/>
      <c r="X128" s="158"/>
      <c r="Y128" s="158"/>
      <c r="Z128" s="158"/>
      <c r="AA128" s="158"/>
      <c r="AB128" s="132"/>
      <c r="AC128" s="158"/>
      <c r="AD128" s="158"/>
      <c r="AE128" s="158"/>
      <c r="AF128" s="158"/>
      <c r="AG128" s="132"/>
      <c r="AH128" s="158"/>
      <c r="AI128" s="158"/>
      <c r="AJ128" s="158"/>
      <c r="AK128" s="132"/>
      <c r="AL128" s="158"/>
      <c r="AM128" s="158"/>
      <c r="AN128" s="158"/>
      <c r="AO128" s="158"/>
      <c r="AP128" s="132"/>
      <c r="AQ128" s="158"/>
      <c r="AR128" s="158"/>
      <c r="AS128" s="158"/>
      <c r="AT128" s="158"/>
      <c r="AU128" s="132"/>
      <c r="AV128" s="137"/>
      <c r="AW128" s="137"/>
      <c r="AX128" s="137"/>
      <c r="AY128" s="137"/>
      <c r="AZ128" s="132"/>
      <c r="BA128" s="137"/>
      <c r="BB128" s="137"/>
      <c r="BC128" s="137"/>
      <c r="BD128" s="137"/>
      <c r="BE128" s="132"/>
      <c r="BF128" s="137"/>
      <c r="BG128" s="137"/>
      <c r="BH128" s="137"/>
      <c r="BI128" s="137"/>
      <c r="BJ128" s="161">
        <f>BJ120/BJ110</f>
        <v>0.63504545717760152</v>
      </c>
      <c r="BK128" s="137"/>
      <c r="BL128" s="137"/>
      <c r="BM128" s="137"/>
      <c r="BN128" s="137"/>
      <c r="BO128" s="161">
        <f>BO120/BO110</f>
        <v>0.60603551487619023</v>
      </c>
      <c r="BP128" s="137"/>
      <c r="BQ128" s="137"/>
      <c r="BR128" s="137"/>
      <c r="BS128" s="137"/>
      <c r="BT128" s="161">
        <f>BT120/BT110</f>
        <v>0.59957111906972627</v>
      </c>
      <c r="BU128" s="137"/>
      <c r="BV128" s="137"/>
      <c r="BW128" s="137"/>
      <c r="BX128" s="137"/>
      <c r="BY128" s="161">
        <f>BY120/BY110</f>
        <v>0.62634621560860726</v>
      </c>
      <c r="BZ128" s="137"/>
      <c r="CA128" s="137"/>
      <c r="CB128" s="137"/>
      <c r="CC128" s="137"/>
      <c r="CD128" s="161">
        <f>CD120/CD110</f>
        <v>0.60918387609213664</v>
      </c>
      <c r="CE128" s="137"/>
      <c r="CF128" s="137"/>
      <c r="CG128" s="137"/>
      <c r="CH128" s="137"/>
      <c r="CI128" s="161">
        <f t="shared" si="221"/>
        <v>0.55868921424815254</v>
      </c>
      <c r="CJ128" s="161">
        <f t="shared" si="221"/>
        <v>0.6145581356729678</v>
      </c>
      <c r="CK128" s="161">
        <f t="shared" si="221"/>
        <v>0.6760139492402647</v>
      </c>
      <c r="CL128" s="161"/>
      <c r="CM128" s="161"/>
      <c r="CN128" s="161"/>
      <c r="CO128" s="74"/>
      <c r="CP128" s="74"/>
      <c r="CQ128" s="6"/>
      <c r="CR128" s="6"/>
      <c r="CS128" s="6"/>
      <c r="CT128" s="124"/>
      <c r="CU128" s="124"/>
      <c r="CV128" s="124"/>
      <c r="CW128" s="124"/>
      <c r="CX128" s="124"/>
      <c r="CY128" s="124"/>
      <c r="CZ128" s="124"/>
      <c r="DA128" s="124"/>
      <c r="DB128" s="124"/>
      <c r="DC128" s="124"/>
      <c r="DD128" s="124"/>
      <c r="DE128" s="124"/>
      <c r="DF128" s="124"/>
      <c r="DG128" s="124"/>
      <c r="DH128" s="124"/>
      <c r="DI128" s="124"/>
      <c r="DK128" s="124"/>
      <c r="DL128" s="124"/>
      <c r="DM128" s="6"/>
      <c r="DN128" s="124"/>
      <c r="DO128" s="124"/>
      <c r="DQ128" s="136"/>
      <c r="DR128" s="124"/>
      <c r="DS128" s="124"/>
      <c r="DT128" s="124"/>
      <c r="DV128" s="124"/>
      <c r="DW128" s="124"/>
      <c r="DX128" s="124"/>
      <c r="EA128" s="111"/>
      <c r="EB128" s="111"/>
      <c r="EC128" s="111"/>
      <c r="ED128" s="124"/>
      <c r="EE128" s="124"/>
      <c r="EF128" s="124"/>
      <c r="EJ128" s="111"/>
      <c r="EK128" s="111"/>
      <c r="EL128" s="124"/>
      <c r="EM128" s="124"/>
      <c r="EN128" s="124"/>
      <c r="EP128" s="111"/>
      <c r="EQ128" s="124"/>
      <c r="ER128" s="124"/>
      <c r="ES128" s="124"/>
      <c r="EV128" s="111"/>
      <c r="EW128" s="111"/>
      <c r="EX128" s="111"/>
      <c r="EY128" s="111"/>
      <c r="EZ128" s="124"/>
      <c r="FA128" s="124"/>
      <c r="FD128" s="111"/>
      <c r="FE128" s="111"/>
      <c r="FF128" s="111"/>
      <c r="FG128" s="124"/>
      <c r="FH128" s="124"/>
      <c r="FK128" s="124"/>
      <c r="FL128" s="124"/>
      <c r="FO128" s="111">
        <v>16450.350000000002</v>
      </c>
      <c r="FP128" s="111">
        <v>14640.850000000002</v>
      </c>
      <c r="FQ128" s="124">
        <v>54898.200000000004</v>
      </c>
      <c r="FR128" s="124">
        <v>60388.020000000011</v>
      </c>
      <c r="FU128" s="111">
        <v>13646.520000000004</v>
      </c>
      <c r="FV128" s="124">
        <v>53852.520000000004</v>
      </c>
      <c r="FW128" s="124">
        <v>45774.642</v>
      </c>
      <c r="FX128" s="124">
        <v>50352.106200000002</v>
      </c>
      <c r="FY128" s="124">
        <v>55387.316820000007</v>
      </c>
      <c r="GA128" s="124">
        <v>43650.049999999996</v>
      </c>
      <c r="GB128" s="124">
        <v>48015.055</v>
      </c>
      <c r="GC128" s="124">
        <v>52816.560500000007</v>
      </c>
      <c r="GF128" s="111"/>
      <c r="GG128" s="111"/>
      <c r="GH128" s="111"/>
      <c r="GI128" s="124">
        <v>46217.700000000004</v>
      </c>
      <c r="GJ128" s="124">
        <v>50839.470000000008</v>
      </c>
      <c r="GK128" s="124">
        <v>55923.417000000016</v>
      </c>
      <c r="GN128" s="111"/>
      <c r="GO128" s="111"/>
      <c r="GP128" s="124">
        <v>49812.409999999996</v>
      </c>
      <c r="GQ128" s="124">
        <v>54793.650999999998</v>
      </c>
      <c r="GR128" s="124">
        <v>60273.016100000001</v>
      </c>
      <c r="GV128" s="111">
        <v>14714.650000000001</v>
      </c>
      <c r="GW128" s="124">
        <v>53920.65</v>
      </c>
      <c r="GX128" s="124">
        <v>59312.715000000004</v>
      </c>
      <c r="GY128" s="124">
        <v>68209.62225</v>
      </c>
      <c r="HC128" s="124">
        <v>17058.650000000001</v>
      </c>
      <c r="HD128" s="124">
        <v>57574.65</v>
      </c>
      <c r="HE128" s="124">
        <v>67938.087</v>
      </c>
      <c r="HF128" s="124">
        <v>74731.895700000008</v>
      </c>
      <c r="HI128" s="111">
        <v>13607.759999999998</v>
      </c>
      <c r="HJ128" s="111">
        <v>14620.199999999999</v>
      </c>
      <c r="HK128" s="111">
        <v>19580.919999999998</v>
      </c>
      <c r="HL128" s="111">
        <v>15494.580000000002</v>
      </c>
      <c r="HM128" s="124">
        <v>63303.46</v>
      </c>
      <c r="HN128" s="124">
        <v>69633.806000000011</v>
      </c>
      <c r="HO128" s="124">
        <v>76597.186600000015</v>
      </c>
      <c r="HR128" s="111">
        <v>14620.199999999999</v>
      </c>
      <c r="HS128" s="111">
        <v>19580.919999999998</v>
      </c>
      <c r="HT128" s="111">
        <v>16236.340000000004</v>
      </c>
      <c r="HU128" s="124">
        <v>63303.46</v>
      </c>
      <c r="HV128" s="124">
        <v>69633.806000000011</v>
      </c>
      <c r="HW128" s="124">
        <v>76597.186600000015</v>
      </c>
      <c r="HZ128" s="111">
        <v>19580.919999999998</v>
      </c>
      <c r="IA128" s="124">
        <v>63911.159999999996</v>
      </c>
      <c r="IB128" s="124">
        <v>70302.275999999998</v>
      </c>
      <c r="IC128" s="124">
        <v>77332.503600000011</v>
      </c>
      <c r="IE128" s="111">
        <v>16160.100000000006</v>
      </c>
      <c r="IF128" s="124">
        <v>56870.100000000006</v>
      </c>
      <c r="IG128" s="124">
        <v>62557.110000000008</v>
      </c>
      <c r="IH128" s="124">
        <v>68812.821000000011</v>
      </c>
      <c r="IK128" s="124">
        <v>62557.110000000008</v>
      </c>
      <c r="IL128" s="124">
        <v>68812.821000000011</v>
      </c>
      <c r="IO128" s="124">
        <v>64547.979999999996</v>
      </c>
      <c r="IP128" s="124">
        <v>71002.778000000006</v>
      </c>
      <c r="IS128" s="160">
        <v>63676.800000000003</v>
      </c>
      <c r="IT128" s="160">
        <v>70044.48000000001</v>
      </c>
      <c r="IU128" s="160">
        <v>77048.928000000014</v>
      </c>
      <c r="IX128" s="124">
        <v>18922.299999999996</v>
      </c>
      <c r="IY128" s="124">
        <v>62378.299999999996</v>
      </c>
      <c r="IZ128" s="124">
        <v>68616.13</v>
      </c>
      <c r="JA128" s="124">
        <v>75477.743000000017</v>
      </c>
      <c r="JD128" s="124">
        <v>64357.700000000004</v>
      </c>
      <c r="JE128" s="124">
        <v>73367.77800000002</v>
      </c>
      <c r="JH128" s="124">
        <v>62602.490000000005</v>
      </c>
      <c r="JI128" s="124">
        <v>71366.838600000017</v>
      </c>
      <c r="JJ128" s="124">
        <v>79930.859232000032</v>
      </c>
      <c r="JM128" s="124">
        <v>76035.697200000024</v>
      </c>
      <c r="JN128" s="124">
        <v>85159.980864000041</v>
      </c>
      <c r="JQ128" s="124">
        <v>64357.700000000004</v>
      </c>
      <c r="JR128" s="124">
        <v>73367.77800000002</v>
      </c>
      <c r="JS128" s="124">
        <v>82171.911360000027</v>
      </c>
      <c r="JV128" s="124">
        <v>69946.98000000001</v>
      </c>
      <c r="JW128" s="124">
        <v>78340.617600000012</v>
      </c>
      <c r="JY128" s="124">
        <v>69946.98000000001</v>
      </c>
      <c r="JZ128" s="124">
        <v>78340.617600000012</v>
      </c>
      <c r="KB128" s="124">
        <v>64424.850000000006</v>
      </c>
      <c r="KC128" s="124">
        <v>70867.335000000006</v>
      </c>
      <c r="KD128" s="124">
        <v>77954.068500000008</v>
      </c>
    </row>
    <row r="129" spans="2:290" hidden="1" x14ac:dyDescent="0.25">
      <c r="B129" s="6" t="s">
        <v>224</v>
      </c>
      <c r="C129" s="136"/>
      <c r="D129" s="136"/>
      <c r="E129" s="136"/>
      <c r="F129" s="136"/>
      <c r="G129" s="136"/>
      <c r="H129" s="132"/>
      <c r="I129" s="158"/>
      <c r="J129" s="158"/>
      <c r="K129" s="158"/>
      <c r="L129" s="158"/>
      <c r="M129" s="132"/>
      <c r="N129" s="158"/>
      <c r="O129" s="158"/>
      <c r="P129" s="158"/>
      <c r="Q129" s="158"/>
      <c r="R129" s="132"/>
      <c r="S129" s="158"/>
      <c r="T129" s="158"/>
      <c r="U129" s="158"/>
      <c r="V129" s="158"/>
      <c r="W129" s="132"/>
      <c r="X129" s="158"/>
      <c r="Y129" s="158"/>
      <c r="Z129" s="158"/>
      <c r="AA129" s="158"/>
      <c r="AB129" s="132"/>
      <c r="AC129" s="158"/>
      <c r="AD129" s="158"/>
      <c r="AE129" s="158"/>
      <c r="AF129" s="158"/>
      <c r="AG129" s="132"/>
      <c r="AH129" s="158"/>
      <c r="AI129" s="158"/>
      <c r="AJ129" s="158"/>
      <c r="AK129" s="132"/>
      <c r="AL129" s="158"/>
      <c r="AM129" s="158"/>
      <c r="AN129" s="158"/>
      <c r="AO129" s="158"/>
      <c r="AP129" s="132"/>
      <c r="AQ129" s="158"/>
      <c r="AR129" s="158"/>
      <c r="AS129" s="158"/>
      <c r="AT129" s="158"/>
      <c r="AU129" s="132"/>
      <c r="AV129" s="137"/>
      <c r="AW129" s="137"/>
      <c r="AX129" s="137"/>
      <c r="AY129" s="137"/>
      <c r="AZ129" s="132"/>
      <c r="BA129" s="137"/>
      <c r="BB129" s="137"/>
      <c r="BC129" s="137"/>
      <c r="BD129" s="137"/>
      <c r="BE129" s="132"/>
      <c r="BF129" s="137"/>
      <c r="BG129" s="137"/>
      <c r="BH129" s="137"/>
      <c r="BI129" s="137"/>
      <c r="BJ129" s="161">
        <f>BJ121/BJ111</f>
        <v>0.58018867924528306</v>
      </c>
      <c r="BK129" s="137"/>
      <c r="BL129" s="137"/>
      <c r="BM129" s="137"/>
      <c r="BN129" s="137"/>
      <c r="BO129" s="161">
        <f>BO121/BO111</f>
        <v>0.6194222336858396</v>
      </c>
      <c r="BP129" s="137"/>
      <c r="BQ129" s="137"/>
      <c r="BR129" s="137"/>
      <c r="BS129" s="137"/>
      <c r="BT129" s="161">
        <f>BT121/BT111</f>
        <v>0.69544703939608399</v>
      </c>
      <c r="BU129" s="137"/>
      <c r="BV129" s="137"/>
      <c r="BW129" s="137"/>
      <c r="BX129" s="137"/>
      <c r="BY129" s="161">
        <f>BY121/BY111</f>
        <v>0.68817777777777778</v>
      </c>
      <c r="BZ129" s="137"/>
      <c r="CA129" s="137"/>
      <c r="CB129" s="137"/>
      <c r="CC129" s="137"/>
      <c r="CD129" s="161">
        <f>CD121/CD111</f>
        <v>0.70659630606860158</v>
      </c>
      <c r="CE129" s="137"/>
      <c r="CF129" s="137"/>
      <c r="CG129" s="137"/>
      <c r="CH129" s="137"/>
      <c r="CI129" s="161">
        <f t="shared" si="221"/>
        <v>0.66236870057830755</v>
      </c>
      <c r="CJ129" s="161">
        <f t="shared" si="221"/>
        <v>0.70873450961878914</v>
      </c>
      <c r="CK129" s="161">
        <f t="shared" si="221"/>
        <v>0.75834592529210454</v>
      </c>
      <c r="CL129" s="161"/>
      <c r="CM129" s="161"/>
      <c r="CN129" s="161"/>
      <c r="CO129" s="74"/>
      <c r="CP129" s="74"/>
      <c r="CQ129" s="6"/>
      <c r="CR129" s="6"/>
      <c r="CS129" s="6"/>
      <c r="CT129" s="124"/>
      <c r="CU129" s="124"/>
      <c r="CV129" s="124"/>
      <c r="CW129" s="124"/>
      <c r="CX129" s="124"/>
      <c r="CY129" s="124"/>
      <c r="CZ129" s="124"/>
      <c r="DA129" s="124"/>
      <c r="DB129" s="124"/>
      <c r="DC129" s="124"/>
      <c r="DD129" s="124"/>
      <c r="DE129" s="124"/>
      <c r="DF129" s="124"/>
      <c r="DG129" s="124"/>
      <c r="DH129" s="124"/>
      <c r="DI129" s="124"/>
      <c r="DK129" s="124"/>
      <c r="DL129" s="124"/>
      <c r="DM129" s="6"/>
      <c r="DN129" s="124"/>
      <c r="DO129" s="124"/>
      <c r="DQ129" s="136"/>
      <c r="DR129" s="124"/>
      <c r="DS129" s="124"/>
      <c r="DT129" s="124"/>
      <c r="DV129" s="124"/>
      <c r="DW129" s="124"/>
      <c r="DX129" s="124"/>
      <c r="EA129" s="111"/>
      <c r="EB129" s="111"/>
      <c r="EC129" s="111"/>
      <c r="ED129" s="124"/>
      <c r="EE129" s="124"/>
      <c r="EF129" s="124"/>
      <c r="EJ129" s="111"/>
      <c r="EK129" s="111"/>
      <c r="EL129" s="124"/>
      <c r="EM129" s="124"/>
      <c r="EN129" s="124"/>
      <c r="EP129" s="111"/>
      <c r="EQ129" s="124"/>
      <c r="ER129" s="124"/>
      <c r="ES129" s="124"/>
      <c r="EV129" s="111"/>
      <c r="EW129" s="111"/>
      <c r="EX129" s="111"/>
      <c r="EY129" s="111"/>
      <c r="EZ129" s="124"/>
      <c r="FA129" s="124"/>
      <c r="FD129" s="111"/>
      <c r="FE129" s="111"/>
      <c r="FF129" s="111"/>
      <c r="FG129" s="124"/>
      <c r="FH129" s="124"/>
      <c r="FK129" s="124"/>
      <c r="FL129" s="124"/>
      <c r="FO129" s="111">
        <v>9885</v>
      </c>
      <c r="FP129" s="111">
        <v>12089.849999999999</v>
      </c>
      <c r="FQ129" s="124">
        <v>42296.85</v>
      </c>
      <c r="FR129" s="124">
        <v>45257.629500000003</v>
      </c>
      <c r="FU129" s="111">
        <v>10057.239999999998</v>
      </c>
      <c r="FV129" s="124">
        <v>39180.239999999998</v>
      </c>
      <c r="FW129" s="124">
        <v>33303.203999999998</v>
      </c>
      <c r="FX129" s="124">
        <v>35634.42828</v>
      </c>
      <c r="FY129" s="124">
        <v>38128.838259600001</v>
      </c>
      <c r="GA129" s="124">
        <v>27031.899999999998</v>
      </c>
      <c r="GB129" s="124">
        <v>28924.132999999998</v>
      </c>
      <c r="GC129" s="124">
        <v>30948.82231</v>
      </c>
      <c r="GF129" s="111"/>
      <c r="GG129" s="111"/>
      <c r="GH129" s="111"/>
      <c r="GI129" s="124">
        <v>28962.75</v>
      </c>
      <c r="GJ129" s="124">
        <v>30990.142500000002</v>
      </c>
      <c r="GK129" s="124">
        <v>33159.452475000006</v>
      </c>
      <c r="GN129" s="111"/>
      <c r="GO129" s="111"/>
      <c r="GP129" s="124">
        <v>34755.300000000003</v>
      </c>
      <c r="GQ129" s="124">
        <v>37188.171000000002</v>
      </c>
      <c r="GR129" s="124">
        <v>39791.342970000005</v>
      </c>
      <c r="GV129" s="111">
        <v>13227.020000000004</v>
      </c>
      <c r="GW129" s="124">
        <v>40934.020000000004</v>
      </c>
      <c r="GX129" s="124">
        <v>45846.102400000011</v>
      </c>
      <c r="GY129" s="124">
        <v>52723.01776000001</v>
      </c>
      <c r="HC129" s="124">
        <v>12886.649999999994</v>
      </c>
      <c r="HD129" s="124">
        <v>47668.649999999994</v>
      </c>
      <c r="HE129" s="124">
        <v>54818.947499999987</v>
      </c>
      <c r="HF129" s="124">
        <v>60300.842249999994</v>
      </c>
      <c r="HI129" s="111">
        <v>10938.8</v>
      </c>
      <c r="HJ129" s="111">
        <v>14840.749999999998</v>
      </c>
      <c r="HK129" s="111">
        <v>14219.749999999998</v>
      </c>
      <c r="HL129" s="111">
        <v>15827.449999999999</v>
      </c>
      <c r="HM129" s="124">
        <v>55826.749999999993</v>
      </c>
      <c r="HN129" s="124">
        <v>61409.424999999996</v>
      </c>
      <c r="HO129" s="124">
        <v>67550.367500000008</v>
      </c>
      <c r="HR129" s="111">
        <v>14840.749999999998</v>
      </c>
      <c r="HS129" s="111">
        <v>14219.749999999998</v>
      </c>
      <c r="HT129" s="111">
        <v>13865.249999999995</v>
      </c>
      <c r="HU129" s="124">
        <v>55826.749999999993</v>
      </c>
      <c r="HV129" s="124">
        <v>61409.424999999996</v>
      </c>
      <c r="HW129" s="124">
        <v>67550.367500000008</v>
      </c>
      <c r="HZ129" s="111">
        <v>14219.749999999998</v>
      </c>
      <c r="IA129" s="124">
        <v>55234.499999999993</v>
      </c>
      <c r="IB129" s="124">
        <v>60757.95</v>
      </c>
      <c r="IC129" s="124">
        <v>66833.744999999995</v>
      </c>
      <c r="IE129" s="111">
        <v>15184</v>
      </c>
      <c r="IF129" s="124">
        <v>57636</v>
      </c>
      <c r="IG129" s="124">
        <v>63399.600000000006</v>
      </c>
      <c r="IH129" s="124">
        <v>69739.560000000012</v>
      </c>
      <c r="IK129" s="124">
        <v>63399.600000000006</v>
      </c>
      <c r="IL129" s="124">
        <v>69739.560000000012</v>
      </c>
      <c r="IO129" s="124">
        <v>64856.000000000007</v>
      </c>
      <c r="IP129" s="124">
        <v>71341.60000000002</v>
      </c>
      <c r="IS129" s="160">
        <v>19713.240000000002</v>
      </c>
      <c r="IT129" s="160">
        <v>21684.564000000002</v>
      </c>
      <c r="IU129" s="160">
        <v>23853.020400000005</v>
      </c>
      <c r="IX129" s="124">
        <v>18611.800000000003</v>
      </c>
      <c r="IY129" s="124">
        <v>63676.800000000003</v>
      </c>
      <c r="IZ129" s="124">
        <v>70044.48000000001</v>
      </c>
      <c r="JA129" s="124">
        <v>77048.928000000014</v>
      </c>
      <c r="JD129" s="124">
        <v>68129.600000000006</v>
      </c>
      <c r="JE129" s="124">
        <v>76305.152000000016</v>
      </c>
      <c r="JH129" s="124">
        <v>66271.520000000004</v>
      </c>
      <c r="JI129" s="124">
        <v>74224.102400000018</v>
      </c>
      <c r="JJ129" s="124">
        <v>83130.994688000035</v>
      </c>
      <c r="JM129" s="124">
        <v>74224.102400000018</v>
      </c>
      <c r="JN129" s="124">
        <v>83130.994688000035</v>
      </c>
      <c r="JQ129" s="124">
        <v>64413.440000000002</v>
      </c>
      <c r="JR129" s="124">
        <v>70854.784000000014</v>
      </c>
      <c r="JS129" s="124">
        <v>77940.262400000021</v>
      </c>
      <c r="JV129" s="124">
        <v>70699.200000000012</v>
      </c>
      <c r="JW129" s="124">
        <v>77769.120000000024</v>
      </c>
      <c r="JY129" s="124">
        <v>70699.200000000012</v>
      </c>
      <c r="JZ129" s="124">
        <v>77769.120000000024</v>
      </c>
      <c r="KB129" s="124">
        <v>64272</v>
      </c>
      <c r="KC129" s="124">
        <v>68771.040000000008</v>
      </c>
      <c r="KD129" s="124">
        <v>73585.012800000011</v>
      </c>
    </row>
    <row r="130" spans="2:290" hidden="1" x14ac:dyDescent="0.25">
      <c r="B130" s="6" t="s">
        <v>225</v>
      </c>
      <c r="C130" s="136"/>
      <c r="D130" s="136"/>
      <c r="E130" s="136"/>
      <c r="F130" s="136"/>
      <c r="G130" s="136"/>
      <c r="H130" s="132"/>
      <c r="I130" s="158"/>
      <c r="J130" s="158"/>
      <c r="K130" s="158"/>
      <c r="L130" s="158"/>
      <c r="M130" s="132"/>
      <c r="N130" s="158"/>
      <c r="O130" s="158"/>
      <c r="P130" s="158"/>
      <c r="Q130" s="158"/>
      <c r="R130" s="132"/>
      <c r="S130" s="158"/>
      <c r="T130" s="158"/>
      <c r="U130" s="158"/>
      <c r="V130" s="158"/>
      <c r="W130" s="132"/>
      <c r="X130" s="158"/>
      <c r="Y130" s="158"/>
      <c r="Z130" s="158"/>
      <c r="AA130" s="158"/>
      <c r="AB130" s="132"/>
      <c r="AC130" s="158"/>
      <c r="AD130" s="158"/>
      <c r="AE130" s="158"/>
      <c r="AF130" s="158"/>
      <c r="AG130" s="132"/>
      <c r="AH130" s="158"/>
      <c r="AI130" s="158"/>
      <c r="AJ130" s="158"/>
      <c r="AK130" s="132"/>
      <c r="AL130" s="158"/>
      <c r="AM130" s="158"/>
      <c r="AN130" s="158"/>
      <c r="AO130" s="158"/>
      <c r="AP130" s="132"/>
      <c r="AQ130" s="158"/>
      <c r="AR130" s="158"/>
      <c r="AS130" s="158"/>
      <c r="AT130" s="158"/>
      <c r="AU130" s="132"/>
      <c r="AV130" s="137"/>
      <c r="AW130" s="137"/>
      <c r="AX130" s="137"/>
      <c r="AY130" s="137"/>
      <c r="AZ130" s="132"/>
      <c r="BA130" s="137"/>
      <c r="BB130" s="137"/>
      <c r="BC130" s="137"/>
      <c r="BD130" s="137"/>
      <c r="BE130" s="132"/>
      <c r="BF130" s="137"/>
      <c r="BG130" s="137"/>
      <c r="BH130" s="137"/>
      <c r="BI130" s="137"/>
      <c r="BJ130" s="161">
        <f>BJ122/BJ112</f>
        <v>0.60376618281679095</v>
      </c>
      <c r="BK130" s="137"/>
      <c r="BL130" s="137"/>
      <c r="BM130" s="137"/>
      <c r="BN130" s="137"/>
      <c r="BO130" s="161">
        <f>BO122/BO112</f>
        <v>0.56838945445053513</v>
      </c>
      <c r="BP130" s="137"/>
      <c r="BQ130" s="137"/>
      <c r="BR130" s="137"/>
      <c r="BS130" s="137"/>
      <c r="BT130" s="161">
        <f>BT122/BT112</f>
        <v>0.62854683195592287</v>
      </c>
      <c r="BU130" s="137"/>
      <c r="BV130" s="137"/>
      <c r="BW130" s="137"/>
      <c r="BX130" s="137"/>
      <c r="BY130" s="161">
        <f>BY122/BY112</f>
        <v>0.62609739368998629</v>
      </c>
      <c r="BZ130" s="137"/>
      <c r="CA130" s="137"/>
      <c r="CB130" s="137"/>
      <c r="CC130" s="137"/>
      <c r="CD130" s="161">
        <f>CD122/CD112</f>
        <v>0.64444444444444449</v>
      </c>
      <c r="CE130" s="137"/>
      <c r="CF130" s="137"/>
      <c r="CG130" s="137"/>
      <c r="CH130" s="137"/>
      <c r="CI130" s="161">
        <f t="shared" si="221"/>
        <v>0.66497844827586206</v>
      </c>
      <c r="CJ130" s="161">
        <f t="shared" si="221"/>
        <v>0.71152693965517244</v>
      </c>
      <c r="CK130" s="161">
        <f t="shared" si="221"/>
        <v>0.76133382543103445</v>
      </c>
      <c r="CL130" s="161"/>
      <c r="CM130" s="161"/>
      <c r="CN130" s="161"/>
      <c r="CO130" s="74"/>
      <c r="CP130" s="74"/>
      <c r="CQ130" s="6"/>
      <c r="CR130" s="6"/>
      <c r="CS130" s="6"/>
      <c r="CT130" s="124"/>
      <c r="CU130" s="124"/>
      <c r="CV130" s="124"/>
      <c r="CW130" s="124"/>
      <c r="CX130" s="124"/>
      <c r="CY130" s="124"/>
      <c r="CZ130" s="124"/>
      <c r="DA130" s="124"/>
      <c r="DB130" s="124"/>
      <c r="DC130" s="124"/>
      <c r="DD130" s="124"/>
      <c r="DE130" s="124"/>
      <c r="DF130" s="124"/>
      <c r="DG130" s="124"/>
      <c r="DH130" s="124"/>
      <c r="DI130" s="124"/>
      <c r="DK130" s="124"/>
      <c r="DL130" s="124"/>
      <c r="DM130" s="6"/>
      <c r="DN130" s="124"/>
      <c r="DO130" s="124"/>
      <c r="DQ130" s="136"/>
      <c r="DR130" s="124"/>
      <c r="DS130" s="124"/>
      <c r="DT130" s="124"/>
      <c r="DV130" s="124"/>
      <c r="DW130" s="124"/>
      <c r="DX130" s="124"/>
      <c r="EA130" s="111"/>
      <c r="EB130" s="111"/>
      <c r="EC130" s="111"/>
      <c r="ED130" s="124"/>
      <c r="EE130" s="124"/>
      <c r="EF130" s="124"/>
      <c r="EJ130" s="111"/>
      <c r="EK130" s="111"/>
      <c r="EL130" s="124"/>
      <c r="EM130" s="124"/>
      <c r="EN130" s="124"/>
      <c r="EP130" s="111"/>
      <c r="EQ130" s="124"/>
      <c r="ER130" s="124"/>
      <c r="ES130" s="124"/>
      <c r="EV130" s="111"/>
      <c r="EW130" s="111"/>
      <c r="EX130" s="111"/>
      <c r="EY130" s="111"/>
      <c r="EZ130" s="124"/>
      <c r="FA130" s="124"/>
      <c r="FD130" s="111"/>
      <c r="FE130" s="111"/>
      <c r="FF130" s="111"/>
      <c r="FG130" s="124"/>
      <c r="FH130" s="124"/>
      <c r="FK130" s="124"/>
      <c r="FL130" s="124"/>
      <c r="FO130" s="111">
        <v>5512.08</v>
      </c>
      <c r="FP130" s="111">
        <v>6785.76</v>
      </c>
      <c r="FQ130" s="124">
        <v>22070.84</v>
      </c>
      <c r="FR130" s="124">
        <v>23836.5072</v>
      </c>
      <c r="FU130" s="111">
        <v>5250.16</v>
      </c>
      <c r="FV130" s="124">
        <v>20785.16</v>
      </c>
      <c r="FW130" s="124">
        <v>16628.128000000001</v>
      </c>
      <c r="FX130" s="124">
        <v>17958.378240000002</v>
      </c>
      <c r="FY130" s="124">
        <v>19395.048499200002</v>
      </c>
      <c r="GA130" s="124">
        <v>13506.35</v>
      </c>
      <c r="GB130" s="124">
        <v>14586.858000000002</v>
      </c>
      <c r="GC130" s="124">
        <v>15753.806640000003</v>
      </c>
      <c r="GF130" s="111"/>
      <c r="GG130" s="111"/>
      <c r="GH130" s="111"/>
      <c r="GI130" s="124">
        <v>18701.100000000002</v>
      </c>
      <c r="GJ130" s="124">
        <v>20197.188000000002</v>
      </c>
      <c r="GK130" s="124">
        <v>21812.963040000002</v>
      </c>
      <c r="GN130" s="111"/>
      <c r="GO130" s="111"/>
      <c r="GP130" s="124">
        <v>19740.05</v>
      </c>
      <c r="GQ130" s="124">
        <v>21319.254000000001</v>
      </c>
      <c r="GR130" s="124">
        <v>23024.794320000001</v>
      </c>
      <c r="GV130" s="111">
        <v>7142.0499999999993</v>
      </c>
      <c r="GW130" s="124">
        <v>19740.05</v>
      </c>
      <c r="GX130" s="124">
        <v>21319.254000000001</v>
      </c>
      <c r="GY130" s="124">
        <v>23024.794320000001</v>
      </c>
      <c r="HC130" s="124">
        <v>7177.4000000000015</v>
      </c>
      <c r="HD130" s="124">
        <v>19391.400000000001</v>
      </c>
      <c r="HE130" s="124">
        <v>20942.712000000003</v>
      </c>
      <c r="HF130" s="124">
        <v>23036.983200000006</v>
      </c>
      <c r="HI130" s="111">
        <v>2277.7200000000003</v>
      </c>
      <c r="HJ130" s="111">
        <v>5289.84</v>
      </c>
      <c r="HK130" s="111">
        <v>5623.56</v>
      </c>
      <c r="HL130" s="111">
        <v>5622.4800000000005</v>
      </c>
      <c r="HM130" s="124">
        <v>18813.600000000002</v>
      </c>
      <c r="HN130" s="124">
        <v>20694.960000000003</v>
      </c>
      <c r="HO130" s="124">
        <v>22764.456000000006</v>
      </c>
      <c r="HR130" s="111">
        <v>5289.84</v>
      </c>
      <c r="HS130" s="111">
        <v>5623.56</v>
      </c>
      <c r="HT130" s="111">
        <v>4169.2000000000016</v>
      </c>
      <c r="HU130" s="124">
        <v>18813.600000000002</v>
      </c>
      <c r="HV130" s="124">
        <v>20694.960000000003</v>
      </c>
      <c r="HW130" s="124">
        <v>22764.456000000006</v>
      </c>
      <c r="HZ130" s="111">
        <v>5623.56</v>
      </c>
      <c r="IA130" s="124">
        <v>18813.600000000002</v>
      </c>
      <c r="IB130" s="124">
        <v>20694.960000000003</v>
      </c>
      <c r="IC130" s="124">
        <v>22764.456000000006</v>
      </c>
      <c r="IE130" s="111">
        <v>5119</v>
      </c>
      <c r="IF130" s="124">
        <v>18291</v>
      </c>
      <c r="IG130" s="124">
        <v>20120.100000000002</v>
      </c>
      <c r="IH130" s="124">
        <v>22132.110000000004</v>
      </c>
      <c r="IK130" s="124">
        <v>20120.100000000002</v>
      </c>
      <c r="IL130" s="124">
        <v>22132.110000000004</v>
      </c>
      <c r="IO130" s="124">
        <v>19713.240000000002</v>
      </c>
      <c r="IP130" s="124">
        <v>21684.564000000002</v>
      </c>
      <c r="IS130" s="160"/>
      <c r="IT130" s="160"/>
      <c r="IU130" s="160"/>
      <c r="IX130" s="124">
        <v>6108.2400000000016</v>
      </c>
      <c r="IY130" s="124">
        <v>19713.240000000002</v>
      </c>
      <c r="IZ130" s="124">
        <v>21684.564000000002</v>
      </c>
      <c r="JA130" s="124">
        <v>23853.020400000005</v>
      </c>
      <c r="JD130" s="124">
        <v>20082.7</v>
      </c>
      <c r="JE130" s="124">
        <v>22492.624000000003</v>
      </c>
      <c r="JH130" s="124">
        <v>19534.990000000002</v>
      </c>
      <c r="JI130" s="124">
        <v>21879.188800000004</v>
      </c>
      <c r="JJ130" s="124">
        <v>24504.691456000008</v>
      </c>
      <c r="JM130" s="124">
        <v>20856.7968</v>
      </c>
      <c r="JN130" s="124">
        <v>23359.612416000004</v>
      </c>
      <c r="JQ130" s="124">
        <v>17709.29</v>
      </c>
      <c r="JR130" s="124">
        <v>18948.940300000002</v>
      </c>
      <c r="JS130" s="124">
        <v>20275.366121000003</v>
      </c>
      <c r="JV130" s="124">
        <v>18990.36</v>
      </c>
      <c r="JW130" s="124">
        <v>20319.685200000004</v>
      </c>
      <c r="JY130" s="124">
        <v>18990.36</v>
      </c>
      <c r="JZ130" s="124">
        <v>20319.685200000004</v>
      </c>
      <c r="KB130" s="124">
        <v>18102.96</v>
      </c>
      <c r="KC130" s="124">
        <v>19370.1672</v>
      </c>
      <c r="KD130" s="124">
        <v>20726.078904000002</v>
      </c>
    </row>
    <row r="131" spans="2:290" s="60" customFormat="1" hidden="1" x14ac:dyDescent="0.25">
      <c r="B131" s="58" t="s">
        <v>230</v>
      </c>
      <c r="C131" s="4"/>
      <c r="D131" s="4"/>
      <c r="E131" s="4"/>
      <c r="F131" s="4"/>
      <c r="G131" s="4"/>
      <c r="H131" s="145"/>
      <c r="I131" s="156"/>
      <c r="J131" s="156"/>
      <c r="K131" s="156"/>
      <c r="L131" s="156"/>
      <c r="M131" s="145"/>
      <c r="N131" s="156"/>
      <c r="O131" s="156"/>
      <c r="P131" s="156"/>
      <c r="Q131" s="156"/>
      <c r="R131" s="145"/>
      <c r="S131" s="156"/>
      <c r="T131" s="156"/>
      <c r="U131" s="156"/>
      <c r="V131" s="156"/>
      <c r="W131" s="145"/>
      <c r="X131" s="156"/>
      <c r="Y131" s="156"/>
      <c r="Z131" s="156"/>
      <c r="AA131" s="156"/>
      <c r="AB131" s="145"/>
      <c r="AC131" s="156"/>
      <c r="AD131" s="156"/>
      <c r="AE131" s="156"/>
      <c r="AF131" s="156"/>
      <c r="AG131" s="145"/>
      <c r="AH131" s="156"/>
      <c r="AI131" s="156"/>
      <c r="AJ131" s="156"/>
      <c r="AK131" s="145"/>
      <c r="AL131" s="156"/>
      <c r="AM131" s="156"/>
      <c r="AN131" s="156"/>
      <c r="AO131" s="156"/>
      <c r="AP131" s="145"/>
      <c r="AQ131" s="156"/>
      <c r="AR131" s="156"/>
      <c r="AS131" s="156"/>
      <c r="AT131" s="156"/>
      <c r="AU131" s="145"/>
      <c r="AV131" s="156"/>
      <c r="AW131" s="156"/>
      <c r="AX131" s="156"/>
      <c r="AY131" s="156"/>
      <c r="AZ131" s="145"/>
      <c r="BA131" s="156"/>
      <c r="BB131" s="156"/>
      <c r="BC131" s="156"/>
      <c r="BD131" s="156"/>
      <c r="BE131" s="145"/>
      <c r="BF131" s="156"/>
      <c r="BG131" s="156"/>
      <c r="BH131" s="156"/>
      <c r="BI131" s="156"/>
      <c r="BJ131" s="169">
        <f>BJ123/BJ114</f>
        <v>0.58622270814317223</v>
      </c>
      <c r="BK131" s="156"/>
      <c r="BL131" s="156"/>
      <c r="BM131" s="156"/>
      <c r="BN131" s="156"/>
      <c r="BO131" s="169">
        <f>BO123/BO114</f>
        <v>0.54278918960630229</v>
      </c>
      <c r="BP131" s="156"/>
      <c r="BQ131" s="156"/>
      <c r="BR131" s="156"/>
      <c r="BS131" s="156"/>
      <c r="BT131" s="169">
        <f>BT123/BT114</f>
        <v>0.62769511799157784</v>
      </c>
      <c r="BU131" s="156"/>
      <c r="BV131" s="156"/>
      <c r="BW131" s="156"/>
      <c r="BX131" s="156"/>
      <c r="BY131" s="169">
        <f>BY123/BY114</f>
        <v>0.67195624360555384</v>
      </c>
      <c r="BZ131" s="156"/>
      <c r="CA131" s="156"/>
      <c r="CB131" s="156"/>
      <c r="CC131" s="156"/>
      <c r="CD131" s="169">
        <f>CD123/CD114</f>
        <v>0.61782346173856328</v>
      </c>
      <c r="CE131" s="156"/>
      <c r="CF131" s="156"/>
      <c r="CG131" s="156"/>
      <c r="CH131" s="156"/>
      <c r="CI131" s="169">
        <f t="shared" ref="CI131:CN131" si="222">CI123/CI114</f>
        <v>0.60653759357664938</v>
      </c>
      <c r="CJ131" s="169">
        <f t="shared" si="222"/>
        <v>0.62900310059757658</v>
      </c>
      <c r="CK131" s="169">
        <f t="shared" si="222"/>
        <v>0.6486625455682602</v>
      </c>
      <c r="CL131" s="169">
        <f t="shared" si="222"/>
        <v>0.65835449831323611</v>
      </c>
      <c r="CM131" s="169">
        <f t="shared" si="222"/>
        <v>0.66556580131950704</v>
      </c>
      <c r="CN131" s="169">
        <f t="shared" si="222"/>
        <v>0.67729448519879298</v>
      </c>
      <c r="CO131" s="129"/>
      <c r="CP131" s="129"/>
      <c r="CQ131" s="58"/>
      <c r="CR131" s="58"/>
      <c r="CS131" s="58">
        <v>14.31</v>
      </c>
      <c r="CT131" s="143"/>
      <c r="CU131" s="143"/>
      <c r="CV131" s="143"/>
      <c r="CW131" s="143"/>
      <c r="CX131" s="143"/>
      <c r="CY131" s="143"/>
      <c r="CZ131" s="143"/>
      <c r="DA131" s="143"/>
      <c r="DB131" s="143"/>
      <c r="DC131" s="143"/>
      <c r="DD131" s="143"/>
      <c r="DE131" s="143"/>
      <c r="DF131" s="143"/>
      <c r="DG131" s="143"/>
      <c r="DH131" s="143"/>
      <c r="DI131" s="143"/>
      <c r="DK131" s="143"/>
      <c r="DL131" s="143"/>
      <c r="DM131" s="58"/>
      <c r="DN131" s="143"/>
      <c r="DO131" s="143"/>
      <c r="DQ131" s="4"/>
      <c r="DR131" s="143"/>
      <c r="DS131" s="143"/>
      <c r="DT131" s="143"/>
      <c r="DV131" s="143"/>
      <c r="DW131" s="143"/>
      <c r="DX131" s="143"/>
      <c r="EA131" s="119"/>
      <c r="EB131" s="119"/>
      <c r="EC131" s="119"/>
      <c r="ED131" s="143"/>
      <c r="EE131" s="143"/>
      <c r="EF131" s="143"/>
      <c r="EJ131" s="119">
        <v>106410.70000000001</v>
      </c>
      <c r="EK131" s="119">
        <v>118804.90000000002</v>
      </c>
      <c r="EL131" s="143">
        <v>408293.60000000003</v>
      </c>
      <c r="EM131" s="143">
        <v>449122.96000000008</v>
      </c>
      <c r="EN131" s="143">
        <v>494035.25600000011</v>
      </c>
      <c r="EP131" s="119">
        <v>111242.44</v>
      </c>
      <c r="EQ131" s="143">
        <v>395302.44</v>
      </c>
      <c r="ER131" s="143">
        <v>442738.73280000006</v>
      </c>
      <c r="ES131" s="143">
        <v>487012.60608000011</v>
      </c>
      <c r="EV131" s="119">
        <v>113428</v>
      </c>
      <c r="EW131" s="119">
        <v>91490.3</v>
      </c>
      <c r="EX131" s="119">
        <v>111080.20000000001</v>
      </c>
      <c r="EY131" s="119">
        <v>125409.90000000001</v>
      </c>
      <c r="EZ131" s="143">
        <v>437781.30000000005</v>
      </c>
      <c r="FA131" s="143">
        <v>481559.43000000011</v>
      </c>
      <c r="FD131" s="119">
        <v>91490.3</v>
      </c>
      <c r="FE131" s="119">
        <v>111080.20000000001</v>
      </c>
      <c r="FF131" s="119">
        <v>125409.90000000001</v>
      </c>
      <c r="FG131" s="143">
        <v>437781.30000000005</v>
      </c>
      <c r="FH131" s="143">
        <v>481559.43000000011</v>
      </c>
      <c r="FK131" s="143">
        <v>437781.30000000005</v>
      </c>
      <c r="FL131" s="143">
        <v>481559.43000000011</v>
      </c>
      <c r="FO131" s="119">
        <v>108876.03000000001</v>
      </c>
      <c r="FP131" s="119">
        <v>125172.05999999995</v>
      </c>
      <c r="FQ131" s="143">
        <v>440976.08999999997</v>
      </c>
      <c r="FR131" s="143">
        <v>499448.88669999992</v>
      </c>
      <c r="FU131" s="119">
        <v>107624.76000000001</v>
      </c>
      <c r="FV131" s="143">
        <v>415945.76</v>
      </c>
      <c r="FW131" s="143">
        <v>361578.47320000001</v>
      </c>
      <c r="FX131" s="143">
        <v>401722.11182400002</v>
      </c>
      <c r="FY131" s="143">
        <v>446421.66657528013</v>
      </c>
      <c r="GA131" s="143">
        <v>360898.54</v>
      </c>
      <c r="GB131" s="143">
        <v>409742.82199999993</v>
      </c>
      <c r="GC131" s="143">
        <v>455921.97857000004</v>
      </c>
      <c r="GF131" s="119">
        <v>89760</v>
      </c>
      <c r="GG131" s="119">
        <v>101393</v>
      </c>
      <c r="GH131" s="119">
        <v>106034.10999999999</v>
      </c>
      <c r="GI131" s="143">
        <v>388638.11</v>
      </c>
      <c r="GJ131" s="143">
        <v>461629.80370000005</v>
      </c>
      <c r="GK131" s="143">
        <v>513651.19609900005</v>
      </c>
      <c r="GN131" s="119">
        <v>108490.51000000001</v>
      </c>
      <c r="GO131" s="119">
        <v>116317.68999999994</v>
      </c>
      <c r="GP131" s="143">
        <v>411095.19999999995</v>
      </c>
      <c r="GQ131" s="143">
        <v>487581.75280000007</v>
      </c>
      <c r="GR131" s="143">
        <v>542283.51140600012</v>
      </c>
      <c r="GV131" s="119">
        <v>114488</v>
      </c>
      <c r="GW131" s="143">
        <v>412359</v>
      </c>
      <c r="GX131" s="143">
        <v>471884.63620000001</v>
      </c>
      <c r="GY131" s="143">
        <v>541174.98384999996</v>
      </c>
      <c r="HC131" s="143">
        <v>121311.43000000005</v>
      </c>
      <c r="HD131" s="143">
        <v>386612.43000000005</v>
      </c>
      <c r="HE131" s="143">
        <v>448903.80195000005</v>
      </c>
      <c r="HF131" s="143">
        <v>496846.2226995001</v>
      </c>
      <c r="HI131" s="119">
        <v>118505.93</v>
      </c>
      <c r="HJ131" s="119">
        <v>110854.79</v>
      </c>
      <c r="HK131" s="119">
        <v>113780.33</v>
      </c>
      <c r="HL131" s="119">
        <v>134928.56</v>
      </c>
      <c r="HM131" s="143">
        <v>478069.61</v>
      </c>
      <c r="HN131" s="143">
        <v>529277.82900000003</v>
      </c>
      <c r="HO131" s="143">
        <v>574654.81914000015</v>
      </c>
      <c r="HR131" s="119">
        <v>110854.79</v>
      </c>
      <c r="HS131" s="119">
        <v>113780.33</v>
      </c>
      <c r="HT131" s="119">
        <v>144512.49</v>
      </c>
      <c r="HU131" s="143">
        <v>478069.61</v>
      </c>
      <c r="HV131" s="143">
        <v>529277.82900000003</v>
      </c>
      <c r="HW131" s="143">
        <v>574654.81914000015</v>
      </c>
      <c r="HZ131" s="119">
        <v>113780.33</v>
      </c>
      <c r="IA131" s="143">
        <v>478085.05999999994</v>
      </c>
      <c r="IB131" s="143">
        <v>529294.82400000002</v>
      </c>
      <c r="IC131" s="143">
        <v>574673.51364000002</v>
      </c>
      <c r="IE131" s="119">
        <v>146751.29999999996</v>
      </c>
      <c r="IF131" s="143">
        <v>505838.29999999993</v>
      </c>
      <c r="IG131" s="143">
        <v>560152.5419999999</v>
      </c>
      <c r="IH131" s="143">
        <v>607886.28156000003</v>
      </c>
      <c r="IK131" s="143">
        <v>560152.5419999999</v>
      </c>
      <c r="IL131" s="143">
        <v>607886.28156000003</v>
      </c>
      <c r="IO131" s="143">
        <v>606673.34</v>
      </c>
      <c r="IP131" s="143">
        <v>676491.79640000011</v>
      </c>
      <c r="IS131" s="157">
        <v>463181.80999999994</v>
      </c>
      <c r="IT131" s="157">
        <v>537290.89959999989</v>
      </c>
      <c r="IU131" s="157">
        <v>623257.44353599986</v>
      </c>
      <c r="IX131" s="143">
        <v>188996.14</v>
      </c>
      <c r="IY131" s="143">
        <v>633328.14</v>
      </c>
      <c r="IZ131" s="143">
        <v>725914.5419999999</v>
      </c>
      <c r="JA131" s="143">
        <v>832440.15827999986</v>
      </c>
      <c r="JD131" s="143">
        <v>778821.24999999988</v>
      </c>
      <c r="JE131" s="143">
        <v>923667.054</v>
      </c>
      <c r="JH131" s="143">
        <v>774660.25</v>
      </c>
      <c r="JI131" s="143">
        <v>918971.6298</v>
      </c>
      <c r="JJ131" s="143">
        <v>1051793.2703760001</v>
      </c>
      <c r="JM131" s="143">
        <v>845063.14159999997</v>
      </c>
      <c r="JN131" s="143">
        <v>966689.11494799994</v>
      </c>
      <c r="JQ131" s="143">
        <v>682551.5</v>
      </c>
      <c r="JR131" s="143">
        <v>763571.10070000018</v>
      </c>
      <c r="JS131" s="143">
        <v>852835.0900890003</v>
      </c>
      <c r="JV131" s="143">
        <v>754505.50000000012</v>
      </c>
      <c r="JW131" s="143">
        <v>842682.65800000005</v>
      </c>
      <c r="JY131" s="143">
        <v>775750.82</v>
      </c>
      <c r="JZ131" s="143">
        <v>866477.41639999987</v>
      </c>
      <c r="KB131" s="143">
        <v>757602.75999999989</v>
      </c>
      <c r="KC131" s="143">
        <v>855323.90520000004</v>
      </c>
      <c r="KD131" s="143">
        <v>966064.67402400018</v>
      </c>
    </row>
    <row r="132" spans="2:290" hidden="1" x14ac:dyDescent="0.25">
      <c r="B132" s="6"/>
      <c r="C132" s="6"/>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64"/>
      <c r="AR132" s="164"/>
      <c r="AS132" s="164"/>
      <c r="AT132" s="164"/>
      <c r="AU132" s="164"/>
      <c r="AV132" s="164"/>
      <c r="AW132" s="164"/>
      <c r="AX132" s="164"/>
      <c r="AY132" s="164"/>
      <c r="AZ132" s="164"/>
      <c r="BA132" s="164"/>
      <c r="BB132" s="164"/>
      <c r="BC132" s="164"/>
      <c r="BD132" s="164"/>
      <c r="BE132" s="164"/>
      <c r="BF132" s="164"/>
      <c r="BG132" s="164"/>
      <c r="BH132" s="164"/>
      <c r="BI132" s="164"/>
      <c r="BJ132" s="164"/>
      <c r="BK132" s="164"/>
      <c r="BL132" s="164"/>
      <c r="BM132" s="164"/>
      <c r="BN132" s="164"/>
      <c r="BO132" s="164"/>
      <c r="BP132" s="164"/>
      <c r="BQ132" s="164"/>
      <c r="BR132" s="164"/>
      <c r="BS132" s="164"/>
      <c r="BT132" s="164"/>
      <c r="BU132" s="164"/>
      <c r="BV132" s="164"/>
      <c r="BW132" s="164"/>
      <c r="BX132" s="164"/>
      <c r="BY132" s="164"/>
      <c r="BZ132" s="164"/>
      <c r="CA132" s="164"/>
      <c r="CB132" s="164"/>
      <c r="CC132" s="164"/>
      <c r="CD132" s="164"/>
      <c r="CE132" s="164"/>
      <c r="CF132" s="164"/>
      <c r="CG132" s="164"/>
      <c r="CH132" s="164"/>
      <c r="CI132" s="164"/>
      <c r="CJ132" s="164"/>
      <c r="CK132" s="164"/>
      <c r="CL132" s="164"/>
      <c r="CM132" s="164"/>
      <c r="CN132" s="164"/>
      <c r="CO132" s="165"/>
      <c r="CP132" s="165"/>
      <c r="CQ132" s="6"/>
      <c r="CR132" s="6"/>
      <c r="CS132" s="6"/>
      <c r="CT132" s="15"/>
      <c r="CU132" s="15"/>
      <c r="CV132" s="15"/>
      <c r="CW132" s="15"/>
      <c r="CX132" s="15"/>
      <c r="DK132" s="6"/>
      <c r="DL132" s="6"/>
      <c r="DM132" s="6"/>
      <c r="DN132" s="6"/>
      <c r="DO132" s="6"/>
      <c r="EA132" s="15"/>
      <c r="EB132" s="166"/>
      <c r="EC132" s="15"/>
      <c r="ED132" s="15"/>
      <c r="EE132" s="15"/>
      <c r="EF132" s="15"/>
      <c r="EJ132" s="166"/>
      <c r="EK132" s="15"/>
      <c r="EL132" s="15"/>
      <c r="EM132" s="15"/>
      <c r="EN132" s="15"/>
      <c r="EP132" s="15"/>
      <c r="EQ132" s="15"/>
      <c r="ER132" s="15"/>
      <c r="ES132" s="15"/>
      <c r="EV132" s="15"/>
      <c r="EW132" s="15"/>
      <c r="EX132" s="15"/>
      <c r="EY132" s="15"/>
      <c r="EZ132" s="15"/>
      <c r="FA132" s="15"/>
      <c r="FD132" s="15"/>
      <c r="FE132" s="15"/>
      <c r="FF132" s="15"/>
      <c r="FG132" s="15"/>
      <c r="FH132" s="15"/>
      <c r="FK132" s="15"/>
      <c r="FL132" s="15"/>
      <c r="FO132" s="15"/>
      <c r="FP132" s="15"/>
      <c r="FQ132" s="15"/>
      <c r="FR132" s="15"/>
      <c r="FU132" s="15"/>
      <c r="FV132" s="15"/>
      <c r="FW132" s="15"/>
      <c r="FX132" s="15"/>
      <c r="FY132" s="15"/>
      <c r="GA132" s="15"/>
      <c r="GB132" s="15"/>
      <c r="GC132" s="15"/>
      <c r="GF132" s="15"/>
      <c r="GG132" s="15"/>
      <c r="GH132" s="15"/>
      <c r="GI132" s="166"/>
      <c r="GJ132" s="167"/>
      <c r="GK132" s="15"/>
      <c r="GN132" s="15"/>
      <c r="GO132" s="15"/>
      <c r="GP132" s="166"/>
      <c r="GQ132" s="167"/>
      <c r="GR132" s="166"/>
      <c r="GV132" s="167"/>
      <c r="GW132" s="166"/>
      <c r="GX132" s="167"/>
      <c r="GY132" s="166"/>
      <c r="HC132" s="166"/>
      <c r="HD132" s="167"/>
      <c r="HE132" s="166"/>
      <c r="HF132" s="166"/>
      <c r="HI132" s="167"/>
      <c r="HJ132" s="167"/>
      <c r="HK132" s="167"/>
      <c r="HL132" s="167"/>
      <c r="HM132" s="166"/>
      <c r="HN132" s="166"/>
      <c r="HO132" s="166"/>
      <c r="HR132" s="167"/>
      <c r="HS132" s="167"/>
      <c r="HT132" s="167"/>
      <c r="HU132" s="167"/>
      <c r="HV132" s="166"/>
      <c r="HW132" s="166"/>
      <c r="HZ132" s="167"/>
      <c r="IA132" s="167"/>
      <c r="IB132" s="166"/>
      <c r="IC132" s="166"/>
      <c r="IE132" s="167"/>
      <c r="IF132" s="168"/>
      <c r="IG132" s="166"/>
      <c r="IH132" s="166"/>
      <c r="IK132" s="166"/>
      <c r="IL132" s="166"/>
      <c r="IO132" s="166"/>
      <c r="IP132" s="166"/>
      <c r="IS132" s="15"/>
      <c r="IT132" s="15"/>
      <c r="IU132" s="15"/>
      <c r="IX132" s="167"/>
      <c r="IY132" s="166"/>
      <c r="IZ132" s="166"/>
      <c r="JA132" s="166"/>
      <c r="JD132" s="166"/>
      <c r="JE132" s="166"/>
      <c r="JH132" s="166"/>
      <c r="JI132" s="166"/>
      <c r="JJ132" s="166"/>
      <c r="JM132" s="166"/>
      <c r="JN132" s="166"/>
      <c r="JQ132" s="166"/>
      <c r="JR132" s="166"/>
      <c r="JS132" s="166"/>
      <c r="JV132" s="166"/>
      <c r="JW132" s="166"/>
      <c r="JY132" s="166"/>
      <c r="JZ132" s="166"/>
      <c r="KB132" s="166"/>
      <c r="KC132" s="166"/>
      <c r="KD132" s="166"/>
    </row>
    <row r="133" spans="2:290" s="60" customFormat="1" hidden="1" x14ac:dyDescent="0.25">
      <c r="B133" s="58" t="s">
        <v>231</v>
      </c>
      <c r="C133" s="4"/>
      <c r="D133" s="4" t="str">
        <f t="shared" ref="D133:BO133" si="223">D118</f>
        <v>1QFY10</v>
      </c>
      <c r="E133" s="4" t="str">
        <f t="shared" si="223"/>
        <v>2QFY10</v>
      </c>
      <c r="F133" s="4" t="str">
        <f t="shared" si="223"/>
        <v>3QFY10</v>
      </c>
      <c r="G133" s="4" t="str">
        <f t="shared" si="223"/>
        <v>4QFY10</v>
      </c>
      <c r="H133" s="145" t="str">
        <f t="shared" si="223"/>
        <v>CY10</v>
      </c>
      <c r="I133" s="156" t="str">
        <f t="shared" si="223"/>
        <v>1QFY11</v>
      </c>
      <c r="J133" s="156" t="str">
        <f t="shared" si="223"/>
        <v>2QFY11</v>
      </c>
      <c r="K133" s="156" t="str">
        <f t="shared" si="223"/>
        <v>3QFY11</v>
      </c>
      <c r="L133" s="156" t="str">
        <f t="shared" si="223"/>
        <v>4QFY11</v>
      </c>
      <c r="M133" s="145" t="str">
        <f t="shared" si="223"/>
        <v>CY11</v>
      </c>
      <c r="N133" s="156" t="str">
        <f t="shared" si="223"/>
        <v>1QFY12</v>
      </c>
      <c r="O133" s="156" t="str">
        <f t="shared" si="223"/>
        <v>2QFY12</v>
      </c>
      <c r="P133" s="156" t="str">
        <f t="shared" si="223"/>
        <v>3QFY12</v>
      </c>
      <c r="Q133" s="156" t="str">
        <f t="shared" si="223"/>
        <v>4QFY12</v>
      </c>
      <c r="R133" s="145" t="str">
        <f t="shared" si="223"/>
        <v>CY12</v>
      </c>
      <c r="S133" s="156" t="str">
        <f t="shared" si="223"/>
        <v>1QFY13</v>
      </c>
      <c r="T133" s="156" t="str">
        <f t="shared" si="223"/>
        <v>2QFY13</v>
      </c>
      <c r="U133" s="156" t="str">
        <f t="shared" si="223"/>
        <v>3QFY13</v>
      </c>
      <c r="V133" s="156" t="str">
        <f t="shared" si="223"/>
        <v>4QFY13</v>
      </c>
      <c r="W133" s="145" t="str">
        <f t="shared" si="223"/>
        <v>CY13</v>
      </c>
      <c r="X133" s="156" t="str">
        <f t="shared" si="223"/>
        <v>1QFY14</v>
      </c>
      <c r="Y133" s="156" t="str">
        <f t="shared" si="223"/>
        <v>2QFY14</v>
      </c>
      <c r="Z133" s="156" t="str">
        <f t="shared" si="223"/>
        <v>3QFY14</v>
      </c>
      <c r="AA133" s="156" t="str">
        <f t="shared" si="223"/>
        <v>4QFY14</v>
      </c>
      <c r="AB133" s="145" t="str">
        <f t="shared" si="223"/>
        <v>CY14</v>
      </c>
      <c r="AC133" s="156" t="str">
        <f t="shared" si="223"/>
        <v>1QFY15</v>
      </c>
      <c r="AD133" s="156" t="str">
        <f t="shared" si="223"/>
        <v>2QFY15</v>
      </c>
      <c r="AE133" s="156" t="str">
        <f t="shared" si="223"/>
        <v>3QFY15</v>
      </c>
      <c r="AF133" s="156" t="str">
        <f t="shared" si="223"/>
        <v>4QFY15</v>
      </c>
      <c r="AG133" s="145" t="str">
        <f t="shared" si="223"/>
        <v>CY15</v>
      </c>
      <c r="AH133" s="156" t="str">
        <f t="shared" si="223"/>
        <v>1QFY16</v>
      </c>
      <c r="AI133" s="156" t="str">
        <f t="shared" si="223"/>
        <v>2QFY16</v>
      </c>
      <c r="AJ133" s="156" t="str">
        <f t="shared" si="223"/>
        <v>3QFY16</v>
      </c>
      <c r="AK133" s="145" t="str">
        <f t="shared" si="223"/>
        <v>FY16</v>
      </c>
      <c r="AL133" s="156" t="str">
        <f t="shared" si="223"/>
        <v>1QFY17</v>
      </c>
      <c r="AM133" s="156" t="str">
        <f t="shared" si="223"/>
        <v>2QFY17</v>
      </c>
      <c r="AN133" s="156" t="str">
        <f t="shared" si="223"/>
        <v>3QFY17</v>
      </c>
      <c r="AO133" s="156" t="str">
        <f t="shared" si="223"/>
        <v>4QFY17</v>
      </c>
      <c r="AP133" s="145" t="str">
        <f t="shared" si="223"/>
        <v>FY17</v>
      </c>
      <c r="AQ133" s="156" t="str">
        <f t="shared" si="223"/>
        <v>1QFY18</v>
      </c>
      <c r="AR133" s="156" t="str">
        <f t="shared" si="223"/>
        <v>2QFY18</v>
      </c>
      <c r="AS133" s="156" t="str">
        <f t="shared" si="223"/>
        <v>3QFY18</v>
      </c>
      <c r="AT133" s="156" t="str">
        <f t="shared" si="223"/>
        <v>4QFY18</v>
      </c>
      <c r="AU133" s="145" t="str">
        <f t="shared" si="223"/>
        <v>FY18</v>
      </c>
      <c r="AV133" s="148" t="str">
        <f t="shared" si="223"/>
        <v>1QFY19</v>
      </c>
      <c r="AW133" s="148" t="str">
        <f t="shared" si="223"/>
        <v>2QFY19</v>
      </c>
      <c r="AX133" s="148" t="str">
        <f t="shared" si="223"/>
        <v>3QFY19</v>
      </c>
      <c r="AY133" s="148" t="str">
        <f t="shared" si="223"/>
        <v>4QFY19</v>
      </c>
      <c r="AZ133" s="145" t="str">
        <f t="shared" si="223"/>
        <v>FY19</v>
      </c>
      <c r="BA133" s="148" t="str">
        <f t="shared" si="223"/>
        <v>1QFY20</v>
      </c>
      <c r="BB133" s="148" t="str">
        <f t="shared" si="223"/>
        <v>2QFY20</v>
      </c>
      <c r="BC133" s="148" t="str">
        <f t="shared" si="223"/>
        <v>3QFY20</v>
      </c>
      <c r="BD133" s="148" t="str">
        <f t="shared" si="223"/>
        <v>4QFY20</v>
      </c>
      <c r="BE133" s="145" t="str">
        <f t="shared" si="223"/>
        <v>FY20</v>
      </c>
      <c r="BF133" s="148" t="str">
        <f t="shared" si="223"/>
        <v>1QFY21</v>
      </c>
      <c r="BG133" s="148" t="str">
        <f t="shared" si="223"/>
        <v>2QFY21</v>
      </c>
      <c r="BH133" s="148" t="str">
        <f t="shared" si="223"/>
        <v>3QFY21</v>
      </c>
      <c r="BI133" s="148" t="str">
        <f t="shared" si="223"/>
        <v>4QFY21</v>
      </c>
      <c r="BJ133" s="145" t="str">
        <f t="shared" si="223"/>
        <v>FY21</v>
      </c>
      <c r="BK133" s="148" t="str">
        <f t="shared" si="223"/>
        <v>1QFY22</v>
      </c>
      <c r="BL133" s="148" t="str">
        <f t="shared" si="223"/>
        <v>2QFY22</v>
      </c>
      <c r="BM133" s="148" t="str">
        <f t="shared" si="223"/>
        <v>3QFY22</v>
      </c>
      <c r="BN133" s="148" t="str">
        <f t="shared" si="223"/>
        <v>4QFY22</v>
      </c>
      <c r="BO133" s="145" t="str">
        <f t="shared" si="223"/>
        <v>FY22</v>
      </c>
      <c r="BP133" s="148" t="str">
        <f t="shared" ref="BP133:CN133" si="224">BP118</f>
        <v>1QFY23</v>
      </c>
      <c r="BQ133" s="148" t="str">
        <f t="shared" si="224"/>
        <v>2QFY23</v>
      </c>
      <c r="BR133" s="148" t="str">
        <f t="shared" si="224"/>
        <v>3QFY23</v>
      </c>
      <c r="BS133" s="148" t="str">
        <f t="shared" si="224"/>
        <v>4QFY23</v>
      </c>
      <c r="BT133" s="145" t="str">
        <f t="shared" si="224"/>
        <v>FY23</v>
      </c>
      <c r="BU133" s="148" t="str">
        <f t="shared" si="224"/>
        <v>1QFY24</v>
      </c>
      <c r="BV133" s="148" t="str">
        <f t="shared" si="224"/>
        <v>2QFY24</v>
      </c>
      <c r="BW133" s="148" t="str">
        <f t="shared" si="224"/>
        <v>3QFY24</v>
      </c>
      <c r="BX133" s="148" t="str">
        <f t="shared" si="224"/>
        <v>4QFY24</v>
      </c>
      <c r="BY133" s="145" t="str">
        <f t="shared" si="224"/>
        <v>FY24</v>
      </c>
      <c r="BZ133" s="148" t="str">
        <f t="shared" si="224"/>
        <v>1QFY25</v>
      </c>
      <c r="CA133" s="148" t="str">
        <f t="shared" si="224"/>
        <v>2QFY25</v>
      </c>
      <c r="CB133" s="148" t="str">
        <f t="shared" si="224"/>
        <v>3QFY25</v>
      </c>
      <c r="CC133" s="148" t="str">
        <f t="shared" si="224"/>
        <v>4QFY25</v>
      </c>
      <c r="CD133" s="145" t="str">
        <f t="shared" si="224"/>
        <v>FY25</v>
      </c>
      <c r="CE133" s="148" t="str">
        <f t="shared" si="224"/>
        <v>1QFY26</v>
      </c>
      <c r="CF133" s="148" t="str">
        <f t="shared" si="224"/>
        <v>2QFY26</v>
      </c>
      <c r="CG133" s="148" t="str">
        <f t="shared" si="224"/>
        <v>3QFY26</v>
      </c>
      <c r="CH133" s="148" t="str">
        <f t="shared" si="224"/>
        <v>4QFY26</v>
      </c>
      <c r="CI133" s="145" t="str">
        <f t="shared" si="224"/>
        <v>FY26</v>
      </c>
      <c r="CJ133" s="145" t="str">
        <f t="shared" si="224"/>
        <v>FY27E</v>
      </c>
      <c r="CK133" s="145" t="str">
        <f t="shared" si="224"/>
        <v>FY28E</v>
      </c>
      <c r="CL133" s="145" t="str">
        <f t="shared" si="224"/>
        <v>FY29E</v>
      </c>
      <c r="CM133" s="145" t="str">
        <f t="shared" si="224"/>
        <v>FY30E</v>
      </c>
      <c r="CN133" s="145" t="str">
        <f t="shared" si="224"/>
        <v>FY31E</v>
      </c>
      <c r="CO133" s="148"/>
      <c r="CP133" s="148"/>
      <c r="CQ133" s="58"/>
      <c r="CR133" s="58"/>
      <c r="CS133" s="58"/>
      <c r="CT133" s="143"/>
      <c r="CU133" s="143"/>
      <c r="CV133" s="143"/>
      <c r="CW133" s="143"/>
      <c r="CX133" s="143"/>
      <c r="CY133" s="143"/>
      <c r="CZ133" s="143"/>
      <c r="DA133" s="143"/>
      <c r="DB133" s="143"/>
      <c r="DC133" s="143"/>
      <c r="DD133" s="143"/>
      <c r="DE133" s="143"/>
      <c r="DF133" s="143"/>
      <c r="DG133" s="143"/>
      <c r="DH133" s="143"/>
      <c r="DI133" s="143"/>
      <c r="DK133" s="143"/>
      <c r="DL133" s="143"/>
      <c r="DM133" s="58"/>
      <c r="DN133" s="143"/>
      <c r="DO133" s="143"/>
      <c r="DQ133" s="4"/>
      <c r="DR133" s="143"/>
      <c r="DS133" s="143"/>
      <c r="DT133" s="143"/>
      <c r="DV133" s="143"/>
      <c r="DW133" s="143"/>
      <c r="DX133" s="143"/>
      <c r="EA133" s="119"/>
      <c r="EB133" s="119"/>
      <c r="EC133" s="119"/>
      <c r="ED133" s="143"/>
      <c r="EE133" s="143"/>
      <c r="EF133" s="143"/>
      <c r="EJ133" s="119"/>
      <c r="EK133" s="119"/>
      <c r="EL133" s="143"/>
      <c r="EM133" s="143"/>
      <c r="EN133" s="143"/>
      <c r="EP133" s="119" t="s">
        <v>81</v>
      </c>
      <c r="EQ133" s="143" t="s">
        <v>82</v>
      </c>
      <c r="ER133" s="143" t="s">
        <v>87</v>
      </c>
      <c r="ES133" s="143"/>
      <c r="EV133" s="119" t="s">
        <v>87</v>
      </c>
      <c r="EW133" s="119" t="s">
        <v>87</v>
      </c>
      <c r="EX133" s="119" t="s">
        <v>87</v>
      </c>
      <c r="EY133" s="119" t="s">
        <v>87</v>
      </c>
      <c r="EZ133" s="143" t="s">
        <v>87</v>
      </c>
      <c r="FA133" s="143"/>
      <c r="FD133" s="119" t="s">
        <v>87</v>
      </c>
      <c r="FE133" s="119" t="s">
        <v>87</v>
      </c>
      <c r="FF133" s="119" t="s">
        <v>87</v>
      </c>
      <c r="FG133" s="143" t="s">
        <v>87</v>
      </c>
      <c r="FH133" s="143"/>
      <c r="FK133" s="143" t="s">
        <v>87</v>
      </c>
      <c r="FL133" s="143"/>
      <c r="FO133" s="119" t="s">
        <v>85</v>
      </c>
      <c r="FP133" s="119" t="s">
        <v>86</v>
      </c>
      <c r="FQ133" s="143" t="s">
        <v>87</v>
      </c>
      <c r="FR133" s="143" t="s">
        <v>92</v>
      </c>
      <c r="FU133" s="119" t="s">
        <v>86</v>
      </c>
      <c r="FV133" s="143" t="s">
        <v>87</v>
      </c>
      <c r="FW133" s="143" t="s">
        <v>92</v>
      </c>
      <c r="FX133" s="143" t="s">
        <v>92</v>
      </c>
      <c r="FY133" s="143" t="s">
        <v>102</v>
      </c>
      <c r="GA133" s="143" t="s">
        <v>92</v>
      </c>
      <c r="GB133" s="143" t="s">
        <v>97</v>
      </c>
      <c r="GC133" s="143" t="s">
        <v>102</v>
      </c>
      <c r="GF133" s="119" t="s">
        <v>89</v>
      </c>
      <c r="GG133" s="119" t="s">
        <v>90</v>
      </c>
      <c r="GH133" s="119" t="s">
        <v>91</v>
      </c>
      <c r="GI133" s="143" t="s">
        <v>92</v>
      </c>
      <c r="GJ133" s="143" t="s">
        <v>97</v>
      </c>
      <c r="GK133" s="143" t="s">
        <v>102</v>
      </c>
      <c r="GN133" s="119" t="s">
        <v>90</v>
      </c>
      <c r="GO133" s="119" t="s">
        <v>91</v>
      </c>
      <c r="GP133" s="143" t="s">
        <v>92</v>
      </c>
      <c r="GQ133" s="143" t="s">
        <v>97</v>
      </c>
      <c r="GR133" s="143" t="s">
        <v>102</v>
      </c>
      <c r="GV133" s="119" t="s">
        <v>91</v>
      </c>
      <c r="GW133" s="143" t="s">
        <v>92</v>
      </c>
      <c r="GX133" s="143" t="s">
        <v>97</v>
      </c>
      <c r="GY133" s="143" t="s">
        <v>102</v>
      </c>
      <c r="HC133" s="143" t="s">
        <v>96</v>
      </c>
      <c r="HD133" s="143" t="s">
        <v>97</v>
      </c>
      <c r="HE133" s="143" t="s">
        <v>102</v>
      </c>
      <c r="HF133" s="143" t="s">
        <v>107</v>
      </c>
      <c r="HI133" s="119" t="s">
        <v>98</v>
      </c>
      <c r="HJ133" s="119" t="s">
        <v>99</v>
      </c>
      <c r="HK133" s="119" t="s">
        <v>100</v>
      </c>
      <c r="HL133" s="119" t="s">
        <v>101</v>
      </c>
      <c r="HM133" s="143" t="s">
        <v>102</v>
      </c>
      <c r="HN133" s="143" t="s">
        <v>107</v>
      </c>
      <c r="HO133" s="143" t="s">
        <v>107</v>
      </c>
      <c r="HR133" s="119" t="s">
        <v>99</v>
      </c>
      <c r="HS133" s="119" t="s">
        <v>100</v>
      </c>
      <c r="HT133" s="119" t="s">
        <v>101</v>
      </c>
      <c r="HU133" s="143" t="s">
        <v>102</v>
      </c>
      <c r="HV133" s="143" t="s">
        <v>107</v>
      </c>
      <c r="HW133" s="143" t="s">
        <v>107</v>
      </c>
      <c r="HZ133" s="119" t="s">
        <v>100</v>
      </c>
      <c r="IA133" s="143" t="s">
        <v>102</v>
      </c>
      <c r="IB133" s="143" t="s">
        <v>107</v>
      </c>
      <c r="IC133" s="143" t="s">
        <v>107</v>
      </c>
      <c r="IE133" s="119" t="s">
        <v>101</v>
      </c>
      <c r="IF133" s="143" t="s">
        <v>102</v>
      </c>
      <c r="IG133" s="143" t="s">
        <v>107</v>
      </c>
      <c r="IH133" s="143" t="s">
        <v>107</v>
      </c>
      <c r="IK133" s="143" t="s">
        <v>107</v>
      </c>
      <c r="IL133" s="143" t="s">
        <v>107</v>
      </c>
      <c r="IO133" s="143" t="s">
        <v>107</v>
      </c>
      <c r="IP133" s="143" t="s">
        <v>27</v>
      </c>
      <c r="IS133" s="157">
        <v>0.20226840618281106</v>
      </c>
      <c r="IT133" s="157">
        <v>0.14563741153524612</v>
      </c>
      <c r="IU133" s="157">
        <v>0.14620955709707739</v>
      </c>
      <c r="IX133" s="143" t="s">
        <v>106</v>
      </c>
      <c r="IY133" s="143" t="s">
        <v>107</v>
      </c>
      <c r="IZ133" s="143" t="s">
        <v>27</v>
      </c>
      <c r="JA133" s="143" t="s">
        <v>28</v>
      </c>
      <c r="JD133" s="143" t="s">
        <v>27</v>
      </c>
      <c r="JE133" s="143" t="s">
        <v>28</v>
      </c>
      <c r="JH133" s="143" t="s">
        <v>27</v>
      </c>
      <c r="JI133" s="143" t="s">
        <v>28</v>
      </c>
      <c r="JJ133" s="143" t="s">
        <v>28</v>
      </c>
      <c r="JM133" s="143" t="s">
        <v>28</v>
      </c>
      <c r="JN133" s="143" t="s">
        <v>28</v>
      </c>
      <c r="JQ133" s="143" t="s">
        <v>27</v>
      </c>
      <c r="JR133" s="143" t="s">
        <v>28</v>
      </c>
      <c r="JS133" s="143" t="s">
        <v>28</v>
      </c>
      <c r="JV133" s="143" t="s">
        <v>28</v>
      </c>
      <c r="JW133" s="143" t="s">
        <v>28</v>
      </c>
      <c r="JY133" s="143" t="s">
        <v>28</v>
      </c>
      <c r="JZ133" s="143" t="s">
        <v>28</v>
      </c>
      <c r="KB133" s="143" t="s">
        <v>28</v>
      </c>
      <c r="KC133" s="143" t="s">
        <v>28</v>
      </c>
      <c r="KD133" s="143" t="s">
        <v>28</v>
      </c>
    </row>
    <row r="134" spans="2:290" hidden="1" x14ac:dyDescent="0.25">
      <c r="B134" s="6" t="str">
        <f>B119</f>
        <v>Plastic Piping System</v>
      </c>
      <c r="C134" s="136"/>
      <c r="D134" s="136"/>
      <c r="E134" s="136"/>
      <c r="F134" s="136"/>
      <c r="G134" s="136"/>
      <c r="H134" s="132"/>
      <c r="I134" s="158"/>
      <c r="J134" s="158"/>
      <c r="K134" s="158"/>
      <c r="L134" s="158"/>
      <c r="M134" s="132"/>
      <c r="N134" s="158"/>
      <c r="O134" s="158"/>
      <c r="P134" s="158"/>
      <c r="Q134" s="158"/>
      <c r="R134" s="132"/>
      <c r="S134" s="158"/>
      <c r="T134" s="158"/>
      <c r="U134" s="158"/>
      <c r="V134" s="158"/>
      <c r="W134" s="132"/>
      <c r="X134" s="158"/>
      <c r="Y134" s="158"/>
      <c r="Z134" s="158"/>
      <c r="AA134" s="158"/>
      <c r="AB134" s="161">
        <v>3.9862569572770568E-2</v>
      </c>
      <c r="AC134" s="162">
        <v>-6.96106627083527E-2</v>
      </c>
      <c r="AD134" s="162">
        <v>0.12472869680098131</v>
      </c>
      <c r="AE134" s="162">
        <v>0.18196393578907788</v>
      </c>
      <c r="AF134" s="162">
        <v>6.5130372378598089E-2</v>
      </c>
      <c r="AG134" s="161">
        <v>8.6793898409691872E-2</v>
      </c>
      <c r="AH134" s="162">
        <v>0.25862527421392012</v>
      </c>
      <c r="AI134" s="162">
        <v>4.2768746722601003E-2</v>
      </c>
      <c r="AJ134" s="162">
        <v>0.26352279197508133</v>
      </c>
      <c r="AK134" s="161"/>
      <c r="AL134" s="162"/>
      <c r="AM134" s="162"/>
      <c r="AN134" s="162"/>
      <c r="AO134" s="162"/>
      <c r="AP134" s="161">
        <f t="shared" ref="AP134:BN138" si="225">(AP119/AK119-1)</f>
        <v>0.44302003913366161</v>
      </c>
      <c r="AQ134" s="162">
        <f t="shared" si="225"/>
        <v>-6.6641268766226447E-2</v>
      </c>
      <c r="AR134" s="162">
        <f t="shared" si="225"/>
        <v>0.17012768965669589</v>
      </c>
      <c r="AS134" s="162">
        <f t="shared" si="225"/>
        <v>0.24946674423114223</v>
      </c>
      <c r="AT134" s="162">
        <f t="shared" si="225"/>
        <v>7.7425276465972859E-2</v>
      </c>
      <c r="AU134" s="161">
        <f t="shared" si="225"/>
        <v>8.9574380358501626E-2</v>
      </c>
      <c r="AV134" s="74">
        <f t="shared" si="225"/>
        <v>5.2457331176586131E-2</v>
      </c>
      <c r="AW134" s="74">
        <f t="shared" si="225"/>
        <v>6.9099628070308006E-2</v>
      </c>
      <c r="AX134" s="74">
        <f t="shared" si="225"/>
        <v>8.6769612788081041E-2</v>
      </c>
      <c r="AY134" s="74">
        <f t="shared" si="225"/>
        <v>0.14697921103615053</v>
      </c>
      <c r="AZ134" s="161">
        <f t="shared" si="225"/>
        <v>9.1358795302929785E-2</v>
      </c>
      <c r="BA134" s="74">
        <f t="shared" si="225"/>
        <v>0.22400494117985037</v>
      </c>
      <c r="BB134" s="74">
        <f t="shared" si="225"/>
        <v>0.1975206173733377</v>
      </c>
      <c r="BC134" s="74">
        <f t="shared" si="225"/>
        <v>5.7835661040184227E-3</v>
      </c>
      <c r="BD134" s="74">
        <f t="shared" si="225"/>
        <v>-7.3805644736211651E-2</v>
      </c>
      <c r="BE134" s="161">
        <f t="shared" si="225"/>
        <v>7.5153352302786747E-2</v>
      </c>
      <c r="BF134" s="74">
        <f t="shared" si="225"/>
        <v>-0.11995681460792829</v>
      </c>
      <c r="BG134" s="74">
        <f t="shared" si="225"/>
        <v>-1.7740222969385933E-2</v>
      </c>
      <c r="BH134" s="74">
        <f t="shared" si="225"/>
        <v>8.9846800414590255E-2</v>
      </c>
      <c r="BI134" s="74">
        <f t="shared" si="225"/>
        <v>-1.7047144797257996E-2</v>
      </c>
      <c r="BJ134" s="161">
        <f t="shared" si="225"/>
        <v>-2.1328448126820332E-2</v>
      </c>
      <c r="BK134" s="74">
        <f t="shared" si="225"/>
        <v>-0.3584515681672712</v>
      </c>
      <c r="BL134" s="74">
        <f t="shared" si="225"/>
        <v>8.8141242174480938E-2</v>
      </c>
      <c r="BM134" s="74">
        <f t="shared" si="225"/>
        <v>-0.25484959418439534</v>
      </c>
      <c r="BN134" s="74">
        <f t="shared" si="225"/>
        <v>0.26987907417398049</v>
      </c>
      <c r="BO134" s="161">
        <f t="shared" ref="BO134:CI138" si="226">BO119/BJ119-1</f>
        <v>-6.8155335188223809E-2</v>
      </c>
      <c r="BP134" s="74">
        <f t="shared" si="226"/>
        <v>0.65084907817339066</v>
      </c>
      <c r="BQ134" s="74">
        <f t="shared" si="226"/>
        <v>9.2991169977924892E-2</v>
      </c>
      <c r="BR134" s="74">
        <f t="shared" si="226"/>
        <v>0.82018287672430379</v>
      </c>
      <c r="BS134" s="74">
        <f t="shared" si="226"/>
        <v>0.16357362678354948</v>
      </c>
      <c r="BT134" s="161">
        <f t="shared" si="226"/>
        <v>0.36730891922929687</v>
      </c>
      <c r="BU134" s="74">
        <f t="shared" si="226"/>
        <v>0.47655620467365023</v>
      </c>
      <c r="BV134" s="74">
        <f t="shared" si="226"/>
        <v>0.29928048472607927</v>
      </c>
      <c r="BW134" s="74">
        <f t="shared" si="226"/>
        <v>0.17187755141246197</v>
      </c>
      <c r="BX134" s="74">
        <f t="shared" si="226"/>
        <v>0.41411307917679641</v>
      </c>
      <c r="BY134" s="161">
        <f t="shared" si="226"/>
        <v>0.33583880377340369</v>
      </c>
      <c r="BZ134" s="74">
        <f t="shared" si="226"/>
        <v>0.19509013080478188</v>
      </c>
      <c r="CA134" s="74">
        <f t="shared" si="226"/>
        <v>-6.7133655238076351E-3</v>
      </c>
      <c r="CB134" s="74">
        <f t="shared" si="226"/>
        <v>3.6982697146791477E-2</v>
      </c>
      <c r="CC134" s="74">
        <f t="shared" si="226"/>
        <v>2.1612771182971668E-2</v>
      </c>
      <c r="CD134" s="161">
        <f t="shared" si="226"/>
        <v>6.014359252775936E-2</v>
      </c>
      <c r="CE134" s="74">
        <f t="shared" si="226"/>
        <v>6.1468537954949332E-2</v>
      </c>
      <c r="CF134" s="74">
        <f t="shared" si="226"/>
        <v>0.17236252665349472</v>
      </c>
      <c r="CG134" s="74">
        <f t="shared" si="226"/>
        <v>0.1618069003675453</v>
      </c>
      <c r="CH134" s="74">
        <f t="shared" si="226"/>
        <v>0.18274393288416846</v>
      </c>
      <c r="CI134" s="161">
        <f t="shared" si="226"/>
        <v>0.14375683679982232</v>
      </c>
      <c r="CJ134" s="170">
        <v>0.14000000000000001</v>
      </c>
      <c r="CK134" s="170">
        <v>0.16</v>
      </c>
      <c r="CL134" s="170"/>
      <c r="CM134" s="170"/>
      <c r="CN134" s="170"/>
      <c r="CO134" s="74"/>
      <c r="CP134" s="74"/>
      <c r="CQ134" s="6"/>
      <c r="CR134" s="6"/>
      <c r="CS134" s="6"/>
      <c r="CT134" s="124"/>
      <c r="CU134" s="124"/>
      <c r="CV134" s="124"/>
      <c r="CW134" s="124"/>
      <c r="CX134" s="124"/>
      <c r="CY134" s="124"/>
      <c r="CZ134" s="124"/>
      <c r="DA134" s="124"/>
      <c r="DB134" s="124"/>
      <c r="DC134" s="124"/>
      <c r="DD134" s="124"/>
      <c r="DE134" s="124"/>
      <c r="DF134" s="124"/>
      <c r="DG134" s="124"/>
      <c r="DH134" s="124"/>
      <c r="DI134" s="124"/>
      <c r="DK134" s="124"/>
      <c r="DL134" s="124"/>
      <c r="DM134" s="6"/>
      <c r="DN134" s="124"/>
      <c r="DO134" s="124"/>
      <c r="DQ134" s="136"/>
      <c r="DR134" s="124"/>
      <c r="DS134" s="124"/>
      <c r="DT134" s="124"/>
      <c r="DV134" s="124"/>
      <c r="DW134" s="124"/>
      <c r="DX134" s="124"/>
      <c r="EA134" s="111"/>
      <c r="EB134" s="111"/>
      <c r="EC134" s="111"/>
      <c r="ED134" s="124"/>
      <c r="EE134" s="124"/>
      <c r="EF134" s="124"/>
      <c r="EJ134" s="111"/>
      <c r="EK134" s="111"/>
      <c r="EL134" s="124"/>
      <c r="EM134" s="124"/>
      <c r="EN134" s="124"/>
      <c r="EP134" s="111"/>
      <c r="EQ134" s="124"/>
      <c r="ER134" s="124"/>
      <c r="ES134" s="124"/>
      <c r="EV134" s="111"/>
      <c r="EW134" s="111"/>
      <c r="EX134" s="111"/>
      <c r="EY134" s="111"/>
      <c r="EZ134" s="124"/>
      <c r="FA134" s="124"/>
      <c r="FD134" s="111"/>
      <c r="FE134" s="111"/>
      <c r="FF134" s="111"/>
      <c r="FG134" s="124"/>
      <c r="FH134" s="124"/>
      <c r="FK134" s="124"/>
      <c r="FL134" s="124"/>
      <c r="FO134" s="111">
        <v>0.1</v>
      </c>
      <c r="FP134" s="111">
        <v>9.7987445493314729E-2</v>
      </c>
      <c r="FQ134" s="124">
        <v>0.15</v>
      </c>
      <c r="FR134" s="124">
        <v>0.15</v>
      </c>
      <c r="FU134" s="111">
        <v>-5.7563371507978078E-2</v>
      </c>
      <c r="FV134" s="124">
        <v>0.08</v>
      </c>
      <c r="FW134" s="124">
        <v>-0.12</v>
      </c>
      <c r="FX134" s="124">
        <v>0.12</v>
      </c>
      <c r="FY134" s="124">
        <v>0.12</v>
      </c>
      <c r="GA134" s="124">
        <v>-0.08</v>
      </c>
      <c r="GB134" s="124">
        <v>0.15</v>
      </c>
      <c r="GC134" s="124">
        <v>0.12</v>
      </c>
      <c r="GF134" s="111"/>
      <c r="GG134" s="111"/>
      <c r="GH134" s="111"/>
      <c r="GI134" s="124">
        <v>-0.02</v>
      </c>
      <c r="GJ134" s="124">
        <v>0.22</v>
      </c>
      <c r="GK134" s="124">
        <v>0.12</v>
      </c>
      <c r="GN134" s="111"/>
      <c r="GO134" s="111"/>
      <c r="GP134" s="124">
        <v>0.02</v>
      </c>
      <c r="GQ134" s="124">
        <v>0.22</v>
      </c>
      <c r="GR134" s="124">
        <v>0.12</v>
      </c>
      <c r="GV134" s="111">
        <v>2.7022958028842581E-2</v>
      </c>
      <c r="GW134" s="124">
        <v>-0.01</v>
      </c>
      <c r="GX134" s="124">
        <v>0.16</v>
      </c>
      <c r="GY134" s="124">
        <v>0.15</v>
      </c>
      <c r="HC134" s="124">
        <v>0.10780333434214517</v>
      </c>
      <c r="HD134" s="124">
        <v>-0.11</v>
      </c>
      <c r="HE134" s="124">
        <v>0.16500000000000001</v>
      </c>
      <c r="HF134" s="124">
        <v>0.11</v>
      </c>
      <c r="HI134" s="111">
        <v>0.90562761114921742</v>
      </c>
      <c r="HJ134" s="111">
        <v>5.0000000000000044E-2</v>
      </c>
      <c r="HK134" s="111">
        <v>0.30000000000000004</v>
      </c>
      <c r="HL134" s="111">
        <v>1.5305107401535567E-2</v>
      </c>
      <c r="HM134" s="124">
        <v>0.24</v>
      </c>
      <c r="HN134" s="124">
        <v>0.11</v>
      </c>
      <c r="HO134" s="124">
        <v>0.08</v>
      </c>
      <c r="HR134" s="111">
        <v>5.0000000000000044E-2</v>
      </c>
      <c r="HS134" s="111">
        <v>0.30000000000000004</v>
      </c>
      <c r="HT134" s="111">
        <v>0.14231817381122602</v>
      </c>
      <c r="HU134" s="124">
        <v>0.24</v>
      </c>
      <c r="HV134" s="124">
        <v>0.11</v>
      </c>
      <c r="HW134" s="124">
        <v>0.08</v>
      </c>
      <c r="HZ134" s="111">
        <v>0.30000000000000004</v>
      </c>
      <c r="IA134" s="124">
        <v>0.24</v>
      </c>
      <c r="IB134" s="124">
        <v>0.11</v>
      </c>
      <c r="IC134" s="124">
        <v>0.08</v>
      </c>
      <c r="IE134" s="111">
        <v>0.14280000414477656</v>
      </c>
      <c r="IF134" s="124">
        <v>0.36</v>
      </c>
      <c r="IG134" s="124">
        <v>0.11</v>
      </c>
      <c r="IH134" s="124">
        <v>0.08</v>
      </c>
      <c r="IK134" s="124">
        <v>0.11</v>
      </c>
      <c r="IL134" s="124">
        <v>0.08</v>
      </c>
      <c r="IO134" s="124">
        <v>0.22</v>
      </c>
      <c r="IP134" s="124">
        <v>0.12</v>
      </c>
      <c r="IS134" s="160">
        <v>0.15</v>
      </c>
      <c r="IT134" s="160">
        <v>0.1</v>
      </c>
      <c r="IU134" s="160">
        <v>0.1</v>
      </c>
      <c r="IX134" s="124">
        <v>0.29441550230201341</v>
      </c>
      <c r="IY134" s="124">
        <v>0.3</v>
      </c>
      <c r="IZ134" s="124">
        <v>0.16</v>
      </c>
      <c r="JA134" s="124">
        <v>0.16</v>
      </c>
      <c r="JD134" s="124">
        <v>0.25</v>
      </c>
      <c r="JE134" s="124">
        <v>0.2</v>
      </c>
      <c r="JH134" s="124">
        <v>0.25</v>
      </c>
      <c r="JI134" s="124">
        <v>0.2</v>
      </c>
      <c r="JJ134" s="124">
        <v>0.15</v>
      </c>
      <c r="JM134" s="124">
        <v>0.18</v>
      </c>
      <c r="JN134" s="124">
        <v>0.15</v>
      </c>
      <c r="JQ134" s="124">
        <v>7.0000000000000007E-2</v>
      </c>
      <c r="JR134" s="124">
        <v>0.12</v>
      </c>
      <c r="JS134" s="124">
        <v>0.12</v>
      </c>
      <c r="JV134" s="124">
        <v>0.12</v>
      </c>
      <c r="JW134" s="124">
        <v>0.12</v>
      </c>
      <c r="JY134" s="124">
        <v>0.16</v>
      </c>
      <c r="JZ134" s="124">
        <v>0.12</v>
      </c>
      <c r="KB134" s="124">
        <v>0.15</v>
      </c>
      <c r="KC134" s="124">
        <v>0.14000000000000001</v>
      </c>
      <c r="KD134" s="124">
        <v>0.14000000000000001</v>
      </c>
    </row>
    <row r="135" spans="2:290" hidden="1" x14ac:dyDescent="0.25">
      <c r="B135" s="6" t="str">
        <f>B120</f>
        <v>Packaging Products</v>
      </c>
      <c r="C135" s="136"/>
      <c r="D135" s="136"/>
      <c r="E135" s="136"/>
      <c r="F135" s="136"/>
      <c r="G135" s="136"/>
      <c r="H135" s="132"/>
      <c r="I135" s="158"/>
      <c r="J135" s="158"/>
      <c r="K135" s="158"/>
      <c r="L135" s="158"/>
      <c r="M135" s="132"/>
      <c r="N135" s="158"/>
      <c r="O135" s="158"/>
      <c r="P135" s="158"/>
      <c r="Q135" s="158"/>
      <c r="R135" s="132"/>
      <c r="S135" s="158"/>
      <c r="T135" s="158"/>
      <c r="U135" s="158"/>
      <c r="V135" s="158"/>
      <c r="W135" s="132"/>
      <c r="X135" s="158"/>
      <c r="Y135" s="158"/>
      <c r="Z135" s="158"/>
      <c r="AA135" s="158"/>
      <c r="AB135" s="161">
        <v>-6.2725446050306277E-2</v>
      </c>
      <c r="AC135" s="162">
        <v>8.1995661605205994E-2</v>
      </c>
      <c r="AD135" s="162">
        <v>5.863917525773199E-2</v>
      </c>
      <c r="AE135" s="162">
        <v>0.24450677886863015</v>
      </c>
      <c r="AF135" s="162">
        <v>0.18084532374100726</v>
      </c>
      <c r="AG135" s="161">
        <v>0.13898646554396121</v>
      </c>
      <c r="AH135" s="162">
        <v>3.8626035819299576E-2</v>
      </c>
      <c r="AI135" s="162">
        <v>0.13477718915550008</v>
      </c>
      <c r="AJ135" s="162">
        <v>2.0661157024793431E-2</v>
      </c>
      <c r="AK135" s="161"/>
      <c r="AL135" s="162"/>
      <c r="AM135" s="162"/>
      <c r="AN135" s="162"/>
      <c r="AO135" s="162"/>
      <c r="AP135" s="161">
        <f t="shared" si="225"/>
        <v>0.43400090347839182</v>
      </c>
      <c r="AQ135" s="162">
        <f t="shared" si="225"/>
        <v>-2.3000255558395133E-2</v>
      </c>
      <c r="AR135" s="162">
        <f t="shared" si="225"/>
        <v>0.29545728401012172</v>
      </c>
      <c r="AS135" s="162">
        <f t="shared" si="225"/>
        <v>0.14041609600208704</v>
      </c>
      <c r="AT135" s="162">
        <f t="shared" si="225"/>
        <v>-0.16496529195590037</v>
      </c>
      <c r="AU135" s="161">
        <f t="shared" si="225"/>
        <v>4.8618111559139754E-2</v>
      </c>
      <c r="AV135" s="74">
        <f t="shared" si="225"/>
        <v>0.10271165751155298</v>
      </c>
      <c r="AW135" s="74">
        <f t="shared" si="225"/>
        <v>-2.8648497814156793E-2</v>
      </c>
      <c r="AX135" s="74">
        <f t="shared" si="225"/>
        <v>-0.10402607800526131</v>
      </c>
      <c r="AY135" s="74">
        <f t="shared" si="225"/>
        <v>0.32293398533007345</v>
      </c>
      <c r="AZ135" s="161">
        <f t="shared" si="225"/>
        <v>4.712503254491196E-2</v>
      </c>
      <c r="BA135" s="74">
        <f t="shared" si="225"/>
        <v>7.7488732505732738E-3</v>
      </c>
      <c r="BB135" s="74">
        <f t="shared" si="225"/>
        <v>5.9274154936320933E-2</v>
      </c>
      <c r="BC135" s="74">
        <f t="shared" si="225"/>
        <v>4.6722410161485817E-2</v>
      </c>
      <c r="BD135" s="74">
        <f t="shared" si="225"/>
        <v>-0.17594440748133366</v>
      </c>
      <c r="BE135" s="161">
        <f t="shared" si="225"/>
        <v>-1.7806594751740512E-2</v>
      </c>
      <c r="BF135" s="74">
        <f t="shared" si="225"/>
        <v>-0.20109846998823067</v>
      </c>
      <c r="BG135" s="74">
        <f t="shared" si="225"/>
        <v>0.10640028927861156</v>
      </c>
      <c r="BH135" s="74">
        <f t="shared" si="225"/>
        <v>2.3538020611012955E-2</v>
      </c>
      <c r="BI135" s="74">
        <f t="shared" si="225"/>
        <v>0.40190185700188397</v>
      </c>
      <c r="BJ135" s="161">
        <f t="shared" si="225"/>
        <v>6.7766245399489833E-2</v>
      </c>
      <c r="BK135" s="74">
        <f t="shared" si="225"/>
        <v>0.13258691809074841</v>
      </c>
      <c r="BL135" s="74">
        <f t="shared" si="225"/>
        <v>5.4416210474711901E-2</v>
      </c>
      <c r="BM135" s="74">
        <f t="shared" si="225"/>
        <v>-1.1379207625856425E-2</v>
      </c>
      <c r="BN135" s="74">
        <f t="shared" si="225"/>
        <v>-0.15972355538491068</v>
      </c>
      <c r="BO135" s="161">
        <f t="shared" si="226"/>
        <v>-1.2237156456878173E-2</v>
      </c>
      <c r="BP135" s="74">
        <f t="shared" si="226"/>
        <v>0.11567811307665621</v>
      </c>
      <c r="BQ135" s="74">
        <f t="shared" si="226"/>
        <v>3.0375823324293005E-2</v>
      </c>
      <c r="BR135" s="74">
        <f t="shared" si="226"/>
        <v>-0.12335784018319873</v>
      </c>
      <c r="BS135" s="74">
        <f t="shared" si="226"/>
        <v>3.0538420531566413E-2</v>
      </c>
      <c r="BT135" s="161">
        <f t="shared" si="226"/>
        <v>1.4770503304899485E-3</v>
      </c>
      <c r="BU135" s="74">
        <f t="shared" si="226"/>
        <v>5.4562412560236195E-2</v>
      </c>
      <c r="BV135" s="74">
        <f t="shared" si="226"/>
        <v>0.11980145897570882</v>
      </c>
      <c r="BW135" s="74">
        <f t="shared" si="226"/>
        <v>3.100295593593172E-2</v>
      </c>
      <c r="BX135" s="74">
        <f t="shared" si="226"/>
        <v>0.11225243866390788</v>
      </c>
      <c r="BY135" s="161">
        <f t="shared" si="226"/>
        <v>7.8629106596364462E-2</v>
      </c>
      <c r="BZ135" s="74">
        <f t="shared" si="226"/>
        <v>8.468455188679247E-2</v>
      </c>
      <c r="CA135" s="74">
        <f t="shared" si="226"/>
        <v>0.11437206178643389</v>
      </c>
      <c r="CB135" s="74">
        <f t="shared" si="226"/>
        <v>8.5544739298573091E-2</v>
      </c>
      <c r="CC135" s="74">
        <f t="shared" si="226"/>
        <v>5.0561424490067175E-2</v>
      </c>
      <c r="CD135" s="161">
        <f t="shared" si="226"/>
        <v>4.8712119917274865E-2</v>
      </c>
      <c r="CE135" s="74">
        <f t="shared" si="226"/>
        <v>-4.6205068967860585E-3</v>
      </c>
      <c r="CF135" s="74">
        <f t="shared" si="226"/>
        <v>-1.9887904538058221E-2</v>
      </c>
      <c r="CG135" s="74">
        <f t="shared" si="226"/>
        <v>1.5478164731896005E-2</v>
      </c>
      <c r="CH135" s="74">
        <f t="shared" si="226"/>
        <v>4.5345307361497555E-2</v>
      </c>
      <c r="CI135" s="161">
        <f t="shared" si="226"/>
        <v>-1.3022149062046684E-2</v>
      </c>
      <c r="CJ135" s="170">
        <v>0.1</v>
      </c>
      <c r="CK135" s="170">
        <v>0.1</v>
      </c>
      <c r="CL135" s="170"/>
      <c r="CM135" s="170"/>
      <c r="CN135" s="170"/>
      <c r="CO135" s="74"/>
      <c r="CP135" s="74"/>
      <c r="CQ135" s="6"/>
      <c r="CR135" s="6"/>
      <c r="CS135" s="6"/>
      <c r="CT135" s="124"/>
      <c r="CU135" s="124"/>
      <c r="CV135" s="124"/>
      <c r="CW135" s="124"/>
      <c r="CX135" s="124"/>
      <c r="CY135" s="124"/>
      <c r="CZ135" s="124"/>
      <c r="DA135" s="124"/>
      <c r="DB135" s="124"/>
      <c r="DC135" s="124"/>
      <c r="DD135" s="124"/>
      <c r="DE135" s="124"/>
      <c r="DF135" s="124"/>
      <c r="DG135" s="124"/>
      <c r="DH135" s="124"/>
      <c r="DI135" s="124"/>
      <c r="DK135" s="124"/>
      <c r="DL135" s="124"/>
      <c r="DM135" s="6"/>
      <c r="DN135" s="124"/>
      <c r="DO135" s="124"/>
      <c r="DQ135" s="136"/>
      <c r="DR135" s="124"/>
      <c r="DS135" s="124"/>
      <c r="DT135" s="124"/>
      <c r="DV135" s="124"/>
      <c r="DW135" s="124"/>
      <c r="DX135" s="124"/>
      <c r="EA135" s="111"/>
      <c r="EB135" s="111"/>
      <c r="EC135" s="111"/>
      <c r="ED135" s="124"/>
      <c r="EE135" s="124"/>
      <c r="EF135" s="124"/>
      <c r="EJ135" s="111"/>
      <c r="EK135" s="111"/>
      <c r="EL135" s="124"/>
      <c r="EM135" s="124"/>
      <c r="EN135" s="124"/>
      <c r="EP135" s="111"/>
      <c r="EQ135" s="124"/>
      <c r="ER135" s="124"/>
      <c r="ES135" s="124"/>
      <c r="EV135" s="111"/>
      <c r="EW135" s="111"/>
      <c r="EX135" s="111"/>
      <c r="EY135" s="111"/>
      <c r="EZ135" s="124"/>
      <c r="FA135" s="124"/>
      <c r="FD135" s="111"/>
      <c r="FE135" s="111"/>
      <c r="FF135" s="111"/>
      <c r="FG135" s="124"/>
      <c r="FH135" s="124"/>
      <c r="FK135" s="124"/>
      <c r="FL135" s="124"/>
      <c r="FO135" s="111">
        <v>0.05</v>
      </c>
      <c r="FP135" s="111">
        <v>8.2342721963480692E-2</v>
      </c>
      <c r="FQ135" s="124">
        <v>0.05</v>
      </c>
      <c r="FR135" s="124">
        <v>0.1</v>
      </c>
      <c r="FU135" s="111">
        <v>8.8356620093150706E-3</v>
      </c>
      <c r="FV135" s="124">
        <v>0.03</v>
      </c>
      <c r="FW135" s="124">
        <v>-0.15</v>
      </c>
      <c r="FX135" s="124">
        <v>0.1</v>
      </c>
      <c r="FY135" s="124">
        <v>0.1</v>
      </c>
      <c r="GA135" s="124">
        <v>-0.15</v>
      </c>
      <c r="GB135" s="124">
        <v>0.1</v>
      </c>
      <c r="GC135" s="124">
        <v>0.1</v>
      </c>
      <c r="GF135" s="111"/>
      <c r="GG135" s="111"/>
      <c r="GH135" s="111"/>
      <c r="GI135" s="124">
        <v>-0.1</v>
      </c>
      <c r="GJ135" s="124">
        <v>0.1</v>
      </c>
      <c r="GK135" s="124">
        <v>0.1</v>
      </c>
      <c r="GN135" s="111"/>
      <c r="GO135" s="111"/>
      <c r="GP135" s="124">
        <v>-0.03</v>
      </c>
      <c r="GQ135" s="124">
        <v>0.1</v>
      </c>
      <c r="GR135" s="124">
        <v>0.1</v>
      </c>
      <c r="GV135" s="111">
        <v>0.32005472324392237</v>
      </c>
      <c r="GW135" s="124">
        <v>0.05</v>
      </c>
      <c r="GX135" s="124">
        <v>0.1</v>
      </c>
      <c r="GY135" s="124">
        <v>0.15</v>
      </c>
      <c r="HC135" s="124">
        <v>9.1613873424201797E-2</v>
      </c>
      <c r="HD135" s="124">
        <v>0.05</v>
      </c>
      <c r="HE135" s="124">
        <v>0.18</v>
      </c>
      <c r="HF135" s="124">
        <v>0.1</v>
      </c>
      <c r="HI135" s="111">
        <v>0.17999999999999994</v>
      </c>
      <c r="HJ135" s="111">
        <v>0.17999999999999994</v>
      </c>
      <c r="HK135" s="111">
        <v>0.17999999999999994</v>
      </c>
      <c r="HL135" s="111">
        <v>0.18000000000000016</v>
      </c>
      <c r="HM135" s="124">
        <v>0.18</v>
      </c>
      <c r="HN135" s="124">
        <v>0.1</v>
      </c>
      <c r="HO135" s="124">
        <v>0.1</v>
      </c>
      <c r="HR135" s="111">
        <v>0.17999999999999994</v>
      </c>
      <c r="HS135" s="111">
        <v>0.17999999999999994</v>
      </c>
      <c r="HT135" s="111">
        <v>0.23648922397380279</v>
      </c>
      <c r="HU135" s="124">
        <v>0.18</v>
      </c>
      <c r="HV135" s="124">
        <v>0.1</v>
      </c>
      <c r="HW135" s="124">
        <v>0.1</v>
      </c>
      <c r="HZ135" s="111">
        <v>0.17999999999999994</v>
      </c>
      <c r="IA135" s="124">
        <v>0.18</v>
      </c>
      <c r="IB135" s="124">
        <v>0.1</v>
      </c>
      <c r="IC135" s="124">
        <v>0.1</v>
      </c>
      <c r="IE135" s="111">
        <v>0.23068311628969651</v>
      </c>
      <c r="IF135" s="124">
        <v>0.05</v>
      </c>
      <c r="IG135" s="124">
        <v>0.1</v>
      </c>
      <c r="IH135" s="124">
        <v>0.1</v>
      </c>
      <c r="IK135" s="124">
        <v>0.1</v>
      </c>
      <c r="IL135" s="124">
        <v>0.1</v>
      </c>
      <c r="IO135" s="124">
        <v>0.19</v>
      </c>
      <c r="IP135" s="124">
        <v>0.1</v>
      </c>
      <c r="IS135" s="160">
        <v>0.08</v>
      </c>
      <c r="IT135" s="160">
        <v>0.1</v>
      </c>
      <c r="IU135" s="160">
        <v>0.1</v>
      </c>
      <c r="IX135" s="124">
        <v>0.39833727460833557</v>
      </c>
      <c r="IY135" s="124">
        <v>0.15</v>
      </c>
      <c r="IZ135" s="124">
        <v>0.1</v>
      </c>
      <c r="JA135" s="124">
        <v>0.1</v>
      </c>
      <c r="JD135" s="124">
        <v>0.1</v>
      </c>
      <c r="JE135" s="124">
        <v>0.14000000000000001</v>
      </c>
      <c r="JH135" s="124">
        <v>7.0000000000000007E-2</v>
      </c>
      <c r="JI135" s="124">
        <v>0.14000000000000001</v>
      </c>
      <c r="JJ135" s="124">
        <v>0.12</v>
      </c>
      <c r="JM135" s="124">
        <v>0.14000000000000001</v>
      </c>
      <c r="JN135" s="124">
        <v>0.12</v>
      </c>
      <c r="JQ135" s="124">
        <v>0.1</v>
      </c>
      <c r="JR135" s="124">
        <v>0.14000000000000001</v>
      </c>
      <c r="JS135" s="124">
        <v>0.12</v>
      </c>
      <c r="JV135" s="124">
        <v>0.14000000000000001</v>
      </c>
      <c r="JW135" s="124">
        <v>0.12</v>
      </c>
      <c r="JY135" s="124">
        <v>0.14000000000000001</v>
      </c>
      <c r="JZ135" s="124">
        <v>0.12</v>
      </c>
      <c r="KB135" s="124">
        <v>0.05</v>
      </c>
      <c r="KC135" s="124">
        <v>0.1</v>
      </c>
      <c r="KD135" s="124">
        <v>0.1</v>
      </c>
    </row>
    <row r="136" spans="2:290" hidden="1" x14ac:dyDescent="0.25">
      <c r="B136" s="6" t="str">
        <f>B121</f>
        <v>Industrial Products</v>
      </c>
      <c r="C136" s="136"/>
      <c r="D136" s="136"/>
      <c r="E136" s="136"/>
      <c r="F136" s="136"/>
      <c r="G136" s="136"/>
      <c r="H136" s="132"/>
      <c r="I136" s="158"/>
      <c r="J136" s="158"/>
      <c r="K136" s="158"/>
      <c r="L136" s="158"/>
      <c r="M136" s="132"/>
      <c r="N136" s="158"/>
      <c r="O136" s="158"/>
      <c r="P136" s="158"/>
      <c r="Q136" s="158"/>
      <c r="R136" s="132"/>
      <c r="S136" s="158"/>
      <c r="T136" s="158"/>
      <c r="U136" s="158"/>
      <c r="V136" s="158"/>
      <c r="W136" s="132"/>
      <c r="X136" s="158"/>
      <c r="Y136" s="158"/>
      <c r="Z136" s="158"/>
      <c r="AA136" s="158"/>
      <c r="AB136" s="161">
        <v>-0.1601928409062523</v>
      </c>
      <c r="AC136" s="162">
        <v>0.13799091637723748</v>
      </c>
      <c r="AD136" s="162">
        <v>0.12766232089841223</v>
      </c>
      <c r="AE136" s="162">
        <v>0.13704050817452873</v>
      </c>
      <c r="AF136" s="162">
        <v>5.8287795992713942E-2</v>
      </c>
      <c r="AG136" s="161">
        <v>0.1145151695419393</v>
      </c>
      <c r="AH136" s="162">
        <v>-1.8664162460382716E-2</v>
      </c>
      <c r="AI136" s="162">
        <v>-0.12316849816849818</v>
      </c>
      <c r="AJ136" s="162">
        <v>-8.2425130506456612E-2</v>
      </c>
      <c r="AK136" s="161"/>
      <c r="AL136" s="162"/>
      <c r="AM136" s="162"/>
      <c r="AN136" s="162"/>
      <c r="AO136" s="162"/>
      <c r="AP136" s="161">
        <f t="shared" si="225"/>
        <v>0.49713890702407926</v>
      </c>
      <c r="AQ136" s="162">
        <f t="shared" si="225"/>
        <v>5.7545570156846138E-2</v>
      </c>
      <c r="AR136" s="162">
        <f t="shared" si="225"/>
        <v>0.17023163027817789</v>
      </c>
      <c r="AS136" s="162">
        <f t="shared" si="225"/>
        <v>-3.6052740008241102E-3</v>
      </c>
      <c r="AT136" s="162">
        <f t="shared" si="225"/>
        <v>0.31986687621336785</v>
      </c>
      <c r="AU136" s="161">
        <f t="shared" si="225"/>
        <v>0.14118612764210958</v>
      </c>
      <c r="AV136" s="74">
        <f t="shared" si="225"/>
        <v>0.23038380599258446</v>
      </c>
      <c r="AW136" s="74">
        <f t="shared" si="225"/>
        <v>8.4667108627710874E-2</v>
      </c>
      <c r="AX136" s="74">
        <f t="shared" si="225"/>
        <v>2.1916675281711928E-2</v>
      </c>
      <c r="AY136" s="74">
        <f t="shared" si="225"/>
        <v>-0.23604398683196748</v>
      </c>
      <c r="AZ136" s="161">
        <f t="shared" si="225"/>
        <v>7.8672900557452685E-4</v>
      </c>
      <c r="BA136" s="74">
        <f t="shared" si="225"/>
        <v>-0.15548134875386865</v>
      </c>
      <c r="BB136" s="74">
        <f t="shared" si="225"/>
        <v>-0.13097005151488694</v>
      </c>
      <c r="BC136" s="74">
        <f t="shared" si="225"/>
        <v>-0.10966110268082951</v>
      </c>
      <c r="BD136" s="74">
        <f t="shared" si="225"/>
        <v>-0.12954983038415702</v>
      </c>
      <c r="BE136" s="161">
        <f t="shared" si="225"/>
        <v>-0.13265054017024913</v>
      </c>
      <c r="BF136" s="74">
        <f t="shared" si="225"/>
        <v>-0.53997492525798052</v>
      </c>
      <c r="BG136" s="74">
        <f t="shared" si="225"/>
        <v>0.13382899628252787</v>
      </c>
      <c r="BH136" s="74">
        <f t="shared" si="225"/>
        <v>0.32394046131121468</v>
      </c>
      <c r="BI136" s="74">
        <f t="shared" si="225"/>
        <v>0.44765114809353279</v>
      </c>
      <c r="BJ136" s="161">
        <f t="shared" si="225"/>
        <v>7.3387368257503249E-2</v>
      </c>
      <c r="BK136" s="74">
        <f t="shared" si="225"/>
        <v>0.99412997903563949</v>
      </c>
      <c r="BL136" s="74">
        <f t="shared" si="225"/>
        <v>9.7917589720868392E-2</v>
      </c>
      <c r="BM136" s="74">
        <f t="shared" si="225"/>
        <v>6.1191211809131563E-2</v>
      </c>
      <c r="BN136" s="74">
        <f t="shared" si="225"/>
        <v>1.3824214202560192E-3</v>
      </c>
      <c r="BO136" s="161">
        <f t="shared" si="226"/>
        <v>0.15871752189331989</v>
      </c>
      <c r="BP136" s="74">
        <f t="shared" si="226"/>
        <v>0.35628679562657695</v>
      </c>
      <c r="BQ136" s="74">
        <f t="shared" si="226"/>
        <v>0.19176755447941884</v>
      </c>
      <c r="BR136" s="74">
        <f t="shared" si="226"/>
        <v>0.19571370804690669</v>
      </c>
      <c r="BS136" s="74">
        <f t="shared" si="226"/>
        <v>0.19944779481217756</v>
      </c>
      <c r="BT136" s="161">
        <f t="shared" si="226"/>
        <v>0.22756610451800952</v>
      </c>
      <c r="BU136" s="74">
        <f t="shared" si="226"/>
        <v>3.937679249670567E-2</v>
      </c>
      <c r="BV136" s="74">
        <f t="shared" si="226"/>
        <v>4.4629554381687697E-2</v>
      </c>
      <c r="BW136" s="74">
        <f t="shared" si="226"/>
        <v>9.7801826175177631E-2</v>
      </c>
      <c r="BX136" s="74">
        <f t="shared" si="226"/>
        <v>2.1989338502544253E-2</v>
      </c>
      <c r="BY136" s="161">
        <f t="shared" si="226"/>
        <v>5.0474898236092303E-2</v>
      </c>
      <c r="BZ136" s="74">
        <f t="shared" si="226"/>
        <v>0.11589231113431286</v>
      </c>
      <c r="CA136" s="74">
        <f t="shared" si="226"/>
        <v>-2.0421393841166924E-2</v>
      </c>
      <c r="CB136" s="74">
        <f t="shared" si="226"/>
        <v>0</v>
      </c>
      <c r="CC136" s="74">
        <f t="shared" si="226"/>
        <v>-1.1261928753482309E-2</v>
      </c>
      <c r="CD136" s="161">
        <f t="shared" si="226"/>
        <v>3.7716352363730277E-2</v>
      </c>
      <c r="CE136" s="74">
        <f t="shared" si="226"/>
        <v>8.1200294058678013E-2</v>
      </c>
      <c r="CF136" s="74">
        <f t="shared" si="226"/>
        <v>-7.8292521508934509E-2</v>
      </c>
      <c r="CG136" s="74">
        <f t="shared" si="226"/>
        <v>-4.7932967777709279E-2</v>
      </c>
      <c r="CH136" s="74">
        <f t="shared" si="226"/>
        <v>0.10143276781967514</v>
      </c>
      <c r="CI136" s="161">
        <f t="shared" si="226"/>
        <v>4.7843539955190417E-2</v>
      </c>
      <c r="CJ136" s="170">
        <v>7.0000000000000007E-2</v>
      </c>
      <c r="CK136" s="170">
        <v>7.0000000000000007E-2</v>
      </c>
      <c r="CL136" s="170"/>
      <c r="CM136" s="170"/>
      <c r="CN136" s="170"/>
      <c r="CO136" s="74"/>
      <c r="CP136" s="74"/>
      <c r="CQ136" s="6"/>
      <c r="CR136" s="6"/>
      <c r="CS136" s="6"/>
      <c r="CT136" s="124"/>
      <c r="CU136" s="124"/>
      <c r="CV136" s="124"/>
      <c r="CW136" s="124"/>
      <c r="CX136" s="124"/>
      <c r="CY136" s="124"/>
      <c r="CZ136" s="124"/>
      <c r="DA136" s="124"/>
      <c r="DB136" s="124"/>
      <c r="DC136" s="124"/>
      <c r="DD136" s="124"/>
      <c r="DE136" s="124"/>
      <c r="DF136" s="124"/>
      <c r="DG136" s="124"/>
      <c r="DH136" s="124"/>
      <c r="DI136" s="124"/>
      <c r="DK136" s="124"/>
      <c r="DL136" s="124"/>
      <c r="DM136" s="6"/>
      <c r="DN136" s="124"/>
      <c r="DO136" s="124"/>
      <c r="DQ136" s="136"/>
      <c r="DR136" s="124"/>
      <c r="DS136" s="124"/>
      <c r="DT136" s="124"/>
      <c r="DV136" s="124"/>
      <c r="DW136" s="124"/>
      <c r="DX136" s="124"/>
      <c r="EA136" s="111"/>
      <c r="EB136" s="111"/>
      <c r="EC136" s="111"/>
      <c r="ED136" s="124"/>
      <c r="EE136" s="124"/>
      <c r="EF136" s="124"/>
      <c r="EJ136" s="111"/>
      <c r="EK136" s="111"/>
      <c r="EL136" s="124"/>
      <c r="EM136" s="124"/>
      <c r="EN136" s="124"/>
      <c r="EP136" s="111"/>
      <c r="EQ136" s="124"/>
      <c r="ER136" s="124"/>
      <c r="ES136" s="124"/>
      <c r="EV136" s="111"/>
      <c r="EW136" s="111"/>
      <c r="EX136" s="111"/>
      <c r="EY136" s="111"/>
      <c r="EZ136" s="124"/>
      <c r="FA136" s="124"/>
      <c r="FD136" s="111"/>
      <c r="FE136" s="111"/>
      <c r="FF136" s="111"/>
      <c r="FG136" s="124"/>
      <c r="FH136" s="124"/>
      <c r="FK136" s="124"/>
      <c r="FL136" s="124"/>
      <c r="FO136" s="111">
        <v>0</v>
      </c>
      <c r="FP136" s="111">
        <v>0.10844870266801121</v>
      </c>
      <c r="FQ136" s="124">
        <v>-0.05</v>
      </c>
      <c r="FR136" s="124">
        <v>7.0000000000000007E-2</v>
      </c>
      <c r="FU136" s="111">
        <v>-7.7909599339873625E-2</v>
      </c>
      <c r="FV136" s="124">
        <v>-0.12</v>
      </c>
      <c r="FW136" s="124">
        <v>-0.15</v>
      </c>
      <c r="FX136" s="124">
        <v>7.0000000000000007E-2</v>
      </c>
      <c r="FY136" s="124">
        <v>7.0000000000000007E-2</v>
      </c>
      <c r="GA136" s="124">
        <v>-0.3</v>
      </c>
      <c r="GB136" s="124">
        <v>7.0000000000000007E-2</v>
      </c>
      <c r="GC136" s="124">
        <v>7.0000000000000007E-2</v>
      </c>
      <c r="GF136" s="111"/>
      <c r="GG136" s="111"/>
      <c r="GH136" s="111"/>
      <c r="GI136" s="124">
        <v>-0.25</v>
      </c>
      <c r="GJ136" s="124">
        <v>7.0000000000000007E-2</v>
      </c>
      <c r="GK136" s="124">
        <v>7.0000000000000007E-2</v>
      </c>
      <c r="GN136" s="111"/>
      <c r="GO136" s="111"/>
      <c r="GP136" s="124">
        <v>-0.1</v>
      </c>
      <c r="GQ136" s="124">
        <v>7.0000000000000007E-2</v>
      </c>
      <c r="GR136" s="124">
        <v>7.0000000000000007E-2</v>
      </c>
      <c r="GV136" s="111">
        <v>0.39319780914261693</v>
      </c>
      <c r="GW136" s="124">
        <v>0.06</v>
      </c>
      <c r="GX136" s="124">
        <v>0.12</v>
      </c>
      <c r="GY136" s="124">
        <v>0.15</v>
      </c>
      <c r="HC136" s="124">
        <v>-6.2379947613504516E-2</v>
      </c>
      <c r="HD136" s="124">
        <v>0.15</v>
      </c>
      <c r="HE136" s="124">
        <v>0.15</v>
      </c>
      <c r="HF136" s="124">
        <v>0.1</v>
      </c>
      <c r="HI136" s="111">
        <v>0.14999999999999991</v>
      </c>
      <c r="HJ136" s="111">
        <v>0.14999999999999991</v>
      </c>
      <c r="HK136" s="111">
        <v>0.14999999999999991</v>
      </c>
      <c r="HL136" s="111">
        <v>0.14999999999999991</v>
      </c>
      <c r="HM136" s="124">
        <v>0.15</v>
      </c>
      <c r="HN136" s="124">
        <v>0.1</v>
      </c>
      <c r="HO136" s="124">
        <v>0.1</v>
      </c>
      <c r="HR136" s="111">
        <v>0.14999999999999991</v>
      </c>
      <c r="HS136" s="111">
        <v>0.14999999999999991</v>
      </c>
      <c r="HT136" s="111">
        <v>7.4293395335316426E-3</v>
      </c>
      <c r="HU136" s="124">
        <v>0.15</v>
      </c>
      <c r="HV136" s="124">
        <v>0.1</v>
      </c>
      <c r="HW136" s="124">
        <v>0.1</v>
      </c>
      <c r="HZ136" s="111">
        <v>0.14999999999999991</v>
      </c>
      <c r="IA136" s="124">
        <v>0.15</v>
      </c>
      <c r="IB136" s="124">
        <v>0.1</v>
      </c>
      <c r="IC136" s="124">
        <v>0.1</v>
      </c>
      <c r="IE136" s="111">
        <v>0.10324783840732388</v>
      </c>
      <c r="IF136" s="124">
        <v>0.2</v>
      </c>
      <c r="IG136" s="124">
        <v>0.1</v>
      </c>
      <c r="IH136" s="124">
        <v>0.1</v>
      </c>
      <c r="IK136" s="124">
        <v>0.1</v>
      </c>
      <c r="IL136" s="124">
        <v>0.1</v>
      </c>
      <c r="IO136" s="124">
        <v>0.1</v>
      </c>
      <c r="IP136" s="124">
        <v>0.1</v>
      </c>
      <c r="IS136" s="160">
        <v>0.08</v>
      </c>
      <c r="IT136" s="160">
        <v>0.1</v>
      </c>
      <c r="IU136" s="160">
        <v>0.1</v>
      </c>
      <c r="IX136" s="124">
        <v>0.12744124061061313</v>
      </c>
      <c r="IY136" s="124">
        <v>0.08</v>
      </c>
      <c r="IZ136" s="124">
        <v>0.1</v>
      </c>
      <c r="JA136" s="124">
        <v>0.1</v>
      </c>
      <c r="JD136" s="124">
        <v>0.1</v>
      </c>
      <c r="JE136" s="124">
        <v>0.12</v>
      </c>
      <c r="JH136" s="124">
        <v>7.0000000000000007E-2</v>
      </c>
      <c r="JI136" s="124">
        <v>0.12</v>
      </c>
      <c r="JJ136" s="124">
        <v>0.12</v>
      </c>
      <c r="JM136" s="124">
        <v>0.12</v>
      </c>
      <c r="JN136" s="124">
        <v>0.12</v>
      </c>
      <c r="JQ136" s="124">
        <v>0.04</v>
      </c>
      <c r="JR136" s="124">
        <v>0.1</v>
      </c>
      <c r="JS136" s="124">
        <v>0.1</v>
      </c>
      <c r="JV136" s="124">
        <v>0.1</v>
      </c>
      <c r="JW136" s="124">
        <v>0.1</v>
      </c>
      <c r="JY136" s="124">
        <v>0.1</v>
      </c>
      <c r="JZ136" s="124">
        <v>0.1</v>
      </c>
      <c r="KB136" s="124">
        <v>0</v>
      </c>
      <c r="KC136" s="124">
        <v>7.0000000000000007E-2</v>
      </c>
      <c r="KD136" s="124">
        <v>7.0000000000000007E-2</v>
      </c>
    </row>
    <row r="137" spans="2:290" hidden="1" x14ac:dyDescent="0.25">
      <c r="B137" s="6" t="str">
        <f>B122</f>
        <v>Consumer Products</v>
      </c>
      <c r="C137" s="136"/>
      <c r="D137" s="136"/>
      <c r="E137" s="136"/>
      <c r="F137" s="136"/>
      <c r="G137" s="136"/>
      <c r="H137" s="132"/>
      <c r="I137" s="158"/>
      <c r="J137" s="158"/>
      <c r="K137" s="158"/>
      <c r="L137" s="158"/>
      <c r="M137" s="132"/>
      <c r="N137" s="158"/>
      <c r="O137" s="158"/>
      <c r="P137" s="158"/>
      <c r="Q137" s="158"/>
      <c r="R137" s="132"/>
      <c r="S137" s="158"/>
      <c r="T137" s="158"/>
      <c r="U137" s="158"/>
      <c r="V137" s="158"/>
      <c r="W137" s="132"/>
      <c r="X137" s="158"/>
      <c r="Y137" s="158"/>
      <c r="Z137" s="158"/>
      <c r="AA137" s="158"/>
      <c r="AB137" s="161">
        <v>-0.21635856655995045</v>
      </c>
      <c r="AC137" s="162">
        <v>-9.6913580246913544E-2</v>
      </c>
      <c r="AD137" s="162">
        <v>-6.4317397732873371E-2</v>
      </c>
      <c r="AE137" s="162">
        <v>0.20795857181793398</v>
      </c>
      <c r="AF137" s="162">
        <v>0.14706581135661678</v>
      </c>
      <c r="AG137" s="161">
        <v>5.3176067474960398E-2</v>
      </c>
      <c r="AH137" s="162">
        <v>0.10321257689678753</v>
      </c>
      <c r="AI137" s="162">
        <v>0.22912825915196211</v>
      </c>
      <c r="AJ137" s="162">
        <v>0.15749097472924189</v>
      </c>
      <c r="AK137" s="161"/>
      <c r="AL137" s="162"/>
      <c r="AM137" s="162"/>
      <c r="AN137" s="162"/>
      <c r="AO137" s="162"/>
      <c r="AP137" s="161">
        <f t="shared" si="225"/>
        <v>0.44314779270633387</v>
      </c>
      <c r="AQ137" s="162">
        <f t="shared" si="225"/>
        <v>-7.8778135048231501E-2</v>
      </c>
      <c r="AR137" s="162">
        <f t="shared" si="225"/>
        <v>0.12910128388017128</v>
      </c>
      <c r="AS137" s="162">
        <f t="shared" si="225"/>
        <v>0.12760359570269686</v>
      </c>
      <c r="AT137" s="162">
        <f t="shared" si="225"/>
        <v>0.16917293233082709</v>
      </c>
      <c r="AU137" s="161">
        <f t="shared" si="225"/>
        <v>8.448156620737346E-2</v>
      </c>
      <c r="AV137" s="74">
        <f t="shared" si="225"/>
        <v>0.15074171029668415</v>
      </c>
      <c r="AW137" s="74">
        <f t="shared" si="225"/>
        <v>-2.0846493998736615E-2</v>
      </c>
      <c r="AX137" s="74">
        <f t="shared" si="225"/>
        <v>5.0748590316935571E-2</v>
      </c>
      <c r="AY137" s="74">
        <f t="shared" si="225"/>
        <v>3.2154340836012762E-2</v>
      </c>
      <c r="AZ137" s="161">
        <f t="shared" si="225"/>
        <v>5.1165072357125307E-2</v>
      </c>
      <c r="BA137" s="74">
        <f t="shared" si="225"/>
        <v>-3.3175355450236976E-2</v>
      </c>
      <c r="BB137" s="74">
        <f t="shared" si="225"/>
        <v>4.9462365591397273E-3</v>
      </c>
      <c r="BC137" s="74">
        <f t="shared" si="225"/>
        <v>6.6247224278312311E-2</v>
      </c>
      <c r="BD137" s="74">
        <f t="shared" si="225"/>
        <v>-0.14018691588785048</v>
      </c>
      <c r="BE137" s="161">
        <f t="shared" si="225"/>
        <v>-3.0287474332648889E-2</v>
      </c>
      <c r="BF137" s="74">
        <f t="shared" si="225"/>
        <v>-0.7045098039215687</v>
      </c>
      <c r="BG137" s="74">
        <f t="shared" si="225"/>
        <v>6.4198587631072446E-3</v>
      </c>
      <c r="BH137" s="74">
        <f t="shared" si="225"/>
        <v>0.10864283234987848</v>
      </c>
      <c r="BI137" s="74">
        <f t="shared" si="225"/>
        <v>0.11937452326468345</v>
      </c>
      <c r="BJ137" s="161">
        <f t="shared" si="225"/>
        <v>-0.11121805669185236</v>
      </c>
      <c r="BK137" s="74">
        <f t="shared" si="225"/>
        <v>0.39946914399469136</v>
      </c>
      <c r="BL137" s="74">
        <f t="shared" si="225"/>
        <v>4.1462896023814588E-2</v>
      </c>
      <c r="BM137" s="74">
        <f t="shared" si="225"/>
        <v>-0.1848778960551033</v>
      </c>
      <c r="BN137" s="74">
        <f t="shared" si="225"/>
        <v>-0.1131175468483816</v>
      </c>
      <c r="BO137" s="161">
        <f t="shared" si="226"/>
        <v>-5.6746805284817015E-2</v>
      </c>
      <c r="BP137" s="74">
        <f t="shared" si="226"/>
        <v>0.7690848743480323</v>
      </c>
      <c r="BQ137" s="74">
        <f t="shared" si="226"/>
        <v>-7.717435688035934E-2</v>
      </c>
      <c r="BR137" s="74">
        <f t="shared" si="226"/>
        <v>-5.4926061071634336E-2</v>
      </c>
      <c r="BS137" s="74">
        <f t="shared" si="226"/>
        <v>-2.4010756819054957E-2</v>
      </c>
      <c r="BT137" s="161">
        <f t="shared" si="226"/>
        <v>4.7818599311136634E-2</v>
      </c>
      <c r="BU137" s="74">
        <f t="shared" si="226"/>
        <v>0.15062985794693118</v>
      </c>
      <c r="BV137" s="74">
        <f t="shared" si="226"/>
        <v>-2.2123893805314765E-4</v>
      </c>
      <c r="BW137" s="74">
        <f t="shared" si="226"/>
        <v>-2.6010973379394398E-2</v>
      </c>
      <c r="BX137" s="74">
        <f t="shared" si="226"/>
        <v>-8.4432198386144464E-2</v>
      </c>
      <c r="BY137" s="161">
        <f t="shared" si="226"/>
        <v>2.1914205883954985E-4</v>
      </c>
      <c r="BZ137" s="74">
        <f t="shared" si="226"/>
        <v>-6.7784765897973442E-2</v>
      </c>
      <c r="CA137" s="74">
        <f t="shared" si="226"/>
        <v>-8.4753263996459438E-2</v>
      </c>
      <c r="CB137" s="74">
        <f t="shared" si="226"/>
        <v>0</v>
      </c>
      <c r="CC137" s="74">
        <f t="shared" si="226"/>
        <v>0.10791057609630261</v>
      </c>
      <c r="CD137" s="161">
        <f t="shared" si="226"/>
        <v>-2.7879717368680557E-2</v>
      </c>
      <c r="CE137" s="74">
        <f t="shared" si="226"/>
        <v>4.8975512243877972E-2</v>
      </c>
      <c r="CF137" s="74">
        <f t="shared" si="226"/>
        <v>5.9235976789168365E-2</v>
      </c>
      <c r="CG137" s="74">
        <f t="shared" si="226"/>
        <v>6.0504902983518072E-3</v>
      </c>
      <c r="CH137" s="74">
        <f t="shared" si="226"/>
        <v>-8.1490104772992122E-3</v>
      </c>
      <c r="CI137" s="161">
        <f t="shared" si="226"/>
        <v>4.31034482758621E-2</v>
      </c>
      <c r="CJ137" s="170">
        <v>7.0000000000000007E-2</v>
      </c>
      <c r="CK137" s="170">
        <v>7.0000000000000007E-2</v>
      </c>
      <c r="CL137" s="170"/>
      <c r="CM137" s="170"/>
      <c r="CN137" s="170"/>
      <c r="CO137" s="74"/>
      <c r="CP137" s="74"/>
      <c r="CQ137" s="6"/>
      <c r="CR137" s="6"/>
      <c r="CS137" s="6"/>
      <c r="CT137" s="124"/>
      <c r="CU137" s="124"/>
      <c r="CV137" s="124"/>
      <c r="CW137" s="124"/>
      <c r="CX137" s="124"/>
      <c r="CY137" s="124"/>
      <c r="CZ137" s="124"/>
      <c r="DA137" s="124"/>
      <c r="DB137" s="124"/>
      <c r="DC137" s="124"/>
      <c r="DD137" s="124"/>
      <c r="DE137" s="124"/>
      <c r="DF137" s="124"/>
      <c r="DG137" s="124"/>
      <c r="DH137" s="124"/>
      <c r="DI137" s="124"/>
      <c r="DK137" s="124"/>
      <c r="DL137" s="124"/>
      <c r="DM137" s="6"/>
      <c r="DN137" s="124"/>
      <c r="DO137" s="124"/>
      <c r="DQ137" s="136"/>
      <c r="DR137" s="124"/>
      <c r="DS137" s="124"/>
      <c r="DT137" s="124"/>
      <c r="DV137" s="124"/>
      <c r="DW137" s="124"/>
      <c r="DX137" s="124"/>
      <c r="EA137" s="111"/>
      <c r="EB137" s="111"/>
      <c r="EC137" s="111"/>
      <c r="ED137" s="124"/>
      <c r="EE137" s="124"/>
      <c r="EF137" s="124"/>
      <c r="EJ137" s="111"/>
      <c r="EK137" s="111"/>
      <c r="EL137" s="124"/>
      <c r="EM137" s="124"/>
      <c r="EN137" s="124"/>
      <c r="EP137" s="111"/>
      <c r="EQ137" s="124"/>
      <c r="ER137" s="124"/>
      <c r="ES137" s="124"/>
      <c r="EV137" s="111"/>
      <c r="EW137" s="111"/>
      <c r="EX137" s="111"/>
      <c r="EY137" s="111"/>
      <c r="EZ137" s="124"/>
      <c r="FA137" s="124"/>
      <c r="FD137" s="111"/>
      <c r="FE137" s="111"/>
      <c r="FF137" s="111"/>
      <c r="FG137" s="124"/>
      <c r="FH137" s="124"/>
      <c r="FK137" s="124"/>
      <c r="FL137" s="124"/>
      <c r="FO137" s="111">
        <v>0.02</v>
      </c>
      <c r="FP137" s="111">
        <v>0.1126020659124447</v>
      </c>
      <c r="FQ137" s="124">
        <v>0.03</v>
      </c>
      <c r="FR137" s="124">
        <v>0.08</v>
      </c>
      <c r="FU137" s="111">
        <v>-0.13917691424823742</v>
      </c>
      <c r="FV137" s="124">
        <v>-0.03</v>
      </c>
      <c r="FW137" s="124">
        <v>-0.2</v>
      </c>
      <c r="FX137" s="124">
        <v>0.08</v>
      </c>
      <c r="FY137" s="124">
        <v>0.08</v>
      </c>
      <c r="GA137" s="124">
        <v>-0.35</v>
      </c>
      <c r="GB137" s="124">
        <v>0.08</v>
      </c>
      <c r="GC137" s="124">
        <v>0.08</v>
      </c>
      <c r="GF137" s="111"/>
      <c r="GG137" s="111"/>
      <c r="GH137" s="111"/>
      <c r="GI137" s="124">
        <v>-0.1</v>
      </c>
      <c r="GJ137" s="124">
        <v>0.08</v>
      </c>
      <c r="GK137" s="124">
        <v>0.08</v>
      </c>
      <c r="GN137" s="111"/>
      <c r="GO137" s="111"/>
      <c r="GP137" s="124">
        <v>-0.05</v>
      </c>
      <c r="GQ137" s="124">
        <v>0.08</v>
      </c>
      <c r="GR137" s="124">
        <v>0.08</v>
      </c>
      <c r="GV137" s="111">
        <v>0.36194698703279915</v>
      </c>
      <c r="GW137" s="124">
        <v>-0.05</v>
      </c>
      <c r="GX137" s="124">
        <v>0.08</v>
      </c>
      <c r="GY137" s="124">
        <v>0.08</v>
      </c>
      <c r="HC137" s="124">
        <v>0.22272572402044322</v>
      </c>
      <c r="HD137" s="124">
        <v>0.05</v>
      </c>
      <c r="HE137" s="124">
        <v>0.08</v>
      </c>
      <c r="HF137" s="124">
        <v>0.1</v>
      </c>
      <c r="HI137" s="111">
        <v>8.0000000000000071E-2</v>
      </c>
      <c r="HJ137" s="111">
        <v>8.0000000000000071E-2</v>
      </c>
      <c r="HK137" s="111">
        <v>8.0000000000000071E-2</v>
      </c>
      <c r="HL137" s="111">
        <v>8.0000000000000071E-2</v>
      </c>
      <c r="HM137" s="124">
        <v>0.08</v>
      </c>
      <c r="HN137" s="124">
        <v>0.1</v>
      </c>
      <c r="HO137" s="124">
        <v>0.1</v>
      </c>
      <c r="HR137" s="111">
        <v>8.0000000000000071E-2</v>
      </c>
      <c r="HS137" s="111">
        <v>8.0000000000000071E-2</v>
      </c>
      <c r="HT137" s="111">
        <v>-0.19915482135996898</v>
      </c>
      <c r="HU137" s="124">
        <v>0.08</v>
      </c>
      <c r="HV137" s="124">
        <v>0.1</v>
      </c>
      <c r="HW137" s="124">
        <v>0.1</v>
      </c>
      <c r="HZ137" s="111">
        <v>8.0000000000000071E-2</v>
      </c>
      <c r="IA137" s="124">
        <v>0.08</v>
      </c>
      <c r="IB137" s="124">
        <v>0.1</v>
      </c>
      <c r="IC137" s="124">
        <v>0.1</v>
      </c>
      <c r="IE137" s="111">
        <v>-1.6711486746062265E-2</v>
      </c>
      <c r="IF137" s="124">
        <v>0.05</v>
      </c>
      <c r="IG137" s="124">
        <v>0.1</v>
      </c>
      <c r="IH137" s="124">
        <v>0.1</v>
      </c>
      <c r="IK137" s="124">
        <v>0.1</v>
      </c>
      <c r="IL137" s="124">
        <v>0.1</v>
      </c>
      <c r="IO137" s="124">
        <v>0.08</v>
      </c>
      <c r="IP137" s="124">
        <v>0.1</v>
      </c>
      <c r="IS137" s="160"/>
      <c r="IT137" s="160"/>
      <c r="IU137" s="160"/>
      <c r="IX137" s="124">
        <v>0.20217280062979759</v>
      </c>
      <c r="IY137" s="124">
        <v>0.08</v>
      </c>
      <c r="IZ137" s="124">
        <v>0.1</v>
      </c>
      <c r="JA137" s="124">
        <v>0.1</v>
      </c>
      <c r="JD137" s="124">
        <v>0.1</v>
      </c>
      <c r="JE137" s="124">
        <v>0.12</v>
      </c>
      <c r="JH137" s="124">
        <v>7.0000000000000007E-2</v>
      </c>
      <c r="JI137" s="124">
        <v>0.12</v>
      </c>
      <c r="JJ137" s="124">
        <v>0.12</v>
      </c>
      <c r="JM137" s="124">
        <v>0.12</v>
      </c>
      <c r="JN137" s="124">
        <v>0.12</v>
      </c>
      <c r="JQ137" s="124">
        <v>-0.03</v>
      </c>
      <c r="JR137" s="124">
        <v>7.0000000000000007E-2</v>
      </c>
      <c r="JS137" s="124">
        <v>7.0000000000000007E-2</v>
      </c>
      <c r="JV137" s="124">
        <v>7.0000000000000007E-2</v>
      </c>
      <c r="JW137" s="124">
        <v>7.0000000000000007E-2</v>
      </c>
      <c r="JY137" s="124">
        <v>7.0000000000000007E-2</v>
      </c>
      <c r="JZ137" s="124">
        <v>7.0000000000000007E-2</v>
      </c>
      <c r="KB137" s="124">
        <v>0.02</v>
      </c>
      <c r="KC137" s="124">
        <v>7.0000000000000007E-2</v>
      </c>
      <c r="KD137" s="124">
        <v>7.0000000000000007E-2</v>
      </c>
    </row>
    <row r="138" spans="2:290" s="60" customFormat="1" hidden="1" x14ac:dyDescent="0.25">
      <c r="B138" s="58" t="s">
        <v>231</v>
      </c>
      <c r="C138" s="4"/>
      <c r="D138" s="4"/>
      <c r="E138" s="4"/>
      <c r="F138" s="4"/>
      <c r="G138" s="4"/>
      <c r="H138" s="145"/>
      <c r="I138" s="156"/>
      <c r="J138" s="156"/>
      <c r="K138" s="156"/>
      <c r="L138" s="156"/>
      <c r="M138" s="145"/>
      <c r="N138" s="156"/>
      <c r="O138" s="156"/>
      <c r="P138" s="156"/>
      <c r="Q138" s="156"/>
      <c r="R138" s="145"/>
      <c r="S138" s="156"/>
      <c r="T138" s="156"/>
      <c r="U138" s="156"/>
      <c r="V138" s="156"/>
      <c r="W138" s="145"/>
      <c r="X138" s="156"/>
      <c r="Y138" s="156"/>
      <c r="Z138" s="156"/>
      <c r="AA138" s="156"/>
      <c r="AB138" s="169">
        <v>-2.1278939215212511E-2</v>
      </c>
      <c r="AC138" s="171">
        <v>-1.7367641762375485E-2</v>
      </c>
      <c r="AD138" s="171">
        <v>0.10142042884284819</v>
      </c>
      <c r="AE138" s="171">
        <v>0.18497836874041096</v>
      </c>
      <c r="AF138" s="171">
        <v>8.3231587919555761E-2</v>
      </c>
      <c r="AG138" s="169">
        <v>9.6081869434370581E-2</v>
      </c>
      <c r="AH138" s="171">
        <v>0.16526165750356347</v>
      </c>
      <c r="AI138" s="171">
        <v>4.886096051694877E-2</v>
      </c>
      <c r="AJ138" s="171">
        <v>0.18353706900573874</v>
      </c>
      <c r="AK138" s="169"/>
      <c r="AL138" s="171"/>
      <c r="AM138" s="171"/>
      <c r="AN138" s="171"/>
      <c r="AO138" s="171"/>
      <c r="AP138" s="169">
        <f t="shared" si="225"/>
        <v>0.44770639082726316</v>
      </c>
      <c r="AQ138" s="171">
        <f t="shared" si="225"/>
        <v>-4.9905692464673357E-2</v>
      </c>
      <c r="AR138" s="171">
        <f t="shared" si="225"/>
        <v>0.18313022127736023</v>
      </c>
      <c r="AS138" s="171">
        <f t="shared" si="225"/>
        <v>0.19175331395062334</v>
      </c>
      <c r="AT138" s="171">
        <f t="shared" si="225"/>
        <v>7.865990696702041E-2</v>
      </c>
      <c r="AU138" s="169">
        <f t="shared" si="225"/>
        <v>8.9474951123427182E-2</v>
      </c>
      <c r="AV138" s="129">
        <f t="shared" si="225"/>
        <v>8.2858723598138395E-2</v>
      </c>
      <c r="AW138" s="129">
        <f t="shared" si="225"/>
        <v>5.2476400172095206E-2</v>
      </c>
      <c r="AX138" s="129">
        <f t="shared" si="225"/>
        <v>4.3881865263549535E-2</v>
      </c>
      <c r="AY138" s="129">
        <f t="shared" si="225"/>
        <v>0.10484543075879449</v>
      </c>
      <c r="AZ138" s="169">
        <f t="shared" si="225"/>
        <v>7.2343142907952407E-2</v>
      </c>
      <c r="BA138" s="129">
        <f>BA123/AV123-1</f>
        <v>0.13633676955289076</v>
      </c>
      <c r="BB138" s="129">
        <f>BB123/AW123-1</f>
        <v>0.12416288939920417</v>
      </c>
      <c r="BC138" s="129">
        <f>BC123/AX123-1</f>
        <v>4.0700322829811952E-3</v>
      </c>
      <c r="BD138" s="129">
        <f>BD123/AY123-1</f>
        <v>-9.480830460753098E-2</v>
      </c>
      <c r="BE138" s="169">
        <f t="shared" si="225"/>
        <v>3.4016528344175567E-2</v>
      </c>
      <c r="BF138" s="129">
        <f t="shared" si="225"/>
        <v>-0.19375286525372926</v>
      </c>
      <c r="BG138" s="129">
        <f t="shared" si="225"/>
        <v>1.4288770053475952E-2</v>
      </c>
      <c r="BH138" s="129">
        <f t="shared" si="225"/>
        <v>0.10050989713293812</v>
      </c>
      <c r="BI138" s="129">
        <f t="shared" si="225"/>
        <v>7.7887596899224754E-2</v>
      </c>
      <c r="BJ138" s="169">
        <f t="shared" si="225"/>
        <v>-5.8611832688976184E-3</v>
      </c>
      <c r="BK138" s="129">
        <f t="shared" si="225"/>
        <v>-0.22074116193371318</v>
      </c>
      <c r="BL138" s="129">
        <f t="shared" si="225"/>
        <v>8.2637395082036269E-2</v>
      </c>
      <c r="BM138" s="129">
        <f t="shared" si="225"/>
        <v>-0.18121773731000856</v>
      </c>
      <c r="BN138" s="129">
        <f t="shared" si="225"/>
        <v>0.15614268505366868</v>
      </c>
      <c r="BO138" s="169">
        <f t="shared" si="226"/>
        <v>-3.7158801199680291E-2</v>
      </c>
      <c r="BP138" s="129">
        <f t="shared" si="226"/>
        <v>0.52842950157162094</v>
      </c>
      <c r="BQ138" s="129">
        <f t="shared" si="226"/>
        <v>8.8923085913531263E-2</v>
      </c>
      <c r="BR138" s="129">
        <f t="shared" si="226"/>
        <v>0.51442049845123305</v>
      </c>
      <c r="BS138" s="129">
        <f t="shared" si="226"/>
        <v>0.14623620798245818</v>
      </c>
      <c r="BT138" s="169">
        <f t="shared" si="226"/>
        <v>0.28583904322593923</v>
      </c>
      <c r="BU138" s="129">
        <f t="shared" si="226"/>
        <v>0.3637648959806099</v>
      </c>
      <c r="BV138" s="129">
        <f t="shared" si="226"/>
        <v>0.23219412717011179</v>
      </c>
      <c r="BW138" s="129">
        <f t="shared" si="226"/>
        <v>0.14211271881007792</v>
      </c>
      <c r="BX138" s="129">
        <f t="shared" si="226"/>
        <v>0.32530831535675042</v>
      </c>
      <c r="BY138" s="169">
        <f t="shared" si="226"/>
        <v>0.26298072461851008</v>
      </c>
      <c r="BZ138" s="129">
        <f t="shared" si="226"/>
        <v>0.17025931710469622</v>
      </c>
      <c r="CA138" s="129">
        <f t="shared" si="226"/>
        <v>2.2792767288748461E-3</v>
      </c>
      <c r="CB138" s="129">
        <f t="shared" si="226"/>
        <v>3.6671412751146937E-2</v>
      </c>
      <c r="CC138" s="129">
        <f t="shared" si="226"/>
        <v>2.3058929512870474E-2</v>
      </c>
      <c r="CD138" s="169">
        <f t="shared" si="226"/>
        <v>5.4414484266868346E-2</v>
      </c>
      <c r="CE138" s="129">
        <f t="shared" si="226"/>
        <v>5.7284206287571582E-2</v>
      </c>
      <c r="CF138" s="129">
        <f t="shared" si="226"/>
        <v>0.1184411596428081</v>
      </c>
      <c r="CG138" s="129">
        <f t="shared" si="226"/>
        <v>0.12192650470028088</v>
      </c>
      <c r="CH138" s="129">
        <f t="shared" si="226"/>
        <v>0.16016590451984758</v>
      </c>
      <c r="CI138" s="169">
        <f t="shared" si="226"/>
        <v>0.11770766927102638</v>
      </c>
      <c r="CJ138" s="169">
        <f>CJ123/CI123-1</f>
        <v>0.12881487720601426</v>
      </c>
      <c r="CK138" s="169">
        <f>CK123/CJ123-1</f>
        <v>0.14558769733015886</v>
      </c>
      <c r="CL138" s="170">
        <v>0.15</v>
      </c>
      <c r="CM138" s="170">
        <v>0.1</v>
      </c>
      <c r="CN138" s="170">
        <v>0.1</v>
      </c>
      <c r="CO138" s="129"/>
      <c r="CP138" s="129"/>
      <c r="CQ138" s="58"/>
      <c r="CR138" s="58"/>
      <c r="CS138" s="58"/>
      <c r="CT138" s="143"/>
      <c r="CU138" s="143"/>
      <c r="CV138" s="143"/>
      <c r="CW138" s="143"/>
      <c r="CX138" s="143"/>
      <c r="CY138" s="143"/>
      <c r="CZ138" s="143"/>
      <c r="DA138" s="143"/>
      <c r="DB138" s="143"/>
      <c r="DC138" s="143"/>
      <c r="DD138" s="143"/>
      <c r="DE138" s="143"/>
      <c r="DF138" s="143"/>
      <c r="DG138" s="143"/>
      <c r="DH138" s="143"/>
      <c r="DI138" s="143"/>
      <c r="DK138" s="143"/>
      <c r="DL138" s="143"/>
      <c r="DM138" s="58"/>
      <c r="DN138" s="143"/>
      <c r="DO138" s="143"/>
      <c r="DQ138" s="4"/>
      <c r="DR138" s="143"/>
      <c r="DS138" s="143"/>
      <c r="DT138" s="143"/>
      <c r="DV138" s="143"/>
      <c r="DW138" s="143"/>
      <c r="DX138" s="143"/>
      <c r="EA138" s="119"/>
      <c r="EB138" s="119"/>
      <c r="EC138" s="119"/>
      <c r="ED138" s="143"/>
      <c r="EE138" s="143"/>
      <c r="EF138" s="143"/>
      <c r="EJ138" s="119"/>
      <c r="EK138" s="119"/>
      <c r="EL138" s="143"/>
      <c r="EM138" s="143"/>
      <c r="EN138" s="143"/>
      <c r="EP138" s="119">
        <v>7.7815736694732074E-2</v>
      </c>
      <c r="EQ138" s="143"/>
      <c r="ER138" s="143">
        <v>0.12000000000000011</v>
      </c>
      <c r="ES138" s="143"/>
      <c r="EV138" s="119">
        <v>0.1353585906611281</v>
      </c>
      <c r="EW138" s="119">
        <v>0.10000000000000009</v>
      </c>
      <c r="EX138" s="119">
        <v>0.10000000000000009</v>
      </c>
      <c r="EY138" s="119">
        <v>0.10000000000000009</v>
      </c>
      <c r="EZ138" s="143">
        <v>0.10000000000000009</v>
      </c>
      <c r="FA138" s="143"/>
      <c r="FD138" s="119">
        <v>0.10000000000000009</v>
      </c>
      <c r="FE138" s="119">
        <v>0.10000000000000009</v>
      </c>
      <c r="FF138" s="119">
        <v>0.10000000000000009</v>
      </c>
      <c r="FG138" s="143">
        <v>0.10000000000000009</v>
      </c>
      <c r="FH138" s="143"/>
      <c r="FK138" s="143">
        <v>0.10000000000000009</v>
      </c>
      <c r="FL138" s="143"/>
      <c r="FO138" s="119">
        <v>7.8172644629736165E-2</v>
      </c>
      <c r="FP138" s="119">
        <v>9.791384890666488E-2</v>
      </c>
      <c r="FQ138" s="143">
        <v>0.10802745343394049</v>
      </c>
      <c r="FR138" s="143">
        <v>0.13259856492446098</v>
      </c>
      <c r="FU138" s="119">
        <v>-5.5997684393337299E-2</v>
      </c>
      <c r="FV138" s="143">
        <v>4.5134490669199501E-2</v>
      </c>
      <c r="FW138" s="143">
        <v>-0.13070763553401765</v>
      </c>
      <c r="FX138" s="143">
        <v>0.11102330918299819</v>
      </c>
      <c r="FY138" s="143">
        <v>0.11126983911421728</v>
      </c>
      <c r="GA138" s="143">
        <v>-0.12301306616187269</v>
      </c>
      <c r="GB138" s="143">
        <v>0.13534075809782986</v>
      </c>
      <c r="GC138" s="143">
        <v>0.11270278352795682</v>
      </c>
      <c r="GF138" s="119">
        <v>-0.04</v>
      </c>
      <c r="GG138" s="119">
        <v>0</v>
      </c>
      <c r="GH138" s="119">
        <v>2.7462306201550213E-2</v>
      </c>
      <c r="GI138" s="143">
        <v>-5.5605643454404552E-2</v>
      </c>
      <c r="GJ138" s="143">
        <v>0.18781404041924787</v>
      </c>
      <c r="GK138" s="143">
        <v>0.11269071446870282</v>
      </c>
      <c r="GN138" s="119">
        <v>7.0000000000000007E-2</v>
      </c>
      <c r="GO138" s="119">
        <v>0.12710939922480557</v>
      </c>
      <c r="GP138" s="143">
        <v>-1.034698107751586E-3</v>
      </c>
      <c r="GQ138" s="143">
        <v>0.1860555725291857</v>
      </c>
      <c r="GR138" s="143">
        <v>0.11218992157083041</v>
      </c>
      <c r="GV138" s="119">
        <v>0.1093798449612402</v>
      </c>
      <c r="GW138" s="143">
        <v>2.0363480843019754E-3</v>
      </c>
      <c r="GX138" s="143">
        <v>0.14435391539896059</v>
      </c>
      <c r="GY138" s="143">
        <v>0.14683747326037633</v>
      </c>
      <c r="HC138" s="143">
        <v>9.0557453388231179E-2</v>
      </c>
      <c r="HD138" s="143">
        <v>-5.4989183811649078E-2</v>
      </c>
      <c r="HE138" s="143">
        <v>0.16112097572755224</v>
      </c>
      <c r="HF138" s="143">
        <v>0.10679887437184155</v>
      </c>
      <c r="HI138" s="119">
        <v>0.66291437471935333</v>
      </c>
      <c r="HJ138" s="119">
        <v>7.9687843931705471E-2</v>
      </c>
      <c r="HK138" s="119">
        <v>0.24535188914670991</v>
      </c>
      <c r="HL138" s="119">
        <v>4.9154089590768724E-2</v>
      </c>
      <c r="HM138" s="143">
        <v>0.21365803690201779</v>
      </c>
      <c r="HN138" s="143">
        <v>0.10711456643311856</v>
      </c>
      <c r="HO138" s="143">
        <v>8.5733782247659818E-2</v>
      </c>
      <c r="HR138" s="119">
        <v>7.9687843931705471E-2</v>
      </c>
      <c r="HS138" s="119">
        <v>0.24535188914670991</v>
      </c>
      <c r="HT138" s="119">
        <v>0.12367514987520112</v>
      </c>
      <c r="HU138" s="143">
        <v>0.21365803690201779</v>
      </c>
      <c r="HV138" s="143">
        <v>0.10711456643311856</v>
      </c>
      <c r="HW138" s="143">
        <v>8.5733782247659818E-2</v>
      </c>
      <c r="HZ138" s="119">
        <v>0.24535188914670991</v>
      </c>
      <c r="IA138" s="143">
        <v>0.21369725925850691</v>
      </c>
      <c r="IB138" s="143">
        <v>0.10711433651576585</v>
      </c>
      <c r="IC138" s="143">
        <v>8.5734240318208643E-2</v>
      </c>
      <c r="IE138" s="119">
        <v>0.14108330028692029</v>
      </c>
      <c r="IF138" s="143">
        <v>0.28415340637915443</v>
      </c>
      <c r="IG138" s="143">
        <v>0.10737471243280705</v>
      </c>
      <c r="IH138" s="143">
        <v>8.5215608215520877E-2</v>
      </c>
      <c r="IK138" s="143">
        <v>0.10737471243280705</v>
      </c>
      <c r="IL138" s="143">
        <v>8.5215608215520877E-2</v>
      </c>
      <c r="IO138" s="143">
        <v>0.19777323243192013</v>
      </c>
      <c r="IP138" s="143">
        <v>0.11508410176718842</v>
      </c>
      <c r="IS138" s="157">
        <v>0.23499999999999999</v>
      </c>
      <c r="IT138" s="157">
        <v>0.16</v>
      </c>
      <c r="IU138" s="157">
        <v>0.16</v>
      </c>
      <c r="IX138" s="143">
        <v>0.28207727895586587</v>
      </c>
      <c r="IY138" s="143">
        <v>0.25039859743613535</v>
      </c>
      <c r="IZ138" s="143">
        <v>0.14619025454956081</v>
      </c>
      <c r="JA138" s="143">
        <v>0.14674677268002712</v>
      </c>
      <c r="JD138" s="143">
        <v>0.21747699315774072</v>
      </c>
      <c r="JE138" s="143">
        <v>0.18598080625047175</v>
      </c>
      <c r="JH138" s="143">
        <v>0.21097239178928895</v>
      </c>
      <c r="JI138" s="143">
        <v>0.18628989908801952</v>
      </c>
      <c r="JJ138" s="143">
        <v>0.1445329064237888</v>
      </c>
      <c r="JM138" s="143">
        <v>0.1692608457582343</v>
      </c>
      <c r="JN138" s="143">
        <v>0.14392530848963481</v>
      </c>
      <c r="JQ138" s="143">
        <v>6.6985200898544761E-2</v>
      </c>
      <c r="JR138" s="143">
        <v>0.11870108072431185</v>
      </c>
      <c r="JS138" s="143">
        <v>0.11690331038873492</v>
      </c>
      <c r="JV138" s="143">
        <v>0.1185979451750161</v>
      </c>
      <c r="JW138" s="143">
        <v>0.11686748207932207</v>
      </c>
      <c r="JY138" s="143">
        <v>0.15009535811181451</v>
      </c>
      <c r="JZ138" s="143">
        <v>0.11695327167040559</v>
      </c>
      <c r="KB138" s="143">
        <v>0.1231898118634267</v>
      </c>
      <c r="KC138" s="143">
        <v>0.12898731414336484</v>
      </c>
      <c r="KD138" s="143">
        <v>0.12947231820687355</v>
      </c>
    </row>
    <row r="139" spans="2:290" s="6" customFormat="1" hidden="1" x14ac:dyDescent="0.25"/>
    <row r="140" spans="2:290" s="60" customFormat="1" hidden="1" x14ac:dyDescent="0.25">
      <c r="B140" s="58" t="s">
        <v>232</v>
      </c>
      <c r="C140" s="4"/>
      <c r="D140" s="4" t="str">
        <f t="shared" ref="D140:BO140" si="227">D133</f>
        <v>1QFY10</v>
      </c>
      <c r="E140" s="4" t="str">
        <f t="shared" si="227"/>
        <v>2QFY10</v>
      </c>
      <c r="F140" s="4" t="str">
        <f t="shared" si="227"/>
        <v>3QFY10</v>
      </c>
      <c r="G140" s="4" t="str">
        <f t="shared" si="227"/>
        <v>4QFY10</v>
      </c>
      <c r="H140" s="145" t="str">
        <f t="shared" si="227"/>
        <v>CY10</v>
      </c>
      <c r="I140" s="156" t="str">
        <f t="shared" si="227"/>
        <v>1QFY11</v>
      </c>
      <c r="J140" s="156" t="str">
        <f t="shared" si="227"/>
        <v>2QFY11</v>
      </c>
      <c r="K140" s="156" t="str">
        <f t="shared" si="227"/>
        <v>3QFY11</v>
      </c>
      <c r="L140" s="156" t="str">
        <f t="shared" si="227"/>
        <v>4QFY11</v>
      </c>
      <c r="M140" s="145" t="str">
        <f t="shared" si="227"/>
        <v>CY11</v>
      </c>
      <c r="N140" s="156" t="str">
        <f t="shared" si="227"/>
        <v>1QFY12</v>
      </c>
      <c r="O140" s="156" t="str">
        <f t="shared" si="227"/>
        <v>2QFY12</v>
      </c>
      <c r="P140" s="156" t="str">
        <f t="shared" si="227"/>
        <v>3QFY12</v>
      </c>
      <c r="Q140" s="156" t="str">
        <f t="shared" si="227"/>
        <v>4QFY12</v>
      </c>
      <c r="R140" s="145" t="str">
        <f t="shared" si="227"/>
        <v>CY12</v>
      </c>
      <c r="S140" s="156" t="str">
        <f t="shared" si="227"/>
        <v>1QFY13</v>
      </c>
      <c r="T140" s="156" t="str">
        <f t="shared" si="227"/>
        <v>2QFY13</v>
      </c>
      <c r="U140" s="156" t="str">
        <f t="shared" si="227"/>
        <v>3QFY13</v>
      </c>
      <c r="V140" s="156" t="str">
        <f t="shared" si="227"/>
        <v>4QFY13</v>
      </c>
      <c r="W140" s="145" t="str">
        <f t="shared" si="227"/>
        <v>CY13</v>
      </c>
      <c r="X140" s="156" t="str">
        <f t="shared" si="227"/>
        <v>1QFY14</v>
      </c>
      <c r="Y140" s="156" t="str">
        <f t="shared" si="227"/>
        <v>2QFY14</v>
      </c>
      <c r="Z140" s="156" t="str">
        <f t="shared" si="227"/>
        <v>3QFY14</v>
      </c>
      <c r="AA140" s="156" t="str">
        <f t="shared" si="227"/>
        <v>4QFY14</v>
      </c>
      <c r="AB140" s="145" t="str">
        <f t="shared" si="227"/>
        <v>CY14</v>
      </c>
      <c r="AC140" s="156" t="str">
        <f t="shared" si="227"/>
        <v>1QFY15</v>
      </c>
      <c r="AD140" s="156" t="str">
        <f t="shared" si="227"/>
        <v>2QFY15</v>
      </c>
      <c r="AE140" s="156" t="str">
        <f t="shared" si="227"/>
        <v>3QFY15</v>
      </c>
      <c r="AF140" s="156" t="str">
        <f t="shared" si="227"/>
        <v>4QFY15</v>
      </c>
      <c r="AG140" s="145" t="str">
        <f t="shared" si="227"/>
        <v>CY15</v>
      </c>
      <c r="AH140" s="156" t="str">
        <f t="shared" si="227"/>
        <v>1QFY16</v>
      </c>
      <c r="AI140" s="156" t="str">
        <f t="shared" si="227"/>
        <v>2QFY16</v>
      </c>
      <c r="AJ140" s="156" t="str">
        <f t="shared" si="227"/>
        <v>3QFY16</v>
      </c>
      <c r="AK140" s="145" t="str">
        <f t="shared" si="227"/>
        <v>FY16</v>
      </c>
      <c r="AL140" s="156" t="str">
        <f t="shared" si="227"/>
        <v>1QFY17</v>
      </c>
      <c r="AM140" s="156" t="str">
        <f t="shared" si="227"/>
        <v>2QFY17</v>
      </c>
      <c r="AN140" s="156" t="str">
        <f t="shared" si="227"/>
        <v>3QFY17</v>
      </c>
      <c r="AO140" s="156" t="str">
        <f t="shared" si="227"/>
        <v>4QFY17</v>
      </c>
      <c r="AP140" s="145" t="str">
        <f t="shared" si="227"/>
        <v>FY17</v>
      </c>
      <c r="AQ140" s="156" t="str">
        <f t="shared" si="227"/>
        <v>1QFY18</v>
      </c>
      <c r="AR140" s="156" t="str">
        <f t="shared" si="227"/>
        <v>2QFY18</v>
      </c>
      <c r="AS140" s="156" t="str">
        <f t="shared" si="227"/>
        <v>3QFY18</v>
      </c>
      <c r="AT140" s="156" t="str">
        <f t="shared" si="227"/>
        <v>4QFY18</v>
      </c>
      <c r="AU140" s="145" t="str">
        <f t="shared" si="227"/>
        <v>FY18</v>
      </c>
      <c r="AV140" s="148" t="str">
        <f t="shared" si="227"/>
        <v>1QFY19</v>
      </c>
      <c r="AW140" s="148" t="str">
        <f t="shared" si="227"/>
        <v>2QFY19</v>
      </c>
      <c r="AX140" s="148" t="str">
        <f t="shared" si="227"/>
        <v>3QFY19</v>
      </c>
      <c r="AY140" s="148" t="str">
        <f t="shared" si="227"/>
        <v>4QFY19</v>
      </c>
      <c r="AZ140" s="145" t="str">
        <f t="shared" si="227"/>
        <v>FY19</v>
      </c>
      <c r="BA140" s="148" t="str">
        <f t="shared" si="227"/>
        <v>1QFY20</v>
      </c>
      <c r="BB140" s="148" t="str">
        <f t="shared" si="227"/>
        <v>2QFY20</v>
      </c>
      <c r="BC140" s="148" t="str">
        <f t="shared" si="227"/>
        <v>3QFY20</v>
      </c>
      <c r="BD140" s="148" t="str">
        <f t="shared" si="227"/>
        <v>4QFY20</v>
      </c>
      <c r="BE140" s="145" t="str">
        <f t="shared" si="227"/>
        <v>FY20</v>
      </c>
      <c r="BF140" s="148" t="str">
        <f t="shared" si="227"/>
        <v>1QFY21</v>
      </c>
      <c r="BG140" s="148" t="str">
        <f t="shared" si="227"/>
        <v>2QFY21</v>
      </c>
      <c r="BH140" s="148" t="str">
        <f t="shared" si="227"/>
        <v>3QFY21</v>
      </c>
      <c r="BI140" s="148" t="str">
        <f t="shared" si="227"/>
        <v>4QFY21</v>
      </c>
      <c r="BJ140" s="145" t="str">
        <f t="shared" si="227"/>
        <v>FY21</v>
      </c>
      <c r="BK140" s="148" t="str">
        <f t="shared" si="227"/>
        <v>1QFY22</v>
      </c>
      <c r="BL140" s="148" t="str">
        <f t="shared" si="227"/>
        <v>2QFY22</v>
      </c>
      <c r="BM140" s="148" t="str">
        <f t="shared" si="227"/>
        <v>3QFY22</v>
      </c>
      <c r="BN140" s="148" t="str">
        <f t="shared" si="227"/>
        <v>4QFY22</v>
      </c>
      <c r="BO140" s="145" t="str">
        <f t="shared" si="227"/>
        <v>FY22</v>
      </c>
      <c r="BP140" s="148" t="str">
        <f t="shared" ref="BP140:CN140" si="228">BP133</f>
        <v>1QFY23</v>
      </c>
      <c r="BQ140" s="148" t="str">
        <f t="shared" si="228"/>
        <v>2QFY23</v>
      </c>
      <c r="BR140" s="148" t="str">
        <f t="shared" si="228"/>
        <v>3QFY23</v>
      </c>
      <c r="BS140" s="148" t="str">
        <f t="shared" si="228"/>
        <v>4QFY23</v>
      </c>
      <c r="BT140" s="145" t="str">
        <f t="shared" si="228"/>
        <v>FY23</v>
      </c>
      <c r="BU140" s="148" t="str">
        <f t="shared" si="228"/>
        <v>1QFY24</v>
      </c>
      <c r="BV140" s="148" t="str">
        <f t="shared" si="228"/>
        <v>2QFY24</v>
      </c>
      <c r="BW140" s="148" t="str">
        <f t="shared" si="228"/>
        <v>3QFY24</v>
      </c>
      <c r="BX140" s="148" t="str">
        <f t="shared" si="228"/>
        <v>4QFY24</v>
      </c>
      <c r="BY140" s="145" t="str">
        <f t="shared" si="228"/>
        <v>FY24</v>
      </c>
      <c r="BZ140" s="148" t="str">
        <f t="shared" si="228"/>
        <v>1QFY25</v>
      </c>
      <c r="CA140" s="148" t="str">
        <f t="shared" si="228"/>
        <v>2QFY25</v>
      </c>
      <c r="CB140" s="148" t="str">
        <f t="shared" si="228"/>
        <v>3QFY25</v>
      </c>
      <c r="CC140" s="148" t="str">
        <f t="shared" si="228"/>
        <v>4QFY25</v>
      </c>
      <c r="CD140" s="145" t="str">
        <f t="shared" si="228"/>
        <v>FY25</v>
      </c>
      <c r="CE140" s="148" t="str">
        <f t="shared" si="228"/>
        <v>1QFY26</v>
      </c>
      <c r="CF140" s="148" t="str">
        <f t="shared" si="228"/>
        <v>2QFY26</v>
      </c>
      <c r="CG140" s="148" t="str">
        <f t="shared" si="228"/>
        <v>3QFY26</v>
      </c>
      <c r="CH140" s="148" t="str">
        <f t="shared" si="228"/>
        <v>4QFY26</v>
      </c>
      <c r="CI140" s="145" t="str">
        <f t="shared" si="228"/>
        <v>FY26</v>
      </c>
      <c r="CJ140" s="145" t="str">
        <f t="shared" si="228"/>
        <v>FY27E</v>
      </c>
      <c r="CK140" s="145" t="str">
        <f t="shared" si="228"/>
        <v>FY28E</v>
      </c>
      <c r="CL140" s="145" t="str">
        <f t="shared" si="228"/>
        <v>FY29E</v>
      </c>
      <c r="CM140" s="145" t="str">
        <f t="shared" si="228"/>
        <v>FY30E</v>
      </c>
      <c r="CN140" s="145" t="str">
        <f t="shared" si="228"/>
        <v>FY31E</v>
      </c>
      <c r="CO140" s="148"/>
      <c r="CP140" s="148"/>
      <c r="CQ140" s="58"/>
      <c r="CR140" s="58"/>
      <c r="CS140" s="58"/>
      <c r="CT140" s="143"/>
      <c r="CU140" s="143"/>
      <c r="CV140" s="143"/>
      <c r="CW140" s="143"/>
      <c r="CX140" s="143"/>
      <c r="CY140" s="143"/>
      <c r="CZ140" s="143"/>
      <c r="DA140" s="143"/>
      <c r="DB140" s="143"/>
      <c r="DC140" s="143"/>
      <c r="DD140" s="143"/>
      <c r="DE140" s="143"/>
      <c r="DF140" s="143"/>
      <c r="DG140" s="143"/>
      <c r="DH140" s="143"/>
      <c r="DI140" s="143"/>
      <c r="DK140" s="143"/>
      <c r="DL140" s="143"/>
      <c r="DM140" s="58"/>
      <c r="DN140" s="143"/>
      <c r="DO140" s="143"/>
      <c r="DQ140" s="4"/>
      <c r="DR140" s="143"/>
      <c r="DS140" s="143"/>
      <c r="DT140" s="143"/>
      <c r="DV140" s="143"/>
      <c r="DW140" s="143"/>
      <c r="DX140" s="143"/>
      <c r="EA140" s="119"/>
      <c r="EB140" s="119"/>
      <c r="EC140" s="119"/>
      <c r="ED140" s="143"/>
      <c r="EE140" s="143"/>
      <c r="EF140" s="143"/>
      <c r="EJ140" s="119"/>
      <c r="EK140" s="119"/>
      <c r="EL140" s="143"/>
      <c r="EM140" s="143"/>
      <c r="EN140" s="143"/>
      <c r="EP140" s="119"/>
      <c r="EQ140" s="143"/>
      <c r="ER140" s="143"/>
      <c r="ES140" s="143"/>
      <c r="EV140" s="119"/>
      <c r="EW140" s="119"/>
      <c r="EX140" s="119"/>
      <c r="EY140" s="119"/>
      <c r="EZ140" s="143"/>
      <c r="FA140" s="143"/>
      <c r="FD140" s="119"/>
      <c r="FE140" s="119"/>
      <c r="FF140" s="119"/>
      <c r="FG140" s="143"/>
      <c r="FH140" s="143"/>
      <c r="FK140" s="143"/>
      <c r="FL140" s="143"/>
      <c r="FO140" s="119" t="s">
        <v>85</v>
      </c>
      <c r="FP140" s="119" t="s">
        <v>86</v>
      </c>
      <c r="FQ140" s="143" t="s">
        <v>87</v>
      </c>
      <c r="FR140" s="143" t="s">
        <v>92</v>
      </c>
      <c r="FU140" s="119" t="s">
        <v>86</v>
      </c>
      <c r="FV140" s="143" t="s">
        <v>87</v>
      </c>
      <c r="FW140" s="143" t="s">
        <v>92</v>
      </c>
      <c r="FX140" s="143" t="s">
        <v>92</v>
      </c>
      <c r="FY140" s="143" t="s">
        <v>92</v>
      </c>
      <c r="GA140" s="143" t="s">
        <v>92</v>
      </c>
      <c r="GB140" s="143" t="s">
        <v>92</v>
      </c>
      <c r="GC140" s="143" t="s">
        <v>92</v>
      </c>
      <c r="GF140" s="119"/>
      <c r="GG140" s="119"/>
      <c r="GH140" s="119"/>
      <c r="GI140" s="143" t="s">
        <v>92</v>
      </c>
      <c r="GJ140" s="143" t="s">
        <v>92</v>
      </c>
      <c r="GK140" s="143" t="s">
        <v>92</v>
      </c>
      <c r="GN140" s="119"/>
      <c r="GO140" s="119"/>
      <c r="GP140" s="143" t="s">
        <v>92</v>
      </c>
      <c r="GQ140" s="143" t="s">
        <v>92</v>
      </c>
      <c r="GR140" s="143" t="s">
        <v>92</v>
      </c>
      <c r="GV140" s="119"/>
      <c r="GW140" s="143" t="s">
        <v>92</v>
      </c>
      <c r="GX140" s="143" t="s">
        <v>92</v>
      </c>
      <c r="GY140" s="143" t="s">
        <v>92</v>
      </c>
      <c r="HC140" s="143"/>
      <c r="HD140" s="143" t="s">
        <v>97</v>
      </c>
      <c r="HE140" s="143" t="s">
        <v>102</v>
      </c>
      <c r="HF140" s="143" t="s">
        <v>107</v>
      </c>
      <c r="HI140" s="119"/>
      <c r="HJ140" s="119"/>
      <c r="HK140" s="119"/>
      <c r="HL140" s="119"/>
      <c r="HM140" s="143" t="s">
        <v>102</v>
      </c>
      <c r="HN140" s="143" t="s">
        <v>107</v>
      </c>
      <c r="HO140" s="143" t="s">
        <v>107</v>
      </c>
      <c r="HR140" s="119"/>
      <c r="HS140" s="119"/>
      <c r="HT140" s="119"/>
      <c r="HU140" s="143" t="s">
        <v>102</v>
      </c>
      <c r="HV140" s="143" t="s">
        <v>107</v>
      </c>
      <c r="HW140" s="143" t="s">
        <v>107</v>
      </c>
      <c r="HZ140" s="119"/>
      <c r="IA140" s="143" t="s">
        <v>102</v>
      </c>
      <c r="IB140" s="143" t="s">
        <v>107</v>
      </c>
      <c r="IC140" s="143" t="s">
        <v>107</v>
      </c>
      <c r="IE140" s="119"/>
      <c r="IF140" s="143" t="s">
        <v>102</v>
      </c>
      <c r="IG140" s="143" t="s">
        <v>107</v>
      </c>
      <c r="IH140" s="143" t="s">
        <v>107</v>
      </c>
      <c r="IK140" s="143" t="s">
        <v>107</v>
      </c>
      <c r="IL140" s="143" t="s">
        <v>107</v>
      </c>
      <c r="IO140" s="143" t="s">
        <v>107</v>
      </c>
      <c r="IP140" s="143" t="s">
        <v>107</v>
      </c>
      <c r="IS140" s="157">
        <v>7642.4998649999989</v>
      </c>
      <c r="IT140" s="157">
        <v>8972.7580233199988</v>
      </c>
      <c r="IU140" s="157">
        <v>10533.050795758398</v>
      </c>
      <c r="IX140" s="143" t="s">
        <v>106</v>
      </c>
      <c r="IY140" s="143" t="s">
        <v>107</v>
      </c>
      <c r="IZ140" s="143" t="s">
        <v>107</v>
      </c>
      <c r="JA140" s="143" t="s">
        <v>107</v>
      </c>
      <c r="JD140" s="143" t="s">
        <v>107</v>
      </c>
      <c r="JE140" s="143" t="s">
        <v>107</v>
      </c>
      <c r="JH140" s="143" t="s">
        <v>107</v>
      </c>
      <c r="JI140" s="143" t="s">
        <v>107</v>
      </c>
      <c r="JJ140" s="143" t="s">
        <v>107</v>
      </c>
      <c r="JM140" s="143" t="s">
        <v>107</v>
      </c>
      <c r="JN140" s="143" t="s">
        <v>107</v>
      </c>
      <c r="JQ140" s="143" t="s">
        <v>107</v>
      </c>
      <c r="JR140" s="143" t="s">
        <v>107</v>
      </c>
      <c r="JS140" s="143" t="s">
        <v>107</v>
      </c>
      <c r="JV140" s="143" t="s">
        <v>28</v>
      </c>
      <c r="JW140" s="143" t="s">
        <v>118</v>
      </c>
      <c r="JY140" s="143" t="s">
        <v>28</v>
      </c>
      <c r="JZ140" s="143" t="s">
        <v>118</v>
      </c>
      <c r="KB140" s="143" t="s">
        <v>28</v>
      </c>
      <c r="KC140" s="143" t="s">
        <v>118</v>
      </c>
      <c r="KD140" s="143" t="s">
        <v>118</v>
      </c>
    </row>
    <row r="141" spans="2:290" hidden="1" x14ac:dyDescent="0.25">
      <c r="B141" s="6" t="s">
        <v>233</v>
      </c>
      <c r="C141" s="136"/>
      <c r="D141" s="136"/>
      <c r="E141" s="136"/>
      <c r="F141" s="136"/>
      <c r="G141" s="136"/>
      <c r="H141" s="132"/>
      <c r="I141" s="158"/>
      <c r="J141" s="158"/>
      <c r="K141" s="158"/>
      <c r="L141" s="158"/>
      <c r="M141" s="132"/>
      <c r="N141" s="158"/>
      <c r="O141" s="158"/>
      <c r="P141" s="158"/>
      <c r="Q141" s="158"/>
      <c r="R141" s="132"/>
      <c r="S141" s="158"/>
      <c r="T141" s="158"/>
      <c r="U141" s="158"/>
      <c r="V141" s="158"/>
      <c r="W141" s="132">
        <v>1691</v>
      </c>
      <c r="X141" s="158">
        <v>367</v>
      </c>
      <c r="Y141" s="158">
        <v>457</v>
      </c>
      <c r="Z141" s="158">
        <v>542</v>
      </c>
      <c r="AA141" s="158">
        <v>694</v>
      </c>
      <c r="AB141" s="132">
        <v>2060</v>
      </c>
      <c r="AC141" s="158">
        <v>351.76</v>
      </c>
      <c r="AD141" s="158">
        <v>492</v>
      </c>
      <c r="AE141" s="158">
        <v>568</v>
      </c>
      <c r="AF141" s="158">
        <v>702</v>
      </c>
      <c r="AG141" s="132">
        <v>2113.7600000000002</v>
      </c>
      <c r="AH141" s="158">
        <v>401.48</v>
      </c>
      <c r="AI141" s="158">
        <v>492</v>
      </c>
      <c r="AJ141" s="158">
        <v>711.84000000000015</v>
      </c>
      <c r="AK141" s="132">
        <v>1605.3200000000002</v>
      </c>
      <c r="AL141" s="158">
        <v>772.12</v>
      </c>
      <c r="AM141" s="158">
        <v>483.28</v>
      </c>
      <c r="AN141" s="158">
        <v>561.88</v>
      </c>
      <c r="AO141" s="158">
        <v>818.58</v>
      </c>
      <c r="AP141" s="132">
        <v>2467.02</v>
      </c>
      <c r="AQ141" s="158">
        <v>664.89</v>
      </c>
      <c r="AR141" s="158">
        <v>567.05999999999995</v>
      </c>
      <c r="AS141" s="158">
        <v>666.45</v>
      </c>
      <c r="AT141" s="158">
        <v>828.78</v>
      </c>
      <c r="AU141" s="132">
        <v>2727.19</v>
      </c>
      <c r="AV141" s="137">
        <v>747</v>
      </c>
      <c r="AW141" s="137">
        <v>680.2</v>
      </c>
      <c r="AX141" s="137">
        <v>799.72</v>
      </c>
      <c r="AY141" s="137">
        <v>940.75</v>
      </c>
      <c r="AZ141" s="132">
        <v>3173</v>
      </c>
      <c r="BA141" s="137">
        <v>897.96</v>
      </c>
      <c r="BB141" s="137">
        <v>811.52</v>
      </c>
      <c r="BC141" s="137">
        <v>798.37</v>
      </c>
      <c r="BD141" s="137">
        <v>937.02</v>
      </c>
      <c r="BE141" s="132">
        <f>SUM(BA141:BD141)</f>
        <v>3444.87</v>
      </c>
      <c r="BF141" s="137">
        <v>764.59</v>
      </c>
      <c r="BG141" s="137">
        <v>847.25</v>
      </c>
      <c r="BH141" s="137">
        <v>1140</v>
      </c>
      <c r="BI141" s="137">
        <v>1346.75</v>
      </c>
      <c r="BJ141" s="132">
        <v>4098.79</v>
      </c>
      <c r="BK141" s="137">
        <v>831.05</v>
      </c>
      <c r="BL141" s="137">
        <v>1267.28</v>
      </c>
      <c r="BM141" s="137">
        <v>1148</v>
      </c>
      <c r="BN141" s="137">
        <v>1799.73</v>
      </c>
      <c r="BO141" s="132">
        <v>5045.99</v>
      </c>
      <c r="BP141" s="137">
        <v>1463.34</v>
      </c>
      <c r="BQ141" s="137">
        <v>1294.71</v>
      </c>
      <c r="BR141" s="137">
        <v>1508.68</v>
      </c>
      <c r="BS141" s="137">
        <v>1770.8</v>
      </c>
      <c r="BT141" s="132">
        <v>6037.53</v>
      </c>
      <c r="BU141" s="137">
        <v>1626.11</v>
      </c>
      <c r="BV141" s="137">
        <v>1509.28</v>
      </c>
      <c r="BW141" s="137">
        <v>1643.65</v>
      </c>
      <c r="BX141" s="137">
        <v>2152.5300000000002</v>
      </c>
      <c r="BY141" s="132">
        <v>6931.57</v>
      </c>
      <c r="BZ141" s="137">
        <v>1858.37</v>
      </c>
      <c r="CA141" s="137">
        <v>1437.93</v>
      </c>
      <c r="CB141" s="137">
        <v>1664.93</v>
      </c>
      <c r="CC141" s="137">
        <v>2074</v>
      </c>
      <c r="CD141" s="132">
        <v>7035</v>
      </c>
      <c r="CE141" s="137">
        <v>1792.31</v>
      </c>
      <c r="CF141" s="137">
        <v>1602.09</v>
      </c>
      <c r="CG141" s="137">
        <v>1823</v>
      </c>
      <c r="CH141" s="137">
        <v>2558.2600000000002</v>
      </c>
      <c r="CI141" s="132">
        <v>7775.86</v>
      </c>
      <c r="CJ141" s="132">
        <f t="shared" ref="CJ141:CK144" si="229">CJ119*CJ160/10000</f>
        <v>8864.4804000000004</v>
      </c>
      <c r="CK141" s="132">
        <f t="shared" si="229"/>
        <v>10282.797264000001</v>
      </c>
      <c r="CL141" s="132"/>
      <c r="CM141" s="132"/>
      <c r="CN141" s="132"/>
      <c r="CO141" s="137"/>
      <c r="CP141" s="137"/>
      <c r="CQ141" s="32"/>
      <c r="CR141" s="6"/>
      <c r="CS141" s="6"/>
      <c r="CT141" s="124"/>
      <c r="CU141" s="124"/>
      <c r="CV141" s="124"/>
      <c r="CW141" s="124"/>
      <c r="CX141" s="124"/>
      <c r="CY141" s="124"/>
      <c r="CZ141" s="124"/>
      <c r="DA141" s="124"/>
      <c r="DB141" s="124"/>
      <c r="DC141" s="124"/>
      <c r="DD141" s="124"/>
      <c r="DE141" s="124"/>
      <c r="DF141" s="124"/>
      <c r="DG141" s="124"/>
      <c r="DH141" s="124"/>
      <c r="DI141" s="124"/>
      <c r="DK141" s="124"/>
      <c r="DL141" s="124"/>
      <c r="DM141" s="6"/>
      <c r="DN141" s="124"/>
      <c r="DO141" s="124"/>
      <c r="DQ141" s="136"/>
      <c r="DR141" s="124"/>
      <c r="DS141" s="124"/>
      <c r="DT141" s="124"/>
      <c r="DV141" s="124"/>
      <c r="DW141" s="124"/>
      <c r="DX141" s="124"/>
      <c r="EA141" s="111"/>
      <c r="EB141" s="111"/>
      <c r="EC141" s="111"/>
      <c r="ED141" s="124"/>
      <c r="EE141" s="124"/>
      <c r="EF141" s="124"/>
      <c r="EJ141" s="111"/>
      <c r="EK141" s="111">
        <v>0.54913919819584001</v>
      </c>
      <c r="EL141" s="124"/>
      <c r="EM141" s="124"/>
      <c r="EN141" s="124"/>
      <c r="EP141" s="111"/>
      <c r="EQ141" s="124"/>
      <c r="ER141" s="124"/>
      <c r="ES141" s="124"/>
      <c r="EV141" s="111"/>
      <c r="EW141" s="111"/>
      <c r="EX141" s="111"/>
      <c r="EY141" s="111"/>
      <c r="EZ141" s="124"/>
      <c r="FA141" s="124"/>
      <c r="FD141" s="111"/>
      <c r="FE141" s="111"/>
      <c r="FF141" s="111"/>
      <c r="FG141" s="124"/>
      <c r="FH141" s="124"/>
      <c r="FK141" s="124"/>
      <c r="FL141" s="124"/>
      <c r="FO141" s="111">
        <v>894.85691726951006</v>
      </c>
      <c r="FP141" s="111">
        <v>1083.1128720568624</v>
      </c>
      <c r="FQ141" s="124"/>
      <c r="FR141" s="124"/>
      <c r="FU141" s="111">
        <v>915.37388806650506</v>
      </c>
      <c r="FV141" s="124">
        <v>3423.223888066505</v>
      </c>
      <c r="FW141" s="124">
        <v>2801.0974484726876</v>
      </c>
      <c r="FX141" s="124">
        <v>3424.4377896960004</v>
      </c>
      <c r="FY141" s="124">
        <v>3835.3703244595213</v>
      </c>
      <c r="GA141" s="124">
        <v>2975.583232</v>
      </c>
      <c r="GB141" s="124">
        <v>3421.9207167999998</v>
      </c>
      <c r="GC141" s="124">
        <v>3903.8317606399996</v>
      </c>
      <c r="GF141" s="111"/>
      <c r="GG141" s="111"/>
      <c r="GH141" s="111"/>
      <c r="GI141" s="124">
        <v>3169.643008</v>
      </c>
      <c r="GJ141" s="124">
        <v>3866.9644697600002</v>
      </c>
      <c r="GK141" s="124">
        <v>4411.5512788480009</v>
      </c>
      <c r="GN141" s="111"/>
      <c r="GO141" s="111"/>
      <c r="GP141" s="124">
        <v>3513.7674000000002</v>
      </c>
      <c r="GQ141" s="124">
        <v>4286.7962280000002</v>
      </c>
      <c r="GR141" s="124">
        <v>4885.050646963201</v>
      </c>
      <c r="GV141" s="111">
        <v>1254.10986</v>
      </c>
      <c r="GW141" s="124">
        <v>4005.9498600000002</v>
      </c>
      <c r="GX141" s="124">
        <v>4405.1172422399995</v>
      </c>
      <c r="GY141" s="124">
        <v>5145.3283384799997</v>
      </c>
      <c r="HC141" s="124"/>
      <c r="HD141" s="124">
        <v>4669.6362470000004</v>
      </c>
      <c r="HE141" s="124">
        <v>5501.1670388450011</v>
      </c>
      <c r="HF141" s="124">
        <v>6174.0507134278523</v>
      </c>
      <c r="HI141" s="111"/>
      <c r="HJ141" s="111"/>
      <c r="HK141" s="111"/>
      <c r="HL141" s="111"/>
      <c r="HM141" s="124">
        <v>5952.2015000000001</v>
      </c>
      <c r="HN141" s="124">
        <v>6682.4515926000004</v>
      </c>
      <c r="HO141" s="124">
        <v>7298.5962818160015</v>
      </c>
      <c r="HR141" s="111"/>
      <c r="HS141" s="111"/>
      <c r="HT141" s="111"/>
      <c r="HU141" s="124">
        <v>4591.6983</v>
      </c>
      <c r="HV141" s="124">
        <v>5172.2930406000005</v>
      </c>
      <c r="HW141" s="124">
        <v>5667.625045656001</v>
      </c>
      <c r="HZ141" s="111"/>
      <c r="IA141" s="124">
        <v>5782.1386000000002</v>
      </c>
      <c r="IB141" s="124">
        <v>6040.6342080000004</v>
      </c>
      <c r="IC141" s="124">
        <v>6605.433506448001</v>
      </c>
      <c r="IE141" s="111"/>
      <c r="IF141" s="124">
        <v>6341.7003999999988</v>
      </c>
      <c r="IG141" s="124">
        <v>6625.2117119999994</v>
      </c>
      <c r="IH141" s="124">
        <v>7244.6690070720006</v>
      </c>
      <c r="IK141" s="124">
        <v>6625.2117119999994</v>
      </c>
      <c r="IL141" s="124">
        <v>7244.6690070720006</v>
      </c>
      <c r="IO141" s="124">
        <v>7549.67598</v>
      </c>
      <c r="IP141" s="124">
        <v>8558.1296684800018</v>
      </c>
      <c r="IS141" s="160">
        <v>1391.0360899999998</v>
      </c>
      <c r="IT141" s="160">
        <v>1543.8629250000001</v>
      </c>
      <c r="IU141" s="160">
        <v>1713.3447661000002</v>
      </c>
      <c r="IX141" s="124">
        <v>1998.0412200000005</v>
      </c>
      <c r="IY141" s="124">
        <v>6777.08122</v>
      </c>
      <c r="IZ141" s="124">
        <v>7974.5280887999979</v>
      </c>
      <c r="JA141" s="124">
        <v>9381.6646763839981</v>
      </c>
      <c r="JD141" s="124">
        <v>8789.7127500000006</v>
      </c>
      <c r="JE141" s="124">
        <v>10697.955599999999</v>
      </c>
      <c r="JH141" s="124">
        <v>8789.7127500000006</v>
      </c>
      <c r="JI141" s="124">
        <v>10697.955599999999</v>
      </c>
      <c r="JJ141" s="124">
        <v>12475.494284999999</v>
      </c>
      <c r="JM141" s="124">
        <v>9593.9265820799992</v>
      </c>
      <c r="JN141" s="124">
        <v>11188.023274787998</v>
      </c>
      <c r="JQ141" s="124">
        <v>7523.9941140000019</v>
      </c>
      <c r="JR141" s="124">
        <v>8426.873407680001</v>
      </c>
      <c r="JS141" s="124">
        <v>9438.098216601602</v>
      </c>
      <c r="JV141" s="124">
        <v>8349.2484562565587</v>
      </c>
      <c r="JW141" s="124">
        <v>9351.1582710073471</v>
      </c>
      <c r="JY141" s="124">
        <v>8647.4359011228626</v>
      </c>
      <c r="JZ141" s="124">
        <v>9685.1282092576075</v>
      </c>
      <c r="KB141" s="124">
        <v>8572.8890399062875</v>
      </c>
      <c r="KC141" s="124">
        <v>9773.0935054931688</v>
      </c>
      <c r="KD141" s="124">
        <v>11141.326596262212</v>
      </c>
    </row>
    <row r="142" spans="2:290" hidden="1" x14ac:dyDescent="0.25">
      <c r="B142" s="6" t="s">
        <v>224</v>
      </c>
      <c r="C142" s="136"/>
      <c r="D142" s="136"/>
      <c r="E142" s="136"/>
      <c r="F142" s="136"/>
      <c r="G142" s="136"/>
      <c r="H142" s="132"/>
      <c r="I142" s="158"/>
      <c r="J142" s="158"/>
      <c r="K142" s="158"/>
      <c r="L142" s="158"/>
      <c r="M142" s="132"/>
      <c r="N142" s="158"/>
      <c r="O142" s="158"/>
      <c r="P142" s="158"/>
      <c r="Q142" s="158"/>
      <c r="R142" s="132"/>
      <c r="S142" s="158"/>
      <c r="T142" s="158"/>
      <c r="U142" s="158"/>
      <c r="V142" s="158"/>
      <c r="W142" s="132">
        <v>606.5</v>
      </c>
      <c r="X142" s="158">
        <v>134</v>
      </c>
      <c r="Y142" s="158">
        <v>134</v>
      </c>
      <c r="Z142" s="158">
        <v>167</v>
      </c>
      <c r="AA142" s="158">
        <v>165</v>
      </c>
      <c r="AB142" s="132">
        <v>600</v>
      </c>
      <c r="AC142" s="158">
        <v>158.76</v>
      </c>
      <c r="AD142" s="158">
        <v>158</v>
      </c>
      <c r="AE142" s="158">
        <v>177</v>
      </c>
      <c r="AF142" s="158">
        <v>154</v>
      </c>
      <c r="AG142" s="132">
        <v>647.76</v>
      </c>
      <c r="AH142" s="158">
        <v>140.38</v>
      </c>
      <c r="AI142" s="158">
        <v>125</v>
      </c>
      <c r="AJ142" s="158">
        <v>150.28000000000003</v>
      </c>
      <c r="AK142" s="132">
        <v>415.66</v>
      </c>
      <c r="AL142" s="158">
        <v>172.8</v>
      </c>
      <c r="AM142" s="158">
        <v>157.61000000000001</v>
      </c>
      <c r="AN142" s="158">
        <v>149.85</v>
      </c>
      <c r="AO142" s="158">
        <v>187.79</v>
      </c>
      <c r="AP142" s="132">
        <v>624.07000000000005</v>
      </c>
      <c r="AQ142" s="158">
        <v>166.12</v>
      </c>
      <c r="AR142" s="158">
        <v>185.2</v>
      </c>
      <c r="AS142" s="158">
        <v>192.73</v>
      </c>
      <c r="AT142" s="158">
        <v>255.75</v>
      </c>
      <c r="AU142" s="132">
        <v>799.81</v>
      </c>
      <c r="AV142" s="137">
        <v>228</v>
      </c>
      <c r="AW142" s="137">
        <v>254.42</v>
      </c>
      <c r="AX142" s="137">
        <v>198.97</v>
      </c>
      <c r="AY142" s="137">
        <v>200.4</v>
      </c>
      <c r="AZ142" s="132">
        <v>885</v>
      </c>
      <c r="BA142" s="137">
        <v>188.26</v>
      </c>
      <c r="BB142" s="137">
        <v>169.1</v>
      </c>
      <c r="BC142" s="137">
        <v>156.56</v>
      </c>
      <c r="BD142" s="137">
        <v>159.27000000000001</v>
      </c>
      <c r="BE142" s="132">
        <f t="shared" ref="BE142:BE147" si="230">SUM(BA142:BD142)</f>
        <v>673.19</v>
      </c>
      <c r="BF142" s="137">
        <v>70.48</v>
      </c>
      <c r="BG142" s="137">
        <v>181.45</v>
      </c>
      <c r="BH142" s="137">
        <v>216</v>
      </c>
      <c r="BI142" s="137">
        <v>293.08999999999997</v>
      </c>
      <c r="BJ142" s="132">
        <v>761.12</v>
      </c>
      <c r="BK142" s="137">
        <v>198.92</v>
      </c>
      <c r="BL142" s="137">
        <v>252.95</v>
      </c>
      <c r="BM142" s="137">
        <v>272</v>
      </c>
      <c r="BN142" s="137">
        <v>300.27999999999997</v>
      </c>
      <c r="BO142" s="132">
        <v>1023.67</v>
      </c>
      <c r="BP142" s="137">
        <v>302.26</v>
      </c>
      <c r="BQ142" s="137">
        <v>334.86</v>
      </c>
      <c r="BR142" s="137">
        <v>335.84</v>
      </c>
      <c r="BS142" s="137">
        <v>368.67</v>
      </c>
      <c r="BT142" s="132">
        <v>1341.63</v>
      </c>
      <c r="BU142" s="137">
        <v>298.5</v>
      </c>
      <c r="BV142" s="137">
        <v>325.81</v>
      </c>
      <c r="BW142" s="137">
        <v>331.95</v>
      </c>
      <c r="BX142" s="137">
        <v>351.56</v>
      </c>
      <c r="BY142" s="132">
        <v>1307.82</v>
      </c>
      <c r="BZ142" s="137">
        <v>306.38</v>
      </c>
      <c r="CA142" s="137">
        <v>327.56</v>
      </c>
      <c r="CB142" s="137">
        <v>332.36</v>
      </c>
      <c r="CC142" s="137">
        <v>346</v>
      </c>
      <c r="CD142" s="132">
        <v>1312</v>
      </c>
      <c r="CE142" s="137">
        <v>301.58999999999997</v>
      </c>
      <c r="CF142" s="137">
        <v>282.56</v>
      </c>
      <c r="CG142" s="137">
        <v>336</v>
      </c>
      <c r="CH142" s="137">
        <v>358.51</v>
      </c>
      <c r="CI142" s="132">
        <v>1278.18</v>
      </c>
      <c r="CJ142" s="132">
        <f t="shared" si="229"/>
        <v>1264.2645831885609</v>
      </c>
      <c r="CK142" s="132">
        <f t="shared" si="229"/>
        <v>1390.6910415074169</v>
      </c>
      <c r="CL142" s="132"/>
      <c r="CM142" s="132"/>
      <c r="CN142" s="132"/>
      <c r="CO142" s="137"/>
      <c r="CP142" s="137"/>
      <c r="CQ142" s="32"/>
      <c r="CR142" s="6"/>
      <c r="CS142" s="6"/>
      <c r="CT142" s="124"/>
      <c r="CU142" s="124"/>
      <c r="CV142" s="124"/>
      <c r="CW142" s="124"/>
      <c r="CX142" s="124"/>
      <c r="CY142" s="124"/>
      <c r="CZ142" s="124"/>
      <c r="DA142" s="124"/>
      <c r="DB142" s="124"/>
      <c r="DC142" s="124"/>
      <c r="DD142" s="124"/>
      <c r="DE142" s="124"/>
      <c r="DF142" s="124"/>
      <c r="DG142" s="124"/>
      <c r="DH142" s="124"/>
      <c r="DI142" s="124"/>
      <c r="DK142" s="124"/>
      <c r="DL142" s="124"/>
      <c r="DM142" s="6"/>
      <c r="DN142" s="124"/>
      <c r="DO142" s="124"/>
      <c r="DQ142" s="136"/>
      <c r="DR142" s="124"/>
      <c r="DS142" s="124"/>
      <c r="DT142" s="124"/>
      <c r="DV142" s="124"/>
      <c r="DW142" s="124"/>
      <c r="DX142" s="124"/>
      <c r="EA142" s="111"/>
      <c r="EB142" s="111"/>
      <c r="EC142" s="111"/>
      <c r="ED142" s="124"/>
      <c r="EE142" s="124"/>
      <c r="EF142" s="124"/>
      <c r="EJ142" s="111"/>
      <c r="EK142" s="111">
        <v>0.16104745987958841</v>
      </c>
      <c r="EL142" s="124"/>
      <c r="EM142" s="124"/>
      <c r="EN142" s="124"/>
      <c r="EP142" s="111"/>
      <c r="EQ142" s="124"/>
      <c r="ER142" s="124"/>
      <c r="ES142" s="124"/>
      <c r="EV142" s="111"/>
      <c r="EW142" s="111"/>
      <c r="EX142" s="111"/>
      <c r="EY142" s="111"/>
      <c r="EZ142" s="124"/>
      <c r="FA142" s="124"/>
      <c r="FD142" s="111"/>
      <c r="FE142" s="111"/>
      <c r="FF142" s="111"/>
      <c r="FG142" s="124"/>
      <c r="FH142" s="124"/>
      <c r="FK142" s="124"/>
      <c r="FL142" s="124"/>
      <c r="FO142" s="111">
        <v>279.48901687933289</v>
      </c>
      <c r="FP142" s="111">
        <v>248.74587913192008</v>
      </c>
      <c r="FQ142" s="124"/>
      <c r="FR142" s="124"/>
      <c r="FU142" s="111">
        <v>246.8503667715033</v>
      </c>
      <c r="FV142" s="124">
        <v>760.7703667715034</v>
      </c>
      <c r="FW142" s="124">
        <v>777.66024907696851</v>
      </c>
      <c r="FX142" s="124">
        <v>931.51396469999997</v>
      </c>
      <c r="FY142" s="124">
        <v>1024.6653611700003</v>
      </c>
      <c r="GA142" s="124">
        <v>726.00849301654716</v>
      </c>
      <c r="GB142" s="124">
        <v>798.60934231820204</v>
      </c>
      <c r="GC142" s="124">
        <v>889.03358865002224</v>
      </c>
      <c r="GF142" s="111"/>
      <c r="GG142" s="111"/>
      <c r="GH142" s="111"/>
      <c r="GI142" s="124">
        <v>768.71487495869712</v>
      </c>
      <c r="GJ142" s="124">
        <v>845.58636245456694</v>
      </c>
      <c r="GK142" s="124">
        <v>941.32968210002366</v>
      </c>
      <c r="GN142" s="111"/>
      <c r="GO142" s="111"/>
      <c r="GP142" s="124">
        <v>868.35373767770682</v>
      </c>
      <c r="GQ142" s="124">
        <v>955.18911144547747</v>
      </c>
      <c r="GR142" s="124">
        <v>1062.7626258100252</v>
      </c>
      <c r="GV142" s="111">
        <v>256.35794078514658</v>
      </c>
      <c r="GW142" s="124">
        <v>724.28794078514659</v>
      </c>
      <c r="GX142" s="124">
        <v>1004.3112373636612</v>
      </c>
      <c r="GY142" s="124">
        <v>1168.5998474182104</v>
      </c>
      <c r="HC142" s="124"/>
      <c r="HD142" s="124">
        <v>1316.2671174440904</v>
      </c>
      <c r="HE142" s="124">
        <v>1566.7828159840269</v>
      </c>
      <c r="HF142" s="124">
        <v>1738.4074767224297</v>
      </c>
      <c r="HI142" s="111"/>
      <c r="HJ142" s="111"/>
      <c r="HK142" s="111"/>
      <c r="HL142" s="111"/>
      <c r="HM142" s="124">
        <v>1392.6761199999999</v>
      </c>
      <c r="HN142" s="124">
        <v>1545.8704932000003</v>
      </c>
      <c r="HO142" s="124">
        <v>1715.7769798400004</v>
      </c>
      <c r="HR142" s="111"/>
      <c r="HS142" s="111"/>
      <c r="HT142" s="111"/>
      <c r="HU142" s="124">
        <v>1392.6761199999999</v>
      </c>
      <c r="HV142" s="124">
        <v>1392.6761200000003</v>
      </c>
      <c r="HW142" s="124">
        <v>1547.2631693200003</v>
      </c>
      <c r="HZ142" s="111"/>
      <c r="IA142" s="124">
        <v>1406.0455199999999</v>
      </c>
      <c r="IB142" s="124">
        <v>1406.0455199999999</v>
      </c>
      <c r="IC142" s="124">
        <v>1562.1165727200002</v>
      </c>
      <c r="IE142" s="111"/>
      <c r="IF142" s="124">
        <v>1251.1422000000002</v>
      </c>
      <c r="IG142" s="124">
        <v>1251.1422000000002</v>
      </c>
      <c r="IH142" s="124">
        <v>1390.0189842000002</v>
      </c>
      <c r="IK142" s="124">
        <v>1251.1422000000002</v>
      </c>
      <c r="IL142" s="124">
        <v>1390.0189842000002</v>
      </c>
      <c r="IO142" s="124">
        <v>1439.419954</v>
      </c>
      <c r="IP142" s="124">
        <v>1597.5625050000001</v>
      </c>
      <c r="IS142" s="160">
        <v>1521.8755200000001</v>
      </c>
      <c r="IT142" s="160">
        <v>1688.0719680000004</v>
      </c>
      <c r="IU142" s="160">
        <v>1872.2889504000004</v>
      </c>
      <c r="IX142" s="124">
        <v>397.34910999999994</v>
      </c>
      <c r="IY142" s="124">
        <v>1353.6091099999999</v>
      </c>
      <c r="IZ142" s="124">
        <v>1502.6932470000002</v>
      </c>
      <c r="JA142" s="124">
        <v>1668.0581203000004</v>
      </c>
      <c r="JD142" s="124">
        <v>1371.8273526776027</v>
      </c>
      <c r="JE142" s="124">
        <v>1578.5567376524673</v>
      </c>
      <c r="JH142" s="124">
        <v>1334.413879422759</v>
      </c>
      <c r="JI142" s="124">
        <v>1535.5051902619455</v>
      </c>
      <c r="JJ142" s="124">
        <v>1735.7519849397793</v>
      </c>
      <c r="JM142" s="124">
        <v>1635.95880083983</v>
      </c>
      <c r="JN142" s="124">
        <v>1849.30585311341</v>
      </c>
      <c r="JQ142" s="124">
        <v>1371.8273526776027</v>
      </c>
      <c r="JR142" s="124">
        <v>1563.8831820524674</v>
      </c>
      <c r="JS142" s="124">
        <v>1751.5491638987635</v>
      </c>
      <c r="JV142" s="124">
        <v>1490.9665883211057</v>
      </c>
      <c r="JW142" s="124">
        <v>1669.8825789196385</v>
      </c>
      <c r="JY142" s="124">
        <v>1490.9665883211057</v>
      </c>
      <c r="JZ142" s="124">
        <v>1669.8825789196385</v>
      </c>
      <c r="KB142" s="124">
        <v>1373.2586997694395</v>
      </c>
      <c r="KC142" s="124">
        <v>1510.5845697463835</v>
      </c>
      <c r="KD142" s="124">
        <v>1661.6430267210217</v>
      </c>
    </row>
    <row r="143" spans="2:290" hidden="1" x14ac:dyDescent="0.25">
      <c r="B143" s="6" t="s">
        <v>223</v>
      </c>
      <c r="C143" s="136"/>
      <c r="D143" s="136"/>
      <c r="E143" s="136"/>
      <c r="F143" s="136"/>
      <c r="G143" s="136"/>
      <c r="H143" s="132"/>
      <c r="I143" s="158"/>
      <c r="J143" s="158"/>
      <c r="K143" s="158"/>
      <c r="L143" s="158"/>
      <c r="M143" s="132"/>
      <c r="N143" s="158"/>
      <c r="O143" s="158"/>
      <c r="P143" s="158"/>
      <c r="Q143" s="158"/>
      <c r="R143" s="132"/>
      <c r="S143" s="158"/>
      <c r="T143" s="158"/>
      <c r="U143" s="158"/>
      <c r="V143" s="158"/>
      <c r="W143" s="132">
        <v>700</v>
      </c>
      <c r="X143" s="158">
        <v>129</v>
      </c>
      <c r="Y143" s="158">
        <v>246</v>
      </c>
      <c r="Z143" s="158">
        <v>196</v>
      </c>
      <c r="AA143" s="158">
        <v>239</v>
      </c>
      <c r="AB143" s="132">
        <v>810</v>
      </c>
      <c r="AC143" s="158">
        <v>159.37</v>
      </c>
      <c r="AD143" s="158">
        <v>267</v>
      </c>
      <c r="AE143" s="158">
        <v>217</v>
      </c>
      <c r="AF143" s="158">
        <v>269</v>
      </c>
      <c r="AG143" s="132">
        <v>912.37</v>
      </c>
      <c r="AH143" s="158">
        <v>158.47999999999999</v>
      </c>
      <c r="AI143" s="158">
        <v>303</v>
      </c>
      <c r="AJ143" s="158">
        <v>221.23000000000002</v>
      </c>
      <c r="AK143" s="132">
        <v>682.71</v>
      </c>
      <c r="AL143" s="158">
        <v>280.48</v>
      </c>
      <c r="AM143" s="158">
        <v>162.80000000000001</v>
      </c>
      <c r="AN143" s="158">
        <v>310.58999999999997</v>
      </c>
      <c r="AO143" s="158">
        <v>285.43</v>
      </c>
      <c r="AP143" s="132">
        <v>981.26</v>
      </c>
      <c r="AQ143" s="158">
        <v>237.81</v>
      </c>
      <c r="AR143" s="158">
        <v>215.25</v>
      </c>
      <c r="AS143" s="158">
        <v>319.19</v>
      </c>
      <c r="AT143" s="158">
        <v>246.42</v>
      </c>
      <c r="AU143" s="132">
        <v>1019.58</v>
      </c>
      <c r="AV143" s="137">
        <v>260</v>
      </c>
      <c r="AW143" s="137">
        <v>207.66</v>
      </c>
      <c r="AX143" s="137">
        <v>306.95</v>
      </c>
      <c r="AY143" s="137">
        <v>267.44</v>
      </c>
      <c r="AZ143" s="132">
        <v>1042</v>
      </c>
      <c r="BA143" s="137">
        <v>245.11</v>
      </c>
      <c r="BB143" s="137">
        <v>197.95</v>
      </c>
      <c r="BC143" s="137">
        <v>308.63</v>
      </c>
      <c r="BD143" s="137">
        <v>207.58</v>
      </c>
      <c r="BE143" s="132">
        <f t="shared" si="230"/>
        <v>959.2700000000001</v>
      </c>
      <c r="BF143" s="137">
        <v>187.57</v>
      </c>
      <c r="BG143" s="137">
        <v>219.84</v>
      </c>
      <c r="BH143" s="137">
        <v>318</v>
      </c>
      <c r="BI143" s="137">
        <v>309.73</v>
      </c>
      <c r="BJ143" s="132">
        <v>1035.06</v>
      </c>
      <c r="BK143" s="137">
        <v>244.13</v>
      </c>
      <c r="BL143" s="137">
        <v>277.27999999999997</v>
      </c>
      <c r="BM143" s="137">
        <v>370</v>
      </c>
      <c r="BN143" s="137">
        <v>318.97000000000003</v>
      </c>
      <c r="BO143" s="132">
        <v>1210.1099999999999</v>
      </c>
      <c r="BP143" s="137">
        <v>326.33</v>
      </c>
      <c r="BQ143" s="137">
        <v>327.82</v>
      </c>
      <c r="BR143" s="137">
        <v>341.91</v>
      </c>
      <c r="BS143" s="137">
        <v>323.07</v>
      </c>
      <c r="BT143" s="132">
        <v>1319.13</v>
      </c>
      <c r="BU143" s="137">
        <v>323.10000000000002</v>
      </c>
      <c r="BV143" s="137">
        <v>352.21</v>
      </c>
      <c r="BW143" s="137">
        <v>353.95</v>
      </c>
      <c r="BX143" s="137">
        <v>376.41</v>
      </c>
      <c r="BY143" s="132">
        <v>1405.67</v>
      </c>
      <c r="BZ143" s="137">
        <v>368.09</v>
      </c>
      <c r="CA143" s="137">
        <v>399.86</v>
      </c>
      <c r="CB143" s="137">
        <v>398.24</v>
      </c>
      <c r="CC143" s="137">
        <v>426</v>
      </c>
      <c r="CD143" s="132">
        <v>1592</v>
      </c>
      <c r="CE143" s="137">
        <v>401.55</v>
      </c>
      <c r="CF143" s="137">
        <v>393.51</v>
      </c>
      <c r="CG143" s="137">
        <v>390</v>
      </c>
      <c r="CH143" s="137">
        <v>456.92</v>
      </c>
      <c r="CI143" s="132">
        <v>1642.27</v>
      </c>
      <c r="CJ143" s="132">
        <f t="shared" si="229"/>
        <v>1968.639523238284</v>
      </c>
      <c r="CK143" s="132">
        <f t="shared" si="229"/>
        <v>2121.8654059249639</v>
      </c>
      <c r="CL143" s="132"/>
      <c r="CM143" s="132"/>
      <c r="CN143" s="132"/>
      <c r="CO143" s="137"/>
      <c r="CP143" s="137"/>
      <c r="CQ143" s="32"/>
      <c r="CR143" s="6"/>
      <c r="CS143" s="6"/>
      <c r="CT143" s="124"/>
      <c r="CU143" s="124"/>
      <c r="CV143" s="124"/>
      <c r="CW143" s="124"/>
      <c r="CX143" s="124"/>
      <c r="CY143" s="124"/>
      <c r="CZ143" s="124"/>
      <c r="DA143" s="124"/>
      <c r="DB143" s="124"/>
      <c r="DC143" s="124"/>
      <c r="DD143" s="124"/>
      <c r="DE143" s="124"/>
      <c r="DF143" s="124"/>
      <c r="DG143" s="124"/>
      <c r="DH143" s="124"/>
      <c r="DI143" s="124"/>
      <c r="DK143" s="124"/>
      <c r="DL143" s="124"/>
      <c r="DM143" s="6"/>
      <c r="DN143" s="124"/>
      <c r="DO143" s="124"/>
      <c r="DQ143" s="136"/>
      <c r="DR143" s="124"/>
      <c r="DS143" s="124"/>
      <c r="DT143" s="124"/>
      <c r="DV143" s="124"/>
      <c r="DW143" s="124"/>
      <c r="DX143" s="124"/>
      <c r="EA143" s="111"/>
      <c r="EB143" s="111"/>
      <c r="EC143" s="111"/>
      <c r="ED143" s="124"/>
      <c r="EE143" s="124"/>
      <c r="EF143" s="124"/>
      <c r="EJ143" s="111"/>
      <c r="EK143" s="111">
        <v>0.20529972011356543</v>
      </c>
      <c r="EL143" s="124"/>
      <c r="EM143" s="124"/>
      <c r="EN143" s="124"/>
      <c r="EP143" s="111"/>
      <c r="EQ143" s="124"/>
      <c r="ER143" s="124"/>
      <c r="ES143" s="124"/>
      <c r="EV143" s="111"/>
      <c r="EW143" s="111"/>
      <c r="EX143" s="111"/>
      <c r="EY143" s="111"/>
      <c r="EZ143" s="124"/>
      <c r="FA143" s="124"/>
      <c r="FD143" s="111"/>
      <c r="FE143" s="111"/>
      <c r="FF143" s="111"/>
      <c r="FG143" s="124"/>
      <c r="FH143" s="124"/>
      <c r="FK143" s="124"/>
      <c r="FL143" s="124"/>
      <c r="FO143" s="111">
        <v>182.81906273729888</v>
      </c>
      <c r="FP143" s="111">
        <v>223.59686855179891</v>
      </c>
      <c r="FQ143" s="124"/>
      <c r="FR143" s="124"/>
      <c r="FU143" s="111">
        <v>191.28920769266415</v>
      </c>
      <c r="FV143" s="124">
        <v>942.9792076926642</v>
      </c>
      <c r="FW143" s="124">
        <v>593.46476054174025</v>
      </c>
      <c r="FX143" s="124">
        <v>684.18102297600001</v>
      </c>
      <c r="FY143" s="124">
        <v>732.07369458432004</v>
      </c>
      <c r="GA143" s="124">
        <v>483.32824536911181</v>
      </c>
      <c r="GB143" s="124">
        <v>517.16122254494974</v>
      </c>
      <c r="GC143" s="124">
        <v>559.55227258509626</v>
      </c>
      <c r="GF143" s="111"/>
      <c r="GG143" s="111"/>
      <c r="GH143" s="111"/>
      <c r="GI143" s="124">
        <v>517.85169146690566</v>
      </c>
      <c r="GJ143" s="124">
        <v>554.10130986958904</v>
      </c>
      <c r="GK143" s="124">
        <v>599.52029205546035</v>
      </c>
      <c r="GN143" s="111"/>
      <c r="GO143" s="111"/>
      <c r="GP143" s="124">
        <v>649.22626976028675</v>
      </c>
      <c r="GQ143" s="124">
        <v>694.67210864350682</v>
      </c>
      <c r="GR143" s="124">
        <v>751.25742484255238</v>
      </c>
      <c r="GV143" s="111">
        <v>284.83839327322664</v>
      </c>
      <c r="GW143" s="124">
        <v>1010.2483932732267</v>
      </c>
      <c r="GX143" s="124">
        <v>902.24768846601398</v>
      </c>
      <c r="GY143" s="124">
        <v>1048.129445287916</v>
      </c>
      <c r="HC143" s="124"/>
      <c r="HD143" s="124">
        <v>1114.3304352037092</v>
      </c>
      <c r="HE143" s="124">
        <v>1292.4437899842655</v>
      </c>
      <c r="HF143" s="124">
        <v>1433.7483374326921</v>
      </c>
      <c r="HI143" s="111"/>
      <c r="HJ143" s="111"/>
      <c r="HK143" s="111"/>
      <c r="HL143" s="111"/>
      <c r="HM143" s="124">
        <v>1316.2043352347125</v>
      </c>
      <c r="HN143" s="124">
        <v>1460.1066537581837</v>
      </c>
      <c r="HO143" s="124">
        <v>1619.6273926340025</v>
      </c>
      <c r="HR143" s="111"/>
      <c r="HS143" s="111"/>
      <c r="HT143" s="111"/>
      <c r="HU143" s="124">
        <v>1316.2043352347125</v>
      </c>
      <c r="HV143" s="124">
        <v>1228.1885</v>
      </c>
      <c r="HW143" s="124">
        <v>1364.5174235000002</v>
      </c>
      <c r="HZ143" s="111"/>
      <c r="IA143" s="124">
        <v>1302.2411004495466</v>
      </c>
      <c r="IB143" s="124">
        <v>1215.1590000000001</v>
      </c>
      <c r="IC143" s="124">
        <v>1350.0416489999998</v>
      </c>
      <c r="IE143" s="111"/>
      <c r="IF143" s="124">
        <v>1358.8602787299619</v>
      </c>
      <c r="IG143" s="124">
        <v>1267.9920000000002</v>
      </c>
      <c r="IH143" s="124">
        <v>1408.7391120000002</v>
      </c>
      <c r="IK143" s="124">
        <v>1267.9920000000002</v>
      </c>
      <c r="IL143" s="124">
        <v>1408.7391120000002</v>
      </c>
      <c r="IO143" s="124">
        <v>1550.0584000000001</v>
      </c>
      <c r="IP143" s="124">
        <v>1719.3325600000005</v>
      </c>
      <c r="IS143" s="160">
        <v>469.17511200000001</v>
      </c>
      <c r="IT143" s="160">
        <v>520.42953599999998</v>
      </c>
      <c r="IU143" s="160">
        <v>577.24309368000013</v>
      </c>
      <c r="IX143" s="124">
        <v>448.0417599999999</v>
      </c>
      <c r="IY143" s="124">
        <v>1477.3017600000001</v>
      </c>
      <c r="IZ143" s="124">
        <v>1639.0408320000001</v>
      </c>
      <c r="JA143" s="124">
        <v>1818.3547008000005</v>
      </c>
      <c r="JD143" s="124">
        <v>1650.4853527516366</v>
      </c>
      <c r="JE143" s="124">
        <v>1863.8046254818335</v>
      </c>
      <c r="JH143" s="124">
        <v>1605.4721158584102</v>
      </c>
      <c r="JI143" s="124">
        <v>1812.97359024142</v>
      </c>
      <c r="JJ143" s="124">
        <v>2047.1566200079906</v>
      </c>
      <c r="JM143" s="124">
        <v>1812.97359024142</v>
      </c>
      <c r="JN143" s="124">
        <v>2047.1566200079906</v>
      </c>
      <c r="JQ143" s="124">
        <v>1560.4588789651837</v>
      </c>
      <c r="JR143" s="124">
        <v>1730.6757236617025</v>
      </c>
      <c r="JS143" s="124">
        <v>1919.3313485078727</v>
      </c>
      <c r="JV143" s="124">
        <v>1726.8754798871935</v>
      </c>
      <c r="JW143" s="124">
        <v>1915.1168518759127</v>
      </c>
      <c r="JY143" s="124">
        <v>1726.8754798871935</v>
      </c>
      <c r="JZ143" s="124">
        <v>1915.1168518759127</v>
      </c>
      <c r="KB143" s="124">
        <v>1569.8867998974481</v>
      </c>
      <c r="KC143" s="124">
        <v>1693.5330838902696</v>
      </c>
      <c r="KD143" s="124">
        <v>1826.7974023225888</v>
      </c>
    </row>
    <row r="144" spans="2:290" hidden="1" x14ac:dyDescent="0.25">
      <c r="B144" s="6" t="s">
        <v>225</v>
      </c>
      <c r="C144" s="136"/>
      <c r="D144" s="136"/>
      <c r="E144" s="136"/>
      <c r="F144" s="136"/>
      <c r="G144" s="136"/>
      <c r="H144" s="132"/>
      <c r="I144" s="158"/>
      <c r="J144" s="158"/>
      <c r="K144" s="158"/>
      <c r="L144" s="158"/>
      <c r="M144" s="132"/>
      <c r="N144" s="158"/>
      <c r="O144" s="158"/>
      <c r="P144" s="158"/>
      <c r="Q144" s="158"/>
      <c r="R144" s="132"/>
      <c r="S144" s="158"/>
      <c r="T144" s="158"/>
      <c r="U144" s="158"/>
      <c r="V144" s="158"/>
      <c r="W144" s="132">
        <v>276.2</v>
      </c>
      <c r="X144" s="158">
        <v>50.4</v>
      </c>
      <c r="Y144" s="158">
        <v>68</v>
      </c>
      <c r="Z144" s="158">
        <v>63</v>
      </c>
      <c r="AA144" s="158">
        <v>78</v>
      </c>
      <c r="AB144" s="132">
        <v>259.39999999999998</v>
      </c>
      <c r="AC144" s="158">
        <v>50.5</v>
      </c>
      <c r="AD144" s="158">
        <v>66</v>
      </c>
      <c r="AE144" s="158">
        <v>73</v>
      </c>
      <c r="AF144" s="158">
        <v>86</v>
      </c>
      <c r="AG144" s="132">
        <v>275.5</v>
      </c>
      <c r="AH144" s="158">
        <v>58.11</v>
      </c>
      <c r="AI144" s="158">
        <v>74</v>
      </c>
      <c r="AJ144" s="158">
        <v>85.270000000000024</v>
      </c>
      <c r="AK144" s="132">
        <v>217.38000000000005</v>
      </c>
      <c r="AL144" s="158">
        <v>92.46</v>
      </c>
      <c r="AM144" s="158">
        <v>73</v>
      </c>
      <c r="AN144" s="158">
        <v>78.180000000000007</v>
      </c>
      <c r="AO144" s="158">
        <v>93.25</v>
      </c>
      <c r="AP144" s="132">
        <v>314.74</v>
      </c>
      <c r="AQ144" s="158">
        <v>80.959999999999994</v>
      </c>
      <c r="AR144" s="158">
        <v>84.23</v>
      </c>
      <c r="AS144" s="158">
        <v>91.34</v>
      </c>
      <c r="AT144" s="158">
        <v>95.34</v>
      </c>
      <c r="AU144" s="132">
        <v>351.78</v>
      </c>
      <c r="AV144" s="137">
        <v>100</v>
      </c>
      <c r="AW144" s="137">
        <v>92.85</v>
      </c>
      <c r="AX144" s="137">
        <v>108.25</v>
      </c>
      <c r="AY144" s="137">
        <v>98.32</v>
      </c>
      <c r="AZ144" s="132">
        <v>399</v>
      </c>
      <c r="BA144" s="137">
        <v>97.37</v>
      </c>
      <c r="BB144" s="137">
        <v>86.3</v>
      </c>
      <c r="BC144" s="137">
        <v>104.55</v>
      </c>
      <c r="BD144" s="137">
        <v>94.98</v>
      </c>
      <c r="BE144" s="132">
        <f t="shared" si="230"/>
        <v>383.20000000000005</v>
      </c>
      <c r="BF144" s="137">
        <v>28</v>
      </c>
      <c r="BG144" s="137">
        <v>85.47</v>
      </c>
      <c r="BH144" s="137">
        <v>117</v>
      </c>
      <c r="BI144" s="137">
        <v>124</v>
      </c>
      <c r="BJ144" s="132">
        <v>354.21</v>
      </c>
      <c r="BK144" s="137">
        <v>48.46</v>
      </c>
      <c r="BL144" s="137">
        <v>111.17</v>
      </c>
      <c r="BM144" s="137">
        <v>127</v>
      </c>
      <c r="BN144" s="137">
        <v>118</v>
      </c>
      <c r="BO144" s="132">
        <v>405.09</v>
      </c>
      <c r="BP144" s="137">
        <v>95.77</v>
      </c>
      <c r="BQ144" s="137">
        <v>111.91</v>
      </c>
      <c r="BR144" s="137">
        <v>115.87</v>
      </c>
      <c r="BS144" s="137">
        <v>121.05</v>
      </c>
      <c r="BT144" s="132">
        <v>444.6</v>
      </c>
      <c r="BU144" s="137">
        <v>104.92</v>
      </c>
      <c r="BV144" s="137">
        <v>105.44</v>
      </c>
      <c r="BW144" s="137">
        <v>112.33</v>
      </c>
      <c r="BX144" s="137">
        <v>118.35</v>
      </c>
      <c r="BY144" s="132">
        <v>441.04</v>
      </c>
      <c r="BZ144" s="137">
        <v>97.19</v>
      </c>
      <c r="CA144" s="137">
        <v>103.89</v>
      </c>
      <c r="CB144" s="137">
        <v>106.42</v>
      </c>
      <c r="CC144" s="137">
        <v>136</v>
      </c>
      <c r="CD144" s="132">
        <v>443</v>
      </c>
      <c r="CE144" s="137">
        <v>98.39</v>
      </c>
      <c r="CF144" s="137">
        <v>103.31</v>
      </c>
      <c r="CG144" s="137">
        <v>112</v>
      </c>
      <c r="CH144" s="137">
        <v>123.48</v>
      </c>
      <c r="CI144" s="132">
        <v>431.09</v>
      </c>
      <c r="CJ144" s="132">
        <f t="shared" si="229"/>
        <v>461.2663</v>
      </c>
      <c r="CK144" s="132">
        <f t="shared" si="229"/>
        <v>493.55494100000004</v>
      </c>
      <c r="CL144" s="132"/>
      <c r="CM144" s="132"/>
      <c r="CN144" s="132"/>
      <c r="CO144" s="137"/>
      <c r="CP144" s="137"/>
      <c r="CQ144" s="32"/>
      <c r="CR144" s="6"/>
      <c r="CS144" s="6"/>
      <c r="CT144" s="124"/>
      <c r="CU144" s="124"/>
      <c r="CV144" s="124"/>
      <c r="CW144" s="124"/>
      <c r="CX144" s="124"/>
      <c r="CY144" s="124"/>
      <c r="CZ144" s="124"/>
      <c r="DA144" s="124"/>
      <c r="DB144" s="124"/>
      <c r="DC144" s="124"/>
      <c r="DD144" s="124"/>
      <c r="DE144" s="124"/>
      <c r="DF144" s="124"/>
      <c r="DG144" s="124"/>
      <c r="DH144" s="124"/>
      <c r="DI144" s="124"/>
      <c r="DK144" s="124"/>
      <c r="DL144" s="124"/>
      <c r="DM144" s="6"/>
      <c r="DN144" s="124"/>
      <c r="DO144" s="124"/>
      <c r="DQ144" s="136"/>
      <c r="DR144" s="124"/>
      <c r="DS144" s="124"/>
      <c r="DT144" s="124"/>
      <c r="DV144" s="124"/>
      <c r="DW144" s="124"/>
      <c r="DX144" s="124"/>
      <c r="EA144" s="111"/>
      <c r="EB144" s="111"/>
      <c r="EC144" s="111"/>
      <c r="ED144" s="124"/>
      <c r="EE144" s="124"/>
      <c r="EF144" s="124"/>
      <c r="EJ144" s="111"/>
      <c r="EK144" s="111">
        <v>7.0833417232144646E-2</v>
      </c>
      <c r="EL144" s="124"/>
      <c r="EM144" s="124"/>
      <c r="EN144" s="124"/>
      <c r="EP144" s="111"/>
      <c r="EQ144" s="124"/>
      <c r="ER144" s="124"/>
      <c r="ES144" s="124"/>
      <c r="EV144" s="111"/>
      <c r="EW144" s="111"/>
      <c r="EX144" s="111"/>
      <c r="EY144" s="111"/>
      <c r="EZ144" s="124"/>
      <c r="FA144" s="124"/>
      <c r="FD144" s="111"/>
      <c r="FE144" s="111"/>
      <c r="FF144" s="111"/>
      <c r="FG144" s="124"/>
      <c r="FH144" s="124"/>
      <c r="FK144" s="124"/>
      <c r="FL144" s="124"/>
      <c r="FO144" s="111">
        <v>104.55199634496041</v>
      </c>
      <c r="FP144" s="111">
        <v>128.71089583565163</v>
      </c>
      <c r="FQ144" s="124"/>
      <c r="FR144" s="124"/>
      <c r="FU144" s="111">
        <v>96.312827557098231</v>
      </c>
      <c r="FV144" s="124">
        <v>384.53282755709824</v>
      </c>
      <c r="FW144" s="124">
        <v>285.08495467962513</v>
      </c>
      <c r="FX144" s="124">
        <v>332.22999744000003</v>
      </c>
      <c r="FY144" s="124">
        <v>358.80839723520006</v>
      </c>
      <c r="GA144" s="124">
        <v>238.27492000000001</v>
      </c>
      <c r="GB144" s="124">
        <v>257.33691360000006</v>
      </c>
      <c r="GC144" s="124">
        <v>281.07462801600008</v>
      </c>
      <c r="GF144" s="111"/>
      <c r="GG144" s="111"/>
      <c r="GH144" s="111"/>
      <c r="GI144" s="124">
        <v>329.91912000000008</v>
      </c>
      <c r="GJ144" s="124">
        <v>356.3126496000001</v>
      </c>
      <c r="GK144" s="124">
        <v>389.18025417600006</v>
      </c>
      <c r="GN144" s="111"/>
      <c r="GO144" s="111"/>
      <c r="GP144" s="124">
        <v>364.04</v>
      </c>
      <c r="GQ144" s="124">
        <v>393.16320000000007</v>
      </c>
      <c r="GR144" s="124">
        <v>429.22121486400005</v>
      </c>
      <c r="GV144" s="111">
        <v>133.57000000000002</v>
      </c>
      <c r="GW144" s="124">
        <v>364.04</v>
      </c>
      <c r="GX144" s="124">
        <v>393.16320000000007</v>
      </c>
      <c r="GY144" s="124">
        <v>429.22121486400005</v>
      </c>
      <c r="HC144" s="124"/>
      <c r="HD144" s="124">
        <v>449.48610000000008</v>
      </c>
      <c r="HE144" s="124">
        <v>489.63353040000015</v>
      </c>
      <c r="HF144" s="124">
        <v>543.20428008000022</v>
      </c>
      <c r="HI144" s="111"/>
      <c r="HJ144" s="111"/>
      <c r="HK144" s="111"/>
      <c r="HL144" s="111"/>
      <c r="HM144" s="124">
        <v>439.85561122807025</v>
      </c>
      <c r="HN144" s="124">
        <v>487.98016435087732</v>
      </c>
      <c r="HO144" s="124">
        <v>541.33107198596508</v>
      </c>
      <c r="HR144" s="111"/>
      <c r="HS144" s="111"/>
      <c r="HT144" s="111"/>
      <c r="HU144" s="124">
        <v>439.85561122807025</v>
      </c>
      <c r="HV144" s="124">
        <v>413.89920000000006</v>
      </c>
      <c r="HW144" s="124">
        <v>459.84201120000017</v>
      </c>
      <c r="HZ144" s="111"/>
      <c r="IA144" s="124">
        <v>439.85561122807025</v>
      </c>
      <c r="IB144" s="124">
        <v>413.89920000000006</v>
      </c>
      <c r="IC144" s="124">
        <v>459.84201120000017</v>
      </c>
      <c r="IE144" s="111"/>
      <c r="IF144" s="124">
        <v>427.63739980506824</v>
      </c>
      <c r="IG144" s="124">
        <v>402.40200000000004</v>
      </c>
      <c r="IH144" s="124">
        <v>447.06862200000006</v>
      </c>
      <c r="IK144" s="124">
        <v>402.40200000000004</v>
      </c>
      <c r="IL144" s="124">
        <v>447.06862200000006</v>
      </c>
      <c r="IO144" s="124">
        <v>469.17511200000001</v>
      </c>
      <c r="IP144" s="124">
        <v>520.42953599999998</v>
      </c>
      <c r="IS144" s="160">
        <v>0</v>
      </c>
      <c r="IT144" s="160">
        <v>0</v>
      </c>
      <c r="IU144" s="160">
        <v>0</v>
      </c>
      <c r="IX144" s="124">
        <v>146.48511200000002</v>
      </c>
      <c r="IY144" s="124">
        <v>469.17511200000001</v>
      </c>
      <c r="IZ144" s="124">
        <v>520.42953599999998</v>
      </c>
      <c r="JA144" s="124">
        <v>577.24309368000013</v>
      </c>
      <c r="JD144" s="124">
        <v>489.16054000000003</v>
      </c>
      <c r="JE144" s="124">
        <v>552.35832960000005</v>
      </c>
      <c r="JH144" s="124">
        <v>475.81979800000005</v>
      </c>
      <c r="JI144" s="124">
        <v>537.29401152000003</v>
      </c>
      <c r="JJ144" s="124">
        <v>606.67023119360022</v>
      </c>
      <c r="JM144" s="124">
        <v>512.18681472000003</v>
      </c>
      <c r="JN144" s="124">
        <v>578.32115496960012</v>
      </c>
      <c r="JQ144" s="124">
        <v>431.35065800000001</v>
      </c>
      <c r="JR144" s="124">
        <v>461.54520406000006</v>
      </c>
      <c r="JS144" s="124">
        <v>493.85336834420002</v>
      </c>
      <c r="JV144" s="124">
        <v>462.55407651333735</v>
      </c>
      <c r="JW144" s="124">
        <v>494.93286186927099</v>
      </c>
      <c r="JY144" s="124">
        <v>462.55407651333735</v>
      </c>
      <c r="JZ144" s="124">
        <v>494.93286186927099</v>
      </c>
      <c r="KB144" s="124">
        <v>440.93940004075154</v>
      </c>
      <c r="KC144" s="124">
        <v>471.80515804360408</v>
      </c>
      <c r="KD144" s="124">
        <v>504.8315191066564</v>
      </c>
    </row>
    <row r="145" spans="2:290" hidden="1" x14ac:dyDescent="0.25">
      <c r="B145" s="6" t="s">
        <v>234</v>
      </c>
      <c r="C145" s="136"/>
      <c r="D145" s="136"/>
      <c r="E145" s="136"/>
      <c r="F145" s="136"/>
      <c r="G145" s="136"/>
      <c r="H145" s="132"/>
      <c r="I145" s="158"/>
      <c r="J145" s="158"/>
      <c r="K145" s="158"/>
      <c r="L145" s="158"/>
      <c r="M145" s="132"/>
      <c r="N145" s="158"/>
      <c r="O145" s="158"/>
      <c r="P145" s="158"/>
      <c r="Q145" s="158"/>
      <c r="R145" s="132"/>
      <c r="S145" s="158"/>
      <c r="T145" s="158"/>
      <c r="U145" s="158"/>
      <c r="V145" s="158"/>
      <c r="W145" s="132">
        <v>0.3</v>
      </c>
      <c r="X145" s="158">
        <v>0</v>
      </c>
      <c r="Y145" s="158">
        <v>0</v>
      </c>
      <c r="Z145" s="158">
        <v>0</v>
      </c>
      <c r="AA145" s="158">
        <v>0</v>
      </c>
      <c r="AB145" s="132">
        <v>0</v>
      </c>
      <c r="AC145" s="158"/>
      <c r="AD145" s="158"/>
      <c r="AE145" s="158"/>
      <c r="AF145" s="158"/>
      <c r="AG145" s="132">
        <v>0</v>
      </c>
      <c r="AH145" s="158">
        <v>0</v>
      </c>
      <c r="AI145" s="158">
        <v>0</v>
      </c>
      <c r="AJ145" s="158">
        <v>0</v>
      </c>
      <c r="AK145" s="132">
        <v>0</v>
      </c>
      <c r="AL145" s="158">
        <v>16.97</v>
      </c>
      <c r="AM145" s="158">
        <v>6.19</v>
      </c>
      <c r="AN145" s="158">
        <v>6.92</v>
      </c>
      <c r="AO145" s="158">
        <v>46.06</v>
      </c>
      <c r="AP145" s="132">
        <v>75.17</v>
      </c>
      <c r="AQ145" s="158">
        <v>11.08</v>
      </c>
      <c r="AR145" s="158">
        <v>3.32</v>
      </c>
      <c r="AS145" s="158">
        <v>8.59</v>
      </c>
      <c r="AT145" s="158">
        <v>44.96</v>
      </c>
      <c r="AU145" s="132">
        <v>67.930000000000007</v>
      </c>
      <c r="AV145" s="137">
        <v>3</v>
      </c>
      <c r="AW145" s="137">
        <v>81.040000000000006</v>
      </c>
      <c r="AX145" s="137">
        <v>0.66</v>
      </c>
      <c r="AY145" s="137">
        <v>24</v>
      </c>
      <c r="AZ145" s="132">
        <v>113.02</v>
      </c>
      <c r="BA145" s="137">
        <v>8.1300000000000008</v>
      </c>
      <c r="BB145" s="137">
        <v>6.03</v>
      </c>
      <c r="BC145" s="137">
        <v>5.21</v>
      </c>
      <c r="BD145" s="137">
        <v>31.64</v>
      </c>
      <c r="BE145" s="132">
        <f t="shared" si="230"/>
        <v>51.010000000000005</v>
      </c>
      <c r="BF145" s="137">
        <v>3.25</v>
      </c>
      <c r="BG145" s="137">
        <v>40.770000000000003</v>
      </c>
      <c r="BH145" s="137">
        <v>52.84</v>
      </c>
      <c r="BI145" s="137">
        <v>11.02</v>
      </c>
      <c r="BJ145" s="132">
        <v>107.88</v>
      </c>
      <c r="BK145" s="137">
        <v>19.52</v>
      </c>
      <c r="BL145" s="137">
        <v>19.86</v>
      </c>
      <c r="BM145" s="137">
        <v>28.1099999999999</v>
      </c>
      <c r="BN145" s="137">
        <v>20.11</v>
      </c>
      <c r="BO145" s="132">
        <v>87.96</v>
      </c>
      <c r="BP145" s="137">
        <v>18.28</v>
      </c>
      <c r="BQ145" s="137">
        <v>17.3</v>
      </c>
      <c r="BR145" s="137">
        <v>8.41</v>
      </c>
      <c r="BS145" s="137">
        <v>14.71</v>
      </c>
      <c r="BT145" s="132">
        <v>58.7</v>
      </c>
      <c r="BU145" s="137">
        <v>15.95</v>
      </c>
      <c r="BV145" s="137">
        <v>15.95</v>
      </c>
      <c r="BW145" s="137">
        <v>7.22</v>
      </c>
      <c r="BX145" s="137">
        <v>9.0399999999999991</v>
      </c>
      <c r="BY145" s="132">
        <v>48.16</v>
      </c>
      <c r="BZ145" s="137">
        <v>6.32</v>
      </c>
      <c r="CA145" s="137">
        <v>3.71</v>
      </c>
      <c r="CB145" s="137">
        <v>7.93</v>
      </c>
      <c r="CC145" s="137">
        <v>44</v>
      </c>
      <c r="CD145" s="132">
        <v>62</v>
      </c>
      <c r="CE145" s="137">
        <v>15.37</v>
      </c>
      <c r="CF145" s="137">
        <v>12.4</v>
      </c>
      <c r="CG145" s="137">
        <v>26</v>
      </c>
      <c r="CH145" s="137">
        <v>30.49</v>
      </c>
      <c r="CI145" s="132">
        <v>84.3</v>
      </c>
      <c r="CJ145" s="132">
        <f>CI145</f>
        <v>84.3</v>
      </c>
      <c r="CK145" s="132">
        <f t="shared" ref="CK145" si="231">CJ145</f>
        <v>84.3</v>
      </c>
      <c r="CL145" s="132"/>
      <c r="CM145" s="132"/>
      <c r="CN145" s="132"/>
      <c r="CO145" s="137"/>
      <c r="CP145" s="137"/>
      <c r="CQ145" s="32"/>
      <c r="CR145" s="6"/>
      <c r="CS145" s="6"/>
      <c r="CT145" s="124"/>
      <c r="CU145" s="124"/>
      <c r="CV145" s="124"/>
      <c r="CW145" s="124"/>
      <c r="CX145" s="124"/>
      <c r="CY145" s="124"/>
      <c r="CZ145" s="124"/>
      <c r="DA145" s="124"/>
      <c r="DB145" s="124"/>
      <c r="DC145" s="124"/>
      <c r="DD145" s="124"/>
      <c r="DE145" s="124"/>
      <c r="DF145" s="124"/>
      <c r="DG145" s="124"/>
      <c r="DH145" s="124"/>
      <c r="DI145" s="124"/>
      <c r="DK145" s="124"/>
      <c r="DL145" s="124"/>
      <c r="DM145" s="6"/>
      <c r="DN145" s="124"/>
      <c r="DO145" s="124"/>
      <c r="DQ145" s="136"/>
      <c r="DR145" s="124"/>
      <c r="DS145" s="124"/>
      <c r="DT145" s="124"/>
      <c r="DV145" s="124"/>
      <c r="DW145" s="124"/>
      <c r="DX145" s="124"/>
      <c r="EA145" s="111"/>
      <c r="EB145" s="111"/>
      <c r="EC145" s="111"/>
      <c r="ED145" s="124"/>
      <c r="EE145" s="124"/>
      <c r="EF145" s="124"/>
      <c r="EJ145" s="111"/>
      <c r="EK145" s="111"/>
      <c r="EL145" s="124"/>
      <c r="EM145" s="124"/>
      <c r="EN145" s="124"/>
      <c r="EP145" s="111"/>
      <c r="EQ145" s="124"/>
      <c r="ER145" s="124"/>
      <c r="ES145" s="124"/>
      <c r="EV145" s="111"/>
      <c r="EW145" s="111"/>
      <c r="EX145" s="111"/>
      <c r="EY145" s="111"/>
      <c r="EZ145" s="124"/>
      <c r="FA145" s="124"/>
      <c r="FD145" s="111"/>
      <c r="FE145" s="111"/>
      <c r="FF145" s="111"/>
      <c r="FG145" s="124"/>
      <c r="FH145" s="124"/>
      <c r="FK145" s="124"/>
      <c r="FL145" s="124"/>
      <c r="FO145" s="111">
        <v>0</v>
      </c>
      <c r="FP145" s="111">
        <v>0</v>
      </c>
      <c r="FQ145" s="124"/>
      <c r="FR145" s="124"/>
      <c r="FU145" s="111">
        <v>0</v>
      </c>
      <c r="FV145" s="124">
        <v>19.37</v>
      </c>
      <c r="FW145" s="124">
        <v>0</v>
      </c>
      <c r="FX145" s="124">
        <v>0</v>
      </c>
      <c r="FY145" s="124">
        <v>0</v>
      </c>
      <c r="GA145" s="124">
        <v>0</v>
      </c>
      <c r="GB145" s="124">
        <v>0</v>
      </c>
      <c r="GC145" s="124">
        <v>0</v>
      </c>
      <c r="GF145" s="111"/>
      <c r="GG145" s="111"/>
      <c r="GH145" s="111"/>
      <c r="GI145" s="124">
        <v>0</v>
      </c>
      <c r="GJ145" s="124">
        <v>0</v>
      </c>
      <c r="GK145" s="124">
        <v>0</v>
      </c>
      <c r="GN145" s="111"/>
      <c r="GO145" s="111"/>
      <c r="GP145" s="124">
        <v>0</v>
      </c>
      <c r="GQ145" s="124">
        <v>0</v>
      </c>
      <c r="GR145" s="124">
        <v>0</v>
      </c>
      <c r="GV145" s="111">
        <v>-96.860000000000014</v>
      </c>
      <c r="GW145" s="124">
        <v>0</v>
      </c>
      <c r="GX145" s="124">
        <v>0</v>
      </c>
      <c r="GY145" s="124">
        <v>0</v>
      </c>
      <c r="HC145" s="124"/>
      <c r="HD145" s="124">
        <v>0</v>
      </c>
      <c r="HE145" s="124">
        <v>0</v>
      </c>
      <c r="HF145" s="124">
        <v>0</v>
      </c>
      <c r="HI145" s="111"/>
      <c r="HJ145" s="111"/>
      <c r="HK145" s="111"/>
      <c r="HL145" s="111"/>
      <c r="HM145" s="124">
        <v>0</v>
      </c>
      <c r="HN145" s="124">
        <v>0</v>
      </c>
      <c r="HO145" s="124">
        <v>0</v>
      </c>
      <c r="HR145" s="111"/>
      <c r="HS145" s="111"/>
      <c r="HT145" s="111"/>
      <c r="HU145" s="124">
        <v>0</v>
      </c>
      <c r="HV145" s="124">
        <v>0</v>
      </c>
      <c r="HW145" s="124">
        <v>0</v>
      </c>
      <c r="HZ145" s="111"/>
      <c r="IA145" s="124">
        <v>0</v>
      </c>
      <c r="IB145" s="124">
        <v>0</v>
      </c>
      <c r="IC145" s="124">
        <v>0</v>
      </c>
      <c r="IE145" s="111"/>
      <c r="IF145" s="124">
        <v>0</v>
      </c>
      <c r="IG145" s="124">
        <v>0</v>
      </c>
      <c r="IH145" s="124">
        <v>0</v>
      </c>
      <c r="IK145" s="124">
        <v>0</v>
      </c>
      <c r="IL145" s="124">
        <v>0</v>
      </c>
      <c r="IO145" s="124">
        <v>0</v>
      </c>
      <c r="IP145" s="124">
        <v>0</v>
      </c>
      <c r="IS145" s="160"/>
      <c r="IT145" s="160"/>
      <c r="IU145" s="160"/>
      <c r="IX145" s="124">
        <v>-39.119999999999997</v>
      </c>
      <c r="IY145" s="124">
        <v>0</v>
      </c>
      <c r="IZ145" s="124">
        <v>0</v>
      </c>
      <c r="JA145" s="124">
        <v>0</v>
      </c>
      <c r="JD145" s="124">
        <v>0</v>
      </c>
      <c r="JE145" s="124">
        <v>0</v>
      </c>
      <c r="JH145" s="124">
        <v>0</v>
      </c>
      <c r="JI145" s="124">
        <v>0</v>
      </c>
      <c r="JJ145" s="124">
        <v>0</v>
      </c>
      <c r="JM145" s="124">
        <v>0</v>
      </c>
      <c r="JN145" s="124">
        <v>0</v>
      </c>
      <c r="JQ145" s="124">
        <v>0</v>
      </c>
      <c r="JR145" s="124">
        <v>0</v>
      </c>
      <c r="JS145" s="124">
        <v>0</v>
      </c>
      <c r="JV145" s="124">
        <v>0</v>
      </c>
      <c r="JW145" s="124">
        <v>0</v>
      </c>
      <c r="JY145" s="124">
        <v>0</v>
      </c>
      <c r="JZ145" s="124">
        <v>0</v>
      </c>
      <c r="KB145" s="124">
        <v>0</v>
      </c>
      <c r="KC145" s="124">
        <v>0</v>
      </c>
      <c r="KD145" s="124">
        <v>0</v>
      </c>
    </row>
    <row r="146" spans="2:290" hidden="1" x14ac:dyDescent="0.25">
      <c r="B146" s="6" t="s">
        <v>138</v>
      </c>
      <c r="C146" s="136"/>
      <c r="D146" s="136"/>
      <c r="E146" s="136"/>
      <c r="F146" s="136"/>
      <c r="G146" s="136"/>
      <c r="H146" s="132"/>
      <c r="I146" s="158"/>
      <c r="J146" s="158"/>
      <c r="K146" s="158"/>
      <c r="L146" s="158"/>
      <c r="M146" s="132"/>
      <c r="N146" s="158"/>
      <c r="O146" s="158"/>
      <c r="P146" s="158"/>
      <c r="Q146" s="158"/>
      <c r="R146" s="132"/>
      <c r="S146" s="158"/>
      <c r="T146" s="158"/>
      <c r="U146" s="158"/>
      <c r="V146" s="158"/>
      <c r="W146" s="132"/>
      <c r="X146" s="158"/>
      <c r="Y146" s="158"/>
      <c r="Z146" s="158"/>
      <c r="AA146" s="158"/>
      <c r="AB146" s="132">
        <v>0</v>
      </c>
      <c r="AC146" s="158">
        <v>0</v>
      </c>
      <c r="AD146" s="158">
        <v>0</v>
      </c>
      <c r="AE146" s="158">
        <v>0</v>
      </c>
      <c r="AF146" s="158">
        <v>0</v>
      </c>
      <c r="AG146" s="132">
        <v>0</v>
      </c>
      <c r="AH146" s="158">
        <v>0</v>
      </c>
      <c r="AI146" s="158">
        <v>0</v>
      </c>
      <c r="AJ146" s="158">
        <v>0</v>
      </c>
      <c r="AK146" s="132">
        <v>0</v>
      </c>
      <c r="AL146" s="158">
        <v>-145.49</v>
      </c>
      <c r="AM146" s="158"/>
      <c r="AN146" s="158"/>
      <c r="AO146" s="158">
        <v>-148.5</v>
      </c>
      <c r="AP146" s="132"/>
      <c r="AQ146" s="158"/>
      <c r="AR146" s="158"/>
      <c r="AS146" s="158"/>
      <c r="AT146" s="158"/>
      <c r="AU146" s="132"/>
      <c r="AV146" s="137"/>
      <c r="AW146" s="137"/>
      <c r="AX146" s="137"/>
      <c r="AY146" s="137"/>
      <c r="AZ146" s="132"/>
      <c r="BA146" s="137"/>
      <c r="BB146" s="137"/>
      <c r="BC146" s="137"/>
      <c r="BD146" s="137"/>
      <c r="BE146" s="132">
        <f t="shared" si="230"/>
        <v>0</v>
      </c>
      <c r="BF146" s="137"/>
      <c r="BG146" s="137"/>
      <c r="BH146" s="137"/>
      <c r="BI146" s="137"/>
      <c r="BJ146" s="132"/>
      <c r="BK146" s="137"/>
      <c r="BL146" s="137"/>
      <c r="BM146" s="137"/>
      <c r="BN146" s="137"/>
      <c r="BO146" s="132"/>
      <c r="BP146" s="137"/>
      <c r="BQ146" s="137"/>
      <c r="BR146" s="137"/>
      <c r="BS146" s="137"/>
      <c r="BT146" s="132"/>
      <c r="BU146" s="137"/>
      <c r="BV146" s="137"/>
      <c r="BW146" s="137"/>
      <c r="BX146" s="137"/>
      <c r="BY146" s="132"/>
      <c r="BZ146" s="137"/>
      <c r="CA146" s="137"/>
      <c r="CB146" s="137"/>
      <c r="CC146" s="137"/>
      <c r="CD146" s="132"/>
      <c r="CE146" s="137"/>
      <c r="CF146" s="137"/>
      <c r="CG146" s="137"/>
      <c r="CH146" s="137"/>
      <c r="CI146" s="132"/>
      <c r="CJ146" s="132"/>
      <c r="CK146" s="132"/>
      <c r="CL146" s="132"/>
      <c r="CM146" s="132"/>
      <c r="CN146" s="132"/>
      <c r="CO146" s="137"/>
      <c r="CP146" s="137"/>
      <c r="CQ146" s="6"/>
      <c r="CR146" s="6"/>
      <c r="CS146" s="6"/>
      <c r="CT146" s="124"/>
      <c r="CU146" s="124"/>
      <c r="CV146" s="124"/>
      <c r="CW146" s="124"/>
      <c r="CX146" s="124"/>
      <c r="CY146" s="124"/>
      <c r="CZ146" s="124"/>
      <c r="DA146" s="124"/>
      <c r="DB146" s="124"/>
      <c r="DC146" s="124"/>
      <c r="DD146" s="124"/>
      <c r="DE146" s="124"/>
      <c r="DF146" s="124"/>
      <c r="DG146" s="124"/>
      <c r="DH146" s="124"/>
      <c r="DI146" s="124"/>
      <c r="DK146" s="124"/>
      <c r="DL146" s="124"/>
      <c r="DM146" s="6"/>
      <c r="DN146" s="124"/>
      <c r="DO146" s="124"/>
      <c r="DQ146" s="136"/>
      <c r="DR146" s="124"/>
      <c r="DS146" s="124"/>
      <c r="DT146" s="124"/>
      <c r="DV146" s="124"/>
      <c r="DW146" s="124"/>
      <c r="DX146" s="124"/>
      <c r="EA146" s="111"/>
      <c r="EB146" s="111"/>
      <c r="EC146" s="111"/>
      <c r="ED146" s="124"/>
      <c r="EE146" s="124"/>
      <c r="EF146" s="124"/>
      <c r="EJ146" s="111"/>
      <c r="EK146" s="111"/>
      <c r="EL146" s="124"/>
      <c r="EM146" s="124"/>
      <c r="EN146" s="124"/>
      <c r="EP146" s="111"/>
      <c r="EQ146" s="124"/>
      <c r="ER146" s="124"/>
      <c r="ES146" s="124"/>
      <c r="EV146" s="111"/>
      <c r="EW146" s="111"/>
      <c r="EX146" s="111"/>
      <c r="EY146" s="111"/>
      <c r="EZ146" s="124"/>
      <c r="FA146" s="124"/>
      <c r="FD146" s="111"/>
      <c r="FE146" s="111"/>
      <c r="FF146" s="111"/>
      <c r="FG146" s="124"/>
      <c r="FH146" s="124"/>
      <c r="FK146" s="124"/>
      <c r="FL146" s="124"/>
      <c r="FO146" s="111"/>
      <c r="FP146" s="111"/>
      <c r="FQ146" s="124"/>
      <c r="FR146" s="124"/>
      <c r="FU146" s="111"/>
      <c r="FV146" s="124">
        <v>0</v>
      </c>
      <c r="FW146" s="124"/>
      <c r="FX146" s="124"/>
      <c r="FY146" s="124"/>
      <c r="GA146" s="124"/>
      <c r="GB146" s="124"/>
      <c r="GC146" s="124"/>
      <c r="GF146" s="111"/>
      <c r="GG146" s="111"/>
      <c r="GH146" s="111"/>
      <c r="GI146" s="124"/>
      <c r="GJ146" s="124"/>
      <c r="GK146" s="124"/>
      <c r="GN146" s="111"/>
      <c r="GO146" s="111"/>
      <c r="GP146" s="124"/>
      <c r="GQ146" s="124"/>
      <c r="GR146" s="124"/>
      <c r="GV146" s="111"/>
      <c r="GW146" s="124"/>
      <c r="GX146" s="124"/>
      <c r="GY146" s="124"/>
      <c r="HC146" s="124"/>
      <c r="HD146" s="124"/>
      <c r="HE146" s="124"/>
      <c r="HF146" s="124"/>
      <c r="HI146" s="111"/>
      <c r="HJ146" s="111"/>
      <c r="HK146" s="111"/>
      <c r="HL146" s="111"/>
      <c r="HM146" s="124"/>
      <c r="HN146" s="124"/>
      <c r="HO146" s="124"/>
      <c r="HR146" s="111"/>
      <c r="HS146" s="111"/>
      <c r="HT146" s="111"/>
      <c r="HU146" s="124"/>
      <c r="HV146" s="124"/>
      <c r="HW146" s="124"/>
      <c r="HZ146" s="111"/>
      <c r="IA146" s="124"/>
      <c r="IB146" s="124"/>
      <c r="IC146" s="124"/>
      <c r="IE146" s="111"/>
      <c r="IF146" s="124"/>
      <c r="IG146" s="124"/>
      <c r="IH146" s="124"/>
      <c r="IK146" s="124"/>
      <c r="IL146" s="124"/>
      <c r="IO146" s="124"/>
      <c r="IP146" s="124"/>
      <c r="IS146" s="160">
        <v>11024.586587</v>
      </c>
      <c r="IT146" s="160">
        <v>12725.122452319998</v>
      </c>
      <c r="IU146" s="160">
        <v>14695.927605938399</v>
      </c>
      <c r="IX146" s="124"/>
      <c r="IY146" s="124"/>
      <c r="IZ146" s="124"/>
      <c r="JA146" s="124"/>
      <c r="JD146" s="124"/>
      <c r="JE146" s="124"/>
      <c r="JH146" s="124"/>
      <c r="JI146" s="124"/>
      <c r="JJ146" s="124"/>
      <c r="JM146" s="124"/>
      <c r="JN146" s="124"/>
      <c r="JQ146" s="124"/>
      <c r="JR146" s="124"/>
      <c r="JS146" s="124"/>
      <c r="JV146" s="124"/>
      <c r="JW146" s="124"/>
      <c r="JY146" s="124"/>
      <c r="JZ146" s="124"/>
      <c r="KB146" s="124"/>
      <c r="KC146" s="124"/>
      <c r="KD146" s="124"/>
    </row>
    <row r="147" spans="2:290" s="60" customFormat="1" hidden="1" x14ac:dyDescent="0.25">
      <c r="B147" s="58" t="s">
        <v>235</v>
      </c>
      <c r="C147" s="4"/>
      <c r="D147" s="4"/>
      <c r="E147" s="4"/>
      <c r="F147" s="4"/>
      <c r="G147" s="4"/>
      <c r="H147" s="145"/>
      <c r="I147" s="156"/>
      <c r="J147" s="156"/>
      <c r="K147" s="156"/>
      <c r="L147" s="156"/>
      <c r="M147" s="145"/>
      <c r="N147" s="156"/>
      <c r="O147" s="156"/>
      <c r="P147" s="156"/>
      <c r="Q147" s="156"/>
      <c r="R147" s="145"/>
      <c r="S147" s="156"/>
      <c r="T147" s="156"/>
      <c r="U147" s="156"/>
      <c r="V147" s="156"/>
      <c r="W147" s="145">
        <v>3274</v>
      </c>
      <c r="X147" s="156">
        <v>680.4</v>
      </c>
      <c r="Y147" s="156">
        <v>905</v>
      </c>
      <c r="Z147" s="156">
        <v>968</v>
      </c>
      <c r="AA147" s="156">
        <v>1176</v>
      </c>
      <c r="AB147" s="145">
        <v>3729.4</v>
      </c>
      <c r="AC147" s="156">
        <v>720.39</v>
      </c>
      <c r="AD147" s="156">
        <v>983</v>
      </c>
      <c r="AE147" s="156">
        <v>1035</v>
      </c>
      <c r="AF147" s="156">
        <v>1211</v>
      </c>
      <c r="AG147" s="145">
        <v>3949.3900000000003</v>
      </c>
      <c r="AH147" s="156">
        <v>758.45</v>
      </c>
      <c r="AI147" s="156">
        <v>994</v>
      </c>
      <c r="AJ147" s="156">
        <v>1168.6200000000001</v>
      </c>
      <c r="AK147" s="145">
        <v>2921.0700000000006</v>
      </c>
      <c r="AL147" s="156">
        <f t="shared" ref="AL147:CC147" si="232">SUM(AL141:AL146)</f>
        <v>1189.3400000000001</v>
      </c>
      <c r="AM147" s="156">
        <f t="shared" si="232"/>
        <v>882.88000000000011</v>
      </c>
      <c r="AN147" s="156">
        <f t="shared" si="232"/>
        <v>1107.42</v>
      </c>
      <c r="AO147" s="156">
        <f t="shared" si="232"/>
        <v>1282.6099999999999</v>
      </c>
      <c r="AP147" s="145">
        <f t="shared" si="232"/>
        <v>4462.26</v>
      </c>
      <c r="AQ147" s="156">
        <f t="shared" si="232"/>
        <v>1160.8599999999999</v>
      </c>
      <c r="AR147" s="156">
        <f t="shared" si="232"/>
        <v>1055.06</v>
      </c>
      <c r="AS147" s="156">
        <f t="shared" si="232"/>
        <v>1278.3</v>
      </c>
      <c r="AT147" s="156">
        <f t="shared" si="232"/>
        <v>1471.25</v>
      </c>
      <c r="AU147" s="145">
        <f t="shared" si="232"/>
        <v>4966.29</v>
      </c>
      <c r="AV147" s="148">
        <f t="shared" si="232"/>
        <v>1338</v>
      </c>
      <c r="AW147" s="148">
        <f t="shared" si="232"/>
        <v>1316.1699999999998</v>
      </c>
      <c r="AX147" s="148">
        <f t="shared" si="232"/>
        <v>1414.5500000000002</v>
      </c>
      <c r="AY147" s="148">
        <f t="shared" si="232"/>
        <v>1530.91</v>
      </c>
      <c r="AZ147" s="145">
        <f t="shared" si="232"/>
        <v>5612.02</v>
      </c>
      <c r="BA147" s="148">
        <f t="shared" si="232"/>
        <v>1436.83</v>
      </c>
      <c r="BB147" s="148">
        <f t="shared" si="232"/>
        <v>1270.8999999999999</v>
      </c>
      <c r="BC147" s="148">
        <f t="shared" si="232"/>
        <v>1373.32</v>
      </c>
      <c r="BD147" s="148">
        <f t="shared" si="232"/>
        <v>1430.49</v>
      </c>
      <c r="BE147" s="145">
        <f t="shared" si="230"/>
        <v>5511.5399999999991</v>
      </c>
      <c r="BF147" s="148">
        <f t="shared" si="232"/>
        <v>1053.8900000000001</v>
      </c>
      <c r="BG147" s="148">
        <f t="shared" si="232"/>
        <v>1374.78</v>
      </c>
      <c r="BH147" s="148">
        <f t="shared" si="232"/>
        <v>1843.84</v>
      </c>
      <c r="BI147" s="148">
        <f t="shared" si="232"/>
        <v>2084.5899999999997</v>
      </c>
      <c r="BJ147" s="145">
        <f t="shared" si="232"/>
        <v>6357.0599999999995</v>
      </c>
      <c r="BK147" s="148">
        <f t="shared" si="232"/>
        <v>1342.08</v>
      </c>
      <c r="BL147" s="148">
        <f t="shared" si="232"/>
        <v>1928.54</v>
      </c>
      <c r="BM147" s="148">
        <f t="shared" si="232"/>
        <v>1945.11</v>
      </c>
      <c r="BN147" s="148">
        <f t="shared" si="232"/>
        <v>2557.0900000000006</v>
      </c>
      <c r="BO147" s="145">
        <f t="shared" si="232"/>
        <v>7772.82</v>
      </c>
      <c r="BP147" s="148">
        <f t="shared" si="232"/>
        <v>2205.98</v>
      </c>
      <c r="BQ147" s="148">
        <f t="shared" si="232"/>
        <v>2086.6000000000004</v>
      </c>
      <c r="BR147" s="148">
        <f t="shared" si="232"/>
        <v>2310.7099999999996</v>
      </c>
      <c r="BS147" s="148">
        <f t="shared" si="232"/>
        <v>2598.3000000000002</v>
      </c>
      <c r="BT147" s="145">
        <f t="shared" si="232"/>
        <v>9201.590000000002</v>
      </c>
      <c r="BU147" s="148">
        <f t="shared" si="232"/>
        <v>2368.58</v>
      </c>
      <c r="BV147" s="148">
        <f t="shared" si="232"/>
        <v>2308.6899999999996</v>
      </c>
      <c r="BW147" s="148">
        <f t="shared" si="232"/>
        <v>2449.1</v>
      </c>
      <c r="BX147" s="148">
        <f t="shared" si="232"/>
        <v>3007.89</v>
      </c>
      <c r="BY147" s="145">
        <f t="shared" si="232"/>
        <v>10134.26</v>
      </c>
      <c r="BZ147" s="148">
        <f t="shared" si="232"/>
        <v>2636.3500000000004</v>
      </c>
      <c r="CA147" s="148">
        <f t="shared" si="232"/>
        <v>2272.9499999999998</v>
      </c>
      <c r="CB147" s="148">
        <f t="shared" si="232"/>
        <v>2509.8799999999997</v>
      </c>
      <c r="CC147" s="148">
        <f t="shared" si="232"/>
        <v>3026</v>
      </c>
      <c r="CD147" s="145">
        <f>SUM(CD141:CD146)</f>
        <v>10444</v>
      </c>
      <c r="CE147" s="148">
        <f>SUM(CE141:CE146)</f>
        <v>2609.21</v>
      </c>
      <c r="CF147" s="148">
        <f>SUM(CF141:CF146)</f>
        <v>2393.87</v>
      </c>
      <c r="CG147" s="148">
        <f t="shared" ref="CG147:CH147" si="233">SUM(CG141:CG146)</f>
        <v>2687</v>
      </c>
      <c r="CH147" s="148">
        <f t="shared" si="233"/>
        <v>3527.6600000000003</v>
      </c>
      <c r="CI147" s="145">
        <f>SUM(CI141:CI146)</f>
        <v>11211.699999999999</v>
      </c>
      <c r="CJ147" s="145">
        <f>SUM(CJ141:CJ146)</f>
        <v>12642.950806426843</v>
      </c>
      <c r="CK147" s="145">
        <f>CK123*CK164/10000</f>
        <v>14623.756542000001</v>
      </c>
      <c r="CL147" s="145">
        <f>CL123*CL164/10000</f>
        <v>17153.666423766001</v>
      </c>
      <c r="CM147" s="145">
        <f>CM123*CM164/10000</f>
        <v>19246.413727465457</v>
      </c>
      <c r="CN147" s="145">
        <f t="shared" ref="CN147" si="234">CN123*CN164/10000</f>
        <v>21594.476202216247</v>
      </c>
      <c r="CO147" s="148"/>
      <c r="CP147" s="148"/>
      <c r="CQ147" s="58"/>
      <c r="CR147" s="58"/>
      <c r="CS147" s="58"/>
      <c r="CT147" s="143"/>
      <c r="CU147" s="143"/>
      <c r="CV147" s="143"/>
      <c r="CW147" s="143"/>
      <c r="CX147" s="143"/>
      <c r="CY147" s="143"/>
      <c r="CZ147" s="143"/>
      <c r="DA147" s="143"/>
      <c r="DB147" s="143"/>
      <c r="DC147" s="143"/>
      <c r="DD147" s="143"/>
      <c r="DE147" s="143"/>
      <c r="DF147" s="143"/>
      <c r="DG147" s="143"/>
      <c r="DH147" s="143"/>
      <c r="DI147" s="143"/>
      <c r="DK147" s="143"/>
      <c r="DL147" s="143"/>
      <c r="DM147" s="58"/>
      <c r="DN147" s="143"/>
      <c r="DO147" s="143"/>
      <c r="DQ147" s="4"/>
      <c r="DR147" s="143"/>
      <c r="DS147" s="143"/>
      <c r="DT147" s="143"/>
      <c r="DV147" s="143"/>
      <c r="DW147" s="143"/>
      <c r="DX147" s="143"/>
      <c r="EA147" s="119"/>
      <c r="EB147" s="119"/>
      <c r="EC147" s="119"/>
      <c r="ED147" s="143"/>
      <c r="EE147" s="143"/>
      <c r="EF147" s="143"/>
      <c r="EJ147" s="119"/>
      <c r="EK147" s="119"/>
      <c r="EL147" s="143"/>
      <c r="EM147" s="143"/>
      <c r="EN147" s="143"/>
      <c r="EP147" s="119"/>
      <c r="EQ147" s="143"/>
      <c r="ER147" s="143"/>
      <c r="ES147" s="143"/>
      <c r="EV147" s="119"/>
      <c r="EW147" s="119"/>
      <c r="EX147" s="119"/>
      <c r="EY147" s="119"/>
      <c r="EZ147" s="143"/>
      <c r="FA147" s="143"/>
      <c r="FD147" s="119"/>
      <c r="FE147" s="119"/>
      <c r="FF147" s="119"/>
      <c r="FG147" s="143"/>
      <c r="FH147" s="143"/>
      <c r="FK147" s="143"/>
      <c r="FL147" s="143"/>
      <c r="FO147" s="119">
        <v>1461.7169932311022</v>
      </c>
      <c r="FP147" s="119">
        <v>1684.166515576233</v>
      </c>
      <c r="FQ147" s="143"/>
      <c r="FR147" s="143"/>
      <c r="FU147" s="119">
        <v>1449.8262900877708</v>
      </c>
      <c r="FV147" s="143">
        <v>5530.87629008777</v>
      </c>
      <c r="FW147" s="143">
        <v>4457.3074127710215</v>
      </c>
      <c r="FX147" s="143">
        <v>5372.3627748120007</v>
      </c>
      <c r="FY147" s="143">
        <v>5950.9177774490418</v>
      </c>
      <c r="GA147" s="143">
        <v>4423.1948903856592</v>
      </c>
      <c r="GB147" s="143">
        <v>4995.0281952631522</v>
      </c>
      <c r="GC147" s="143">
        <v>5633.4922498911183</v>
      </c>
      <c r="GF147" s="119"/>
      <c r="GG147" s="119"/>
      <c r="GH147" s="119"/>
      <c r="GI147" s="143">
        <v>4786.1286944256035</v>
      </c>
      <c r="GJ147" s="143">
        <v>5622.9647916841568</v>
      </c>
      <c r="GK147" s="143">
        <v>6341.581507179485</v>
      </c>
      <c r="GN147" s="119"/>
      <c r="GO147" s="119"/>
      <c r="GP147" s="143">
        <v>5395.3874074379937</v>
      </c>
      <c r="GQ147" s="143">
        <v>6329.8206480889849</v>
      </c>
      <c r="GR147" s="143">
        <v>7128.2919124797791</v>
      </c>
      <c r="GV147" s="119">
        <v>1832.0161940583735</v>
      </c>
      <c r="GW147" s="143">
        <v>6104.5261940583732</v>
      </c>
      <c r="GX147" s="143">
        <v>6704.8393680696745</v>
      </c>
      <c r="GY147" s="143">
        <v>7791.278846050126</v>
      </c>
      <c r="HC147" s="143"/>
      <c r="HD147" s="143">
        <v>7549.7198996478</v>
      </c>
      <c r="HE147" s="143">
        <v>8850.027175213294</v>
      </c>
      <c r="HF147" s="143">
        <v>9889.4108076629745</v>
      </c>
      <c r="HI147" s="119"/>
      <c r="HJ147" s="119"/>
      <c r="HK147" s="119"/>
      <c r="HL147" s="119"/>
      <c r="HM147" s="143">
        <v>9100.9375664627823</v>
      </c>
      <c r="HN147" s="143">
        <v>10176.408903909063</v>
      </c>
      <c r="HO147" s="143">
        <v>11175.331726275968</v>
      </c>
      <c r="HR147" s="119"/>
      <c r="HS147" s="119"/>
      <c r="HT147" s="119"/>
      <c r="HU147" s="143">
        <v>7740.4343664627831</v>
      </c>
      <c r="HV147" s="143">
        <v>8207.0568606000015</v>
      </c>
      <c r="HW147" s="143">
        <v>9039.2476496760009</v>
      </c>
      <c r="HZ147" s="119"/>
      <c r="IA147" s="143">
        <v>8930.2808316776154</v>
      </c>
      <c r="IB147" s="143">
        <v>9075.7379280000005</v>
      </c>
      <c r="IC147" s="143">
        <v>9977.4337393680016</v>
      </c>
      <c r="IE147" s="119"/>
      <c r="IF147" s="143">
        <v>9379.3402785350281</v>
      </c>
      <c r="IG147" s="143">
        <v>9546.7479120000007</v>
      </c>
      <c r="IH147" s="143">
        <v>10490.495725272003</v>
      </c>
      <c r="IK147" s="143">
        <v>9546.7479120000007</v>
      </c>
      <c r="IL147" s="143">
        <v>10490.495725272003</v>
      </c>
      <c r="IO147" s="143">
        <v>11008.329446000002</v>
      </c>
      <c r="IP147" s="143">
        <v>12395.454269480002</v>
      </c>
      <c r="IS147" s="157"/>
      <c r="IT147" s="157"/>
      <c r="IU147" s="157"/>
      <c r="IX147" s="143"/>
      <c r="IY147" s="143">
        <v>10077.167202000001</v>
      </c>
      <c r="IZ147" s="143">
        <v>11636.691703799997</v>
      </c>
      <c r="JA147" s="143">
        <v>13445.320591164</v>
      </c>
      <c r="JD147" s="143">
        <v>12301.185995429241</v>
      </c>
      <c r="JE147" s="143">
        <v>14692.675292734299</v>
      </c>
      <c r="JH147" s="143">
        <v>12205.41854328117</v>
      </c>
      <c r="JI147" s="143">
        <v>14583.728392023364</v>
      </c>
      <c r="JJ147" s="143">
        <v>16865.073121141369</v>
      </c>
      <c r="JM147" s="143">
        <v>13555.045787881249</v>
      </c>
      <c r="JN147" s="143">
        <v>15662.806902879</v>
      </c>
      <c r="JQ147" s="143">
        <v>10887.631003642788</v>
      </c>
      <c r="JR147" s="143">
        <v>12182.97751745417</v>
      </c>
      <c r="JS147" s="143">
        <v>13602.832097352439</v>
      </c>
      <c r="JV147" s="143">
        <v>12029.644600978196</v>
      </c>
      <c r="JW147" s="143">
        <v>13431.090563672169</v>
      </c>
      <c r="JY147" s="143">
        <v>12327.8320458445</v>
      </c>
      <c r="JZ147" s="143">
        <v>13765.060501922429</v>
      </c>
      <c r="KB147" s="143">
        <v>11956.973939613927</v>
      </c>
      <c r="KC147" s="143">
        <v>13449.016317173426</v>
      </c>
      <c r="KD147" s="143">
        <v>15134.598544412478</v>
      </c>
    </row>
    <row r="148" spans="2:290" hidden="1" x14ac:dyDescent="0.25">
      <c r="B148" s="6"/>
      <c r="C148" s="6"/>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66"/>
      <c r="BC148" s="15"/>
      <c r="BD148" s="15"/>
      <c r="BE148" s="15"/>
      <c r="BF148" s="15"/>
      <c r="BG148" s="166"/>
      <c r="BH148" s="15"/>
      <c r="BI148" s="15"/>
      <c r="BJ148" s="15"/>
      <c r="BK148" s="15"/>
      <c r="BL148" s="166"/>
      <c r="BM148" s="15"/>
      <c r="BN148" s="15"/>
      <c r="BO148" s="15"/>
      <c r="BP148" s="15"/>
      <c r="BQ148" s="166"/>
      <c r="BR148" s="15"/>
      <c r="BS148" s="15"/>
      <c r="BT148" s="15"/>
      <c r="BU148" s="15"/>
      <c r="BV148" s="166"/>
      <c r="BW148" s="15"/>
      <c r="BX148" s="15"/>
      <c r="BY148" s="15"/>
      <c r="BZ148" s="15"/>
      <c r="CA148" s="166"/>
      <c r="CB148" s="15"/>
      <c r="CC148" s="15"/>
      <c r="CD148" s="15"/>
      <c r="CE148" s="15"/>
      <c r="CF148" s="166"/>
      <c r="CG148" s="15"/>
      <c r="CH148" s="15"/>
      <c r="CI148" s="15"/>
      <c r="CJ148" s="15"/>
      <c r="CK148" s="172">
        <f>CK147/CJ147-1</f>
        <v>0.15667273929170444</v>
      </c>
      <c r="CL148" s="15"/>
      <c r="CM148" s="15"/>
      <c r="CN148" s="15"/>
      <c r="CO148" s="15"/>
      <c r="CP148" s="15"/>
      <c r="CQ148" s="6"/>
      <c r="CR148" s="6"/>
      <c r="CS148" s="6"/>
      <c r="CT148" s="15"/>
      <c r="CU148" s="15"/>
      <c r="CV148" s="15"/>
      <c r="CW148" s="15"/>
      <c r="CX148" s="15"/>
      <c r="DK148" s="6"/>
      <c r="DL148" s="6"/>
      <c r="DM148" s="6"/>
      <c r="DN148" s="6"/>
      <c r="DO148" s="6"/>
      <c r="EA148" s="15"/>
      <c r="EB148" s="15"/>
      <c r="EC148" s="15"/>
      <c r="ED148" s="15"/>
      <c r="EE148" s="15"/>
      <c r="EF148" s="15"/>
      <c r="EJ148" s="15"/>
      <c r="EK148" s="15"/>
      <c r="EL148" s="15"/>
      <c r="EM148" s="15"/>
      <c r="EN148" s="15"/>
      <c r="EP148" s="15"/>
      <c r="EQ148" s="15"/>
      <c r="ER148" s="15"/>
      <c r="ES148" s="15"/>
      <c r="EV148" s="15"/>
      <c r="EW148" s="15"/>
      <c r="EX148" s="15"/>
      <c r="EY148" s="15"/>
      <c r="EZ148" s="15"/>
      <c r="FA148" s="15"/>
      <c r="FD148" s="15"/>
      <c r="FE148" s="15"/>
      <c r="FF148" s="15"/>
      <c r="FG148" s="15"/>
      <c r="FH148" s="15"/>
      <c r="FK148" s="15"/>
      <c r="FL148" s="15"/>
      <c r="FO148" s="15"/>
      <c r="FP148" s="15"/>
      <c r="FQ148" s="15"/>
      <c r="FR148" s="15"/>
      <c r="FU148" s="15"/>
      <c r="FV148" s="15"/>
      <c r="FW148" s="15"/>
      <c r="FX148" s="15"/>
      <c r="FY148" s="15"/>
      <c r="GA148" s="15"/>
      <c r="GB148" s="15"/>
      <c r="GC148" s="15"/>
      <c r="GF148" s="15"/>
      <c r="GG148" s="15"/>
      <c r="GH148" s="15"/>
      <c r="GI148" s="15"/>
      <c r="GJ148" s="15"/>
      <c r="GK148" s="15"/>
      <c r="GN148" s="15"/>
      <c r="GO148" s="15"/>
      <c r="GP148" s="15"/>
      <c r="GQ148" s="15"/>
      <c r="GR148" s="15"/>
      <c r="GV148" s="15"/>
      <c r="GW148" s="15"/>
      <c r="GX148" s="15"/>
      <c r="GY148" s="15"/>
      <c r="HC148" s="15"/>
      <c r="HD148" s="15"/>
      <c r="HE148" s="15"/>
      <c r="HF148" s="15"/>
      <c r="HI148" s="15"/>
      <c r="HJ148" s="15"/>
      <c r="HK148" s="15"/>
      <c r="HL148" s="15"/>
      <c r="HM148" s="15"/>
      <c r="HN148" s="15"/>
      <c r="HO148" s="15"/>
      <c r="HR148" s="15"/>
      <c r="HS148" s="15"/>
      <c r="HT148" s="15"/>
      <c r="HU148" s="15"/>
      <c r="HV148" s="15"/>
      <c r="HW148" s="15"/>
      <c r="HZ148" s="15"/>
      <c r="IA148" s="15"/>
      <c r="IB148" s="15"/>
      <c r="IC148" s="15"/>
      <c r="IE148" s="15"/>
      <c r="IF148" s="15"/>
      <c r="IG148" s="15"/>
      <c r="IH148" s="15"/>
      <c r="IK148" s="15"/>
      <c r="IL148" s="15"/>
      <c r="IO148" s="15"/>
      <c r="IP148" s="15"/>
      <c r="IS148" s="15"/>
      <c r="IT148" s="15"/>
      <c r="IU148" s="15"/>
      <c r="IX148" s="15"/>
      <c r="IY148" s="15"/>
      <c r="IZ148" s="15"/>
      <c r="JA148" s="15"/>
      <c r="JD148" s="15"/>
      <c r="JE148" s="15"/>
      <c r="JH148" s="15"/>
      <c r="JI148" s="15"/>
      <c r="JJ148" s="15"/>
      <c r="JM148" s="15"/>
      <c r="JN148" s="15"/>
      <c r="JQ148" s="15"/>
      <c r="JR148" s="15"/>
      <c r="JS148" s="15"/>
      <c r="JV148" s="15"/>
      <c r="JW148" s="15"/>
      <c r="JY148" s="15"/>
      <c r="JZ148" s="15"/>
      <c r="KB148" s="15"/>
      <c r="KC148" s="15"/>
      <c r="KD148" s="15"/>
    </row>
    <row r="149" spans="2:290" s="60" customFormat="1" hidden="1" x14ac:dyDescent="0.25">
      <c r="B149" s="58" t="s">
        <v>236</v>
      </c>
      <c r="C149" s="4"/>
      <c r="D149" s="4" t="str">
        <f>D140</f>
        <v>1QFY10</v>
      </c>
      <c r="E149" s="4" t="str">
        <f t="shared" ref="E149:BP149" si="235">E140</f>
        <v>2QFY10</v>
      </c>
      <c r="F149" s="4" t="str">
        <f t="shared" si="235"/>
        <v>3QFY10</v>
      </c>
      <c r="G149" s="4" t="str">
        <f t="shared" si="235"/>
        <v>4QFY10</v>
      </c>
      <c r="H149" s="145" t="str">
        <f t="shared" si="235"/>
        <v>CY10</v>
      </c>
      <c r="I149" s="156" t="str">
        <f t="shared" si="235"/>
        <v>1QFY11</v>
      </c>
      <c r="J149" s="156" t="str">
        <f t="shared" si="235"/>
        <v>2QFY11</v>
      </c>
      <c r="K149" s="156" t="str">
        <f t="shared" si="235"/>
        <v>3QFY11</v>
      </c>
      <c r="L149" s="156" t="str">
        <f t="shared" si="235"/>
        <v>4QFY11</v>
      </c>
      <c r="M149" s="145" t="str">
        <f t="shared" si="235"/>
        <v>CY11</v>
      </c>
      <c r="N149" s="156" t="str">
        <f t="shared" si="235"/>
        <v>1QFY12</v>
      </c>
      <c r="O149" s="156" t="str">
        <f t="shared" si="235"/>
        <v>2QFY12</v>
      </c>
      <c r="P149" s="156" t="str">
        <f t="shared" si="235"/>
        <v>3QFY12</v>
      </c>
      <c r="Q149" s="156" t="str">
        <f t="shared" si="235"/>
        <v>4QFY12</v>
      </c>
      <c r="R149" s="145" t="str">
        <f t="shared" si="235"/>
        <v>CY12</v>
      </c>
      <c r="S149" s="156" t="str">
        <f t="shared" si="235"/>
        <v>1QFY13</v>
      </c>
      <c r="T149" s="156" t="str">
        <f t="shared" si="235"/>
        <v>2QFY13</v>
      </c>
      <c r="U149" s="156" t="str">
        <f t="shared" si="235"/>
        <v>3QFY13</v>
      </c>
      <c r="V149" s="156" t="str">
        <f t="shared" si="235"/>
        <v>4QFY13</v>
      </c>
      <c r="W149" s="145" t="str">
        <f t="shared" si="235"/>
        <v>CY13</v>
      </c>
      <c r="X149" s="156" t="str">
        <f t="shared" si="235"/>
        <v>1QFY14</v>
      </c>
      <c r="Y149" s="156" t="str">
        <f t="shared" si="235"/>
        <v>2QFY14</v>
      </c>
      <c r="Z149" s="156" t="str">
        <f t="shared" si="235"/>
        <v>3QFY14</v>
      </c>
      <c r="AA149" s="156" t="str">
        <f t="shared" si="235"/>
        <v>4QFY14</v>
      </c>
      <c r="AB149" s="145" t="str">
        <f t="shared" si="235"/>
        <v>CY14</v>
      </c>
      <c r="AC149" s="156" t="str">
        <f t="shared" si="235"/>
        <v>1QFY15</v>
      </c>
      <c r="AD149" s="156" t="str">
        <f t="shared" si="235"/>
        <v>2QFY15</v>
      </c>
      <c r="AE149" s="156" t="str">
        <f t="shared" si="235"/>
        <v>3QFY15</v>
      </c>
      <c r="AF149" s="156" t="str">
        <f t="shared" si="235"/>
        <v>4QFY15</v>
      </c>
      <c r="AG149" s="145" t="str">
        <f t="shared" si="235"/>
        <v>CY15</v>
      </c>
      <c r="AH149" s="156" t="str">
        <f t="shared" si="235"/>
        <v>1QFY16</v>
      </c>
      <c r="AI149" s="156" t="str">
        <f t="shared" si="235"/>
        <v>2QFY16</v>
      </c>
      <c r="AJ149" s="156" t="str">
        <f t="shared" si="235"/>
        <v>3QFY16</v>
      </c>
      <c r="AK149" s="145" t="str">
        <f t="shared" si="235"/>
        <v>FY16</v>
      </c>
      <c r="AL149" s="156" t="str">
        <f t="shared" si="235"/>
        <v>1QFY17</v>
      </c>
      <c r="AM149" s="156" t="str">
        <f t="shared" si="235"/>
        <v>2QFY17</v>
      </c>
      <c r="AN149" s="156" t="str">
        <f t="shared" si="235"/>
        <v>3QFY17</v>
      </c>
      <c r="AO149" s="156" t="str">
        <f t="shared" si="235"/>
        <v>4QFY17</v>
      </c>
      <c r="AP149" s="145" t="str">
        <f t="shared" si="235"/>
        <v>FY17</v>
      </c>
      <c r="AQ149" s="156" t="str">
        <f t="shared" si="235"/>
        <v>1QFY18</v>
      </c>
      <c r="AR149" s="156" t="str">
        <f t="shared" si="235"/>
        <v>2QFY18</v>
      </c>
      <c r="AS149" s="156" t="str">
        <f t="shared" si="235"/>
        <v>3QFY18</v>
      </c>
      <c r="AT149" s="156" t="str">
        <f t="shared" si="235"/>
        <v>4QFY18</v>
      </c>
      <c r="AU149" s="145" t="str">
        <f t="shared" si="235"/>
        <v>FY18</v>
      </c>
      <c r="AV149" s="148" t="str">
        <f t="shared" si="235"/>
        <v>1QFY19</v>
      </c>
      <c r="AW149" s="148" t="str">
        <f t="shared" si="235"/>
        <v>2QFY19</v>
      </c>
      <c r="AX149" s="148" t="str">
        <f t="shared" si="235"/>
        <v>3QFY19</v>
      </c>
      <c r="AY149" s="148" t="str">
        <f t="shared" si="235"/>
        <v>4QFY19</v>
      </c>
      <c r="AZ149" s="145" t="str">
        <f t="shared" si="235"/>
        <v>FY19</v>
      </c>
      <c r="BA149" s="148" t="str">
        <f t="shared" si="235"/>
        <v>1QFY20</v>
      </c>
      <c r="BB149" s="148" t="str">
        <f t="shared" si="235"/>
        <v>2QFY20</v>
      </c>
      <c r="BC149" s="148" t="str">
        <f t="shared" si="235"/>
        <v>3QFY20</v>
      </c>
      <c r="BD149" s="148" t="str">
        <f t="shared" si="235"/>
        <v>4QFY20</v>
      </c>
      <c r="BE149" s="145" t="str">
        <f t="shared" si="235"/>
        <v>FY20</v>
      </c>
      <c r="BF149" s="148" t="str">
        <f t="shared" si="235"/>
        <v>1QFY21</v>
      </c>
      <c r="BG149" s="148" t="str">
        <f t="shared" si="235"/>
        <v>2QFY21</v>
      </c>
      <c r="BH149" s="148" t="str">
        <f t="shared" si="235"/>
        <v>3QFY21</v>
      </c>
      <c r="BI149" s="148" t="str">
        <f t="shared" si="235"/>
        <v>4QFY21</v>
      </c>
      <c r="BJ149" s="145" t="str">
        <f t="shared" si="235"/>
        <v>FY21</v>
      </c>
      <c r="BK149" s="148" t="str">
        <f t="shared" si="235"/>
        <v>1QFY22</v>
      </c>
      <c r="BL149" s="148" t="str">
        <f t="shared" si="235"/>
        <v>2QFY22</v>
      </c>
      <c r="BM149" s="148" t="str">
        <f t="shared" si="235"/>
        <v>3QFY22</v>
      </c>
      <c r="BN149" s="148" t="str">
        <f t="shared" si="235"/>
        <v>4QFY22</v>
      </c>
      <c r="BO149" s="145" t="str">
        <f t="shared" si="235"/>
        <v>FY22</v>
      </c>
      <c r="BP149" s="148" t="str">
        <f t="shared" si="235"/>
        <v>1QFY23</v>
      </c>
      <c r="BQ149" s="148" t="str">
        <f t="shared" ref="BQ149:CN149" si="236">BQ140</f>
        <v>2QFY23</v>
      </c>
      <c r="BR149" s="148" t="str">
        <f t="shared" si="236"/>
        <v>3QFY23</v>
      </c>
      <c r="BS149" s="148" t="str">
        <f t="shared" si="236"/>
        <v>4QFY23</v>
      </c>
      <c r="BT149" s="145" t="str">
        <f t="shared" si="236"/>
        <v>FY23</v>
      </c>
      <c r="BU149" s="148" t="str">
        <f t="shared" si="236"/>
        <v>1QFY24</v>
      </c>
      <c r="BV149" s="148" t="str">
        <f t="shared" si="236"/>
        <v>2QFY24</v>
      </c>
      <c r="BW149" s="148" t="str">
        <f t="shared" si="236"/>
        <v>3QFY24</v>
      </c>
      <c r="BX149" s="148" t="str">
        <f t="shared" si="236"/>
        <v>4QFY24</v>
      </c>
      <c r="BY149" s="145" t="str">
        <f t="shared" si="236"/>
        <v>FY24</v>
      </c>
      <c r="BZ149" s="148" t="str">
        <f t="shared" si="236"/>
        <v>1QFY25</v>
      </c>
      <c r="CA149" s="148" t="str">
        <f t="shared" si="236"/>
        <v>2QFY25</v>
      </c>
      <c r="CB149" s="148" t="str">
        <f t="shared" si="236"/>
        <v>3QFY25</v>
      </c>
      <c r="CC149" s="148" t="str">
        <f t="shared" si="236"/>
        <v>4QFY25</v>
      </c>
      <c r="CD149" s="145" t="str">
        <f t="shared" si="236"/>
        <v>FY25</v>
      </c>
      <c r="CE149" s="148" t="str">
        <f t="shared" si="236"/>
        <v>1QFY26</v>
      </c>
      <c r="CF149" s="148" t="str">
        <f t="shared" si="236"/>
        <v>2QFY26</v>
      </c>
      <c r="CG149" s="148" t="str">
        <f t="shared" si="236"/>
        <v>3QFY26</v>
      </c>
      <c r="CH149" s="148" t="str">
        <f t="shared" si="236"/>
        <v>4QFY26</v>
      </c>
      <c r="CI149" s="145" t="str">
        <f t="shared" si="236"/>
        <v>FY26</v>
      </c>
      <c r="CJ149" s="145" t="str">
        <f t="shared" si="236"/>
        <v>FY27E</v>
      </c>
      <c r="CK149" s="145" t="str">
        <f t="shared" si="236"/>
        <v>FY28E</v>
      </c>
      <c r="CL149" s="145" t="str">
        <f t="shared" si="236"/>
        <v>FY29E</v>
      </c>
      <c r="CM149" s="145" t="str">
        <f t="shared" si="236"/>
        <v>FY30E</v>
      </c>
      <c r="CN149" s="145" t="str">
        <f t="shared" si="236"/>
        <v>FY31E</v>
      </c>
      <c r="CO149" s="148"/>
      <c r="CP149" s="148"/>
      <c r="CQ149" s="58"/>
      <c r="CR149" s="58"/>
      <c r="CS149" s="58"/>
      <c r="CT149" s="143"/>
      <c r="CU149" s="143"/>
      <c r="CV149" s="143"/>
      <c r="CW149" s="143"/>
      <c r="CX149" s="143"/>
      <c r="CY149" s="143"/>
      <c r="CZ149" s="143"/>
      <c r="DA149" s="143"/>
      <c r="DB149" s="143"/>
      <c r="DC149" s="143"/>
      <c r="DD149" s="143"/>
      <c r="DE149" s="143"/>
      <c r="DF149" s="143"/>
      <c r="DG149" s="143"/>
      <c r="DH149" s="143"/>
      <c r="DI149" s="143"/>
      <c r="DK149" s="143"/>
      <c r="DL149" s="143"/>
      <c r="DM149" s="58"/>
      <c r="DN149" s="143"/>
      <c r="DO149" s="143"/>
      <c r="DQ149" s="4"/>
      <c r="DR149" s="143"/>
      <c r="DS149" s="143"/>
      <c r="DT149" s="143"/>
      <c r="DV149" s="143"/>
      <c r="DW149" s="143"/>
      <c r="DX149" s="143"/>
      <c r="EA149" s="119"/>
      <c r="EB149" s="119"/>
      <c r="EC149" s="119"/>
      <c r="ED149" s="143"/>
      <c r="EE149" s="143"/>
      <c r="EF149" s="143"/>
      <c r="EJ149" s="119"/>
      <c r="EK149" s="119"/>
      <c r="EL149" s="143"/>
      <c r="EM149" s="143"/>
      <c r="EN149" s="143"/>
      <c r="EP149" s="119"/>
      <c r="EQ149" s="143"/>
      <c r="ER149" s="143"/>
      <c r="ES149" s="143"/>
      <c r="EV149" s="119"/>
      <c r="EW149" s="119"/>
      <c r="EX149" s="119"/>
      <c r="EY149" s="119"/>
      <c r="EZ149" s="143"/>
      <c r="FA149" s="143"/>
      <c r="FD149" s="119"/>
      <c r="FE149" s="119"/>
      <c r="FF149" s="119"/>
      <c r="FG149" s="143"/>
      <c r="FH149" s="143"/>
      <c r="FK149" s="143"/>
      <c r="FL149" s="143"/>
      <c r="FO149" s="119"/>
      <c r="FP149" s="119"/>
      <c r="FQ149" s="143"/>
      <c r="FR149" s="143"/>
      <c r="FU149" s="119"/>
      <c r="FV149" s="143"/>
      <c r="FW149" s="143"/>
      <c r="FX149" s="143"/>
      <c r="FY149" s="143"/>
      <c r="GA149" s="143"/>
      <c r="GB149" s="143"/>
      <c r="GC149" s="143"/>
      <c r="GF149" s="119"/>
      <c r="GG149" s="119"/>
      <c r="GH149" s="119"/>
      <c r="GI149" s="143"/>
      <c r="GJ149" s="143"/>
      <c r="GK149" s="143"/>
      <c r="GN149" s="119"/>
      <c r="GO149" s="119"/>
      <c r="GP149" s="143"/>
      <c r="GQ149" s="143"/>
      <c r="GR149" s="143"/>
      <c r="GV149" s="119"/>
      <c r="GW149" s="143"/>
      <c r="GX149" s="143"/>
      <c r="GY149" s="143"/>
      <c r="HC149" s="143"/>
      <c r="HD149" s="143"/>
      <c r="HE149" s="143"/>
      <c r="HF149" s="143"/>
      <c r="HI149" s="119"/>
      <c r="HJ149" s="119"/>
      <c r="HK149" s="119"/>
      <c r="HL149" s="119"/>
      <c r="HM149" s="143"/>
      <c r="HN149" s="143"/>
      <c r="HO149" s="143"/>
      <c r="HR149" s="119"/>
      <c r="HS149" s="119"/>
      <c r="HT149" s="119"/>
      <c r="HU149" s="143"/>
      <c r="HV149" s="143"/>
      <c r="HW149" s="143"/>
      <c r="HZ149" s="119"/>
      <c r="IA149" s="143"/>
      <c r="IB149" s="143"/>
      <c r="IC149" s="143"/>
      <c r="IE149" s="119"/>
      <c r="IF149" s="143"/>
      <c r="IG149" s="143"/>
      <c r="IH149" s="143"/>
      <c r="IK149" s="143"/>
      <c r="IL149" s="143"/>
      <c r="IO149" s="143"/>
      <c r="IP149" s="143"/>
      <c r="IS149" s="157"/>
      <c r="IT149" s="157"/>
      <c r="IU149" s="157"/>
      <c r="IX149" s="143" t="s">
        <v>106</v>
      </c>
      <c r="IY149" s="143"/>
      <c r="IZ149" s="143"/>
      <c r="JA149" s="143"/>
      <c r="JD149" s="143"/>
      <c r="JE149" s="143"/>
      <c r="JH149" s="143"/>
      <c r="JI149" s="143"/>
      <c r="JJ149" s="143"/>
      <c r="JM149" s="143"/>
      <c r="JN149" s="143"/>
      <c r="JQ149" s="143"/>
      <c r="JR149" s="143"/>
      <c r="JS149" s="143"/>
      <c r="JV149" s="143"/>
      <c r="JW149" s="143"/>
      <c r="JY149" s="143"/>
      <c r="JZ149" s="143"/>
      <c r="KB149" s="143"/>
      <c r="KC149" s="143"/>
      <c r="KD149" s="143"/>
    </row>
    <row r="150" spans="2:290" hidden="1" x14ac:dyDescent="0.25">
      <c r="B150" s="6" t="s">
        <v>233</v>
      </c>
      <c r="C150" s="136"/>
      <c r="D150" s="136"/>
      <c r="E150" s="136"/>
      <c r="F150" s="136"/>
      <c r="G150" s="136"/>
      <c r="H150" s="132"/>
      <c r="I150" s="158"/>
      <c r="J150" s="158"/>
      <c r="K150" s="158"/>
      <c r="L150" s="158"/>
      <c r="M150" s="132"/>
      <c r="N150" s="158"/>
      <c r="O150" s="158"/>
      <c r="P150" s="158"/>
      <c r="Q150" s="158"/>
      <c r="R150" s="132"/>
      <c r="S150" s="158"/>
      <c r="T150" s="158"/>
      <c r="U150" s="158"/>
      <c r="V150" s="158"/>
      <c r="W150" s="132"/>
      <c r="X150" s="158"/>
      <c r="Y150" s="158"/>
      <c r="Z150" s="158"/>
      <c r="AA150" s="158"/>
      <c r="AB150" s="161">
        <v>0.21821407451212305</v>
      </c>
      <c r="AC150" s="162">
        <v>-4.1525885558583164E-2</v>
      </c>
      <c r="AD150" s="162">
        <v>7.6586433260393827E-2</v>
      </c>
      <c r="AE150" s="162">
        <v>4.7970479704797064E-2</v>
      </c>
      <c r="AF150" s="162">
        <v>1.1527377521613813E-2</v>
      </c>
      <c r="AG150" s="161">
        <v>2.6097087378640804E-2</v>
      </c>
      <c r="AH150" s="162">
        <v>0.14134637252672277</v>
      </c>
      <c r="AI150" s="162">
        <v>0</v>
      </c>
      <c r="AJ150" s="162">
        <v>0.25323943661971859</v>
      </c>
      <c r="AK150" s="161"/>
      <c r="AL150" s="162"/>
      <c r="AM150" s="162"/>
      <c r="AN150" s="162"/>
      <c r="AO150" s="162"/>
      <c r="AP150" s="161"/>
      <c r="AQ150" s="162">
        <f>(AQ141/AL141-1)</f>
        <v>-0.13887737657358967</v>
      </c>
      <c r="AR150" s="162">
        <f>(AR141/AM141-1)</f>
        <v>0.17335706008938923</v>
      </c>
      <c r="AS150" s="162">
        <f>(AS141/AN141-1)</f>
        <v>0.1861073538833915</v>
      </c>
      <c r="AT150" s="162">
        <f t="shared" ref="AT150:CI156" si="237">(AT141/AO141-1)</f>
        <v>1.2460602506779939E-2</v>
      </c>
      <c r="AU150" s="161">
        <f t="shared" si="237"/>
        <v>0.10545921800390756</v>
      </c>
      <c r="AV150" s="74">
        <f t="shared" si="237"/>
        <v>0.12349411180796821</v>
      </c>
      <c r="AW150" s="74">
        <f t="shared" si="237"/>
        <v>0.19952033294536742</v>
      </c>
      <c r="AX150" s="74">
        <f t="shared" si="237"/>
        <v>0.19996999024683015</v>
      </c>
      <c r="AY150" s="74">
        <f t="shared" si="237"/>
        <v>0.1351021984121239</v>
      </c>
      <c r="AZ150" s="161">
        <f t="shared" si="237"/>
        <v>0.16346862521496486</v>
      </c>
      <c r="BA150" s="74">
        <f t="shared" si="237"/>
        <v>0.20208835341365461</v>
      </c>
      <c r="BB150" s="74">
        <f t="shared" si="237"/>
        <v>0.19306086445163184</v>
      </c>
      <c r="BC150" s="74">
        <f t="shared" si="237"/>
        <v>-1.6880908317911114E-3</v>
      </c>
      <c r="BD150" s="74">
        <f t="shared" si="237"/>
        <v>-3.9649216051023117E-3</v>
      </c>
      <c r="BE150" s="161">
        <f t="shared" si="237"/>
        <v>8.5682319571383614E-2</v>
      </c>
      <c r="BF150" s="74">
        <f t="shared" si="237"/>
        <v>-0.14852554679495744</v>
      </c>
      <c r="BG150" s="74">
        <f t="shared" si="237"/>
        <v>4.4028489747634181E-2</v>
      </c>
      <c r="BH150" s="74">
        <f t="shared" si="237"/>
        <v>0.42790936533186374</v>
      </c>
      <c r="BI150" s="74">
        <f t="shared" si="237"/>
        <v>0.43726921517150119</v>
      </c>
      <c r="BJ150" s="161">
        <f t="shared" si="237"/>
        <v>0.18982428945069052</v>
      </c>
      <c r="BK150" s="74">
        <f t="shared" si="237"/>
        <v>8.6922402856432823E-2</v>
      </c>
      <c r="BL150" s="74">
        <f t="shared" si="237"/>
        <v>0.49575686043080558</v>
      </c>
      <c r="BM150" s="74">
        <f t="shared" si="237"/>
        <v>7.0175438596491446E-3</v>
      </c>
      <c r="BN150" s="74">
        <f t="shared" si="237"/>
        <v>0.33635047336179702</v>
      </c>
      <c r="BO150" s="161">
        <f t="shared" si="237"/>
        <v>0.23109259074019395</v>
      </c>
      <c r="BP150" s="74">
        <f t="shared" si="237"/>
        <v>0.76083268154743999</v>
      </c>
      <c r="BQ150" s="74">
        <f t="shared" si="237"/>
        <v>2.164478252635571E-2</v>
      </c>
      <c r="BR150" s="74">
        <f t="shared" si="237"/>
        <v>0.3141811846689897</v>
      </c>
      <c r="BS150" s="74">
        <f t="shared" si="237"/>
        <v>-1.6074633417234807E-2</v>
      </c>
      <c r="BT150" s="161">
        <f t="shared" si="237"/>
        <v>0.19650058759529854</v>
      </c>
      <c r="BU150" s="74">
        <f t="shared" si="237"/>
        <v>0.11123183949048077</v>
      </c>
      <c r="BV150" s="74">
        <f t="shared" si="237"/>
        <v>0.16572823257717939</v>
      </c>
      <c r="BW150" s="74">
        <f t="shared" si="237"/>
        <v>8.9462311424556518E-2</v>
      </c>
      <c r="BX150" s="74">
        <f t="shared" si="237"/>
        <v>0.21556923424440955</v>
      </c>
      <c r="BY150" s="161">
        <f t="shared" si="237"/>
        <v>0.14808042361694262</v>
      </c>
      <c r="BZ150" s="74">
        <f t="shared" si="237"/>
        <v>0.14283166575446926</v>
      </c>
      <c r="CA150" s="74">
        <f t="shared" si="237"/>
        <v>-4.7274196968090654E-2</v>
      </c>
      <c r="CB150" s="74">
        <f t="shared" si="237"/>
        <v>1.2946795242296139E-2</v>
      </c>
      <c r="CC150" s="74">
        <f t="shared" si="237"/>
        <v>-3.6482650648306914E-2</v>
      </c>
      <c r="CD150" s="161">
        <f t="shared" si="237"/>
        <v>1.4921583421937612E-2</v>
      </c>
      <c r="CE150" s="74">
        <f t="shared" si="237"/>
        <v>-3.5547280681457405E-2</v>
      </c>
      <c r="CF150" s="74">
        <f t="shared" si="237"/>
        <v>0.11416411090943224</v>
      </c>
      <c r="CG150" s="74">
        <f t="shared" si="237"/>
        <v>9.4940928447442285E-2</v>
      </c>
      <c r="CH150" s="74">
        <f t="shared" si="237"/>
        <v>0.2334908389585344</v>
      </c>
      <c r="CI150" s="161">
        <f t="shared" si="237"/>
        <v>0.10531058990760478</v>
      </c>
      <c r="CJ150" s="161">
        <f>(CJ141/CI141-1)</f>
        <v>0.14000000000000012</v>
      </c>
      <c r="CK150" s="161">
        <f t="shared" ref="CK150:CN156" si="238">(CK141/CJ141-1)</f>
        <v>0.16000000000000014</v>
      </c>
      <c r="CL150" s="161"/>
      <c r="CM150" s="161"/>
      <c r="CN150" s="161"/>
      <c r="CO150" s="74"/>
      <c r="CP150" s="74"/>
      <c r="CQ150" s="6"/>
      <c r="CR150" s="6"/>
      <c r="CS150" s="6"/>
      <c r="CT150" s="124"/>
      <c r="CU150" s="124"/>
      <c r="CV150" s="124"/>
      <c r="CW150" s="124"/>
      <c r="CX150" s="124"/>
      <c r="CY150" s="124"/>
      <c r="CZ150" s="124"/>
      <c r="DA150" s="124"/>
      <c r="DB150" s="124"/>
      <c r="DC150" s="124"/>
      <c r="DD150" s="124"/>
      <c r="DE150" s="124"/>
      <c r="DF150" s="124"/>
      <c r="DG150" s="124"/>
      <c r="DH150" s="124"/>
      <c r="DI150" s="124"/>
      <c r="DK150" s="124"/>
      <c r="DL150" s="124"/>
      <c r="DM150" s="6"/>
      <c r="DN150" s="124"/>
      <c r="DO150" s="124"/>
      <c r="DQ150" s="136"/>
      <c r="DR150" s="124"/>
      <c r="DS150" s="124"/>
      <c r="DT150" s="124"/>
      <c r="DV150" s="124"/>
      <c r="DW150" s="124"/>
      <c r="DX150" s="124"/>
      <c r="EA150" s="111"/>
      <c r="EB150" s="111"/>
      <c r="EC150" s="111"/>
      <c r="ED150" s="124"/>
      <c r="EE150" s="124"/>
      <c r="EF150" s="124"/>
      <c r="EJ150" s="111"/>
      <c r="EK150" s="111"/>
      <c r="EL150" s="124"/>
      <c r="EM150" s="124"/>
      <c r="EN150" s="124"/>
      <c r="EP150" s="111"/>
      <c r="EQ150" s="124"/>
      <c r="ER150" s="124"/>
      <c r="ES150" s="124"/>
      <c r="EV150" s="111"/>
      <c r="EW150" s="111"/>
      <c r="EX150" s="111"/>
      <c r="EY150" s="111"/>
      <c r="EZ150" s="124"/>
      <c r="FA150" s="124"/>
      <c r="FD150" s="111"/>
      <c r="FE150" s="111"/>
      <c r="FF150" s="111"/>
      <c r="FG150" s="124"/>
      <c r="FH150" s="124"/>
      <c r="FK150" s="124"/>
      <c r="FL150" s="124"/>
      <c r="FO150" s="111"/>
      <c r="FP150" s="111"/>
      <c r="FQ150" s="124"/>
      <c r="FR150" s="124"/>
      <c r="FU150" s="111"/>
      <c r="FV150" s="124"/>
      <c r="FW150" s="124"/>
      <c r="FX150" s="124"/>
      <c r="FY150" s="124"/>
      <c r="GA150" s="124"/>
      <c r="GB150" s="124"/>
      <c r="GC150" s="124"/>
      <c r="GF150" s="111"/>
      <c r="GG150" s="111"/>
      <c r="GH150" s="111"/>
      <c r="GI150" s="124"/>
      <c r="GJ150" s="124"/>
      <c r="GK150" s="124"/>
      <c r="GN150" s="111"/>
      <c r="GO150" s="111"/>
      <c r="GP150" s="124"/>
      <c r="GQ150" s="124"/>
      <c r="GR150" s="124"/>
      <c r="GV150" s="111"/>
      <c r="GW150" s="124"/>
      <c r="GX150" s="124"/>
      <c r="GY150" s="124"/>
      <c r="HC150" s="124"/>
      <c r="HD150" s="124"/>
      <c r="HE150" s="124"/>
      <c r="HF150" s="124"/>
      <c r="HI150" s="111"/>
      <c r="HJ150" s="111"/>
      <c r="HK150" s="111"/>
      <c r="HL150" s="111"/>
      <c r="HM150" s="124"/>
      <c r="HN150" s="124"/>
      <c r="HO150" s="124"/>
      <c r="HR150" s="111"/>
      <c r="HS150" s="111"/>
      <c r="HT150" s="111"/>
      <c r="HU150" s="124"/>
      <c r="HV150" s="124"/>
      <c r="HW150" s="124"/>
      <c r="HZ150" s="111"/>
      <c r="IA150" s="124"/>
      <c r="IB150" s="124"/>
      <c r="IC150" s="124"/>
      <c r="IE150" s="111"/>
      <c r="IF150" s="124"/>
      <c r="IG150" s="124"/>
      <c r="IH150" s="124"/>
      <c r="IK150" s="124"/>
      <c r="IL150" s="124"/>
      <c r="IO150" s="124"/>
      <c r="IP150" s="124"/>
      <c r="IS150" s="160"/>
      <c r="IT150" s="160"/>
      <c r="IU150" s="160"/>
      <c r="IX150" s="124"/>
      <c r="IY150" s="124"/>
      <c r="IZ150" s="124"/>
      <c r="JA150" s="124"/>
      <c r="JD150" s="124"/>
      <c r="JE150" s="124"/>
      <c r="JH150" s="124"/>
      <c r="JI150" s="124"/>
      <c r="JJ150" s="124"/>
      <c r="JM150" s="124"/>
      <c r="JN150" s="124"/>
      <c r="JQ150" s="124"/>
      <c r="JR150" s="124"/>
      <c r="JS150" s="124"/>
      <c r="JV150" s="124"/>
      <c r="JW150" s="124"/>
      <c r="JY150" s="124"/>
      <c r="JZ150" s="124"/>
      <c r="KB150" s="124"/>
      <c r="KC150" s="124"/>
      <c r="KD150" s="124"/>
    </row>
    <row r="151" spans="2:290" hidden="1" x14ac:dyDescent="0.25">
      <c r="B151" s="6" t="s">
        <v>224</v>
      </c>
      <c r="C151" s="136"/>
      <c r="D151" s="136"/>
      <c r="E151" s="136"/>
      <c r="F151" s="136"/>
      <c r="G151" s="136"/>
      <c r="H151" s="132"/>
      <c r="I151" s="158"/>
      <c r="J151" s="158"/>
      <c r="K151" s="158"/>
      <c r="L151" s="158"/>
      <c r="M151" s="132"/>
      <c r="N151" s="158"/>
      <c r="O151" s="158"/>
      <c r="P151" s="158"/>
      <c r="Q151" s="158"/>
      <c r="R151" s="132"/>
      <c r="S151" s="158"/>
      <c r="T151" s="158"/>
      <c r="U151" s="158"/>
      <c r="V151" s="158"/>
      <c r="W151" s="132"/>
      <c r="X151" s="158"/>
      <c r="Y151" s="158"/>
      <c r="Z151" s="158"/>
      <c r="AA151" s="158"/>
      <c r="AB151" s="161">
        <v>-1.0717230008243983E-2</v>
      </c>
      <c r="AC151" s="162">
        <v>0.18477611940298511</v>
      </c>
      <c r="AD151" s="162">
        <v>0.17910447761194037</v>
      </c>
      <c r="AE151" s="162">
        <v>5.9880239520958112E-2</v>
      </c>
      <c r="AF151" s="162">
        <v>-6.6666666666666652E-2</v>
      </c>
      <c r="AG151" s="161">
        <v>7.9599999999999893E-2</v>
      </c>
      <c r="AH151" s="162">
        <v>-0.11577223481985388</v>
      </c>
      <c r="AI151" s="162">
        <v>-0.20886075949367089</v>
      </c>
      <c r="AJ151" s="162">
        <v>-0.15096045197740093</v>
      </c>
      <c r="AK151" s="161"/>
      <c r="AL151" s="162"/>
      <c r="AM151" s="162"/>
      <c r="AN151" s="162"/>
      <c r="AO151" s="162"/>
      <c r="AP151" s="161"/>
      <c r="AQ151" s="162">
        <f t="shared" ref="AQ151:AS156" si="239">(AQ142/AL142-1)</f>
        <v>-3.8657407407407418E-2</v>
      </c>
      <c r="AR151" s="162">
        <f t="shared" si="239"/>
        <v>0.17505234439439099</v>
      </c>
      <c r="AS151" s="162">
        <f t="shared" si="239"/>
        <v>0.2861528194861529</v>
      </c>
      <c r="AT151" s="162">
        <f t="shared" si="237"/>
        <v>0.36189360455828323</v>
      </c>
      <c r="AU151" s="161">
        <f t="shared" si="237"/>
        <v>0.2816030253016486</v>
      </c>
      <c r="AV151" s="74">
        <f t="shared" si="237"/>
        <v>0.37250180592342885</v>
      </c>
      <c r="AW151" s="74">
        <f t="shared" si="237"/>
        <v>0.37375809935205195</v>
      </c>
      <c r="AX151" s="74">
        <f t="shared" si="237"/>
        <v>3.2376900326882119E-2</v>
      </c>
      <c r="AY151" s="74">
        <f t="shared" si="237"/>
        <v>-0.21642228739002933</v>
      </c>
      <c r="AZ151" s="161">
        <f t="shared" si="237"/>
        <v>0.10651279678923742</v>
      </c>
      <c r="BA151" s="74">
        <f t="shared" si="237"/>
        <v>-0.17429824561403517</v>
      </c>
      <c r="BB151" s="74">
        <f t="shared" si="237"/>
        <v>-0.33535099441867777</v>
      </c>
      <c r="BC151" s="74">
        <f t="shared" si="237"/>
        <v>-0.21314771071015726</v>
      </c>
      <c r="BD151" s="74">
        <f t="shared" si="237"/>
        <v>-0.20523952095808384</v>
      </c>
      <c r="BE151" s="161">
        <f t="shared" si="237"/>
        <v>-0.23933333333333329</v>
      </c>
      <c r="BF151" s="74">
        <f t="shared" si="237"/>
        <v>-0.62562413683204077</v>
      </c>
      <c r="BG151" s="74">
        <f t="shared" si="237"/>
        <v>7.3033707865168607E-2</v>
      </c>
      <c r="BH151" s="74">
        <f t="shared" si="237"/>
        <v>0.37966274910577402</v>
      </c>
      <c r="BI151" s="74">
        <f t="shared" si="237"/>
        <v>0.84020845105795172</v>
      </c>
      <c r="BJ151" s="161">
        <f t="shared" si="237"/>
        <v>0.13061691350138882</v>
      </c>
      <c r="BK151" s="74">
        <f t="shared" si="237"/>
        <v>1.8223609534619749</v>
      </c>
      <c r="BL151" s="74">
        <f t="shared" si="237"/>
        <v>0.39404794709286306</v>
      </c>
      <c r="BM151" s="74">
        <f t="shared" si="237"/>
        <v>0.2592592592592593</v>
      </c>
      <c r="BN151" s="74">
        <f t="shared" si="237"/>
        <v>2.4531713808045197E-2</v>
      </c>
      <c r="BO151" s="161">
        <f t="shared" si="237"/>
        <v>0.34495217574101322</v>
      </c>
      <c r="BP151" s="74">
        <f t="shared" si="237"/>
        <v>0.51950532877538724</v>
      </c>
      <c r="BQ151" s="74">
        <f t="shared" si="237"/>
        <v>0.32381893654872518</v>
      </c>
      <c r="BR151" s="74">
        <f t="shared" si="237"/>
        <v>0.2347058823529411</v>
      </c>
      <c r="BS151" s="74">
        <f t="shared" si="237"/>
        <v>0.22775409617690179</v>
      </c>
      <c r="BT151" s="161">
        <f t="shared" si="237"/>
        <v>0.31060791075248884</v>
      </c>
      <c r="BU151" s="74">
        <f t="shared" si="237"/>
        <v>-1.2439621517898458E-2</v>
      </c>
      <c r="BV151" s="74">
        <f t="shared" si="237"/>
        <v>-2.702621991279941E-2</v>
      </c>
      <c r="BW151" s="74">
        <f t="shared" si="237"/>
        <v>-1.1582896617436833E-2</v>
      </c>
      <c r="BX151" s="74">
        <f t="shared" si="237"/>
        <v>-4.6410068625057699E-2</v>
      </c>
      <c r="BY151" s="161">
        <f t="shared" si="237"/>
        <v>-2.520068871447434E-2</v>
      </c>
      <c r="BZ151" s="74">
        <f t="shared" si="237"/>
        <v>2.6398659966499149E-2</v>
      </c>
      <c r="CA151" s="74">
        <f t="shared" si="237"/>
        <v>5.3712286301832446E-3</v>
      </c>
      <c r="CB151" s="74">
        <f t="shared" si="237"/>
        <v>1.2351257719536157E-3</v>
      </c>
      <c r="CC151" s="74">
        <f t="shared" si="237"/>
        <v>-1.5815223574923154E-2</v>
      </c>
      <c r="CD151" s="161">
        <f t="shared" si="237"/>
        <v>3.1961584927588937E-3</v>
      </c>
      <c r="CE151" s="74">
        <f t="shared" si="237"/>
        <v>-1.5634179776747859E-2</v>
      </c>
      <c r="CF151" s="74">
        <f t="shared" si="237"/>
        <v>-0.13737941140554399</v>
      </c>
      <c r="CG151" s="74">
        <f t="shared" si="237"/>
        <v>1.0951979780960297E-2</v>
      </c>
      <c r="CH151" s="74">
        <f t="shared" si="237"/>
        <v>3.6156069364161825E-2</v>
      </c>
      <c r="CI151" s="161">
        <f t="shared" si="237"/>
        <v>-2.5777439024390225E-2</v>
      </c>
      <c r="CJ151" s="161">
        <f t="shared" ref="CJ151:CJ156" si="240">(CJ142/CI142-1)</f>
        <v>-1.0886899193727984E-2</v>
      </c>
      <c r="CK151" s="161">
        <f t="shared" si="238"/>
        <v>9.9999999999999867E-2</v>
      </c>
      <c r="CL151" s="161"/>
      <c r="CM151" s="161"/>
      <c r="CN151" s="161"/>
      <c r="CO151" s="74"/>
      <c r="CP151" s="74"/>
      <c r="CQ151" s="6"/>
      <c r="CR151" s="6"/>
      <c r="CS151" s="6"/>
      <c r="CT151" s="124"/>
      <c r="CU151" s="124"/>
      <c r="CV151" s="124"/>
      <c r="CW151" s="124"/>
      <c r="CX151" s="124"/>
      <c r="CY151" s="124"/>
      <c r="CZ151" s="124"/>
      <c r="DA151" s="124"/>
      <c r="DB151" s="124"/>
      <c r="DC151" s="124"/>
      <c r="DD151" s="124"/>
      <c r="DE151" s="124"/>
      <c r="DF151" s="124"/>
      <c r="DG151" s="124"/>
      <c r="DH151" s="124"/>
      <c r="DI151" s="124"/>
      <c r="DK151" s="124"/>
      <c r="DL151" s="124"/>
      <c r="DM151" s="6"/>
      <c r="DN151" s="124"/>
      <c r="DO151" s="124"/>
      <c r="DQ151" s="136"/>
      <c r="DR151" s="124"/>
      <c r="DS151" s="124"/>
      <c r="DT151" s="124"/>
      <c r="DV151" s="124"/>
      <c r="DW151" s="124"/>
      <c r="DX151" s="124"/>
      <c r="EA151" s="111"/>
      <c r="EB151" s="111"/>
      <c r="EC151" s="111"/>
      <c r="ED151" s="124"/>
      <c r="EE151" s="124"/>
      <c r="EF151" s="124"/>
      <c r="EJ151" s="111"/>
      <c r="EK151" s="111"/>
      <c r="EL151" s="124"/>
      <c r="EM151" s="124"/>
      <c r="EN151" s="124"/>
      <c r="EP151" s="111"/>
      <c r="EQ151" s="124"/>
      <c r="ER151" s="124"/>
      <c r="ES151" s="124"/>
      <c r="EV151" s="111"/>
      <c r="EW151" s="111"/>
      <c r="EX151" s="111"/>
      <c r="EY151" s="111"/>
      <c r="EZ151" s="124"/>
      <c r="FA151" s="124"/>
      <c r="FD151" s="111"/>
      <c r="FE151" s="111"/>
      <c r="FF151" s="111"/>
      <c r="FG151" s="124"/>
      <c r="FH151" s="124"/>
      <c r="FK151" s="124"/>
      <c r="FL151" s="124"/>
      <c r="FO151" s="111"/>
      <c r="FP151" s="111"/>
      <c r="FQ151" s="124"/>
      <c r="FR151" s="124"/>
      <c r="FU151" s="111"/>
      <c r="FV151" s="124"/>
      <c r="FW151" s="124"/>
      <c r="FX151" s="124"/>
      <c r="FY151" s="124"/>
      <c r="GA151" s="124"/>
      <c r="GB151" s="124"/>
      <c r="GC151" s="124"/>
      <c r="GF151" s="111"/>
      <c r="GG151" s="111"/>
      <c r="GH151" s="111"/>
      <c r="GI151" s="124"/>
      <c r="GJ151" s="124"/>
      <c r="GK151" s="124"/>
      <c r="GN151" s="111"/>
      <c r="GO151" s="111"/>
      <c r="GP151" s="124"/>
      <c r="GQ151" s="124"/>
      <c r="GR151" s="124"/>
      <c r="GV151" s="111"/>
      <c r="GW151" s="124"/>
      <c r="GX151" s="124"/>
      <c r="GY151" s="124"/>
      <c r="HC151" s="124"/>
      <c r="HD151" s="124"/>
      <c r="HE151" s="124"/>
      <c r="HF151" s="124"/>
      <c r="HI151" s="111"/>
      <c r="HJ151" s="111"/>
      <c r="HK151" s="111"/>
      <c r="HL151" s="111"/>
      <c r="HM151" s="124"/>
      <c r="HN151" s="124"/>
      <c r="HO151" s="124"/>
      <c r="HR151" s="111"/>
      <c r="HS151" s="111"/>
      <c r="HT151" s="111"/>
      <c r="HU151" s="124"/>
      <c r="HV151" s="124"/>
      <c r="HW151" s="124"/>
      <c r="HZ151" s="111"/>
      <c r="IA151" s="124"/>
      <c r="IB151" s="124"/>
      <c r="IC151" s="124"/>
      <c r="IE151" s="111"/>
      <c r="IF151" s="124"/>
      <c r="IG151" s="124"/>
      <c r="IH151" s="124"/>
      <c r="IK151" s="124"/>
      <c r="IL151" s="124"/>
      <c r="IO151" s="124"/>
      <c r="IP151" s="124"/>
      <c r="IS151" s="160"/>
      <c r="IT151" s="160"/>
      <c r="IU151" s="160"/>
      <c r="IX151" s="124"/>
      <c r="IY151" s="124"/>
      <c r="IZ151" s="124"/>
      <c r="JA151" s="124"/>
      <c r="JD151" s="124"/>
      <c r="JE151" s="124"/>
      <c r="JH151" s="124"/>
      <c r="JI151" s="124"/>
      <c r="JJ151" s="124"/>
      <c r="JM151" s="124"/>
      <c r="JN151" s="124"/>
      <c r="JQ151" s="124"/>
      <c r="JR151" s="124"/>
      <c r="JS151" s="124"/>
      <c r="JV151" s="124"/>
      <c r="JW151" s="124"/>
      <c r="JY151" s="124"/>
      <c r="JZ151" s="124"/>
      <c r="KB151" s="124"/>
      <c r="KC151" s="124"/>
      <c r="KD151" s="124"/>
    </row>
    <row r="152" spans="2:290" hidden="1" x14ac:dyDescent="0.25">
      <c r="B152" s="6" t="s">
        <v>223</v>
      </c>
      <c r="C152" s="136"/>
      <c r="D152" s="136"/>
      <c r="E152" s="136"/>
      <c r="F152" s="136"/>
      <c r="G152" s="136"/>
      <c r="H152" s="132"/>
      <c r="I152" s="158"/>
      <c r="J152" s="158"/>
      <c r="K152" s="158"/>
      <c r="L152" s="158"/>
      <c r="M152" s="132"/>
      <c r="N152" s="158"/>
      <c r="O152" s="158"/>
      <c r="P152" s="158"/>
      <c r="Q152" s="158"/>
      <c r="R152" s="132"/>
      <c r="S152" s="158"/>
      <c r="T152" s="158"/>
      <c r="U152" s="158"/>
      <c r="V152" s="158"/>
      <c r="W152" s="132"/>
      <c r="X152" s="158"/>
      <c r="Y152" s="158"/>
      <c r="Z152" s="158"/>
      <c r="AA152" s="158"/>
      <c r="AB152" s="161">
        <v>0.15714285714285725</v>
      </c>
      <c r="AC152" s="162">
        <v>0.23542635658914723</v>
      </c>
      <c r="AD152" s="162">
        <v>8.5365853658536661E-2</v>
      </c>
      <c r="AE152" s="162">
        <v>0.10714285714285721</v>
      </c>
      <c r="AF152" s="162">
        <v>0.12552301255230125</v>
      </c>
      <c r="AG152" s="161">
        <v>0.12638271604938267</v>
      </c>
      <c r="AH152" s="162">
        <v>-5.5844889251428498E-3</v>
      </c>
      <c r="AI152" s="162">
        <v>0.13483146067415741</v>
      </c>
      <c r="AJ152" s="162">
        <v>1.9493087557603817E-2</v>
      </c>
      <c r="AK152" s="161"/>
      <c r="AL152" s="162"/>
      <c r="AM152" s="162"/>
      <c r="AN152" s="162"/>
      <c r="AO152" s="162"/>
      <c r="AP152" s="161"/>
      <c r="AQ152" s="162">
        <f t="shared" si="239"/>
        <v>-0.15213205932686824</v>
      </c>
      <c r="AR152" s="162">
        <f t="shared" si="239"/>
        <v>0.32217444717444699</v>
      </c>
      <c r="AS152" s="162">
        <f t="shared" si="239"/>
        <v>2.7689236614185875E-2</v>
      </c>
      <c r="AT152" s="162">
        <f t="shared" si="237"/>
        <v>-0.13667098763269458</v>
      </c>
      <c r="AU152" s="161">
        <f t="shared" si="237"/>
        <v>3.9051831318916541E-2</v>
      </c>
      <c r="AV152" s="74">
        <f t="shared" si="237"/>
        <v>9.3309785122576816E-2</v>
      </c>
      <c r="AW152" s="74">
        <f t="shared" si="237"/>
        <v>-3.5261324041811815E-2</v>
      </c>
      <c r="AX152" s="74">
        <f t="shared" si="237"/>
        <v>-3.8347066010839925E-2</v>
      </c>
      <c r="AY152" s="74">
        <f t="shared" si="237"/>
        <v>8.5301517733950227E-2</v>
      </c>
      <c r="AZ152" s="161">
        <f t="shared" si="237"/>
        <v>2.1989446634888887E-2</v>
      </c>
      <c r="BA152" s="74">
        <f t="shared" si="237"/>
        <v>-5.7269230769230739E-2</v>
      </c>
      <c r="BB152" s="74">
        <f t="shared" si="237"/>
        <v>-4.6759125493595288E-2</v>
      </c>
      <c r="BC152" s="74">
        <f t="shared" si="237"/>
        <v>5.47320410490304E-3</v>
      </c>
      <c r="BD152" s="74">
        <f t="shared" si="237"/>
        <v>-0.22382590487585996</v>
      </c>
      <c r="BE152" s="161">
        <f t="shared" si="237"/>
        <v>-7.9395393474088194E-2</v>
      </c>
      <c r="BF152" s="74">
        <f t="shared" si="237"/>
        <v>-0.23475174411488731</v>
      </c>
      <c r="BG152" s="74">
        <f t="shared" si="237"/>
        <v>0.11058348067693879</v>
      </c>
      <c r="BH152" s="74">
        <f t="shared" si="237"/>
        <v>3.0359977967145069E-2</v>
      </c>
      <c r="BI152" s="74">
        <f t="shared" si="237"/>
        <v>0.49209943154446467</v>
      </c>
      <c r="BJ152" s="161">
        <f t="shared" si="237"/>
        <v>7.9007995663368913E-2</v>
      </c>
      <c r="BK152" s="74">
        <f t="shared" si="237"/>
        <v>0.30154075811696979</v>
      </c>
      <c r="BL152" s="74">
        <f t="shared" si="237"/>
        <v>0.26128093158660826</v>
      </c>
      <c r="BM152" s="74">
        <f t="shared" si="237"/>
        <v>0.16352201257861632</v>
      </c>
      <c r="BN152" s="74">
        <f t="shared" si="237"/>
        <v>2.9832434701191346E-2</v>
      </c>
      <c r="BO152" s="161">
        <f t="shared" si="237"/>
        <v>0.16912063068807592</v>
      </c>
      <c r="BP152" s="74">
        <f t="shared" si="237"/>
        <v>0.33670585343874171</v>
      </c>
      <c r="BQ152" s="74">
        <f t="shared" si="237"/>
        <v>0.18227062896710922</v>
      </c>
      <c r="BR152" s="74">
        <f t="shared" si="237"/>
        <v>-7.5918918918918887E-2</v>
      </c>
      <c r="BS152" s="74">
        <f t="shared" si="237"/>
        <v>1.2853873405022309E-2</v>
      </c>
      <c r="BT152" s="161">
        <f t="shared" si="237"/>
        <v>9.0090983464313323E-2</v>
      </c>
      <c r="BU152" s="74">
        <f t="shared" si="237"/>
        <v>-9.8979560567522551E-3</v>
      </c>
      <c r="BV152" s="74">
        <f t="shared" si="237"/>
        <v>7.4400585687267373E-2</v>
      </c>
      <c r="BW152" s="74">
        <f t="shared" si="237"/>
        <v>3.521394519025467E-2</v>
      </c>
      <c r="BX152" s="74">
        <f t="shared" si="237"/>
        <v>0.16510353793295574</v>
      </c>
      <c r="BY152" s="161">
        <f t="shared" si="237"/>
        <v>6.5603844958419533E-2</v>
      </c>
      <c r="BZ152" s="74">
        <f t="shared" si="237"/>
        <v>0.13924481584648696</v>
      </c>
      <c r="CA152" s="74">
        <f t="shared" si="237"/>
        <v>0.13528860622923844</v>
      </c>
      <c r="CB152" s="74">
        <f t="shared" si="237"/>
        <v>0.12513066817347096</v>
      </c>
      <c r="CC152" s="74">
        <f t="shared" si="237"/>
        <v>0.13174464015302445</v>
      </c>
      <c r="CD152" s="161">
        <f t="shared" si="237"/>
        <v>0.13255600532130574</v>
      </c>
      <c r="CE152" s="74">
        <f t="shared" si="237"/>
        <v>9.0901681653943411E-2</v>
      </c>
      <c r="CF152" s="74">
        <f t="shared" si="237"/>
        <v>-1.5880558195368488E-2</v>
      </c>
      <c r="CG152" s="74">
        <f t="shared" si="237"/>
        <v>-2.069104057854565E-2</v>
      </c>
      <c r="CH152" s="74">
        <f t="shared" si="237"/>
        <v>7.2582159624413167E-2</v>
      </c>
      <c r="CI152" s="161">
        <f t="shared" si="237"/>
        <v>3.1576633165829149E-2</v>
      </c>
      <c r="CJ152" s="161">
        <f t="shared" si="240"/>
        <v>0.19873073443360956</v>
      </c>
      <c r="CK152" s="161">
        <f t="shared" si="238"/>
        <v>7.7833387411949007E-2</v>
      </c>
      <c r="CL152" s="161"/>
      <c r="CM152" s="161"/>
      <c r="CN152" s="161"/>
      <c r="CO152" s="74"/>
      <c r="CP152" s="74"/>
      <c r="CQ152" s="6"/>
      <c r="CR152" s="6"/>
      <c r="CS152" s="6"/>
      <c r="CT152" s="124"/>
      <c r="CU152" s="124"/>
      <c r="CV152" s="124"/>
      <c r="CW152" s="124"/>
      <c r="CX152" s="124"/>
      <c r="CY152" s="124"/>
      <c r="CZ152" s="124"/>
      <c r="DA152" s="124"/>
      <c r="DB152" s="124"/>
      <c r="DC152" s="124"/>
      <c r="DD152" s="124"/>
      <c r="DE152" s="124"/>
      <c r="DF152" s="124"/>
      <c r="DG152" s="124"/>
      <c r="DH152" s="124"/>
      <c r="DI152" s="124"/>
      <c r="DK152" s="124"/>
      <c r="DL152" s="124"/>
      <c r="DM152" s="6"/>
      <c r="DN152" s="124"/>
      <c r="DO152" s="124"/>
      <c r="DQ152" s="136"/>
      <c r="DR152" s="124"/>
      <c r="DS152" s="124"/>
      <c r="DT152" s="124"/>
      <c r="DV152" s="124"/>
      <c r="DW152" s="124"/>
      <c r="DX152" s="124"/>
      <c r="EA152" s="111"/>
      <c r="EB152" s="111"/>
      <c r="EC152" s="111"/>
      <c r="ED152" s="124"/>
      <c r="EE152" s="124"/>
      <c r="EF152" s="124"/>
      <c r="EJ152" s="111"/>
      <c r="EK152" s="111"/>
      <c r="EL152" s="124"/>
      <c r="EM152" s="124"/>
      <c r="EN152" s="124"/>
      <c r="EP152" s="111"/>
      <c r="EQ152" s="124"/>
      <c r="ER152" s="124"/>
      <c r="ES152" s="124"/>
      <c r="EV152" s="111"/>
      <c r="EW152" s="111"/>
      <c r="EX152" s="111"/>
      <c r="EY152" s="111"/>
      <c r="EZ152" s="124"/>
      <c r="FA152" s="124"/>
      <c r="FD152" s="111"/>
      <c r="FE152" s="111"/>
      <c r="FF152" s="111"/>
      <c r="FG152" s="124"/>
      <c r="FH152" s="124"/>
      <c r="FK152" s="124"/>
      <c r="FL152" s="124"/>
      <c r="FO152" s="111"/>
      <c r="FP152" s="111"/>
      <c r="FQ152" s="124"/>
      <c r="FR152" s="124"/>
      <c r="FU152" s="111"/>
      <c r="FV152" s="124"/>
      <c r="FW152" s="124"/>
      <c r="FX152" s="124"/>
      <c r="FY152" s="124"/>
      <c r="GA152" s="124"/>
      <c r="GB152" s="124"/>
      <c r="GC152" s="124"/>
      <c r="GF152" s="111"/>
      <c r="GG152" s="111"/>
      <c r="GH152" s="111"/>
      <c r="GI152" s="124"/>
      <c r="GJ152" s="124"/>
      <c r="GK152" s="124"/>
      <c r="GN152" s="111"/>
      <c r="GO152" s="111"/>
      <c r="GP152" s="124"/>
      <c r="GQ152" s="124"/>
      <c r="GR152" s="124"/>
      <c r="GV152" s="111"/>
      <c r="GW152" s="124"/>
      <c r="GX152" s="124"/>
      <c r="GY152" s="124"/>
      <c r="HC152" s="124"/>
      <c r="HD152" s="124"/>
      <c r="HE152" s="124"/>
      <c r="HF152" s="124"/>
      <c r="HI152" s="111"/>
      <c r="HJ152" s="111"/>
      <c r="HK152" s="111"/>
      <c r="HL152" s="111"/>
      <c r="HM152" s="124"/>
      <c r="HN152" s="124"/>
      <c r="HO152" s="124"/>
      <c r="HR152" s="111"/>
      <c r="HS152" s="111"/>
      <c r="HT152" s="111"/>
      <c r="HU152" s="124"/>
      <c r="HV152" s="124"/>
      <c r="HW152" s="124"/>
      <c r="HZ152" s="111"/>
      <c r="IA152" s="124"/>
      <c r="IB152" s="124"/>
      <c r="IC152" s="124"/>
      <c r="IE152" s="111"/>
      <c r="IF152" s="124"/>
      <c r="IG152" s="124"/>
      <c r="IH152" s="124"/>
      <c r="IK152" s="124"/>
      <c r="IL152" s="124"/>
      <c r="IO152" s="124"/>
      <c r="IP152" s="124"/>
      <c r="IS152" s="160"/>
      <c r="IT152" s="160"/>
      <c r="IU152" s="160"/>
      <c r="IX152" s="124"/>
      <c r="IY152" s="124"/>
      <c r="IZ152" s="124"/>
      <c r="JA152" s="124"/>
      <c r="JD152" s="124"/>
      <c r="JE152" s="124"/>
      <c r="JH152" s="124"/>
      <c r="JI152" s="124"/>
      <c r="JJ152" s="124"/>
      <c r="JM152" s="124"/>
      <c r="JN152" s="124"/>
      <c r="JQ152" s="124"/>
      <c r="JR152" s="124"/>
      <c r="JS152" s="124"/>
      <c r="JV152" s="124"/>
      <c r="JW152" s="124"/>
      <c r="JY152" s="124"/>
      <c r="JZ152" s="124"/>
      <c r="KB152" s="124"/>
      <c r="KC152" s="124"/>
      <c r="KD152" s="124"/>
    </row>
    <row r="153" spans="2:290" hidden="1" x14ac:dyDescent="0.25">
      <c r="B153" s="6" t="s">
        <v>225</v>
      </c>
      <c r="C153" s="136"/>
      <c r="D153" s="136"/>
      <c r="E153" s="136"/>
      <c r="F153" s="136"/>
      <c r="G153" s="136"/>
      <c r="H153" s="132"/>
      <c r="I153" s="158"/>
      <c r="J153" s="158"/>
      <c r="K153" s="158"/>
      <c r="L153" s="158"/>
      <c r="M153" s="132"/>
      <c r="N153" s="158"/>
      <c r="O153" s="158"/>
      <c r="P153" s="158"/>
      <c r="Q153" s="158"/>
      <c r="R153" s="132"/>
      <c r="S153" s="158"/>
      <c r="T153" s="158"/>
      <c r="U153" s="158"/>
      <c r="V153" s="158"/>
      <c r="W153" s="132"/>
      <c r="X153" s="158"/>
      <c r="Y153" s="158"/>
      <c r="Z153" s="158"/>
      <c r="AA153" s="158"/>
      <c r="AB153" s="161">
        <v>-6.0825488776249159E-2</v>
      </c>
      <c r="AC153" s="162">
        <v>1.9841269841269771E-3</v>
      </c>
      <c r="AD153" s="162">
        <v>-2.9411764705882359E-2</v>
      </c>
      <c r="AE153" s="162">
        <v>0.15873015873015883</v>
      </c>
      <c r="AF153" s="162">
        <v>0.10256410256410264</v>
      </c>
      <c r="AG153" s="161">
        <v>6.2066306861989329E-2</v>
      </c>
      <c r="AH153" s="162">
        <v>0.1506930693069306</v>
      </c>
      <c r="AI153" s="162">
        <v>0.1212121212121211</v>
      </c>
      <c r="AJ153" s="162">
        <v>0.16808219178082218</v>
      </c>
      <c r="AK153" s="161"/>
      <c r="AL153" s="162"/>
      <c r="AM153" s="162"/>
      <c r="AN153" s="162"/>
      <c r="AO153" s="162"/>
      <c r="AP153" s="161"/>
      <c r="AQ153" s="162">
        <f t="shared" si="239"/>
        <v>-0.12437810945273631</v>
      </c>
      <c r="AR153" s="162">
        <f t="shared" si="239"/>
        <v>0.1538356164383563</v>
      </c>
      <c r="AS153" s="162">
        <f t="shared" si="239"/>
        <v>0.16832949603479141</v>
      </c>
      <c r="AT153" s="162">
        <f t="shared" si="237"/>
        <v>2.2412868632707861E-2</v>
      </c>
      <c r="AU153" s="161">
        <f t="shared" si="237"/>
        <v>0.11768443794878292</v>
      </c>
      <c r="AV153" s="74">
        <f t="shared" si="237"/>
        <v>0.23517786561264842</v>
      </c>
      <c r="AW153" s="74">
        <f t="shared" si="237"/>
        <v>0.10233883414460387</v>
      </c>
      <c r="AX153" s="74">
        <f t="shared" si="237"/>
        <v>0.18513247208232975</v>
      </c>
      <c r="AY153" s="74">
        <f t="shared" si="237"/>
        <v>3.1256555485630333E-2</v>
      </c>
      <c r="AZ153" s="161">
        <f t="shared" si="237"/>
        <v>0.13423162203650008</v>
      </c>
      <c r="BA153" s="74">
        <f t="shared" si="237"/>
        <v>-2.629999999999999E-2</v>
      </c>
      <c r="BB153" s="74">
        <f t="shared" si="237"/>
        <v>-7.0543887991383891E-2</v>
      </c>
      <c r="BC153" s="74">
        <f t="shared" si="237"/>
        <v>-3.4180138568129403E-2</v>
      </c>
      <c r="BD153" s="74">
        <f t="shared" si="237"/>
        <v>-3.3970707892595486E-2</v>
      </c>
      <c r="BE153" s="161">
        <f t="shared" si="237"/>
        <v>-3.9598997493734189E-2</v>
      </c>
      <c r="BF153" s="74">
        <f t="shared" si="237"/>
        <v>-0.71243709561466573</v>
      </c>
      <c r="BG153" s="74">
        <f t="shared" si="237"/>
        <v>-9.6176129779838027E-3</v>
      </c>
      <c r="BH153" s="74">
        <f t="shared" si="237"/>
        <v>0.1190817790530847</v>
      </c>
      <c r="BI153" s="74">
        <f t="shared" si="237"/>
        <v>0.30553800800168451</v>
      </c>
      <c r="BJ153" s="161">
        <f t="shared" si="237"/>
        <v>-7.5652400835073186E-2</v>
      </c>
      <c r="BK153" s="74">
        <f t="shared" si="237"/>
        <v>0.73071428571428565</v>
      </c>
      <c r="BL153" s="74">
        <f t="shared" si="237"/>
        <v>0.30069030069030078</v>
      </c>
      <c r="BM153" s="74">
        <f t="shared" si="237"/>
        <v>8.5470085470085388E-2</v>
      </c>
      <c r="BN153" s="74">
        <f t="shared" si="237"/>
        <v>-4.8387096774193505E-2</v>
      </c>
      <c r="BO153" s="161">
        <f t="shared" si="237"/>
        <v>0.14364360125349362</v>
      </c>
      <c r="BP153" s="74">
        <f t="shared" si="237"/>
        <v>0.9762690879075524</v>
      </c>
      <c r="BQ153" s="74">
        <f t="shared" si="237"/>
        <v>6.6564720698030211E-3</v>
      </c>
      <c r="BR153" s="74">
        <f t="shared" si="237"/>
        <v>-8.7637795275590569E-2</v>
      </c>
      <c r="BS153" s="74">
        <f t="shared" si="237"/>
        <v>2.5847457627118597E-2</v>
      </c>
      <c r="BT153" s="161">
        <f t="shared" si="237"/>
        <v>9.7533881359697983E-2</v>
      </c>
      <c r="BU153" s="74">
        <f t="shared" si="237"/>
        <v>9.5541401273885329E-2</v>
      </c>
      <c r="BV153" s="74">
        <f t="shared" si="237"/>
        <v>-5.7814315074613543E-2</v>
      </c>
      <c r="BW153" s="74">
        <f t="shared" si="237"/>
        <v>-3.0551480107016582E-2</v>
      </c>
      <c r="BX153" s="74">
        <f t="shared" si="237"/>
        <v>-2.2304832713754719E-2</v>
      </c>
      <c r="BY153" s="161">
        <f t="shared" si="237"/>
        <v>-8.0071974808817448E-3</v>
      </c>
      <c r="BZ153" s="74">
        <f t="shared" si="237"/>
        <v>-7.3675181090354647E-2</v>
      </c>
      <c r="CA153" s="74">
        <f t="shared" si="237"/>
        <v>-1.4700303490136513E-2</v>
      </c>
      <c r="CB153" s="74">
        <f t="shared" si="237"/>
        <v>-5.2612837176177263E-2</v>
      </c>
      <c r="CC153" s="74">
        <f t="shared" si="237"/>
        <v>0.14913392479932419</v>
      </c>
      <c r="CD153" s="161">
        <f t="shared" si="237"/>
        <v>4.4440413567929937E-3</v>
      </c>
      <c r="CE153" s="74">
        <f t="shared" si="237"/>
        <v>1.2346949274616659E-2</v>
      </c>
      <c r="CF153" s="74">
        <f t="shared" si="237"/>
        <v>-5.5828279911445122E-3</v>
      </c>
      <c r="CG153" s="74">
        <f t="shared" si="237"/>
        <v>5.243375305393716E-2</v>
      </c>
      <c r="CH153" s="74">
        <f t="shared" si="237"/>
        <v>-9.2058823529411749E-2</v>
      </c>
      <c r="CI153" s="161">
        <f t="shared" si="237"/>
        <v>-2.6884875846501233E-2</v>
      </c>
      <c r="CJ153" s="161">
        <f t="shared" si="240"/>
        <v>7.0000000000000062E-2</v>
      </c>
      <c r="CK153" s="161">
        <f t="shared" si="238"/>
        <v>7.0000000000000062E-2</v>
      </c>
      <c r="CL153" s="161"/>
      <c r="CM153" s="161"/>
      <c r="CN153" s="161"/>
      <c r="CO153" s="74"/>
      <c r="CP153" s="74"/>
      <c r="CQ153" s="6"/>
      <c r="CR153" s="6"/>
      <c r="CS153" s="6"/>
      <c r="CT153" s="124"/>
      <c r="CU153" s="124"/>
      <c r="CV153" s="124"/>
      <c r="CW153" s="124"/>
      <c r="CX153" s="124"/>
      <c r="CY153" s="124"/>
      <c r="CZ153" s="124"/>
      <c r="DA153" s="124"/>
      <c r="DB153" s="124"/>
      <c r="DC153" s="124"/>
      <c r="DD153" s="124"/>
      <c r="DE153" s="124"/>
      <c r="DF153" s="124"/>
      <c r="DG153" s="124"/>
      <c r="DH153" s="124"/>
      <c r="DI153" s="124"/>
      <c r="DK153" s="124"/>
      <c r="DL153" s="124"/>
      <c r="DM153" s="6"/>
      <c r="DN153" s="124"/>
      <c r="DO153" s="124"/>
      <c r="DQ153" s="136"/>
      <c r="DR153" s="124"/>
      <c r="DS153" s="124"/>
      <c r="DT153" s="124"/>
      <c r="DV153" s="124"/>
      <c r="DW153" s="124"/>
      <c r="DX153" s="124"/>
      <c r="EA153" s="111"/>
      <c r="EB153" s="111"/>
      <c r="EC153" s="111"/>
      <c r="ED153" s="124"/>
      <c r="EE153" s="124"/>
      <c r="EF153" s="124"/>
      <c r="EJ153" s="111"/>
      <c r="EK153" s="111"/>
      <c r="EL153" s="124"/>
      <c r="EM153" s="124"/>
      <c r="EN153" s="124"/>
      <c r="EP153" s="111"/>
      <c r="EQ153" s="124"/>
      <c r="ER153" s="124"/>
      <c r="ES153" s="124"/>
      <c r="EV153" s="111"/>
      <c r="EW153" s="111"/>
      <c r="EX153" s="111"/>
      <c r="EY153" s="111"/>
      <c r="EZ153" s="124"/>
      <c r="FA153" s="124"/>
      <c r="FD153" s="111"/>
      <c r="FE153" s="111"/>
      <c r="FF153" s="111"/>
      <c r="FG153" s="124"/>
      <c r="FH153" s="124"/>
      <c r="FK153" s="124"/>
      <c r="FL153" s="124"/>
      <c r="FO153" s="111"/>
      <c r="FP153" s="111"/>
      <c r="FQ153" s="124"/>
      <c r="FR153" s="124"/>
      <c r="FU153" s="111"/>
      <c r="FV153" s="124"/>
      <c r="FW153" s="124"/>
      <c r="FX153" s="124"/>
      <c r="FY153" s="124"/>
      <c r="GA153" s="124"/>
      <c r="GB153" s="124"/>
      <c r="GC153" s="124"/>
      <c r="GF153" s="111"/>
      <c r="GG153" s="111"/>
      <c r="GH153" s="111"/>
      <c r="GI153" s="124"/>
      <c r="GJ153" s="124"/>
      <c r="GK153" s="124"/>
      <c r="GN153" s="111"/>
      <c r="GO153" s="111"/>
      <c r="GP153" s="124"/>
      <c r="GQ153" s="124"/>
      <c r="GR153" s="124"/>
      <c r="GV153" s="111"/>
      <c r="GW153" s="124"/>
      <c r="GX153" s="124"/>
      <c r="GY153" s="124"/>
      <c r="HC153" s="124"/>
      <c r="HD153" s="124"/>
      <c r="HE153" s="124"/>
      <c r="HF153" s="124"/>
      <c r="HI153" s="111"/>
      <c r="HJ153" s="111"/>
      <c r="HK153" s="111"/>
      <c r="HL153" s="111"/>
      <c r="HM153" s="124"/>
      <c r="HN153" s="124"/>
      <c r="HO153" s="124"/>
      <c r="HR153" s="111"/>
      <c r="HS153" s="111"/>
      <c r="HT153" s="111"/>
      <c r="HU153" s="124"/>
      <c r="HV153" s="124"/>
      <c r="HW153" s="124"/>
      <c r="HZ153" s="111"/>
      <c r="IA153" s="124"/>
      <c r="IB153" s="124"/>
      <c r="IC153" s="124"/>
      <c r="IE153" s="111"/>
      <c r="IF153" s="124"/>
      <c r="IG153" s="124"/>
      <c r="IH153" s="124"/>
      <c r="IK153" s="124"/>
      <c r="IL153" s="124"/>
      <c r="IO153" s="124"/>
      <c r="IP153" s="124"/>
      <c r="IS153" s="160"/>
      <c r="IT153" s="160"/>
      <c r="IU153" s="160"/>
      <c r="IX153" s="124"/>
      <c r="IY153" s="124"/>
      <c r="IZ153" s="124"/>
      <c r="JA153" s="124"/>
      <c r="JD153" s="124"/>
      <c r="JE153" s="124"/>
      <c r="JH153" s="124"/>
      <c r="JI153" s="124"/>
      <c r="JJ153" s="124"/>
      <c r="JM153" s="124"/>
      <c r="JN153" s="124"/>
      <c r="JQ153" s="124"/>
      <c r="JR153" s="124"/>
      <c r="JS153" s="124"/>
      <c r="JV153" s="124"/>
      <c r="JW153" s="124"/>
      <c r="JY153" s="124"/>
      <c r="JZ153" s="124"/>
      <c r="KB153" s="124"/>
      <c r="KC153" s="124"/>
      <c r="KD153" s="124"/>
    </row>
    <row r="154" spans="2:290" hidden="1" x14ac:dyDescent="0.25">
      <c r="B154" s="6" t="s">
        <v>234</v>
      </c>
      <c r="C154" s="136"/>
      <c r="D154" s="136"/>
      <c r="E154" s="136"/>
      <c r="F154" s="136"/>
      <c r="G154" s="136"/>
      <c r="H154" s="132"/>
      <c r="I154" s="158"/>
      <c r="J154" s="158"/>
      <c r="K154" s="158"/>
      <c r="L154" s="158"/>
      <c r="M154" s="132"/>
      <c r="N154" s="158"/>
      <c r="O154" s="158"/>
      <c r="P154" s="158"/>
      <c r="Q154" s="158"/>
      <c r="R154" s="132"/>
      <c r="S154" s="158"/>
      <c r="T154" s="158"/>
      <c r="U154" s="158"/>
      <c r="V154" s="158"/>
      <c r="W154" s="132"/>
      <c r="X154" s="158"/>
      <c r="Y154" s="158"/>
      <c r="Z154" s="158"/>
      <c r="AA154" s="158"/>
      <c r="AB154" s="161">
        <v>-1</v>
      </c>
      <c r="AC154" s="162" t="e">
        <v>#DIV/0!</v>
      </c>
      <c r="AD154" s="162" t="e">
        <v>#DIV/0!</v>
      </c>
      <c r="AE154" s="162" t="e">
        <v>#DIV/0!</v>
      </c>
      <c r="AF154" s="162" t="e">
        <v>#DIV/0!</v>
      </c>
      <c r="AG154" s="161" t="e">
        <v>#DIV/0!</v>
      </c>
      <c r="AH154" s="162" t="e">
        <v>#DIV/0!</v>
      </c>
      <c r="AI154" s="162" t="e">
        <v>#DIV/0!</v>
      </c>
      <c r="AJ154" s="162" t="e">
        <v>#DIV/0!</v>
      </c>
      <c r="AK154" s="161"/>
      <c r="AL154" s="162"/>
      <c r="AM154" s="162"/>
      <c r="AN154" s="162"/>
      <c r="AO154" s="162"/>
      <c r="AP154" s="161"/>
      <c r="AQ154" s="162">
        <f t="shared" si="239"/>
        <v>-0.34708308780200348</v>
      </c>
      <c r="AR154" s="162">
        <f t="shared" si="239"/>
        <v>-0.46365105008077545</v>
      </c>
      <c r="AS154" s="162">
        <f t="shared" si="239"/>
        <v>0.24132947976878616</v>
      </c>
      <c r="AT154" s="162">
        <f t="shared" si="237"/>
        <v>-2.3881893182805092E-2</v>
      </c>
      <c r="AU154" s="161">
        <f t="shared" si="237"/>
        <v>-9.6315019289610171E-2</v>
      </c>
      <c r="AV154" s="74">
        <f t="shared" si="237"/>
        <v>-0.72924187725631762</v>
      </c>
      <c r="AW154" s="74">
        <f t="shared" si="237"/>
        <v>23.409638554216869</v>
      </c>
      <c r="AX154" s="74">
        <f t="shared" si="237"/>
        <v>-0.92316647264260765</v>
      </c>
      <c r="AY154" s="74">
        <f t="shared" si="237"/>
        <v>-0.46619217081850539</v>
      </c>
      <c r="AZ154" s="161">
        <f t="shared" si="237"/>
        <v>0.66377152951567764</v>
      </c>
      <c r="BA154" s="74">
        <f t="shared" si="237"/>
        <v>1.7100000000000004</v>
      </c>
      <c r="BB154" s="74">
        <f t="shared" si="237"/>
        <v>-0.92559230009871674</v>
      </c>
      <c r="BC154" s="74">
        <f t="shared" si="237"/>
        <v>6.8939393939393936</v>
      </c>
      <c r="BD154" s="74">
        <f t="shared" si="237"/>
        <v>0.31833333333333336</v>
      </c>
      <c r="BE154" s="161">
        <f t="shared" si="237"/>
        <v>-0.54866395328260475</v>
      </c>
      <c r="BF154" s="74">
        <f t="shared" si="237"/>
        <v>-0.60024600246002469</v>
      </c>
      <c r="BG154" s="74">
        <f t="shared" si="237"/>
        <v>5.7611940298507465</v>
      </c>
      <c r="BH154" s="74">
        <f t="shared" si="237"/>
        <v>9.1420345489443378</v>
      </c>
      <c r="BI154" s="74">
        <f t="shared" si="237"/>
        <v>-0.6517067003792667</v>
      </c>
      <c r="BJ154" s="161">
        <f t="shared" si="237"/>
        <v>1.1148794354048221</v>
      </c>
      <c r="BK154" s="74">
        <f t="shared" si="237"/>
        <v>5.006153846153846</v>
      </c>
      <c r="BL154" s="74">
        <f t="shared" si="237"/>
        <v>-0.51287711552612225</v>
      </c>
      <c r="BM154" s="74">
        <f t="shared" si="237"/>
        <v>-0.46801665404996406</v>
      </c>
      <c r="BN154" s="74">
        <f t="shared" si="237"/>
        <v>0.82486388384754994</v>
      </c>
      <c r="BO154" s="161">
        <f t="shared" si="237"/>
        <v>-0.18464961067853169</v>
      </c>
      <c r="BP154" s="74">
        <f t="shared" si="237"/>
        <v>-6.3524590163934302E-2</v>
      </c>
      <c r="BQ154" s="74">
        <f t="shared" si="237"/>
        <v>-0.12890231621349435</v>
      </c>
      <c r="BR154" s="74">
        <f t="shared" si="237"/>
        <v>-0.7008182141586613</v>
      </c>
      <c r="BS154" s="74">
        <f t="shared" si="237"/>
        <v>-0.26852312282446533</v>
      </c>
      <c r="BT154" s="161">
        <f t="shared" si="237"/>
        <v>-0.3326512050932241</v>
      </c>
      <c r="BU154" s="74">
        <f t="shared" si="237"/>
        <v>-0.12746170678336988</v>
      </c>
      <c r="BV154" s="74">
        <f t="shared" si="237"/>
        <v>-7.80346820809249E-2</v>
      </c>
      <c r="BW154" s="74">
        <f t="shared" si="237"/>
        <v>-0.14149821640903693</v>
      </c>
      <c r="BX154" s="74">
        <f t="shared" si="237"/>
        <v>-0.38545207341944265</v>
      </c>
      <c r="BY154" s="161">
        <f t="shared" si="237"/>
        <v>-0.17955706984667807</v>
      </c>
      <c r="BZ154" s="74">
        <f t="shared" si="237"/>
        <v>-0.60376175548589339</v>
      </c>
      <c r="CA154" s="74">
        <f t="shared" si="237"/>
        <v>-0.76739811912225708</v>
      </c>
      <c r="CB154" s="74">
        <f t="shared" si="237"/>
        <v>9.8337950138504215E-2</v>
      </c>
      <c r="CC154" s="74">
        <f t="shared" si="237"/>
        <v>3.8672566371681416</v>
      </c>
      <c r="CD154" s="161">
        <f t="shared" si="237"/>
        <v>0.28737541528239219</v>
      </c>
      <c r="CE154" s="74">
        <f t="shared" si="237"/>
        <v>1.4319620253164556</v>
      </c>
      <c r="CF154" s="74">
        <f t="shared" si="237"/>
        <v>2.3423180592991915</v>
      </c>
      <c r="CG154" s="74">
        <f t="shared" si="237"/>
        <v>2.278688524590164</v>
      </c>
      <c r="CH154" s="74">
        <f t="shared" si="237"/>
        <v>-0.30704545454545462</v>
      </c>
      <c r="CI154" s="161">
        <f t="shared" si="237"/>
        <v>0.35967741935483866</v>
      </c>
      <c r="CJ154" s="161">
        <f t="shared" si="240"/>
        <v>0</v>
      </c>
      <c r="CK154" s="161">
        <f t="shared" si="238"/>
        <v>0</v>
      </c>
      <c r="CL154" s="161"/>
      <c r="CM154" s="161"/>
      <c r="CN154" s="161"/>
      <c r="CO154" s="74"/>
      <c r="CP154" s="74"/>
      <c r="CQ154" s="6"/>
      <c r="CR154" s="6"/>
      <c r="CS154" s="6"/>
      <c r="CT154" s="124"/>
      <c r="CU154" s="124"/>
      <c r="CV154" s="124"/>
      <c r="CW154" s="124"/>
      <c r="CX154" s="124"/>
      <c r="CY154" s="124"/>
      <c r="CZ154" s="124"/>
      <c r="DA154" s="124"/>
      <c r="DB154" s="124"/>
      <c r="DC154" s="124"/>
      <c r="DD154" s="124"/>
      <c r="DE154" s="124"/>
      <c r="DF154" s="124"/>
      <c r="DG154" s="124"/>
      <c r="DH154" s="124"/>
      <c r="DI154" s="124"/>
      <c r="DK154" s="124"/>
      <c r="DL154" s="124"/>
      <c r="DM154" s="6"/>
      <c r="DN154" s="124"/>
      <c r="DO154" s="124"/>
      <c r="DQ154" s="136"/>
      <c r="DR154" s="124"/>
      <c r="DS154" s="124"/>
      <c r="DT154" s="124"/>
      <c r="DV154" s="124"/>
      <c r="DW154" s="124"/>
      <c r="DX154" s="124"/>
      <c r="EA154" s="111"/>
      <c r="EB154" s="111"/>
      <c r="EC154" s="111"/>
      <c r="ED154" s="124"/>
      <c r="EE154" s="124"/>
      <c r="EF154" s="124"/>
      <c r="EJ154" s="111"/>
      <c r="EK154" s="111"/>
      <c r="EL154" s="124"/>
      <c r="EM154" s="124"/>
      <c r="EN154" s="124"/>
      <c r="EP154" s="111"/>
      <c r="EQ154" s="124"/>
      <c r="ER154" s="124"/>
      <c r="ES154" s="124"/>
      <c r="EV154" s="111"/>
      <c r="EW154" s="111"/>
      <c r="EX154" s="111"/>
      <c r="EY154" s="111"/>
      <c r="EZ154" s="124"/>
      <c r="FA154" s="124"/>
      <c r="FD154" s="111"/>
      <c r="FE154" s="111"/>
      <c r="FF154" s="111"/>
      <c r="FG154" s="124"/>
      <c r="FH154" s="124"/>
      <c r="FK154" s="124"/>
      <c r="FL154" s="124"/>
      <c r="FO154" s="111"/>
      <c r="FP154" s="111"/>
      <c r="FQ154" s="124"/>
      <c r="FR154" s="124"/>
      <c r="FU154" s="111"/>
      <c r="FV154" s="124"/>
      <c r="FW154" s="124"/>
      <c r="FX154" s="124"/>
      <c r="FY154" s="124"/>
      <c r="GA154" s="124"/>
      <c r="GB154" s="124"/>
      <c r="GC154" s="124"/>
      <c r="GF154" s="111"/>
      <c r="GG154" s="111"/>
      <c r="GH154" s="111"/>
      <c r="GI154" s="124"/>
      <c r="GJ154" s="124"/>
      <c r="GK154" s="124"/>
      <c r="GN154" s="111"/>
      <c r="GO154" s="111"/>
      <c r="GP154" s="124"/>
      <c r="GQ154" s="124"/>
      <c r="GR154" s="124"/>
      <c r="GV154" s="111"/>
      <c r="GW154" s="124"/>
      <c r="GX154" s="124"/>
      <c r="GY154" s="124"/>
      <c r="HC154" s="124"/>
      <c r="HD154" s="124"/>
      <c r="HE154" s="124"/>
      <c r="HF154" s="124"/>
      <c r="HI154" s="111"/>
      <c r="HJ154" s="111"/>
      <c r="HK154" s="111"/>
      <c r="HL154" s="111"/>
      <c r="HM154" s="124"/>
      <c r="HN154" s="124"/>
      <c r="HO154" s="124"/>
      <c r="HR154" s="111"/>
      <c r="HS154" s="111"/>
      <c r="HT154" s="111"/>
      <c r="HU154" s="124"/>
      <c r="HV154" s="124"/>
      <c r="HW154" s="124"/>
      <c r="HZ154" s="111"/>
      <c r="IA154" s="124"/>
      <c r="IB154" s="124"/>
      <c r="IC154" s="124"/>
      <c r="IE154" s="111"/>
      <c r="IF154" s="124"/>
      <c r="IG154" s="124"/>
      <c r="IH154" s="124"/>
      <c r="IK154" s="124"/>
      <c r="IL154" s="124"/>
      <c r="IO154" s="124"/>
      <c r="IP154" s="124"/>
      <c r="IS154" s="160"/>
      <c r="IT154" s="160"/>
      <c r="IU154" s="160"/>
      <c r="IX154" s="124"/>
      <c r="IY154" s="124"/>
      <c r="IZ154" s="124"/>
      <c r="JA154" s="124"/>
      <c r="JD154" s="124"/>
      <c r="JE154" s="124"/>
      <c r="JH154" s="124"/>
      <c r="JI154" s="124"/>
      <c r="JJ154" s="124"/>
      <c r="JM154" s="124"/>
      <c r="JN154" s="124"/>
      <c r="JQ154" s="124"/>
      <c r="JR154" s="124"/>
      <c r="JS154" s="124"/>
      <c r="JV154" s="124"/>
      <c r="JW154" s="124"/>
      <c r="JY154" s="124"/>
      <c r="JZ154" s="124"/>
      <c r="KB154" s="124"/>
      <c r="KC154" s="124"/>
      <c r="KD154" s="124"/>
    </row>
    <row r="155" spans="2:290" hidden="1" x14ac:dyDescent="0.25">
      <c r="B155" s="6" t="s">
        <v>138</v>
      </c>
      <c r="C155" s="136"/>
      <c r="D155" s="136"/>
      <c r="E155" s="136"/>
      <c r="F155" s="136"/>
      <c r="G155" s="136"/>
      <c r="H155" s="132"/>
      <c r="I155" s="158"/>
      <c r="J155" s="158"/>
      <c r="K155" s="158"/>
      <c r="L155" s="158"/>
      <c r="M155" s="132"/>
      <c r="N155" s="158"/>
      <c r="O155" s="158"/>
      <c r="P155" s="158"/>
      <c r="Q155" s="158"/>
      <c r="R155" s="132"/>
      <c r="S155" s="158"/>
      <c r="T155" s="158"/>
      <c r="U155" s="158"/>
      <c r="V155" s="158"/>
      <c r="W155" s="132"/>
      <c r="X155" s="158"/>
      <c r="Y155" s="158"/>
      <c r="Z155" s="158"/>
      <c r="AA155" s="158"/>
      <c r="AB155" s="161" t="e">
        <v>#DIV/0!</v>
      </c>
      <c r="AC155" s="162" t="e">
        <v>#DIV/0!</v>
      </c>
      <c r="AD155" s="162" t="e">
        <v>#DIV/0!</v>
      </c>
      <c r="AE155" s="162" t="e">
        <v>#DIV/0!</v>
      </c>
      <c r="AF155" s="162" t="e">
        <v>#DIV/0!</v>
      </c>
      <c r="AG155" s="161" t="e">
        <v>#DIV/0!</v>
      </c>
      <c r="AH155" s="162" t="e">
        <v>#DIV/0!</v>
      </c>
      <c r="AI155" s="162" t="e">
        <v>#DIV/0!</v>
      </c>
      <c r="AJ155" s="162" t="e">
        <v>#DIV/0!</v>
      </c>
      <c r="AK155" s="161"/>
      <c r="AL155" s="162"/>
      <c r="AM155" s="162"/>
      <c r="AN155" s="162"/>
      <c r="AO155" s="162"/>
      <c r="AP155" s="161"/>
      <c r="AQ155" s="162">
        <f t="shared" si="239"/>
        <v>-1</v>
      </c>
      <c r="AR155" s="162" t="e">
        <f t="shared" si="239"/>
        <v>#DIV/0!</v>
      </c>
      <c r="AS155" s="162" t="e">
        <f t="shared" si="239"/>
        <v>#DIV/0!</v>
      </c>
      <c r="AT155" s="162">
        <f t="shared" si="237"/>
        <v>-1</v>
      </c>
      <c r="AU155" s="161" t="e">
        <f t="shared" si="237"/>
        <v>#DIV/0!</v>
      </c>
      <c r="AV155" s="74" t="e">
        <f t="shared" si="237"/>
        <v>#DIV/0!</v>
      </c>
      <c r="AW155" s="74" t="e">
        <f t="shared" si="237"/>
        <v>#DIV/0!</v>
      </c>
      <c r="AX155" s="74" t="e">
        <f t="shared" si="237"/>
        <v>#DIV/0!</v>
      </c>
      <c r="AY155" s="74" t="e">
        <f t="shared" si="237"/>
        <v>#DIV/0!</v>
      </c>
      <c r="AZ155" s="161" t="e">
        <f t="shared" si="237"/>
        <v>#DIV/0!</v>
      </c>
      <c r="BA155" s="74" t="e">
        <f t="shared" si="237"/>
        <v>#DIV/0!</v>
      </c>
      <c r="BB155" s="74" t="e">
        <f t="shared" si="237"/>
        <v>#DIV/0!</v>
      </c>
      <c r="BC155" s="74" t="e">
        <f t="shared" si="237"/>
        <v>#DIV/0!</v>
      </c>
      <c r="BD155" s="74" t="e">
        <f t="shared" si="237"/>
        <v>#DIV/0!</v>
      </c>
      <c r="BE155" s="161" t="e">
        <f t="shared" si="237"/>
        <v>#DIV/0!</v>
      </c>
      <c r="BF155" s="74" t="e">
        <f t="shared" si="237"/>
        <v>#DIV/0!</v>
      </c>
      <c r="BG155" s="74" t="e">
        <f t="shared" si="237"/>
        <v>#DIV/0!</v>
      </c>
      <c r="BH155" s="74" t="e">
        <f t="shared" si="237"/>
        <v>#DIV/0!</v>
      </c>
      <c r="BI155" s="74" t="e">
        <f t="shared" si="237"/>
        <v>#DIV/0!</v>
      </c>
      <c r="BJ155" s="161" t="e">
        <f t="shared" si="237"/>
        <v>#DIV/0!</v>
      </c>
      <c r="BK155" s="74" t="e">
        <f t="shared" si="237"/>
        <v>#DIV/0!</v>
      </c>
      <c r="BL155" s="74" t="e">
        <f t="shared" si="237"/>
        <v>#DIV/0!</v>
      </c>
      <c r="BM155" s="74" t="e">
        <f t="shared" si="237"/>
        <v>#DIV/0!</v>
      </c>
      <c r="BN155" s="74" t="e">
        <f t="shared" si="237"/>
        <v>#DIV/0!</v>
      </c>
      <c r="BO155" s="161" t="e">
        <f t="shared" si="237"/>
        <v>#DIV/0!</v>
      </c>
      <c r="BP155" s="74" t="e">
        <f t="shared" si="237"/>
        <v>#DIV/0!</v>
      </c>
      <c r="BQ155" s="74" t="e">
        <f t="shared" si="237"/>
        <v>#DIV/0!</v>
      </c>
      <c r="BR155" s="74" t="e">
        <f t="shared" si="237"/>
        <v>#DIV/0!</v>
      </c>
      <c r="BS155" s="74" t="e">
        <f t="shared" si="237"/>
        <v>#DIV/0!</v>
      </c>
      <c r="BT155" s="161" t="e">
        <f t="shared" si="237"/>
        <v>#DIV/0!</v>
      </c>
      <c r="BU155" s="74" t="e">
        <f t="shared" si="237"/>
        <v>#DIV/0!</v>
      </c>
      <c r="BV155" s="74" t="e">
        <f t="shared" si="237"/>
        <v>#DIV/0!</v>
      </c>
      <c r="BW155" s="74" t="e">
        <f t="shared" si="237"/>
        <v>#DIV/0!</v>
      </c>
      <c r="BX155" s="74" t="e">
        <f t="shared" si="237"/>
        <v>#DIV/0!</v>
      </c>
      <c r="BY155" s="161" t="e">
        <f t="shared" si="237"/>
        <v>#DIV/0!</v>
      </c>
      <c r="BZ155" s="74" t="e">
        <f t="shared" si="237"/>
        <v>#DIV/0!</v>
      </c>
      <c r="CA155" s="74" t="e">
        <f t="shared" si="237"/>
        <v>#DIV/0!</v>
      </c>
      <c r="CB155" s="74" t="e">
        <f t="shared" si="237"/>
        <v>#DIV/0!</v>
      </c>
      <c r="CC155" s="74" t="e">
        <f t="shared" si="237"/>
        <v>#DIV/0!</v>
      </c>
      <c r="CD155" s="161" t="e">
        <f t="shared" si="237"/>
        <v>#DIV/0!</v>
      </c>
      <c r="CE155" s="74" t="e">
        <f t="shared" si="237"/>
        <v>#DIV/0!</v>
      </c>
      <c r="CF155" s="74" t="e">
        <f t="shared" si="237"/>
        <v>#DIV/0!</v>
      </c>
      <c r="CG155" s="74" t="e">
        <f t="shared" si="237"/>
        <v>#DIV/0!</v>
      </c>
      <c r="CH155" s="74" t="e">
        <f t="shared" si="237"/>
        <v>#DIV/0!</v>
      </c>
      <c r="CI155" s="161" t="e">
        <f t="shared" si="237"/>
        <v>#DIV/0!</v>
      </c>
      <c r="CJ155" s="161" t="e">
        <f t="shared" si="240"/>
        <v>#DIV/0!</v>
      </c>
      <c r="CK155" s="161" t="e">
        <f t="shared" si="238"/>
        <v>#DIV/0!</v>
      </c>
      <c r="CL155" s="161"/>
      <c r="CM155" s="161"/>
      <c r="CN155" s="161"/>
      <c r="CO155" s="74"/>
      <c r="CP155" s="74"/>
      <c r="CQ155" s="6"/>
      <c r="CR155" s="6"/>
      <c r="CS155" s="6"/>
      <c r="CT155" s="124"/>
      <c r="CU155" s="124"/>
      <c r="CV155" s="124"/>
      <c r="CW155" s="124"/>
      <c r="CX155" s="124"/>
      <c r="CY155" s="124"/>
      <c r="CZ155" s="124"/>
      <c r="DA155" s="124"/>
      <c r="DB155" s="124"/>
      <c r="DC155" s="124"/>
      <c r="DD155" s="124"/>
      <c r="DE155" s="124"/>
      <c r="DF155" s="124"/>
      <c r="DG155" s="124"/>
      <c r="DH155" s="124"/>
      <c r="DI155" s="124"/>
      <c r="DK155" s="124"/>
      <c r="DL155" s="124"/>
      <c r="DM155" s="6"/>
      <c r="DN155" s="124"/>
      <c r="DO155" s="124"/>
      <c r="DQ155" s="136"/>
      <c r="DR155" s="124"/>
      <c r="DS155" s="124"/>
      <c r="DT155" s="124"/>
      <c r="DV155" s="124"/>
      <c r="DW155" s="124"/>
      <c r="DX155" s="124"/>
      <c r="EA155" s="111"/>
      <c r="EB155" s="111"/>
      <c r="EC155" s="111"/>
      <c r="ED155" s="124"/>
      <c r="EE155" s="124"/>
      <c r="EF155" s="124"/>
      <c r="EJ155" s="111"/>
      <c r="EK155" s="111"/>
      <c r="EL155" s="124"/>
      <c r="EM155" s="124"/>
      <c r="EN155" s="124"/>
      <c r="EP155" s="111"/>
      <c r="EQ155" s="124"/>
      <c r="ER155" s="124"/>
      <c r="ES155" s="124"/>
      <c r="EV155" s="111"/>
      <c r="EW155" s="111"/>
      <c r="EX155" s="111"/>
      <c r="EY155" s="111"/>
      <c r="EZ155" s="124"/>
      <c r="FA155" s="124"/>
      <c r="FD155" s="111"/>
      <c r="FE155" s="111"/>
      <c r="FF155" s="111"/>
      <c r="FG155" s="124"/>
      <c r="FH155" s="124"/>
      <c r="FK155" s="124"/>
      <c r="FL155" s="124"/>
      <c r="FO155" s="111"/>
      <c r="FP155" s="111"/>
      <c r="FQ155" s="124"/>
      <c r="FR155" s="124"/>
      <c r="FU155" s="111"/>
      <c r="FV155" s="124"/>
      <c r="FW155" s="124"/>
      <c r="FX155" s="124"/>
      <c r="FY155" s="124"/>
      <c r="GA155" s="124"/>
      <c r="GB155" s="124"/>
      <c r="GC155" s="124"/>
      <c r="GF155" s="111"/>
      <c r="GG155" s="111"/>
      <c r="GH155" s="111"/>
      <c r="GI155" s="124"/>
      <c r="GJ155" s="124"/>
      <c r="GK155" s="124"/>
      <c r="GN155" s="111"/>
      <c r="GO155" s="111"/>
      <c r="GP155" s="124"/>
      <c r="GQ155" s="124"/>
      <c r="GR155" s="124"/>
      <c r="GV155" s="111"/>
      <c r="GW155" s="124"/>
      <c r="GX155" s="124"/>
      <c r="GY155" s="124"/>
      <c r="HC155" s="124"/>
      <c r="HD155" s="124"/>
      <c r="HE155" s="124"/>
      <c r="HF155" s="124"/>
      <c r="HI155" s="111"/>
      <c r="HJ155" s="111"/>
      <c r="HK155" s="111"/>
      <c r="HL155" s="111"/>
      <c r="HM155" s="124"/>
      <c r="HN155" s="124"/>
      <c r="HO155" s="124"/>
      <c r="HR155" s="111"/>
      <c r="HS155" s="111"/>
      <c r="HT155" s="111"/>
      <c r="HU155" s="124"/>
      <c r="HV155" s="124"/>
      <c r="HW155" s="124"/>
      <c r="HZ155" s="111"/>
      <c r="IA155" s="124"/>
      <c r="IB155" s="124"/>
      <c r="IC155" s="124"/>
      <c r="IE155" s="111"/>
      <c r="IF155" s="124"/>
      <c r="IG155" s="124"/>
      <c r="IH155" s="124"/>
      <c r="IK155" s="124"/>
      <c r="IL155" s="124"/>
      <c r="IO155" s="124"/>
      <c r="IP155" s="124"/>
      <c r="IS155" s="160"/>
      <c r="IT155" s="160"/>
      <c r="IU155" s="160"/>
      <c r="IX155" s="124"/>
      <c r="IY155" s="124"/>
      <c r="IZ155" s="124"/>
      <c r="JA155" s="124"/>
      <c r="JD155" s="124"/>
      <c r="JE155" s="124"/>
      <c r="JH155" s="124"/>
      <c r="JI155" s="124"/>
      <c r="JJ155" s="124"/>
      <c r="JM155" s="124"/>
      <c r="JN155" s="124"/>
      <c r="JQ155" s="124"/>
      <c r="JR155" s="124"/>
      <c r="JS155" s="124"/>
      <c r="JV155" s="124"/>
      <c r="JW155" s="124"/>
      <c r="JY155" s="124"/>
      <c r="JZ155" s="124"/>
      <c r="KB155" s="124"/>
      <c r="KC155" s="124"/>
      <c r="KD155" s="124"/>
    </row>
    <row r="156" spans="2:290" hidden="1" x14ac:dyDescent="0.25">
      <c r="B156" s="58" t="s">
        <v>235</v>
      </c>
      <c r="C156" s="136"/>
      <c r="D156" s="136"/>
      <c r="E156" s="136"/>
      <c r="F156" s="136"/>
      <c r="G156" s="136"/>
      <c r="H156" s="132"/>
      <c r="I156" s="158"/>
      <c r="J156" s="158"/>
      <c r="K156" s="158"/>
      <c r="L156" s="158"/>
      <c r="M156" s="132"/>
      <c r="N156" s="158"/>
      <c r="O156" s="158"/>
      <c r="P156" s="158"/>
      <c r="Q156" s="158"/>
      <c r="R156" s="132"/>
      <c r="S156" s="158"/>
      <c r="T156" s="158"/>
      <c r="U156" s="158"/>
      <c r="V156" s="158"/>
      <c r="W156" s="132"/>
      <c r="X156" s="158"/>
      <c r="Y156" s="158"/>
      <c r="Z156" s="158"/>
      <c r="AA156" s="158"/>
      <c r="AB156" s="161">
        <v>0.13909590714722064</v>
      </c>
      <c r="AC156" s="162">
        <v>5.877425044091722E-2</v>
      </c>
      <c r="AD156" s="162">
        <v>8.6187845303867361E-2</v>
      </c>
      <c r="AE156" s="162">
        <v>6.9214876033057759E-2</v>
      </c>
      <c r="AF156" s="162">
        <v>2.9761904761904656E-2</v>
      </c>
      <c r="AG156" s="161">
        <v>5.8988040971738043E-2</v>
      </c>
      <c r="AH156" s="162">
        <v>5.2832493510459599E-2</v>
      </c>
      <c r="AI156" s="162">
        <v>1.1190233977619535E-2</v>
      </c>
      <c r="AJ156" s="162">
        <v>0.12910144927536238</v>
      </c>
      <c r="AK156" s="161"/>
      <c r="AL156" s="162"/>
      <c r="AM156" s="162"/>
      <c r="AN156" s="162"/>
      <c r="AO156" s="162"/>
      <c r="AP156" s="161"/>
      <c r="AQ156" s="162">
        <f t="shared" si="239"/>
        <v>-2.39460541140466E-2</v>
      </c>
      <c r="AR156" s="162">
        <f t="shared" si="239"/>
        <v>0.1950208408843781</v>
      </c>
      <c r="AS156" s="162">
        <f t="shared" si="239"/>
        <v>0.15430459988080392</v>
      </c>
      <c r="AT156" s="162">
        <f t="shared" si="237"/>
        <v>0.14707510466938523</v>
      </c>
      <c r="AU156" s="161">
        <f t="shared" si="237"/>
        <v>0.1129539739952401</v>
      </c>
      <c r="AV156" s="74">
        <f t="shared" si="237"/>
        <v>0.15259376669021263</v>
      </c>
      <c r="AW156" s="74">
        <f t="shared" ref="AW156:CI156" si="241">(AW147/AR147-1)</f>
        <v>0.24748355543760536</v>
      </c>
      <c r="AX156" s="74">
        <f t="shared" si="241"/>
        <v>0.10658687319095694</v>
      </c>
      <c r="AY156" s="74">
        <f t="shared" si="241"/>
        <v>4.0550552251486849E-2</v>
      </c>
      <c r="AZ156" s="161">
        <f t="shared" si="241"/>
        <v>0.13002261245315938</v>
      </c>
      <c r="BA156" s="74">
        <f t="shared" si="241"/>
        <v>7.3863976083706984E-2</v>
      </c>
      <c r="BB156" s="74">
        <f t="shared" si="241"/>
        <v>-3.4395252892863382E-2</v>
      </c>
      <c r="BC156" s="74">
        <f t="shared" si="241"/>
        <v>-2.9147078576225782E-2</v>
      </c>
      <c r="BD156" s="74">
        <f t="shared" si="241"/>
        <v>-6.5594972924600481E-2</v>
      </c>
      <c r="BE156" s="161">
        <f t="shared" si="241"/>
        <v>-1.7904426570112264E-2</v>
      </c>
      <c r="BF156" s="74">
        <f t="shared" si="241"/>
        <v>-0.26651726369855855</v>
      </c>
      <c r="BG156" s="74">
        <f t="shared" si="241"/>
        <v>8.1737351483200937E-2</v>
      </c>
      <c r="BH156" s="74">
        <f t="shared" si="241"/>
        <v>0.34261497684443531</v>
      </c>
      <c r="BI156" s="74">
        <f t="shared" si="241"/>
        <v>0.45725590531915605</v>
      </c>
      <c r="BJ156" s="161">
        <f t="shared" si="241"/>
        <v>0.15340902905540021</v>
      </c>
      <c r="BK156" s="74">
        <f t="shared" si="241"/>
        <v>0.27345358623765259</v>
      </c>
      <c r="BL156" s="74">
        <f t="shared" si="241"/>
        <v>0.40279899329347235</v>
      </c>
      <c r="BM156" s="74">
        <f t="shared" si="241"/>
        <v>5.4923420687261304E-2</v>
      </c>
      <c r="BN156" s="74">
        <f t="shared" si="241"/>
        <v>0.226663276711488</v>
      </c>
      <c r="BO156" s="161">
        <f t="shared" si="241"/>
        <v>0.22270672291908533</v>
      </c>
      <c r="BP156" s="74">
        <f t="shared" si="241"/>
        <v>0.6437023128278494</v>
      </c>
      <c r="BQ156" s="74">
        <f t="shared" si="241"/>
        <v>8.1958372654961975E-2</v>
      </c>
      <c r="BR156" s="74">
        <f t="shared" si="241"/>
        <v>0.18795852162602622</v>
      </c>
      <c r="BS156" s="74">
        <f t="shared" si="241"/>
        <v>1.6115975581618036E-2</v>
      </c>
      <c r="BT156" s="161">
        <f t="shared" si="241"/>
        <v>0.18381616967844394</v>
      </c>
      <c r="BU156" s="74">
        <f t="shared" si="241"/>
        <v>7.3708737159901672E-2</v>
      </c>
      <c r="BV156" s="74">
        <f t="shared" si="241"/>
        <v>0.1064363078692605</v>
      </c>
      <c r="BW156" s="74">
        <f t="shared" si="241"/>
        <v>5.989068295026212E-2</v>
      </c>
      <c r="BX156" s="74">
        <f t="shared" si="241"/>
        <v>0.15763768617942486</v>
      </c>
      <c r="BY156" s="161">
        <f t="shared" si="241"/>
        <v>0.10135965632026611</v>
      </c>
      <c r="BZ156" s="74">
        <f t="shared" si="241"/>
        <v>0.11305085747578736</v>
      </c>
      <c r="CA156" s="74">
        <f t="shared" si="241"/>
        <v>-1.5480640536407964E-2</v>
      </c>
      <c r="CB156" s="74">
        <f t="shared" si="241"/>
        <v>2.4817279817075599E-2</v>
      </c>
      <c r="CC156" s="74">
        <f t="shared" si="241"/>
        <v>6.0208318788252946E-3</v>
      </c>
      <c r="CD156" s="161">
        <f t="shared" si="241"/>
        <v>3.0563652402839425E-2</v>
      </c>
      <c r="CE156" s="74">
        <f t="shared" si="241"/>
        <v>-1.0294536006220878E-2</v>
      </c>
      <c r="CF156" s="74">
        <f t="shared" si="241"/>
        <v>5.3199586440528801E-2</v>
      </c>
      <c r="CG156" s="74">
        <f t="shared" si="241"/>
        <v>7.056911087382689E-2</v>
      </c>
      <c r="CH156" s="74">
        <f t="shared" si="241"/>
        <v>0.16578321216126901</v>
      </c>
      <c r="CI156" s="161">
        <f t="shared" si="241"/>
        <v>7.3506319417847354E-2</v>
      </c>
      <c r="CJ156" s="161">
        <f t="shared" si="240"/>
        <v>0.12765689471060093</v>
      </c>
      <c r="CK156" s="161">
        <f t="shared" si="238"/>
        <v>0.15667273929170444</v>
      </c>
      <c r="CL156" s="161">
        <f t="shared" si="238"/>
        <v>0.17300000000000004</v>
      </c>
      <c r="CM156" s="161">
        <f t="shared" si="238"/>
        <v>0.12200000000000033</v>
      </c>
      <c r="CN156" s="161">
        <f t="shared" si="238"/>
        <v>0.12200000000000033</v>
      </c>
      <c r="CO156" s="74"/>
      <c r="CP156" s="74"/>
      <c r="CQ156" s="6"/>
      <c r="CR156" s="6"/>
      <c r="CS156" s="6"/>
      <c r="CT156" s="124"/>
      <c r="CU156" s="124"/>
      <c r="CV156" s="124"/>
      <c r="CW156" s="124"/>
      <c r="CX156" s="124"/>
      <c r="CY156" s="124"/>
      <c r="CZ156" s="124"/>
      <c r="DA156" s="124"/>
      <c r="DB156" s="124"/>
      <c r="DC156" s="124"/>
      <c r="DD156" s="124"/>
      <c r="DE156" s="124"/>
      <c r="DF156" s="124"/>
      <c r="DG156" s="124"/>
      <c r="DH156" s="124"/>
      <c r="DI156" s="124"/>
      <c r="DK156" s="124"/>
      <c r="DL156" s="124"/>
      <c r="DM156" s="6"/>
      <c r="DN156" s="124"/>
      <c r="DO156" s="124"/>
      <c r="DQ156" s="136"/>
      <c r="DR156" s="124"/>
      <c r="DS156" s="124"/>
      <c r="DT156" s="124"/>
      <c r="DV156" s="124"/>
      <c r="DW156" s="124"/>
      <c r="DX156" s="124"/>
      <c r="EA156" s="111"/>
      <c r="EB156" s="111"/>
      <c r="EC156" s="111"/>
      <c r="ED156" s="124"/>
      <c r="EE156" s="124"/>
      <c r="EF156" s="124"/>
      <c r="EJ156" s="111"/>
      <c r="EK156" s="111"/>
      <c r="EL156" s="124"/>
      <c r="EM156" s="124"/>
      <c r="EN156" s="124"/>
      <c r="EP156" s="111"/>
      <c r="EQ156" s="124"/>
      <c r="ER156" s="124"/>
      <c r="ES156" s="124"/>
      <c r="EV156" s="111"/>
      <c r="EW156" s="111"/>
      <c r="EX156" s="111"/>
      <c r="EY156" s="111"/>
      <c r="EZ156" s="124"/>
      <c r="FA156" s="124"/>
      <c r="FD156" s="111"/>
      <c r="FE156" s="111"/>
      <c r="FF156" s="111"/>
      <c r="FG156" s="124"/>
      <c r="FH156" s="124"/>
      <c r="FK156" s="124"/>
      <c r="FL156" s="124"/>
      <c r="FO156" s="111"/>
      <c r="FP156" s="111"/>
      <c r="FQ156" s="124"/>
      <c r="FR156" s="124"/>
      <c r="FU156" s="111"/>
      <c r="FV156" s="124"/>
      <c r="FW156" s="124"/>
      <c r="FX156" s="124"/>
      <c r="FY156" s="124"/>
      <c r="GA156" s="124"/>
      <c r="GB156" s="124"/>
      <c r="GC156" s="124"/>
      <c r="GF156" s="111"/>
      <c r="GG156" s="111"/>
      <c r="GH156" s="111"/>
      <c r="GI156" s="124"/>
      <c r="GJ156" s="124"/>
      <c r="GK156" s="124"/>
      <c r="GN156" s="111"/>
      <c r="GO156" s="111"/>
      <c r="GP156" s="124"/>
      <c r="GQ156" s="124"/>
      <c r="GR156" s="124"/>
      <c r="GV156" s="111"/>
      <c r="GW156" s="124"/>
      <c r="GX156" s="124"/>
      <c r="GY156" s="124"/>
      <c r="HC156" s="124"/>
      <c r="HD156" s="124"/>
      <c r="HE156" s="124"/>
      <c r="HF156" s="124"/>
      <c r="HI156" s="111"/>
      <c r="HJ156" s="111"/>
      <c r="HK156" s="111"/>
      <c r="HL156" s="111"/>
      <c r="HM156" s="124"/>
      <c r="HN156" s="124"/>
      <c r="HO156" s="124"/>
      <c r="HR156" s="111"/>
      <c r="HS156" s="111"/>
      <c r="HT156" s="111"/>
      <c r="HU156" s="124"/>
      <c r="HV156" s="124"/>
      <c r="HW156" s="124"/>
      <c r="HZ156" s="111"/>
      <c r="IA156" s="124"/>
      <c r="IB156" s="124"/>
      <c r="IC156" s="124"/>
      <c r="IE156" s="111"/>
      <c r="IF156" s="124"/>
      <c r="IG156" s="124"/>
      <c r="IH156" s="124"/>
      <c r="IK156" s="124"/>
      <c r="IL156" s="124"/>
      <c r="IO156" s="124"/>
      <c r="IP156" s="124"/>
      <c r="IS156" s="160"/>
      <c r="IT156" s="160"/>
      <c r="IU156" s="160"/>
      <c r="IX156" s="124"/>
      <c r="IY156" s="124"/>
      <c r="IZ156" s="124"/>
      <c r="JA156" s="124"/>
      <c r="JD156" s="124"/>
      <c r="JE156" s="124"/>
      <c r="JH156" s="124"/>
      <c r="JI156" s="124"/>
      <c r="JJ156" s="124"/>
      <c r="JM156" s="124"/>
      <c r="JN156" s="124"/>
      <c r="JQ156" s="124"/>
      <c r="JR156" s="124"/>
      <c r="JS156" s="124"/>
      <c r="JV156" s="124"/>
      <c r="JW156" s="124"/>
      <c r="JY156" s="124"/>
      <c r="JZ156" s="124"/>
      <c r="KB156" s="124"/>
      <c r="KC156" s="124"/>
      <c r="KD156" s="124"/>
    </row>
    <row r="157" spans="2:290" hidden="1" x14ac:dyDescent="0.25">
      <c r="B157" s="6"/>
      <c r="C157" s="173"/>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c r="AA157" s="136"/>
      <c r="AB157" s="136"/>
      <c r="AC157" s="136"/>
      <c r="AD157" s="136"/>
      <c r="AE157" s="136"/>
      <c r="AF157" s="136"/>
      <c r="AG157" s="136"/>
      <c r="AH157" s="136"/>
      <c r="AI157" s="136"/>
      <c r="AJ157" s="136"/>
      <c r="AK157" s="136"/>
      <c r="AL157" s="166">
        <f>AL123/AP123</f>
        <v>0.28481391676011436</v>
      </c>
      <c r="AM157" s="166"/>
      <c r="AN157" s="136"/>
      <c r="AO157" s="136"/>
      <c r="AP157" s="136"/>
      <c r="AQ157" s="166">
        <f>AQ123/AU123</f>
        <v>0.24837659713203317</v>
      </c>
      <c r="AR157" s="136"/>
      <c r="AS157" s="136"/>
      <c r="AT157" s="136"/>
      <c r="AU157" s="174"/>
      <c r="AV157" s="166">
        <f>AV123/AZ123</f>
        <v>0.25081222062248892</v>
      </c>
      <c r="AW157" s="136"/>
      <c r="AX157" s="136"/>
      <c r="AY157" s="136"/>
      <c r="AZ157" s="174"/>
      <c r="BA157" s="166">
        <f>BA123/BE123</f>
        <v>0.27563113425560298</v>
      </c>
      <c r="BB157" s="136"/>
      <c r="BC157" s="136"/>
      <c r="BD157" s="136"/>
      <c r="BE157" s="174">
        <f>BE119/4</f>
        <v>75193</v>
      </c>
      <c r="BF157" s="166"/>
      <c r="BG157" s="136"/>
      <c r="BH157" s="136"/>
      <c r="BI157" s="136"/>
      <c r="BJ157" s="174"/>
      <c r="BK157" s="166"/>
      <c r="BL157" s="136"/>
      <c r="BM157" s="136"/>
      <c r="BN157" s="136"/>
      <c r="BO157" s="174"/>
      <c r="BP157" s="166"/>
      <c r="BQ157" s="136"/>
      <c r="BR157" s="136"/>
      <c r="BS157" s="136"/>
      <c r="BT157" s="174"/>
      <c r="BU157" s="166"/>
      <c r="BV157" s="136"/>
      <c r="BW157" s="136">
        <f>BW119/BV119-1</f>
        <v>0.18531220550087935</v>
      </c>
      <c r="BX157" s="136">
        <f>BX119/BW119-1</f>
        <v>0.30156635492569861</v>
      </c>
      <c r="BY157" s="174"/>
      <c r="BZ157" s="166"/>
      <c r="CA157" s="136"/>
      <c r="CB157" s="136"/>
      <c r="CC157" s="136"/>
      <c r="CD157" s="174"/>
      <c r="CE157" s="166"/>
      <c r="CF157" s="136"/>
      <c r="CG157" s="136"/>
      <c r="CH157" s="136"/>
      <c r="CI157" s="174"/>
      <c r="CJ157" s="174"/>
      <c r="CK157" s="174"/>
      <c r="CL157" s="174"/>
      <c r="CM157" s="174"/>
      <c r="CN157" s="174"/>
      <c r="CO157" s="175"/>
      <c r="CP157" s="175"/>
      <c r="CQ157" s="6"/>
      <c r="CR157" s="6"/>
      <c r="CS157" s="6"/>
      <c r="CT157" s="136"/>
      <c r="CU157" s="136"/>
      <c r="CV157" s="136"/>
      <c r="CW157" s="136"/>
      <c r="CX157" s="136"/>
      <c r="DK157" s="6"/>
      <c r="DL157" s="6"/>
      <c r="DM157" s="6"/>
      <c r="DN157" s="136"/>
      <c r="DO157" s="136"/>
      <c r="EA157" s="136"/>
      <c r="EB157" s="136"/>
      <c r="EC157" s="136"/>
      <c r="ED157" s="174"/>
      <c r="EE157" s="174"/>
      <c r="EF157" s="174"/>
      <c r="EJ157" s="136"/>
      <c r="EK157" s="136"/>
      <c r="EL157" s="174"/>
      <c r="EM157" s="174"/>
      <c r="EN157" s="174"/>
      <c r="EP157" s="136"/>
      <c r="EQ157" s="174"/>
      <c r="ER157" s="174"/>
      <c r="ES157" s="174"/>
      <c r="EV157" s="136"/>
      <c r="EW157" s="136"/>
      <c r="EX157" s="136"/>
      <c r="EY157" s="136"/>
      <c r="EZ157" s="174"/>
      <c r="FA157" s="174"/>
      <c r="FD157" s="136"/>
      <c r="FE157" s="136"/>
      <c r="FF157" s="136"/>
      <c r="FG157" s="174"/>
      <c r="FH157" s="174"/>
      <c r="FK157" s="174"/>
      <c r="FL157" s="174"/>
      <c r="FO157" s="136"/>
      <c r="FP157" s="136"/>
      <c r="FQ157" s="174"/>
      <c r="FR157" s="174"/>
      <c r="FU157" s="136"/>
      <c r="FV157" s="174"/>
      <c r="FW157" s="174"/>
      <c r="FX157" s="174"/>
      <c r="FY157" s="174"/>
      <c r="GA157" s="174"/>
      <c r="GB157" s="174"/>
      <c r="GC157" s="174"/>
      <c r="GF157" s="136"/>
      <c r="GG157" s="136"/>
      <c r="GH157" s="136"/>
      <c r="GI157" s="174"/>
      <c r="GJ157" s="174"/>
      <c r="GK157" s="174"/>
      <c r="GN157" s="136"/>
      <c r="GO157" s="136"/>
      <c r="GP157" s="174"/>
      <c r="GQ157" s="174"/>
      <c r="GR157" s="174"/>
      <c r="GV157" s="136"/>
      <c r="GW157" s="174"/>
      <c r="GX157" s="174"/>
      <c r="GY157" s="174"/>
      <c r="HC157" s="176"/>
      <c r="HD157" s="177"/>
      <c r="HE157" s="177"/>
      <c r="HF157" s="177"/>
      <c r="HI157" s="24"/>
      <c r="HJ157" s="24"/>
      <c r="HK157" s="24"/>
      <c r="HL157" s="24"/>
      <c r="HM157" s="178"/>
      <c r="HN157" s="177"/>
      <c r="HO157" s="177"/>
      <c r="HR157" s="24"/>
      <c r="HS157" s="24"/>
      <c r="HT157" s="24"/>
      <c r="HU157" s="178"/>
      <c r="HV157" s="177"/>
      <c r="HW157" s="177"/>
      <c r="HZ157" s="24">
        <v>1.8241787553183952E-2</v>
      </c>
      <c r="IA157" s="178">
        <v>0.20127005424854816</v>
      </c>
      <c r="IB157" s="177"/>
      <c r="IC157" s="177"/>
      <c r="IE157" s="24">
        <v>0.12569765873867134</v>
      </c>
      <c r="IF157" s="178">
        <v>0.27100479166195512</v>
      </c>
      <c r="IG157" s="177"/>
      <c r="IH157" s="177"/>
      <c r="IK157" s="177"/>
      <c r="IL157" s="177"/>
      <c r="IO157" s="179"/>
      <c r="IP157" s="177"/>
      <c r="IS157" s="168">
        <v>608950.15</v>
      </c>
      <c r="IT157" s="168">
        <v>697636.07359999989</v>
      </c>
      <c r="IU157" s="168">
        <v>799637.13493599999</v>
      </c>
      <c r="IX157" s="178">
        <v>0.19139529355835494</v>
      </c>
      <c r="IY157" s="179">
        <v>0.25039859743613535</v>
      </c>
      <c r="IZ157" s="178">
        <v>3.1579206317912861E-2</v>
      </c>
      <c r="JA157" s="177"/>
      <c r="JD157" s="178">
        <v>3.1264606433318062E-2</v>
      </c>
      <c r="JE157" s="177"/>
      <c r="JH157" s="178">
        <v>3.1264606433318062E-2</v>
      </c>
      <c r="JI157" s="180"/>
      <c r="JJ157" s="180"/>
      <c r="JM157" s="180"/>
      <c r="JN157" s="180"/>
      <c r="JQ157" s="178">
        <v>3.1264606433318062E-2</v>
      </c>
      <c r="JR157" s="180"/>
      <c r="JS157" s="180"/>
      <c r="JV157" s="180"/>
      <c r="JW157" s="180"/>
      <c r="JY157" s="180"/>
      <c r="JZ157" s="180"/>
      <c r="KB157" s="180"/>
      <c r="KC157" s="180"/>
      <c r="KD157" s="180"/>
    </row>
    <row r="158" spans="2:290" s="60" customFormat="1" hidden="1" x14ac:dyDescent="0.25">
      <c r="B158" s="58" t="s">
        <v>237</v>
      </c>
      <c r="C158" s="4"/>
      <c r="D158" s="4" t="str">
        <f>D149</f>
        <v>1QFY10</v>
      </c>
      <c r="E158" s="4" t="str">
        <f t="shared" ref="E158:BP158" si="242">E149</f>
        <v>2QFY10</v>
      </c>
      <c r="F158" s="4" t="str">
        <f t="shared" si="242"/>
        <v>3QFY10</v>
      </c>
      <c r="G158" s="4" t="str">
        <f t="shared" si="242"/>
        <v>4QFY10</v>
      </c>
      <c r="H158" s="145" t="str">
        <f t="shared" si="242"/>
        <v>CY10</v>
      </c>
      <c r="I158" s="156" t="str">
        <f t="shared" si="242"/>
        <v>1QFY11</v>
      </c>
      <c r="J158" s="156" t="str">
        <f t="shared" si="242"/>
        <v>2QFY11</v>
      </c>
      <c r="K158" s="156" t="str">
        <f t="shared" si="242"/>
        <v>3QFY11</v>
      </c>
      <c r="L158" s="156" t="str">
        <f t="shared" si="242"/>
        <v>4QFY11</v>
      </c>
      <c r="M158" s="145" t="str">
        <f t="shared" si="242"/>
        <v>CY11</v>
      </c>
      <c r="N158" s="156" t="str">
        <f t="shared" si="242"/>
        <v>1QFY12</v>
      </c>
      <c r="O158" s="156" t="str">
        <f t="shared" si="242"/>
        <v>2QFY12</v>
      </c>
      <c r="P158" s="156" t="str">
        <f t="shared" si="242"/>
        <v>3QFY12</v>
      </c>
      <c r="Q158" s="156" t="str">
        <f t="shared" si="242"/>
        <v>4QFY12</v>
      </c>
      <c r="R158" s="145" t="str">
        <f t="shared" si="242"/>
        <v>CY12</v>
      </c>
      <c r="S158" s="156" t="str">
        <f t="shared" si="242"/>
        <v>1QFY13</v>
      </c>
      <c r="T158" s="156" t="str">
        <f t="shared" si="242"/>
        <v>2QFY13</v>
      </c>
      <c r="U158" s="156" t="str">
        <f t="shared" si="242"/>
        <v>3QFY13</v>
      </c>
      <c r="V158" s="156" t="str">
        <f t="shared" si="242"/>
        <v>4QFY13</v>
      </c>
      <c r="W158" s="145" t="str">
        <f t="shared" si="242"/>
        <v>CY13</v>
      </c>
      <c r="X158" s="156" t="str">
        <f t="shared" si="242"/>
        <v>1QFY14</v>
      </c>
      <c r="Y158" s="156" t="str">
        <f t="shared" si="242"/>
        <v>2QFY14</v>
      </c>
      <c r="Z158" s="156" t="str">
        <f t="shared" si="242"/>
        <v>3QFY14</v>
      </c>
      <c r="AA158" s="156" t="str">
        <f t="shared" si="242"/>
        <v>4QFY14</v>
      </c>
      <c r="AB158" s="145" t="str">
        <f t="shared" si="242"/>
        <v>CY14</v>
      </c>
      <c r="AC158" s="156" t="str">
        <f t="shared" si="242"/>
        <v>1QFY15</v>
      </c>
      <c r="AD158" s="156" t="str">
        <f t="shared" si="242"/>
        <v>2QFY15</v>
      </c>
      <c r="AE158" s="156" t="str">
        <f t="shared" si="242"/>
        <v>3QFY15</v>
      </c>
      <c r="AF158" s="156" t="str">
        <f t="shared" si="242"/>
        <v>4QFY15</v>
      </c>
      <c r="AG158" s="145" t="str">
        <f t="shared" si="242"/>
        <v>CY15</v>
      </c>
      <c r="AH158" s="156" t="str">
        <f t="shared" si="242"/>
        <v>1QFY16</v>
      </c>
      <c r="AI158" s="156" t="str">
        <f t="shared" si="242"/>
        <v>2QFY16</v>
      </c>
      <c r="AJ158" s="156" t="str">
        <f t="shared" si="242"/>
        <v>3QFY16</v>
      </c>
      <c r="AK158" s="145" t="str">
        <f t="shared" si="242"/>
        <v>FY16</v>
      </c>
      <c r="AL158" s="156" t="str">
        <f t="shared" si="242"/>
        <v>1QFY17</v>
      </c>
      <c r="AM158" s="156" t="str">
        <f t="shared" si="242"/>
        <v>2QFY17</v>
      </c>
      <c r="AN158" s="156" t="str">
        <f t="shared" si="242"/>
        <v>3QFY17</v>
      </c>
      <c r="AO158" s="156" t="str">
        <f t="shared" si="242"/>
        <v>4QFY17</v>
      </c>
      <c r="AP158" s="145" t="str">
        <f t="shared" si="242"/>
        <v>FY17</v>
      </c>
      <c r="AQ158" s="156" t="str">
        <f t="shared" si="242"/>
        <v>1QFY18</v>
      </c>
      <c r="AR158" s="156" t="str">
        <f t="shared" si="242"/>
        <v>2QFY18</v>
      </c>
      <c r="AS158" s="156" t="str">
        <f t="shared" si="242"/>
        <v>3QFY18</v>
      </c>
      <c r="AT158" s="156" t="str">
        <f t="shared" si="242"/>
        <v>4QFY18</v>
      </c>
      <c r="AU158" s="145" t="str">
        <f t="shared" si="242"/>
        <v>FY18</v>
      </c>
      <c r="AV158" s="148" t="str">
        <f t="shared" si="242"/>
        <v>1QFY19</v>
      </c>
      <c r="AW158" s="148" t="str">
        <f t="shared" si="242"/>
        <v>2QFY19</v>
      </c>
      <c r="AX158" s="148" t="str">
        <f t="shared" si="242"/>
        <v>3QFY19</v>
      </c>
      <c r="AY158" s="148" t="str">
        <f t="shared" si="242"/>
        <v>4QFY19</v>
      </c>
      <c r="AZ158" s="145" t="str">
        <f t="shared" si="242"/>
        <v>FY19</v>
      </c>
      <c r="BA158" s="148" t="str">
        <f t="shared" si="242"/>
        <v>1QFY20</v>
      </c>
      <c r="BB158" s="148" t="str">
        <f t="shared" si="242"/>
        <v>2QFY20</v>
      </c>
      <c r="BC158" s="148" t="str">
        <f t="shared" si="242"/>
        <v>3QFY20</v>
      </c>
      <c r="BD158" s="148" t="str">
        <f t="shared" si="242"/>
        <v>4QFY20</v>
      </c>
      <c r="BE158" s="145" t="str">
        <f t="shared" si="242"/>
        <v>FY20</v>
      </c>
      <c r="BF158" s="148" t="str">
        <f t="shared" si="242"/>
        <v>1QFY21</v>
      </c>
      <c r="BG158" s="148" t="str">
        <f t="shared" si="242"/>
        <v>2QFY21</v>
      </c>
      <c r="BH158" s="148" t="str">
        <f t="shared" si="242"/>
        <v>3QFY21</v>
      </c>
      <c r="BI158" s="148" t="str">
        <f t="shared" si="242"/>
        <v>4QFY21</v>
      </c>
      <c r="BJ158" s="145" t="str">
        <f t="shared" si="242"/>
        <v>FY21</v>
      </c>
      <c r="BK158" s="148" t="str">
        <f t="shared" si="242"/>
        <v>1QFY22</v>
      </c>
      <c r="BL158" s="148" t="str">
        <f t="shared" si="242"/>
        <v>2QFY22</v>
      </c>
      <c r="BM158" s="148" t="str">
        <f t="shared" si="242"/>
        <v>3QFY22</v>
      </c>
      <c r="BN158" s="148" t="str">
        <f t="shared" si="242"/>
        <v>4QFY22</v>
      </c>
      <c r="BO158" s="145" t="str">
        <f t="shared" si="242"/>
        <v>FY22</v>
      </c>
      <c r="BP158" s="148" t="str">
        <f t="shared" si="242"/>
        <v>1QFY23</v>
      </c>
      <c r="BQ158" s="148" t="str">
        <f t="shared" ref="BQ158:CN158" si="243">BQ149</f>
        <v>2QFY23</v>
      </c>
      <c r="BR158" s="148" t="str">
        <f t="shared" si="243"/>
        <v>3QFY23</v>
      </c>
      <c r="BS158" s="148" t="str">
        <f t="shared" si="243"/>
        <v>4QFY23</v>
      </c>
      <c r="BT158" s="145" t="str">
        <f t="shared" si="243"/>
        <v>FY23</v>
      </c>
      <c r="BU158" s="148" t="str">
        <f t="shared" si="243"/>
        <v>1QFY24</v>
      </c>
      <c r="BV158" s="148" t="str">
        <f t="shared" si="243"/>
        <v>2QFY24</v>
      </c>
      <c r="BW158" s="148" t="str">
        <f t="shared" si="243"/>
        <v>3QFY24</v>
      </c>
      <c r="BX158" s="148" t="str">
        <f t="shared" si="243"/>
        <v>4QFY24</v>
      </c>
      <c r="BY158" s="145" t="str">
        <f t="shared" si="243"/>
        <v>FY24</v>
      </c>
      <c r="BZ158" s="148" t="str">
        <f t="shared" si="243"/>
        <v>1QFY25</v>
      </c>
      <c r="CA158" s="148" t="str">
        <f t="shared" si="243"/>
        <v>2QFY25</v>
      </c>
      <c r="CB158" s="148" t="str">
        <f t="shared" si="243"/>
        <v>3QFY25</v>
      </c>
      <c r="CC158" s="148" t="str">
        <f t="shared" si="243"/>
        <v>4QFY25</v>
      </c>
      <c r="CD158" s="145" t="str">
        <f t="shared" si="243"/>
        <v>FY25</v>
      </c>
      <c r="CE158" s="148" t="str">
        <f t="shared" si="243"/>
        <v>1QFY26</v>
      </c>
      <c r="CF158" s="148" t="str">
        <f t="shared" si="243"/>
        <v>2QFY26</v>
      </c>
      <c r="CG158" s="148" t="str">
        <f t="shared" si="243"/>
        <v>3QFY26</v>
      </c>
      <c r="CH158" s="148" t="str">
        <f t="shared" si="243"/>
        <v>4QFY26</v>
      </c>
      <c r="CI158" s="145" t="str">
        <f t="shared" si="243"/>
        <v>FY26</v>
      </c>
      <c r="CJ158" s="145" t="str">
        <f t="shared" si="243"/>
        <v>FY27E</v>
      </c>
      <c r="CK158" s="145" t="str">
        <f t="shared" si="243"/>
        <v>FY28E</v>
      </c>
      <c r="CL158" s="145" t="str">
        <f t="shared" si="243"/>
        <v>FY29E</v>
      </c>
      <c r="CM158" s="145" t="str">
        <f t="shared" si="243"/>
        <v>FY30E</v>
      </c>
      <c r="CN158" s="145" t="str">
        <f t="shared" si="243"/>
        <v>FY31E</v>
      </c>
      <c r="CO158" s="148"/>
      <c r="CP158" s="148"/>
      <c r="CQ158" s="58"/>
      <c r="CR158" s="58"/>
      <c r="CS158" s="58"/>
      <c r="CT158" s="143"/>
      <c r="CU158" s="143"/>
      <c r="CV158" s="143"/>
      <c r="CW158" s="143"/>
      <c r="CX158" s="143"/>
      <c r="CY158" s="143"/>
      <c r="CZ158" s="143"/>
      <c r="DA158" s="143"/>
      <c r="DB158" s="143"/>
      <c r="DC158" s="143"/>
      <c r="DD158" s="143"/>
      <c r="DE158" s="143"/>
      <c r="DF158" s="143"/>
      <c r="DG158" s="143"/>
      <c r="DH158" s="143"/>
      <c r="DI158" s="143"/>
      <c r="DK158" s="143"/>
      <c r="DL158" s="143"/>
      <c r="DM158" s="58"/>
      <c r="DN158" s="143"/>
      <c r="DO158" s="143"/>
      <c r="DQ158" s="4"/>
      <c r="DR158" s="143"/>
      <c r="DS158" s="143"/>
      <c r="DT158" s="143"/>
      <c r="DV158" s="143"/>
      <c r="DW158" s="143"/>
      <c r="DX158" s="143"/>
      <c r="EA158" s="119"/>
      <c r="EB158" s="119"/>
      <c r="EC158" s="119"/>
      <c r="ED158" s="143"/>
      <c r="EE158" s="143"/>
      <c r="EF158" s="143"/>
      <c r="EJ158" s="119"/>
      <c r="EK158" s="119"/>
      <c r="EL158" s="143"/>
      <c r="EM158" s="143"/>
      <c r="EN158" s="143"/>
      <c r="EP158" s="119"/>
      <c r="EQ158" s="143"/>
      <c r="ER158" s="143"/>
      <c r="ES158" s="143"/>
      <c r="EV158" s="119"/>
      <c r="EW158" s="119"/>
      <c r="EX158" s="119"/>
      <c r="EY158" s="119"/>
      <c r="EZ158" s="143"/>
      <c r="FA158" s="143"/>
      <c r="FD158" s="119"/>
      <c r="FE158" s="119"/>
      <c r="FF158" s="119"/>
      <c r="FG158" s="143"/>
      <c r="FH158" s="143"/>
      <c r="FK158" s="143"/>
      <c r="FL158" s="143"/>
      <c r="FO158" s="119"/>
      <c r="FP158" s="119"/>
      <c r="FQ158" s="143"/>
      <c r="FR158" s="143"/>
      <c r="FU158" s="119"/>
      <c r="FV158" s="143"/>
      <c r="FW158" s="143"/>
      <c r="FX158" s="143"/>
      <c r="FY158" s="143"/>
      <c r="GA158" s="143"/>
      <c r="GB158" s="143"/>
      <c r="GC158" s="143"/>
      <c r="GF158" s="119"/>
      <c r="GG158" s="119"/>
      <c r="GH158" s="119"/>
      <c r="GI158" s="143"/>
      <c r="GJ158" s="143"/>
      <c r="GK158" s="143"/>
      <c r="GN158" s="119"/>
      <c r="GO158" s="119"/>
      <c r="GP158" s="143"/>
      <c r="GQ158" s="143"/>
      <c r="GR158" s="143"/>
      <c r="GV158" s="119"/>
      <c r="GW158" s="143"/>
      <c r="GX158" s="143"/>
      <c r="GY158" s="143"/>
      <c r="HC158" s="143">
        <v>-9.6291871368132442E-2</v>
      </c>
      <c r="HD158" s="143"/>
      <c r="HE158" s="143"/>
      <c r="HF158" s="143"/>
      <c r="HI158" s="119"/>
      <c r="HJ158" s="119"/>
      <c r="HK158" s="119"/>
      <c r="HL158" s="119"/>
      <c r="HM158" s="143"/>
      <c r="HN158" s="143"/>
      <c r="HO158" s="143"/>
      <c r="HR158" s="119"/>
      <c r="HS158" s="119"/>
      <c r="HT158" s="119"/>
      <c r="HU158" s="143"/>
      <c r="HV158" s="143"/>
      <c r="HW158" s="143"/>
      <c r="HZ158" s="119"/>
      <c r="IA158" s="143"/>
      <c r="IB158" s="143"/>
      <c r="IC158" s="143"/>
      <c r="IE158" s="119"/>
      <c r="IF158" s="143"/>
      <c r="IG158" s="143"/>
      <c r="IH158" s="143"/>
      <c r="IK158" s="143"/>
      <c r="IL158" s="143"/>
      <c r="IO158" s="143"/>
      <c r="IP158" s="143"/>
      <c r="IS158" s="157">
        <v>181.04251369344436</v>
      </c>
      <c r="IT158" s="157">
        <v>182.40344692404966</v>
      </c>
      <c r="IU158" s="157">
        <v>183.78245536476501</v>
      </c>
      <c r="IX158" s="143"/>
      <c r="IY158" s="143"/>
      <c r="IZ158" s="143"/>
      <c r="JA158" s="143"/>
      <c r="JD158" s="143"/>
      <c r="JE158" s="143"/>
      <c r="JH158" s="143"/>
      <c r="JI158" s="143"/>
      <c r="JJ158" s="143"/>
      <c r="JM158" s="143"/>
      <c r="JN158" s="143"/>
      <c r="JQ158" s="143"/>
      <c r="JR158" s="143"/>
      <c r="JS158" s="143"/>
      <c r="JV158" s="143"/>
      <c r="JW158" s="143"/>
      <c r="JY158" s="143"/>
      <c r="JZ158" s="143"/>
      <c r="KB158" s="143"/>
      <c r="KC158" s="143"/>
      <c r="KD158" s="143"/>
    </row>
    <row r="159" spans="2:290" hidden="1" x14ac:dyDescent="0.25">
      <c r="B159" s="6" t="s">
        <v>238</v>
      </c>
      <c r="C159" s="136"/>
      <c r="D159" s="136"/>
      <c r="E159" s="136"/>
      <c r="F159" s="136"/>
      <c r="G159" s="136"/>
      <c r="H159" s="132"/>
      <c r="I159" s="158"/>
      <c r="J159" s="158"/>
      <c r="K159" s="158"/>
      <c r="L159" s="158"/>
      <c r="M159" s="132"/>
      <c r="N159" s="158"/>
      <c r="O159" s="158"/>
      <c r="P159" s="158"/>
      <c r="Q159" s="158"/>
      <c r="R159" s="132"/>
      <c r="S159" s="158"/>
      <c r="T159" s="158"/>
      <c r="U159" s="158"/>
      <c r="V159" s="158"/>
      <c r="W159" s="132">
        <f t="shared" ref="W159:AW159" si="244">W3*10000/W123</f>
        <v>0</v>
      </c>
      <c r="X159" s="158">
        <f t="shared" si="244"/>
        <v>0</v>
      </c>
      <c r="Y159" s="158">
        <f t="shared" si="244"/>
        <v>0</v>
      </c>
      <c r="Z159" s="158">
        <f t="shared" si="244"/>
        <v>0</v>
      </c>
      <c r="AA159" s="158">
        <f t="shared" si="244"/>
        <v>0</v>
      </c>
      <c r="AB159" s="132">
        <f t="shared" si="244"/>
        <v>0</v>
      </c>
      <c r="AC159" s="158">
        <f t="shared" si="244"/>
        <v>0</v>
      </c>
      <c r="AD159" s="158">
        <f t="shared" si="244"/>
        <v>0</v>
      </c>
      <c r="AE159" s="158">
        <f t="shared" si="244"/>
        <v>0</v>
      </c>
      <c r="AF159" s="158">
        <f t="shared" si="244"/>
        <v>0</v>
      </c>
      <c r="AG159" s="132">
        <f t="shared" si="244"/>
        <v>0</v>
      </c>
      <c r="AH159" s="158">
        <f t="shared" si="244"/>
        <v>0</v>
      </c>
      <c r="AI159" s="158">
        <f t="shared" si="244"/>
        <v>0</v>
      </c>
      <c r="AJ159" s="158">
        <f t="shared" si="244"/>
        <v>0</v>
      </c>
      <c r="AK159" s="132">
        <f t="shared" si="244"/>
        <v>0</v>
      </c>
      <c r="AL159" s="158">
        <f t="shared" si="244"/>
        <v>137.09387464827927</v>
      </c>
      <c r="AM159" s="158">
        <f t="shared" si="244"/>
        <v>147.42361589364313</v>
      </c>
      <c r="AN159" s="158">
        <f t="shared" si="244"/>
        <v>152.68935100773666</v>
      </c>
      <c r="AO159" s="158">
        <f t="shared" si="244"/>
        <v>134.07515810379974</v>
      </c>
      <c r="AP159" s="132">
        <f t="shared" si="244"/>
        <v>0</v>
      </c>
      <c r="AQ159" s="158">
        <f t="shared" si="244"/>
        <v>126.01946171119862</v>
      </c>
      <c r="AR159" s="158">
        <f t="shared" si="244"/>
        <v>133.50795940576518</v>
      </c>
      <c r="AS159" s="158">
        <f t="shared" si="244"/>
        <v>132.14178649327559</v>
      </c>
      <c r="AT159" s="158">
        <f t="shared" si="244"/>
        <v>142.57776916367865</v>
      </c>
      <c r="AU159" s="132">
        <f t="shared" si="244"/>
        <v>133.81393243410736</v>
      </c>
      <c r="AV159" s="137">
        <f t="shared" si="244"/>
        <v>134.81501517747122</v>
      </c>
      <c r="AW159" s="137">
        <f t="shared" si="244"/>
        <v>148.52416048477272</v>
      </c>
      <c r="AX159" s="137">
        <f t="shared" ref="AX159:CN159" si="245">AX6*10000/AX123</f>
        <v>140.07942009467033</v>
      </c>
      <c r="AY159" s="137">
        <f t="shared" si="245"/>
        <v>134.27974984431054</v>
      </c>
      <c r="AZ159" s="132">
        <f t="shared" si="245"/>
        <v>139.60671686981604</v>
      </c>
      <c r="BA159" s="137">
        <f t="shared" si="245"/>
        <v>126.67357266283457</v>
      </c>
      <c r="BB159" s="137">
        <f t="shared" si="245"/>
        <v>136.96256684491982</v>
      </c>
      <c r="BC159" s="137">
        <f t="shared" si="245"/>
        <v>135.44524769954532</v>
      </c>
      <c r="BD159" s="137">
        <f t="shared" si="245"/>
        <v>138.61337209302326</v>
      </c>
      <c r="BE159" s="132">
        <f t="shared" si="245"/>
        <v>133.93095370588622</v>
      </c>
      <c r="BF159" s="137">
        <f t="shared" si="245"/>
        <v>115.23985522301562</v>
      </c>
      <c r="BG159" s="137">
        <f t="shared" si="245"/>
        <v>144.96393774516005</v>
      </c>
      <c r="BH159" s="137">
        <f t="shared" si="245"/>
        <v>165.23874390593633</v>
      </c>
      <c r="BI159" s="137">
        <f t="shared" si="245"/>
        <v>187.39909023894711</v>
      </c>
      <c r="BJ159" s="132">
        <f t="shared" si="245"/>
        <v>155.38792840049965</v>
      </c>
      <c r="BK159" s="137">
        <f t="shared" si="245"/>
        <v>188.32510103277951</v>
      </c>
      <c r="BL159" s="137">
        <f t="shared" si="245"/>
        <v>187.83321808070281</v>
      </c>
      <c r="BM159" s="137">
        <f t="shared" si="245"/>
        <v>212.8990948195659</v>
      </c>
      <c r="BN159" s="137">
        <f t="shared" si="245"/>
        <v>198.8297682085734</v>
      </c>
      <c r="BO159" s="132">
        <f t="shared" si="245"/>
        <v>197.32627244501876</v>
      </c>
      <c r="BP159" s="137">
        <f t="shared" si="245"/>
        <v>202.52841482896017</v>
      </c>
      <c r="BQ159" s="137">
        <f t="shared" si="245"/>
        <v>186.63184351046036</v>
      </c>
      <c r="BR159" s="137">
        <f t="shared" si="245"/>
        <v>167.00466891198451</v>
      </c>
      <c r="BS159" s="137">
        <f t="shared" si="245"/>
        <v>176.2586999877895</v>
      </c>
      <c r="BT159" s="132">
        <f t="shared" si="245"/>
        <v>181.66775583858669</v>
      </c>
      <c r="BU159" s="137">
        <f t="shared" si="245"/>
        <v>159.45309133993968</v>
      </c>
      <c r="BV159" s="137">
        <f t="shared" si="245"/>
        <v>167.58418443268511</v>
      </c>
      <c r="BW159" s="137">
        <f t="shared" si="245"/>
        <v>154.98180667615884</v>
      </c>
      <c r="BX159" s="137">
        <f t="shared" si="245"/>
        <v>153.95943061591143</v>
      </c>
      <c r="BY159" s="132">
        <f t="shared" si="245"/>
        <v>158.42182519645897</v>
      </c>
      <c r="BZ159" s="137">
        <f t="shared" si="245"/>
        <v>151.65818160899704</v>
      </c>
      <c r="CA159" s="137">
        <f t="shared" si="245"/>
        <v>164.61467152385987</v>
      </c>
      <c r="CB159" s="137">
        <f t="shared" si="245"/>
        <v>153.20962031497984</v>
      </c>
      <c r="CC159" s="137">
        <f t="shared" si="245"/>
        <v>151.4489128150735</v>
      </c>
      <c r="CD159" s="132">
        <f t="shared" si="245"/>
        <v>154.87168463032424</v>
      </c>
      <c r="CE159" s="137">
        <f t="shared" si="245"/>
        <v>141.96460148101397</v>
      </c>
      <c r="CF159" s="137">
        <f t="shared" si="245"/>
        <v>155.01227085235476</v>
      </c>
      <c r="CG159" s="137">
        <f t="shared" si="245"/>
        <v>146.19302044680458</v>
      </c>
      <c r="CH159" s="137">
        <f t="shared" si="245"/>
        <v>152.1284073708315</v>
      </c>
      <c r="CI159" s="132">
        <f t="shared" si="245"/>
        <v>148.79434411497471</v>
      </c>
      <c r="CJ159" s="132">
        <f t="shared" si="245"/>
        <v>147.98660422671082</v>
      </c>
      <c r="CK159" s="132">
        <f t="shared" si="245"/>
        <v>147.97369959463592</v>
      </c>
      <c r="CL159" s="132">
        <f t="shared" si="245"/>
        <v>153.45995645403565</v>
      </c>
      <c r="CM159" s="132">
        <f t="shared" si="245"/>
        <v>153.51804494940532</v>
      </c>
      <c r="CN159" s="132">
        <f t="shared" si="245"/>
        <v>153.136548365469</v>
      </c>
      <c r="CO159" s="137"/>
      <c r="CP159" s="137"/>
      <c r="CQ159" s="6">
        <f>CJ159*14%</f>
        <v>20.718124591739517</v>
      </c>
      <c r="CR159" s="6">
        <f>CK159*14%</f>
        <v>20.716317943249031</v>
      </c>
      <c r="CS159" s="6"/>
      <c r="CT159" s="124"/>
      <c r="CU159" s="124"/>
      <c r="CV159" s="124"/>
      <c r="CW159" s="124"/>
      <c r="CX159" s="124"/>
      <c r="CY159" s="124"/>
      <c r="CZ159" s="124"/>
      <c r="DA159" s="124"/>
      <c r="DB159" s="124"/>
      <c r="DC159" s="124"/>
      <c r="DD159" s="124"/>
      <c r="DE159" s="124"/>
      <c r="DF159" s="124"/>
      <c r="DG159" s="124"/>
      <c r="DH159" s="124"/>
      <c r="DI159" s="124"/>
      <c r="DK159" s="124"/>
      <c r="DL159" s="124"/>
      <c r="DM159" s="6"/>
      <c r="DN159" s="124"/>
      <c r="DO159" s="124"/>
      <c r="DQ159" s="136"/>
      <c r="DR159" s="124"/>
      <c r="DS159" s="124"/>
      <c r="DT159" s="124"/>
      <c r="DV159" s="124"/>
      <c r="DW159" s="124"/>
      <c r="DX159" s="124"/>
      <c r="EA159" s="111"/>
      <c r="EB159" s="111"/>
      <c r="EC159" s="111"/>
      <c r="ED159" s="124"/>
      <c r="EE159" s="124"/>
      <c r="EF159" s="124"/>
      <c r="EJ159" s="111"/>
      <c r="EK159" s="111"/>
      <c r="EL159" s="124"/>
      <c r="EM159" s="124"/>
      <c r="EN159" s="124"/>
      <c r="EP159" s="111">
        <v>142.80161420407532</v>
      </c>
      <c r="EQ159" s="124"/>
      <c r="ER159" s="124"/>
      <c r="ES159" s="124"/>
      <c r="EV159" s="111"/>
      <c r="EW159" s="111"/>
      <c r="EX159" s="111"/>
      <c r="EY159" s="111"/>
      <c r="EZ159" s="124"/>
      <c r="FA159" s="124"/>
      <c r="FD159" s="111"/>
      <c r="FE159" s="111"/>
      <c r="FF159" s="111"/>
      <c r="FG159" s="124"/>
      <c r="FH159" s="124"/>
      <c r="FK159" s="124"/>
      <c r="FL159" s="124"/>
      <c r="FO159" s="111"/>
      <c r="FP159" s="111"/>
      <c r="FQ159" s="124"/>
      <c r="FR159" s="124"/>
      <c r="FU159" s="111">
        <v>133.80966332354842</v>
      </c>
      <c r="FV159" s="124">
        <v>132.97109435825888</v>
      </c>
      <c r="FW159" s="124"/>
      <c r="FX159" s="124"/>
      <c r="FY159" s="124"/>
      <c r="GA159" s="124">
        <v>122.56062023375488</v>
      </c>
      <c r="GB159" s="124">
        <v>121.90642342144929</v>
      </c>
      <c r="GC159" s="124">
        <v>123.56263822947459</v>
      </c>
      <c r="GF159" s="111"/>
      <c r="GG159" s="111"/>
      <c r="GH159" s="111"/>
      <c r="GI159" s="124">
        <v>123.15129605857757</v>
      </c>
      <c r="GJ159" s="124">
        <v>121.80679727815755</v>
      </c>
      <c r="GK159" s="124">
        <v>123.46085350022668</v>
      </c>
      <c r="GN159" s="111"/>
      <c r="GO159" s="111"/>
      <c r="GP159" s="124">
        <v>131.24423266041526</v>
      </c>
      <c r="GQ159" s="124">
        <v>129.82070415349193</v>
      </c>
      <c r="GR159" s="124">
        <v>131.44954184570304</v>
      </c>
      <c r="GV159" s="111">
        <v>160.02255206295627</v>
      </c>
      <c r="GW159" s="124">
        <v>148.03911625691143</v>
      </c>
      <c r="GX159" s="124">
        <v>142.08640955260825</v>
      </c>
      <c r="GY159" s="124">
        <v>143.96967854319132</v>
      </c>
      <c r="HC159" s="124">
        <v>192.39653671940061</v>
      </c>
      <c r="HD159" s="124">
        <v>195.27876792910666</v>
      </c>
      <c r="HE159" s="124">
        <v>197.14752106730944</v>
      </c>
      <c r="HF159" s="124">
        <v>199.0436951282658</v>
      </c>
      <c r="HI159" s="111">
        <v>188.8297682085734</v>
      </c>
      <c r="HJ159" s="111">
        <v>188.8297682085734</v>
      </c>
      <c r="HK159" s="111">
        <v>188.8297682085734</v>
      </c>
      <c r="HL159" s="111">
        <v>194.28155707198925</v>
      </c>
      <c r="HM159" s="124">
        <v>190.36846049391806</v>
      </c>
      <c r="HN159" s="124">
        <v>192.26969932097916</v>
      </c>
      <c r="HO159" s="124">
        <v>194.47033861127997</v>
      </c>
      <c r="HR159" s="111">
        <v>150</v>
      </c>
      <c r="HS159" s="111">
        <v>150</v>
      </c>
      <c r="HT159" s="111">
        <v>149.8090280267667</v>
      </c>
      <c r="HU159" s="124">
        <v>161.91019476144456</v>
      </c>
      <c r="HV159" s="124">
        <v>155.06141408012769</v>
      </c>
      <c r="HW159" s="124">
        <v>157.2987356688958</v>
      </c>
      <c r="HZ159" s="111">
        <v>186.63184351046036</v>
      </c>
      <c r="IA159" s="124">
        <v>186.79271909642222</v>
      </c>
      <c r="IB159" s="124">
        <v>171.46848063641747</v>
      </c>
      <c r="IC159" s="124">
        <v>173.61916814593775</v>
      </c>
      <c r="IE159" s="111">
        <v>189.16699739866215</v>
      </c>
      <c r="IF159" s="124">
        <v>185.42171042673181</v>
      </c>
      <c r="IG159" s="124">
        <v>170.43121643104143</v>
      </c>
      <c r="IH159" s="124">
        <v>172.57332569424932</v>
      </c>
      <c r="IK159" s="124">
        <v>170.43121643104143</v>
      </c>
      <c r="IL159" s="124">
        <v>172.57332569424932</v>
      </c>
      <c r="IO159" s="124">
        <v>181.45398388529816</v>
      </c>
      <c r="IP159" s="124">
        <v>183.23140554613235</v>
      </c>
      <c r="IS159" s="160">
        <v>165</v>
      </c>
      <c r="IT159" s="160">
        <v>167</v>
      </c>
      <c r="IU159" s="160">
        <v>169</v>
      </c>
      <c r="IX159" s="124">
        <v>156.1300247719345</v>
      </c>
      <c r="IY159" s="124">
        <v>159.11447108603133</v>
      </c>
      <c r="IZ159" s="124">
        <v>160.30387918306778</v>
      </c>
      <c r="JA159" s="124">
        <v>161.5169625999894</v>
      </c>
      <c r="JD159" s="124">
        <v>157.9462039001792</v>
      </c>
      <c r="JE159" s="124">
        <v>159.06895486968725</v>
      </c>
      <c r="JH159" s="124">
        <v>157.55834307080002</v>
      </c>
      <c r="JI159" s="124">
        <v>158.69617645538511</v>
      </c>
      <c r="JJ159" s="124">
        <v>160.34589302052066</v>
      </c>
      <c r="JM159" s="124">
        <v>160.40275715039243</v>
      </c>
      <c r="JN159" s="124">
        <v>162.02527431708521</v>
      </c>
      <c r="JQ159" s="124">
        <v>159.51369242676614</v>
      </c>
      <c r="JR159" s="124">
        <v>159.55262720505638</v>
      </c>
      <c r="JS159" s="124">
        <v>159.50131807935895</v>
      </c>
      <c r="JV159" s="124">
        <v>159.43746733427648</v>
      </c>
      <c r="JW159" s="124">
        <v>159.38491715907804</v>
      </c>
      <c r="JY159" s="124">
        <v>158.91484389078056</v>
      </c>
      <c r="JZ159" s="124">
        <v>158.86231125460677</v>
      </c>
      <c r="KB159" s="124">
        <v>157.82643056387397</v>
      </c>
      <c r="KC159" s="124">
        <v>157.23886863688963</v>
      </c>
      <c r="KD159" s="124">
        <v>156.66237418010056</v>
      </c>
    </row>
    <row r="160" spans="2:290" hidden="1" x14ac:dyDescent="0.25">
      <c r="B160" s="6" t="s">
        <v>233</v>
      </c>
      <c r="C160" s="136"/>
      <c r="D160" s="136"/>
      <c r="E160" s="136"/>
      <c r="F160" s="136"/>
      <c r="G160" s="136"/>
      <c r="H160" s="132"/>
      <c r="I160" s="158"/>
      <c r="J160" s="158"/>
      <c r="K160" s="158"/>
      <c r="L160" s="158"/>
      <c r="M160" s="132"/>
      <c r="N160" s="158"/>
      <c r="O160" s="158"/>
      <c r="P160" s="158"/>
      <c r="Q160" s="158"/>
      <c r="R160" s="132"/>
      <c r="S160" s="158"/>
      <c r="T160" s="158"/>
      <c r="U160" s="158"/>
      <c r="V160" s="158"/>
      <c r="W160" s="132">
        <f t="shared" ref="W160:BN160" si="246">W141*10000/W119</f>
        <v>93.556703882796853</v>
      </c>
      <c r="X160" s="158">
        <f t="shared" si="246"/>
        <v>113.49228438012184</v>
      </c>
      <c r="Y160" s="158">
        <f t="shared" si="246"/>
        <v>107.8135321317354</v>
      </c>
      <c r="Z160" s="158">
        <f t="shared" si="246"/>
        <v>107.28212030640724</v>
      </c>
      <c r="AA160" s="158">
        <f t="shared" si="246"/>
        <v>110.67697950721633</v>
      </c>
      <c r="AB160" s="132">
        <f t="shared" si="246"/>
        <v>109.60303483354704</v>
      </c>
      <c r="AC160" s="158">
        <f t="shared" si="246"/>
        <v>116.91816791863324</v>
      </c>
      <c r="AD160" s="158">
        <f t="shared" si="246"/>
        <v>103.19874147876246</v>
      </c>
      <c r="AE160" s="158">
        <f t="shared" si="246"/>
        <v>95.120072344843749</v>
      </c>
      <c r="AF160" s="158">
        <f t="shared" si="246"/>
        <v>105.10712841935049</v>
      </c>
      <c r="AG160" s="132">
        <f t="shared" si="246"/>
        <v>103.48176869149729</v>
      </c>
      <c r="AH160" s="158">
        <f t="shared" si="246"/>
        <v>106.02371457997729</v>
      </c>
      <c r="AI160" s="158">
        <f t="shared" si="246"/>
        <v>98.96608601198858</v>
      </c>
      <c r="AJ160" s="158">
        <f t="shared" si="246"/>
        <v>94.345924453280347</v>
      </c>
      <c r="AK160" s="132">
        <f t="shared" si="246"/>
        <v>98.467162686850983</v>
      </c>
      <c r="AL160" s="158">
        <f t="shared" si="246"/>
        <v>108.94570493283666</v>
      </c>
      <c r="AM160" s="158">
        <f t="shared" si="246"/>
        <v>106.76445897583174</v>
      </c>
      <c r="AN160" s="158">
        <f t="shared" si="246"/>
        <v>108.95481869303859</v>
      </c>
      <c r="AO160" s="158">
        <f t="shared" si="246"/>
        <v>121.18314112718176</v>
      </c>
      <c r="AP160" s="132">
        <f t="shared" si="246"/>
        <v>104.8648924367819</v>
      </c>
      <c r="AQ160" s="158">
        <f t="shared" si="246"/>
        <v>100.51399114121151</v>
      </c>
      <c r="AR160" s="158">
        <f t="shared" si="246"/>
        <v>107.05911227745575</v>
      </c>
      <c r="AS160" s="158">
        <f t="shared" si="246"/>
        <v>103.42981298983472</v>
      </c>
      <c r="AT160" s="158">
        <f t="shared" si="246"/>
        <v>113.87625551326619</v>
      </c>
      <c r="AU160" s="132">
        <f t="shared" si="246"/>
        <v>106.3937112316155</v>
      </c>
      <c r="AV160" s="137">
        <f t="shared" si="246"/>
        <v>107.29829500567374</v>
      </c>
      <c r="AW160" s="137">
        <f t="shared" si="246"/>
        <v>120.11937768202448</v>
      </c>
      <c r="AX160" s="137">
        <f t="shared" si="246"/>
        <v>114.20329591865878</v>
      </c>
      <c r="AY160" s="137">
        <f t="shared" si="246"/>
        <v>112.69706262877953</v>
      </c>
      <c r="AZ160" s="132">
        <f t="shared" si="246"/>
        <v>113.42350973018574</v>
      </c>
      <c r="BA160" s="137">
        <f t="shared" si="246"/>
        <v>105.37705071936536</v>
      </c>
      <c r="BB160" s="137">
        <f t="shared" si="246"/>
        <v>119.67203444818027</v>
      </c>
      <c r="BC160" s="137">
        <f t="shared" si="246"/>
        <v>113.35491473924834</v>
      </c>
      <c r="BD160" s="137">
        <f t="shared" si="246"/>
        <v>121.19511090991399</v>
      </c>
      <c r="BE160" s="132">
        <f t="shared" si="246"/>
        <v>114.53426515766095</v>
      </c>
      <c r="BF160" s="137">
        <f t="shared" si="246"/>
        <v>101.95620866225731</v>
      </c>
      <c r="BG160" s="137">
        <f t="shared" si="246"/>
        <v>127.19752585986879</v>
      </c>
      <c r="BH160" s="137">
        <f t="shared" si="246"/>
        <v>148.51678630518896</v>
      </c>
      <c r="BI160" s="137">
        <f t="shared" si="246"/>
        <v>177.21094253720543</v>
      </c>
      <c r="BJ160" s="132">
        <f t="shared" si="246"/>
        <v>139.24554197793836</v>
      </c>
      <c r="BK160" s="137">
        <f t="shared" si="246"/>
        <v>172.73596474818649</v>
      </c>
      <c r="BL160" s="137">
        <f t="shared" si="246"/>
        <v>174.84547461368655</v>
      </c>
      <c r="BM160" s="137">
        <f t="shared" si="246"/>
        <v>200.70982743850203</v>
      </c>
      <c r="BN160" s="137">
        <f t="shared" si="246"/>
        <v>186.48699058099413</v>
      </c>
      <c r="BO160" s="132">
        <f>BJ160+39</f>
        <v>178.24554197793836</v>
      </c>
      <c r="BP160" s="137">
        <f t="shared" ref="BP160:CI160" si="247">BP141*10000/BP119</f>
        <v>184.24405721192588</v>
      </c>
      <c r="BQ160" s="137">
        <f t="shared" si="247"/>
        <v>163.43221408735167</v>
      </c>
      <c r="BR160" s="137">
        <f t="shared" si="247"/>
        <v>144.91350411587854</v>
      </c>
      <c r="BS160" s="137">
        <f t="shared" si="247"/>
        <v>157.6946025130685</v>
      </c>
      <c r="BT160" s="132">
        <f t="shared" si="247"/>
        <v>160.98105299083312</v>
      </c>
      <c r="BU160" s="137">
        <f t="shared" si="247"/>
        <v>138.65903780889198</v>
      </c>
      <c r="BV160" s="137">
        <f t="shared" si="247"/>
        <v>146.63311603143916</v>
      </c>
      <c r="BW160" s="137">
        <f t="shared" si="247"/>
        <v>134.72209699761481</v>
      </c>
      <c r="BX160" s="137">
        <f t="shared" si="247"/>
        <v>135.5540161843887</v>
      </c>
      <c r="BY160" s="132">
        <f t="shared" si="247"/>
        <v>138.35441446224658</v>
      </c>
      <c r="BZ160" s="137">
        <f t="shared" si="247"/>
        <v>132.59580601200116</v>
      </c>
      <c r="CA160" s="137">
        <f t="shared" si="247"/>
        <v>140.64535691230267</v>
      </c>
      <c r="CB160" s="137">
        <f t="shared" si="247"/>
        <v>131.59941508911987</v>
      </c>
      <c r="CC160" s="137">
        <f t="shared" si="247"/>
        <v>127.84554975435655</v>
      </c>
      <c r="CD160" s="132">
        <f t="shared" si="247"/>
        <v>132.45270017114356</v>
      </c>
      <c r="CE160" s="137">
        <f t="shared" si="247"/>
        <v>120.47684986018498</v>
      </c>
      <c r="CF160" s="137">
        <f t="shared" si="247"/>
        <v>133.66344068079425</v>
      </c>
      <c r="CG160" s="137">
        <f t="shared" si="247"/>
        <v>124.0254173866899</v>
      </c>
      <c r="CH160" s="137">
        <f t="shared" si="247"/>
        <v>133.33090116900243</v>
      </c>
      <c r="CI160" s="132">
        <f t="shared" si="247"/>
        <v>128.00043457720082</v>
      </c>
      <c r="CJ160" s="181">
        <f>CI160</f>
        <v>128.00043457720082</v>
      </c>
      <c r="CK160" s="181">
        <f>CJ160</f>
        <v>128.00043457720082</v>
      </c>
      <c r="CL160" s="182"/>
      <c r="CM160" s="182"/>
      <c r="CN160" s="182"/>
      <c r="CO160" s="137"/>
      <c r="CP160" s="137"/>
      <c r="CQ160" s="6"/>
      <c r="CR160" s="6"/>
      <c r="CS160" s="6"/>
      <c r="CT160" s="124"/>
      <c r="CU160" s="124"/>
      <c r="CV160" s="124"/>
      <c r="CW160" s="124"/>
      <c r="CX160" s="124"/>
      <c r="CY160" s="124"/>
      <c r="CZ160" s="124"/>
      <c r="DA160" s="124"/>
      <c r="DB160" s="124"/>
      <c r="DC160" s="124"/>
      <c r="DD160" s="124"/>
      <c r="DE160" s="124"/>
      <c r="DF160" s="124"/>
      <c r="DG160" s="124"/>
      <c r="DH160" s="124"/>
      <c r="DI160" s="124"/>
      <c r="DK160" s="124"/>
      <c r="DL160" s="124"/>
      <c r="DM160" s="6"/>
      <c r="DN160" s="124"/>
      <c r="DO160" s="124"/>
      <c r="DQ160" s="136"/>
      <c r="DR160" s="124"/>
      <c r="DS160" s="124"/>
      <c r="DT160" s="124"/>
      <c r="DV160" s="124"/>
      <c r="DW160" s="124"/>
      <c r="DX160" s="124"/>
      <c r="EA160" s="111"/>
      <c r="EB160" s="111"/>
      <c r="EC160" s="111"/>
      <c r="ED160" s="124"/>
      <c r="EE160" s="124"/>
      <c r="EF160" s="124"/>
      <c r="EJ160" s="111"/>
      <c r="EK160" s="111"/>
      <c r="EL160" s="124"/>
      <c r="EM160" s="124"/>
      <c r="EN160" s="124"/>
      <c r="EP160" s="111"/>
      <c r="EQ160" s="124"/>
      <c r="ER160" s="124"/>
      <c r="ES160" s="124"/>
      <c r="EV160" s="111"/>
      <c r="EW160" s="111"/>
      <c r="EX160" s="111"/>
      <c r="EY160" s="111"/>
      <c r="EZ160" s="124"/>
      <c r="FA160" s="124"/>
      <c r="FD160" s="111">
        <v>-7.3200119094141769</v>
      </c>
      <c r="FE160" s="111"/>
      <c r="FF160" s="111"/>
      <c r="FG160" s="124"/>
      <c r="FH160" s="124"/>
      <c r="FK160" s="124"/>
      <c r="FL160" s="124"/>
      <c r="FO160" s="111">
        <v>116.17203444818027</v>
      </c>
      <c r="FP160" s="111">
        <v>118.17203444818027</v>
      </c>
      <c r="FQ160" s="124"/>
      <c r="FR160" s="124"/>
      <c r="FU160" s="111">
        <v>116.35491473924834</v>
      </c>
      <c r="FV160" s="124">
        <v>119.35491473924834</v>
      </c>
      <c r="FW160" s="124">
        <v>105.35491473924834</v>
      </c>
      <c r="FX160" s="124">
        <v>115</v>
      </c>
      <c r="FY160" s="124">
        <v>115</v>
      </c>
      <c r="GA160" s="124">
        <v>107.53426515766095</v>
      </c>
      <c r="GB160" s="124">
        <v>107.53426515766095</v>
      </c>
      <c r="GC160" s="124">
        <v>109.53426515766095</v>
      </c>
      <c r="GF160" s="111"/>
      <c r="GG160" s="111"/>
      <c r="GH160" s="111"/>
      <c r="GI160" s="124">
        <v>107.53426515766095</v>
      </c>
      <c r="GJ160" s="124">
        <v>107.53426515766095</v>
      </c>
      <c r="GK160" s="124">
        <v>109.53426515766095</v>
      </c>
      <c r="GN160" s="111"/>
      <c r="GO160" s="111"/>
      <c r="GP160" s="124">
        <v>114.53426515766095</v>
      </c>
      <c r="GQ160" s="124">
        <v>114.53426515766095</v>
      </c>
      <c r="GR160" s="124">
        <v>116.53426515766095</v>
      </c>
      <c r="GV160" s="111">
        <v>157.93983145492919</v>
      </c>
      <c r="GW160" s="124">
        <v>134.53426515766097</v>
      </c>
      <c r="GX160" s="124">
        <v>127.53426515766097</v>
      </c>
      <c r="GY160" s="124">
        <v>129.53426515766097</v>
      </c>
      <c r="HC160" s="124">
        <v>0</v>
      </c>
      <c r="HD160" s="124">
        <v>178.24554197793836</v>
      </c>
      <c r="HE160" s="124">
        <v>180.24554197793836</v>
      </c>
      <c r="HF160" s="124">
        <v>182.24554197793836</v>
      </c>
      <c r="HI160" s="111"/>
      <c r="HJ160" s="111"/>
      <c r="HK160" s="111"/>
      <c r="HL160" s="111"/>
      <c r="HM160" s="124">
        <v>175</v>
      </c>
      <c r="HN160" s="124">
        <v>177</v>
      </c>
      <c r="HO160" s="124">
        <v>179</v>
      </c>
      <c r="HR160" s="111"/>
      <c r="HS160" s="111"/>
      <c r="HT160" s="111"/>
      <c r="HU160" s="124">
        <v>135</v>
      </c>
      <c r="HV160" s="124">
        <v>137</v>
      </c>
      <c r="HW160" s="124">
        <v>139</v>
      </c>
      <c r="HZ160" s="111"/>
      <c r="IA160" s="124">
        <v>170</v>
      </c>
      <c r="IB160" s="124">
        <v>160</v>
      </c>
      <c r="IC160" s="124">
        <v>162</v>
      </c>
      <c r="IE160" s="111"/>
      <c r="IF160" s="124">
        <v>170</v>
      </c>
      <c r="IG160" s="124">
        <v>160</v>
      </c>
      <c r="IH160" s="124">
        <v>162</v>
      </c>
      <c r="IK160" s="124">
        <v>160</v>
      </c>
      <c r="IL160" s="124">
        <v>162</v>
      </c>
      <c r="IO160" s="124">
        <v>165</v>
      </c>
      <c r="IP160" s="124">
        <v>167</v>
      </c>
      <c r="IS160" s="160">
        <v>223</v>
      </c>
      <c r="IT160" s="160">
        <v>225</v>
      </c>
      <c r="IU160" s="160">
        <v>227</v>
      </c>
      <c r="IX160" s="124">
        <v>137.4605424832375</v>
      </c>
      <c r="IY160" s="124">
        <v>139</v>
      </c>
      <c r="IZ160" s="124">
        <v>141</v>
      </c>
      <c r="JA160" s="124">
        <v>143</v>
      </c>
      <c r="JD160" s="124">
        <v>140.35441446224658</v>
      </c>
      <c r="JE160" s="124">
        <v>142.35441446224658</v>
      </c>
      <c r="JH160" s="124">
        <v>140.35441446224658</v>
      </c>
      <c r="JI160" s="124">
        <v>142.35441446224658</v>
      </c>
      <c r="JJ160" s="124">
        <v>144.35441446224658</v>
      </c>
      <c r="JM160" s="124">
        <v>142.35441446224658</v>
      </c>
      <c r="JN160" s="124">
        <v>144.35441446224658</v>
      </c>
      <c r="JQ160" s="124">
        <v>140.35441446224658</v>
      </c>
      <c r="JR160" s="124">
        <v>140.35441446224658</v>
      </c>
      <c r="JS160" s="124">
        <v>140.35441446224658</v>
      </c>
      <c r="JV160" s="124">
        <v>140.35441446224658</v>
      </c>
      <c r="JW160" s="124">
        <v>140.35441446224658</v>
      </c>
      <c r="JY160" s="124">
        <v>140.35441446224658</v>
      </c>
      <c r="JZ160" s="124">
        <v>140.35441446224658</v>
      </c>
      <c r="KB160" s="124">
        <v>140.35441446224658</v>
      </c>
      <c r="KC160" s="124">
        <v>140.35441446224658</v>
      </c>
      <c r="KD160" s="124">
        <v>140.35441446224658</v>
      </c>
    </row>
    <row r="161" spans="2:290" hidden="1" x14ac:dyDescent="0.25">
      <c r="B161" s="6" t="s">
        <v>224</v>
      </c>
      <c r="C161" s="136"/>
      <c r="D161" s="136"/>
      <c r="E161" s="136"/>
      <c r="F161" s="136"/>
      <c r="G161" s="136"/>
      <c r="H161" s="132"/>
      <c r="I161" s="158"/>
      <c r="J161" s="158"/>
      <c r="K161" s="158"/>
      <c r="L161" s="158"/>
      <c r="M161" s="132"/>
      <c r="N161" s="158"/>
      <c r="O161" s="158"/>
      <c r="P161" s="158"/>
      <c r="Q161" s="158"/>
      <c r="R161" s="132"/>
      <c r="S161" s="158"/>
      <c r="T161" s="158"/>
      <c r="U161" s="158"/>
      <c r="V161" s="158"/>
      <c r="W161" s="132">
        <f t="shared" ref="W161:BN161" si="248">W142*10000/W121</f>
        <v>151.50001248969599</v>
      </c>
      <c r="X161" s="158">
        <f t="shared" si="248"/>
        <v>179.00080149612612</v>
      </c>
      <c r="Y161" s="158">
        <f t="shared" si="248"/>
        <v>172.97018200593777</v>
      </c>
      <c r="Z161" s="158">
        <f t="shared" si="248"/>
        <v>173.90398833697802</v>
      </c>
      <c r="AA161" s="158">
        <f t="shared" si="248"/>
        <v>187.84153005464481</v>
      </c>
      <c r="AB161" s="132">
        <f t="shared" si="248"/>
        <v>178.46519928613921</v>
      </c>
      <c r="AC161" s="158">
        <f t="shared" si="248"/>
        <v>186.35990139687758</v>
      </c>
      <c r="AD161" s="158">
        <f t="shared" si="248"/>
        <v>180.86080586080587</v>
      </c>
      <c r="AE161" s="158">
        <f t="shared" si="248"/>
        <v>162.10275666269806</v>
      </c>
      <c r="AF161" s="158">
        <f t="shared" si="248"/>
        <v>165.66265060240963</v>
      </c>
      <c r="AG161" s="132">
        <f t="shared" si="248"/>
        <v>172.87429943955163</v>
      </c>
      <c r="AH161" s="158">
        <f t="shared" si="248"/>
        <v>167.91866028708134</v>
      </c>
      <c r="AI161" s="158">
        <f t="shared" si="248"/>
        <v>163.18537859007833</v>
      </c>
      <c r="AJ161" s="158">
        <f t="shared" si="248"/>
        <v>149.99500948198425</v>
      </c>
      <c r="AK161" s="132">
        <f t="shared" si="248"/>
        <v>159.62978609009565</v>
      </c>
      <c r="AL161" s="158">
        <f t="shared" si="248"/>
        <v>183.12844425604069</v>
      </c>
      <c r="AM161" s="158">
        <f t="shared" si="248"/>
        <v>174.67582843843513</v>
      </c>
      <c r="AN161" s="158">
        <f t="shared" si="248"/>
        <v>154.35723114956735</v>
      </c>
      <c r="AO161" s="158">
        <f t="shared" si="248"/>
        <v>173.60636035869464</v>
      </c>
      <c r="AP161" s="132">
        <f t="shared" si="248"/>
        <v>160.08362405089269</v>
      </c>
      <c r="AQ161" s="158">
        <f t="shared" si="248"/>
        <v>166.46958613087483</v>
      </c>
      <c r="AR161" s="158">
        <f t="shared" si="248"/>
        <v>175.39539729141018</v>
      </c>
      <c r="AS161" s="158">
        <f t="shared" si="248"/>
        <v>199.24532203039388</v>
      </c>
      <c r="AT161" s="158">
        <f t="shared" si="248"/>
        <v>179.13427190586259</v>
      </c>
      <c r="AU161" s="132">
        <f t="shared" si="248"/>
        <v>179.78106455673438</v>
      </c>
      <c r="AV161" s="137">
        <f t="shared" si="248"/>
        <v>185.69799641635444</v>
      </c>
      <c r="AW161" s="137">
        <f t="shared" si="248"/>
        <v>222.14267004278355</v>
      </c>
      <c r="AX161" s="137">
        <f t="shared" si="248"/>
        <v>201.28477491148203</v>
      </c>
      <c r="AY161" s="137">
        <f t="shared" si="248"/>
        <v>183.73521591638396</v>
      </c>
      <c r="AZ161" s="132">
        <f t="shared" si="248"/>
        <v>198.77366754261843</v>
      </c>
      <c r="BA161" s="137">
        <f t="shared" si="248"/>
        <v>181.56042048413539</v>
      </c>
      <c r="BB161" s="137">
        <f t="shared" si="248"/>
        <v>169.89852305837437</v>
      </c>
      <c r="BC161" s="137">
        <f t="shared" si="248"/>
        <v>177.88887626406091</v>
      </c>
      <c r="BD161" s="137">
        <f t="shared" si="248"/>
        <v>167.75858436907521</v>
      </c>
      <c r="BE161" s="132">
        <f t="shared" si="248"/>
        <v>174.32477924230264</v>
      </c>
      <c r="BF161" s="137">
        <f t="shared" si="248"/>
        <v>147.75681341719078</v>
      </c>
      <c r="BG161" s="137">
        <f t="shared" si="248"/>
        <v>160.788657509969</v>
      </c>
      <c r="BH161" s="137">
        <f t="shared" si="248"/>
        <v>185.37590113285273</v>
      </c>
      <c r="BI161" s="137">
        <f t="shared" si="248"/>
        <v>213.249417927823</v>
      </c>
      <c r="BJ161" s="132">
        <f t="shared" si="248"/>
        <v>183.61921304672987</v>
      </c>
      <c r="BK161" s="137">
        <f t="shared" si="248"/>
        <v>209.12531539108491</v>
      </c>
      <c r="BL161" s="137">
        <f t="shared" si="248"/>
        <v>204.15657788539144</v>
      </c>
      <c r="BM161" s="137">
        <f t="shared" si="248"/>
        <v>219.97573797007684</v>
      </c>
      <c r="BN161" s="137">
        <f t="shared" si="248"/>
        <v>218.17917605173287</v>
      </c>
      <c r="BO161" s="132">
        <f>BJ161+45</f>
        <v>228.61921304672987</v>
      </c>
      <c r="BP161" s="137">
        <f t="shared" ref="BP161:CI161" si="249">BP142*10000/BP121</f>
        <v>234.2919153553988</v>
      </c>
      <c r="BQ161" s="137">
        <f t="shared" si="249"/>
        <v>226.7777326290126</v>
      </c>
      <c r="BR161" s="137">
        <f t="shared" si="249"/>
        <v>227.14913763949946</v>
      </c>
      <c r="BS161" s="137">
        <f t="shared" si="249"/>
        <v>223.32808335352556</v>
      </c>
      <c r="BT161" s="132">
        <f t="shared" si="249"/>
        <v>227.54918588873815</v>
      </c>
      <c r="BU161" s="137">
        <f t="shared" si="249"/>
        <v>222.61167872324557</v>
      </c>
      <c r="BV161" s="137">
        <f t="shared" si="249"/>
        <v>211.22204213938411</v>
      </c>
      <c r="BW161" s="137">
        <f t="shared" si="249"/>
        <v>204.51604953484073</v>
      </c>
      <c r="BX161" s="137">
        <f t="shared" si="249"/>
        <v>208.38124592495998</v>
      </c>
      <c r="BY161" s="132">
        <f t="shared" si="249"/>
        <v>211.15667786101781</v>
      </c>
      <c r="BZ161" s="137">
        <f t="shared" si="249"/>
        <v>204.75840406335627</v>
      </c>
      <c r="CA161" s="137">
        <f t="shared" si="249"/>
        <v>216.78358702845799</v>
      </c>
      <c r="CB161" s="137">
        <f t="shared" si="249"/>
        <v>204.76865257839935</v>
      </c>
      <c r="CC161" s="137">
        <f t="shared" si="249"/>
        <v>207.42161740902824</v>
      </c>
      <c r="CD161" s="132">
        <f t="shared" si="249"/>
        <v>204.13243714214587</v>
      </c>
      <c r="CE161" s="137">
        <f t="shared" si="249"/>
        <v>186.41982939794781</v>
      </c>
      <c r="CF161" s="137">
        <f t="shared" si="249"/>
        <v>202.88647950025131</v>
      </c>
      <c r="CG161" s="137">
        <f t="shared" si="249"/>
        <v>217.43350805668803</v>
      </c>
      <c r="CH161" s="137">
        <f t="shared" si="249"/>
        <v>195.1287214934959</v>
      </c>
      <c r="CI161" s="132">
        <f t="shared" si="249"/>
        <v>189.79019109982627</v>
      </c>
      <c r="CJ161" s="181">
        <f>CI161</f>
        <v>189.79019109982627</v>
      </c>
      <c r="CK161" s="181">
        <f>CJ161</f>
        <v>189.79019109982627</v>
      </c>
      <c r="CL161" s="182"/>
      <c r="CM161" s="182"/>
      <c r="CN161" s="182"/>
      <c r="CO161" s="137"/>
      <c r="CP161" s="137"/>
      <c r="CQ161" s="6"/>
      <c r="CR161" s="6"/>
      <c r="CS161" s="6"/>
      <c r="CT161" s="124"/>
      <c r="CU161" s="124"/>
      <c r="CV161" s="124"/>
      <c r="CW161" s="124"/>
      <c r="CX161" s="124"/>
      <c r="CY161" s="124"/>
      <c r="CZ161" s="124"/>
      <c r="DA161" s="124"/>
      <c r="DB161" s="124"/>
      <c r="DC161" s="124"/>
      <c r="DD161" s="124"/>
      <c r="DE161" s="124"/>
      <c r="DF161" s="124"/>
      <c r="DG161" s="124"/>
      <c r="DH161" s="124"/>
      <c r="DI161" s="124"/>
      <c r="DK161" s="124"/>
      <c r="DL161" s="124"/>
      <c r="DM161" s="6"/>
      <c r="DN161" s="124"/>
      <c r="DO161" s="124"/>
      <c r="DQ161" s="136"/>
      <c r="DR161" s="124"/>
      <c r="DS161" s="124"/>
      <c r="DT161" s="124"/>
      <c r="DV161" s="124"/>
      <c r="DW161" s="124"/>
      <c r="DX161" s="124"/>
      <c r="EA161" s="111"/>
      <c r="EB161" s="111"/>
      <c r="EC161" s="111"/>
      <c r="ED161" s="124"/>
      <c r="EE161" s="124"/>
      <c r="EF161" s="124"/>
      <c r="EJ161" s="111"/>
      <c r="EK161" s="111"/>
      <c r="EL161" s="124"/>
      <c r="EM161" s="124"/>
      <c r="EN161" s="124"/>
      <c r="EP161" s="111"/>
      <c r="EQ161" s="124"/>
      <c r="ER161" s="124"/>
      <c r="ES161" s="124"/>
      <c r="EV161" s="111"/>
      <c r="EW161" s="111"/>
      <c r="EX161" s="111"/>
      <c r="EY161" s="111"/>
      <c r="EZ161" s="124"/>
      <c r="FA161" s="124"/>
      <c r="FD161" s="111">
        <v>-2.1747954322485725</v>
      </c>
      <c r="FE161" s="111"/>
      <c r="FF161" s="111"/>
      <c r="FG161" s="124"/>
      <c r="FH161" s="124"/>
      <c r="FK161" s="124"/>
      <c r="FL161" s="124"/>
      <c r="FO161" s="111">
        <v>169.89852305837437</v>
      </c>
      <c r="FP161" s="111">
        <v>169.89852305837437</v>
      </c>
      <c r="FQ161" s="124"/>
      <c r="FR161" s="124"/>
      <c r="FU161" s="111">
        <v>180.88887626406091</v>
      </c>
      <c r="FV161" s="124">
        <v>183.88887626406091</v>
      </c>
      <c r="FW161" s="124">
        <v>169.88887626406091</v>
      </c>
      <c r="FX161" s="124">
        <v>185</v>
      </c>
      <c r="FY161" s="124">
        <v>185</v>
      </c>
      <c r="GA161" s="124">
        <v>166.32477924230264</v>
      </c>
      <c r="GB161" s="124">
        <v>166.32477924230264</v>
      </c>
      <c r="GC161" s="124">
        <v>168.32477924230264</v>
      </c>
      <c r="GF161" s="111"/>
      <c r="GG161" s="111"/>
      <c r="GH161" s="111"/>
      <c r="GI161" s="124">
        <v>166.32477924230264</v>
      </c>
      <c r="GJ161" s="124">
        <v>166.32477924230264</v>
      </c>
      <c r="GK161" s="124">
        <v>168.32477924230264</v>
      </c>
      <c r="GN161" s="111"/>
      <c r="GO161" s="111"/>
      <c r="GP161" s="124">
        <v>174.32477924230264</v>
      </c>
      <c r="GQ161" s="124">
        <v>174.32477924230264</v>
      </c>
      <c r="GR161" s="124">
        <v>176.32477924230264</v>
      </c>
      <c r="GV161" s="111">
        <v>193.81383016366991</v>
      </c>
      <c r="GW161" s="124">
        <v>134.32477924230264</v>
      </c>
      <c r="GX161" s="124">
        <v>169.32477924230264</v>
      </c>
      <c r="GY161" s="124">
        <v>171.32477924230264</v>
      </c>
      <c r="HC161" s="124">
        <v>0</v>
      </c>
      <c r="HD161" s="124">
        <v>228.61921304672987</v>
      </c>
      <c r="HE161" s="124">
        <v>230.61921304672987</v>
      </c>
      <c r="HF161" s="124">
        <v>232.61921304672987</v>
      </c>
      <c r="HI161" s="111"/>
      <c r="HJ161" s="111"/>
      <c r="HK161" s="111"/>
      <c r="HL161" s="111"/>
      <c r="HM161" s="124">
        <v>220</v>
      </c>
      <c r="HN161" s="124">
        <v>222</v>
      </c>
      <c r="HO161" s="124">
        <v>224</v>
      </c>
      <c r="HR161" s="111"/>
      <c r="HS161" s="111"/>
      <c r="HT161" s="111"/>
      <c r="HU161" s="124">
        <v>220</v>
      </c>
      <c r="HV161" s="124">
        <v>200</v>
      </c>
      <c r="HW161" s="124">
        <v>202</v>
      </c>
      <c r="HZ161" s="111"/>
      <c r="IA161" s="124">
        <v>220</v>
      </c>
      <c r="IB161" s="124">
        <v>200</v>
      </c>
      <c r="IC161" s="124">
        <v>202</v>
      </c>
      <c r="IE161" s="111"/>
      <c r="IF161" s="124">
        <v>220</v>
      </c>
      <c r="IG161" s="124">
        <v>200</v>
      </c>
      <c r="IH161" s="124">
        <v>202</v>
      </c>
      <c r="IK161" s="124">
        <v>200</v>
      </c>
      <c r="IL161" s="124">
        <v>202</v>
      </c>
      <c r="IO161" s="124">
        <v>223</v>
      </c>
      <c r="IP161" s="124">
        <v>225</v>
      </c>
      <c r="IS161" s="160">
        <v>239</v>
      </c>
      <c r="IT161" s="160">
        <v>241</v>
      </c>
      <c r="IU161" s="160">
        <v>243</v>
      </c>
      <c r="IX161" s="124">
        <v>213.49311189675359</v>
      </c>
      <c r="IY161" s="124">
        <v>217</v>
      </c>
      <c r="IZ161" s="124">
        <v>219</v>
      </c>
      <c r="JA161" s="124">
        <v>221</v>
      </c>
      <c r="JD161" s="124">
        <v>213.15667786101781</v>
      </c>
      <c r="JE161" s="124">
        <v>215.15667786101781</v>
      </c>
      <c r="JH161" s="124">
        <v>213.15667786101781</v>
      </c>
      <c r="JI161" s="124">
        <v>215.15667786101781</v>
      </c>
      <c r="JJ161" s="124">
        <v>217.15667786101781</v>
      </c>
      <c r="JM161" s="124">
        <v>215.15667786101781</v>
      </c>
      <c r="JN161" s="124">
        <v>217.15667786101781</v>
      </c>
      <c r="JQ161" s="124">
        <v>213.15667786101781</v>
      </c>
      <c r="JR161" s="124">
        <v>213.15667786101781</v>
      </c>
      <c r="JS161" s="124">
        <v>213.15667786101781</v>
      </c>
      <c r="JV161" s="124">
        <v>213.15667786101781</v>
      </c>
      <c r="JW161" s="124">
        <v>213.15667786101781</v>
      </c>
      <c r="JY161" s="124">
        <v>213.15667786101781</v>
      </c>
      <c r="JZ161" s="124">
        <v>213.15667786101781</v>
      </c>
      <c r="KB161" s="124">
        <v>213.15667786101781</v>
      </c>
      <c r="KC161" s="124">
        <v>213.15667786101781</v>
      </c>
      <c r="KD161" s="124">
        <v>213.15667786101781</v>
      </c>
    </row>
    <row r="162" spans="2:290" hidden="1" x14ac:dyDescent="0.25">
      <c r="B162" s="6" t="s">
        <v>223</v>
      </c>
      <c r="C162" s="136"/>
      <c r="D162" s="136"/>
      <c r="E162" s="136"/>
      <c r="F162" s="136"/>
      <c r="G162" s="136"/>
      <c r="H162" s="132"/>
      <c r="I162" s="158"/>
      <c r="J162" s="158"/>
      <c r="K162" s="158"/>
      <c r="L162" s="158"/>
      <c r="M162" s="132"/>
      <c r="N162" s="158"/>
      <c r="O162" s="158"/>
      <c r="P162" s="158"/>
      <c r="Q162" s="158"/>
      <c r="R162" s="132"/>
      <c r="S162" s="158"/>
      <c r="T162" s="158"/>
      <c r="U162" s="158"/>
      <c r="V162" s="158"/>
      <c r="W162" s="132">
        <f t="shared" ref="W162:BN162" si="250">W143*10000/W120</f>
        <v>169.4628029147602</v>
      </c>
      <c r="X162" s="158">
        <f t="shared" si="250"/>
        <v>186.55097613882864</v>
      </c>
      <c r="Y162" s="158">
        <f t="shared" si="250"/>
        <v>202.88659793814432</v>
      </c>
      <c r="Z162" s="158">
        <f t="shared" si="250"/>
        <v>229.07900888265544</v>
      </c>
      <c r="AA162" s="158">
        <f t="shared" si="250"/>
        <v>214.92805755395685</v>
      </c>
      <c r="AB162" s="132">
        <f t="shared" si="250"/>
        <v>209.21582808141338</v>
      </c>
      <c r="AC162" s="158">
        <f t="shared" si="250"/>
        <v>213.00454423950816</v>
      </c>
      <c r="AD162" s="158">
        <f t="shared" si="250"/>
        <v>208.00872545964475</v>
      </c>
      <c r="AE162" s="158">
        <f t="shared" si="250"/>
        <v>203.79413974455298</v>
      </c>
      <c r="AF162" s="158">
        <f t="shared" si="250"/>
        <v>204.85873124666819</v>
      </c>
      <c r="AG162" s="132">
        <f t="shared" si="250"/>
        <v>206.90069619248476</v>
      </c>
      <c r="AH162" s="158">
        <f t="shared" si="250"/>
        <v>203.93771715351949</v>
      </c>
      <c r="AI162" s="158">
        <f t="shared" si="250"/>
        <v>208.0186736235068</v>
      </c>
      <c r="AJ162" s="158">
        <f t="shared" si="250"/>
        <v>203.56091277143909</v>
      </c>
      <c r="AK162" s="132">
        <f t="shared" si="250"/>
        <v>205.60457762385184</v>
      </c>
      <c r="AL162" s="158">
        <f t="shared" si="250"/>
        <v>238.93006218587615</v>
      </c>
      <c r="AM162" s="158">
        <f t="shared" si="250"/>
        <v>196.16821303771539</v>
      </c>
      <c r="AN162" s="158">
        <f t="shared" si="250"/>
        <v>202.56309919780861</v>
      </c>
      <c r="AO162" s="158">
        <f t="shared" si="250"/>
        <v>233.09922417313189</v>
      </c>
      <c r="AP162" s="132">
        <f t="shared" si="250"/>
        <v>206.07778897849462</v>
      </c>
      <c r="AQ162" s="158">
        <f t="shared" si="250"/>
        <v>207.35024849594558</v>
      </c>
      <c r="AR162" s="158">
        <f t="shared" si="250"/>
        <v>200.21393358757325</v>
      </c>
      <c r="AS162" s="158">
        <f t="shared" si="250"/>
        <v>182.54031796866064</v>
      </c>
      <c r="AT162" s="158">
        <f t="shared" si="250"/>
        <v>240.99755501222495</v>
      </c>
      <c r="AU162" s="132">
        <f t="shared" si="250"/>
        <v>204.19779295427691</v>
      </c>
      <c r="AV162" s="137">
        <f t="shared" si="250"/>
        <v>205.58235154582115</v>
      </c>
      <c r="AW162" s="137">
        <f t="shared" si="250"/>
        <v>198.85090491238151</v>
      </c>
      <c r="AX162" s="137">
        <f t="shared" si="250"/>
        <v>195.92136337524732</v>
      </c>
      <c r="AY162" s="137">
        <f t="shared" si="250"/>
        <v>197.70828712944481</v>
      </c>
      <c r="AZ162" s="132">
        <f t="shared" si="250"/>
        <v>199.29615178639736</v>
      </c>
      <c r="BA162" s="137">
        <f t="shared" si="250"/>
        <v>192.31855629658691</v>
      </c>
      <c r="BB162" s="137">
        <f t="shared" si="250"/>
        <v>178.94594105948292</v>
      </c>
      <c r="BC162" s="137">
        <f t="shared" si="250"/>
        <v>188.20050003048965</v>
      </c>
      <c r="BD162" s="137">
        <f t="shared" si="250"/>
        <v>186.22050775993543</v>
      </c>
      <c r="BE162" s="132">
        <f t="shared" si="250"/>
        <v>186.7992132884155</v>
      </c>
      <c r="BF162" s="137">
        <f t="shared" si="250"/>
        <v>184.21724612060498</v>
      </c>
      <c r="BG162" s="137">
        <f t="shared" si="250"/>
        <v>179.62251817958983</v>
      </c>
      <c r="BH162" s="137">
        <f t="shared" si="250"/>
        <v>189.45487042001787</v>
      </c>
      <c r="BI162" s="137">
        <f t="shared" si="250"/>
        <v>198.20183016573878</v>
      </c>
      <c r="BJ162" s="132">
        <f t="shared" si="250"/>
        <v>188.76588915434135</v>
      </c>
      <c r="BK162" s="137">
        <f t="shared" si="250"/>
        <v>211.69788414845647</v>
      </c>
      <c r="BL162" s="137">
        <f t="shared" si="250"/>
        <v>214.86245641224329</v>
      </c>
      <c r="BM162" s="137">
        <f t="shared" si="250"/>
        <v>222.97215861154635</v>
      </c>
      <c r="BN162" s="137">
        <f t="shared" si="250"/>
        <v>242.91371563475747</v>
      </c>
      <c r="BO162" s="132">
        <f>BJ162+45</f>
        <v>233.76588915434135</v>
      </c>
      <c r="BP162" s="137">
        <f t="shared" ref="BP162:CI162" si="251">BP143*10000/BP120</f>
        <v>253.63749417068243</v>
      </c>
      <c r="BQ162" s="137">
        <f t="shared" si="251"/>
        <v>246.53681281492067</v>
      </c>
      <c r="BR162" s="137">
        <f t="shared" si="251"/>
        <v>235.03815219632918</v>
      </c>
      <c r="BS162" s="137">
        <f t="shared" si="251"/>
        <v>238.74519657109076</v>
      </c>
      <c r="BT162" s="132">
        <f t="shared" si="251"/>
        <v>243.19346631761368</v>
      </c>
      <c r="BU162" s="137">
        <f t="shared" si="251"/>
        <v>238.13384433962264</v>
      </c>
      <c r="BV162" s="137">
        <f t="shared" si="251"/>
        <v>236.54130288784418</v>
      </c>
      <c r="BW162" s="137">
        <f t="shared" si="251"/>
        <v>235.99813308441125</v>
      </c>
      <c r="BX162" s="137">
        <f t="shared" si="251"/>
        <v>250.08969503687464</v>
      </c>
      <c r="BY162" s="132">
        <f t="shared" si="251"/>
        <v>240.25672141794999</v>
      </c>
      <c r="BZ162" s="137">
        <f t="shared" si="251"/>
        <v>250.11211524087787</v>
      </c>
      <c r="CA162" s="137">
        <f t="shared" si="251"/>
        <v>240.98113662387755</v>
      </c>
      <c r="CB162" s="137">
        <f t="shared" si="251"/>
        <v>244.6041397948529</v>
      </c>
      <c r="CC162" s="137">
        <f t="shared" si="251"/>
        <v>269.41563369592717</v>
      </c>
      <c r="CD162" s="132">
        <f t="shared" si="251"/>
        <v>259.46509770686311</v>
      </c>
      <c r="CE162" s="137">
        <f t="shared" si="251"/>
        <v>274.11427401187797</v>
      </c>
      <c r="CF162" s="137">
        <f t="shared" si="251"/>
        <v>241.96642685851319</v>
      </c>
      <c r="CG162" s="137">
        <f t="shared" si="251"/>
        <v>235.89185265831972</v>
      </c>
      <c r="CH162" s="137">
        <f t="shared" si="251"/>
        <v>276.43535604089783</v>
      </c>
      <c r="CI162" s="132">
        <f t="shared" si="251"/>
        <v>271.18960335546086</v>
      </c>
      <c r="CJ162" s="181">
        <f>CI162+2</f>
        <v>273.18960335546086</v>
      </c>
      <c r="CK162" s="181">
        <f>CJ162+2</f>
        <v>275.18960335546086</v>
      </c>
      <c r="CL162" s="182"/>
      <c r="CM162" s="182"/>
      <c r="CN162" s="182"/>
      <c r="CO162" s="137"/>
      <c r="CP162" s="137"/>
      <c r="CQ162" s="6"/>
      <c r="CR162" s="6"/>
      <c r="CS162" s="6"/>
      <c r="CT162" s="124"/>
      <c r="CU162" s="124"/>
      <c r="CV162" s="124"/>
      <c r="CW162" s="124"/>
      <c r="CX162" s="124"/>
      <c r="CY162" s="124"/>
      <c r="CZ162" s="124"/>
      <c r="DA162" s="124"/>
      <c r="DB162" s="124"/>
      <c r="DC162" s="124"/>
      <c r="DD162" s="124"/>
      <c r="DE162" s="124"/>
      <c r="DF162" s="124"/>
      <c r="DG162" s="124"/>
      <c r="DH162" s="124"/>
      <c r="DI162" s="124"/>
      <c r="DK162" s="124"/>
      <c r="DL162" s="124"/>
      <c r="DM162" s="6"/>
      <c r="DN162" s="124"/>
      <c r="DO162" s="124"/>
      <c r="DQ162" s="136"/>
      <c r="DR162" s="124"/>
      <c r="DS162" s="124"/>
      <c r="DT162" s="124"/>
      <c r="DV162" s="124"/>
      <c r="DW162" s="124"/>
      <c r="DX162" s="124"/>
      <c r="EA162" s="111"/>
      <c r="EB162" s="111"/>
      <c r="EC162" s="111"/>
      <c r="ED162" s="124"/>
      <c r="EE162" s="124"/>
      <c r="EF162" s="124"/>
      <c r="EJ162" s="111"/>
      <c r="EK162" s="111"/>
      <c r="EL162" s="124"/>
      <c r="EM162" s="124"/>
      <c r="EN162" s="124"/>
      <c r="EP162" s="111"/>
      <c r="EQ162" s="124"/>
      <c r="ER162" s="124"/>
      <c r="ES162" s="124"/>
      <c r="EV162" s="111"/>
      <c r="EW162" s="111"/>
      <c r="EX162" s="111"/>
      <c r="EY162" s="111"/>
      <c r="EZ162" s="124"/>
      <c r="FA162" s="124"/>
      <c r="FD162" s="111">
        <v>-5.3897308328579072</v>
      </c>
      <c r="FE162" s="111"/>
      <c r="FF162" s="111"/>
      <c r="FG162" s="124"/>
      <c r="FH162" s="124"/>
      <c r="FK162" s="124"/>
      <c r="FL162" s="124"/>
      <c r="FO162" s="111">
        <v>184.94594105948292</v>
      </c>
      <c r="FP162" s="111">
        <v>184.94594105948292</v>
      </c>
      <c r="FQ162" s="124"/>
      <c r="FR162" s="124"/>
      <c r="FU162" s="111">
        <v>190.20050003048965</v>
      </c>
      <c r="FV162" s="124">
        <v>192.20050003048965</v>
      </c>
      <c r="FW162" s="124">
        <v>178.20050003048965</v>
      </c>
      <c r="FX162" s="124">
        <v>192</v>
      </c>
      <c r="FY162" s="124">
        <v>192</v>
      </c>
      <c r="GA162" s="124">
        <v>178.7992132884155</v>
      </c>
      <c r="GB162" s="124">
        <v>178.7992132884155</v>
      </c>
      <c r="GC162" s="124">
        <v>180.7992132884155</v>
      </c>
      <c r="GF162" s="111"/>
      <c r="GG162" s="111"/>
      <c r="GH162" s="111"/>
      <c r="GI162" s="124">
        <v>178.7992132884155</v>
      </c>
      <c r="GJ162" s="124">
        <v>178.7992132884155</v>
      </c>
      <c r="GK162" s="124">
        <v>180.7992132884155</v>
      </c>
      <c r="GN162" s="111"/>
      <c r="GO162" s="111"/>
      <c r="GP162" s="124">
        <v>186.7992132884155</v>
      </c>
      <c r="GQ162" s="124">
        <v>186.7992132884155</v>
      </c>
      <c r="GR162" s="124">
        <v>188.7992132884155</v>
      </c>
      <c r="GV162" s="111">
        <v>193.57469819073279</v>
      </c>
      <c r="GW162" s="124">
        <v>246.7992132884155</v>
      </c>
      <c r="GX162" s="124">
        <v>196.7992132884155</v>
      </c>
      <c r="GY162" s="124">
        <v>198.7992132884155</v>
      </c>
      <c r="HC162" s="124">
        <v>0</v>
      </c>
      <c r="HD162" s="124">
        <v>233.76588915434135</v>
      </c>
      <c r="HE162" s="124">
        <v>235.76588915434135</v>
      </c>
      <c r="HF162" s="124">
        <v>237.76588915434135</v>
      </c>
      <c r="HI162" s="111"/>
      <c r="HJ162" s="111"/>
      <c r="HK162" s="111"/>
      <c r="HL162" s="111"/>
      <c r="HM162" s="124">
        <v>235.76588915434135</v>
      </c>
      <c r="HN162" s="124">
        <v>237.76588915434135</v>
      </c>
      <c r="HO162" s="124">
        <v>239.76588915434135</v>
      </c>
      <c r="HR162" s="111"/>
      <c r="HS162" s="111"/>
      <c r="HT162" s="111"/>
      <c r="HU162" s="124">
        <v>235.76588915434135</v>
      </c>
      <c r="HV162" s="124">
        <v>200</v>
      </c>
      <c r="HW162" s="124">
        <v>202</v>
      </c>
      <c r="HZ162" s="111"/>
      <c r="IA162" s="124">
        <v>235.76588915434135</v>
      </c>
      <c r="IB162" s="124">
        <v>200</v>
      </c>
      <c r="IC162" s="124">
        <v>202</v>
      </c>
      <c r="IE162" s="111"/>
      <c r="IF162" s="124">
        <v>235.76588915434135</v>
      </c>
      <c r="IG162" s="124">
        <v>200</v>
      </c>
      <c r="IH162" s="124">
        <v>202</v>
      </c>
      <c r="IK162" s="124">
        <v>200</v>
      </c>
      <c r="IL162" s="124">
        <v>202</v>
      </c>
      <c r="IO162" s="124">
        <v>239</v>
      </c>
      <c r="IP162" s="124">
        <v>241</v>
      </c>
      <c r="IS162" s="160">
        <v>238</v>
      </c>
      <c r="IT162" s="160">
        <v>240</v>
      </c>
      <c r="IU162" s="160">
        <v>242</v>
      </c>
      <c r="IX162" s="124">
        <v>236.77975721767436</v>
      </c>
      <c r="IY162" s="124">
        <v>232</v>
      </c>
      <c r="IZ162" s="124">
        <v>234</v>
      </c>
      <c r="JA162" s="124">
        <v>236</v>
      </c>
      <c r="JD162" s="124">
        <v>242.25672141794999</v>
      </c>
      <c r="JE162" s="124">
        <v>244.25672141794999</v>
      </c>
      <c r="JH162" s="124">
        <v>242.25672141794999</v>
      </c>
      <c r="JI162" s="124">
        <v>244.25672141794999</v>
      </c>
      <c r="JJ162" s="124">
        <v>246.25672141794999</v>
      </c>
      <c r="JM162" s="124">
        <v>244.25672141794999</v>
      </c>
      <c r="JN162" s="124">
        <v>246.25672141794999</v>
      </c>
      <c r="JQ162" s="124">
        <v>242.25672141794999</v>
      </c>
      <c r="JR162" s="124">
        <v>244.25672141794999</v>
      </c>
      <c r="JS162" s="124">
        <v>246.25672141794999</v>
      </c>
      <c r="JV162" s="124">
        <v>244.25672141794999</v>
      </c>
      <c r="JW162" s="124">
        <v>246.25672141794999</v>
      </c>
      <c r="JY162" s="124">
        <v>244.25672141794999</v>
      </c>
      <c r="JZ162" s="124">
        <v>246.25672141794999</v>
      </c>
      <c r="KB162" s="124">
        <v>244.25672141794999</v>
      </c>
      <c r="KC162" s="124">
        <v>246.25672141794999</v>
      </c>
      <c r="KD162" s="124">
        <v>248.25672141794999</v>
      </c>
    </row>
    <row r="163" spans="2:290" hidden="1" x14ac:dyDescent="0.25">
      <c r="B163" s="6" t="s">
        <v>225</v>
      </c>
      <c r="C163" s="136"/>
      <c r="D163" s="136"/>
      <c r="E163" s="136"/>
      <c r="F163" s="136"/>
      <c r="G163" s="136"/>
      <c r="H163" s="132"/>
      <c r="I163" s="158"/>
      <c r="J163" s="158"/>
      <c r="K163" s="158"/>
      <c r="L163" s="158"/>
      <c r="M163" s="132"/>
      <c r="N163" s="158"/>
      <c r="O163" s="158"/>
      <c r="P163" s="158"/>
      <c r="Q163" s="158"/>
      <c r="R163" s="132"/>
      <c r="S163" s="158"/>
      <c r="T163" s="158"/>
      <c r="U163" s="158"/>
      <c r="V163" s="158"/>
      <c r="W163" s="132">
        <f t="shared" ref="W163:BN163" si="252">W144*10000/W122</f>
        <v>142.62108850562842</v>
      </c>
      <c r="X163" s="158">
        <f t="shared" si="252"/>
        <v>155.55555555555554</v>
      </c>
      <c r="Y163" s="158">
        <f t="shared" si="252"/>
        <v>167.57023164120255</v>
      </c>
      <c r="Z163" s="158">
        <f t="shared" si="252"/>
        <v>171.70891251022076</v>
      </c>
      <c r="AA163" s="158">
        <f t="shared" si="252"/>
        <v>185.31717747683535</v>
      </c>
      <c r="AB163" s="132">
        <f t="shared" si="252"/>
        <v>170.92778070637848</v>
      </c>
      <c r="AC163" s="158">
        <f t="shared" si="252"/>
        <v>172.59056732740945</v>
      </c>
      <c r="AD163" s="158">
        <f t="shared" si="252"/>
        <v>173.82143797735054</v>
      </c>
      <c r="AE163" s="158">
        <f t="shared" si="252"/>
        <v>164.71119133574007</v>
      </c>
      <c r="AF163" s="158">
        <f t="shared" si="252"/>
        <v>178.12758906379455</v>
      </c>
      <c r="AG163" s="132">
        <f t="shared" si="252"/>
        <v>172.37064380904712</v>
      </c>
      <c r="AH163" s="158">
        <f t="shared" si="252"/>
        <v>180.01858736059481</v>
      </c>
      <c r="AI163" s="158">
        <f t="shared" si="252"/>
        <v>158.56010284979644</v>
      </c>
      <c r="AJ163" s="158">
        <f t="shared" si="252"/>
        <v>166.21832358674467</v>
      </c>
      <c r="AK163" s="132">
        <f t="shared" si="252"/>
        <v>166.89443378119006</v>
      </c>
      <c r="AL163" s="158">
        <f t="shared" si="252"/>
        <v>185.81189710610931</v>
      </c>
      <c r="AM163" s="158">
        <f t="shared" si="252"/>
        <v>173.56157869709938</v>
      </c>
      <c r="AN163" s="158">
        <f t="shared" si="252"/>
        <v>171.40977855733394</v>
      </c>
      <c r="AO163" s="158">
        <f t="shared" si="252"/>
        <v>184.50732093391372</v>
      </c>
      <c r="AP163" s="132">
        <f t="shared" si="252"/>
        <v>167.44161302335479</v>
      </c>
      <c r="AQ163" s="158">
        <f t="shared" si="252"/>
        <v>176.61431064572423</v>
      </c>
      <c r="AR163" s="158">
        <f t="shared" si="252"/>
        <v>177.36365550642242</v>
      </c>
      <c r="AS163" s="158">
        <f t="shared" si="252"/>
        <v>177.60062220493876</v>
      </c>
      <c r="AT163" s="158">
        <f t="shared" si="252"/>
        <v>161.34709764765611</v>
      </c>
      <c r="AU163" s="132">
        <f t="shared" si="252"/>
        <v>172.56806475349521</v>
      </c>
      <c r="AV163" s="137">
        <f t="shared" si="252"/>
        <v>189.57345971563981</v>
      </c>
      <c r="AW163" s="137">
        <f t="shared" si="252"/>
        <v>199.67741935483872</v>
      </c>
      <c r="AX163" s="137">
        <f t="shared" si="252"/>
        <v>200.31458179126574</v>
      </c>
      <c r="AY163" s="137">
        <f t="shared" si="252"/>
        <v>161.20675520577143</v>
      </c>
      <c r="AZ163" s="132">
        <f t="shared" si="252"/>
        <v>186.20496546574574</v>
      </c>
      <c r="BA163" s="137">
        <f t="shared" si="252"/>
        <v>190.92156862745097</v>
      </c>
      <c r="BB163" s="137">
        <f t="shared" si="252"/>
        <v>184.67793708538412</v>
      </c>
      <c r="BC163" s="137">
        <f t="shared" si="252"/>
        <v>181.44741409232904</v>
      </c>
      <c r="BD163" s="137">
        <f t="shared" si="252"/>
        <v>181.12128146453088</v>
      </c>
      <c r="BE163" s="132">
        <f t="shared" si="252"/>
        <v>184.41695943019397</v>
      </c>
      <c r="BF163" s="137">
        <f t="shared" si="252"/>
        <v>185.79960185799601</v>
      </c>
      <c r="BG163" s="137">
        <f t="shared" si="252"/>
        <v>181.73506272591962</v>
      </c>
      <c r="BH163" s="137">
        <f t="shared" si="252"/>
        <v>183.15591734502192</v>
      </c>
      <c r="BI163" s="137">
        <f t="shared" si="252"/>
        <v>211.24361158432708</v>
      </c>
      <c r="BJ163" s="132">
        <f t="shared" si="252"/>
        <v>191.79662118258611</v>
      </c>
      <c r="BK163" s="137">
        <f t="shared" si="252"/>
        <v>229.77714556661925</v>
      </c>
      <c r="BL163" s="137">
        <f t="shared" si="252"/>
        <v>226.97019191506737</v>
      </c>
      <c r="BM163" s="137">
        <f t="shared" si="252"/>
        <v>243.90243902439025</v>
      </c>
      <c r="BN163" s="137">
        <f t="shared" si="252"/>
        <v>226.66154437187859</v>
      </c>
      <c r="BO163" s="132">
        <f>BJ163+40</f>
        <v>231.79662118258611</v>
      </c>
      <c r="BP163" s="137">
        <f t="shared" ref="BP163:CI163" si="253">BP144*10000/BP122</f>
        <v>256.68721522380059</v>
      </c>
      <c r="BQ163" s="137">
        <f t="shared" si="253"/>
        <v>247.58849557522123</v>
      </c>
      <c r="BR163" s="137">
        <f t="shared" si="253"/>
        <v>235.46027230237758</v>
      </c>
      <c r="BS163" s="137">
        <f t="shared" si="253"/>
        <v>238.24050383782719</v>
      </c>
      <c r="BT163" s="132">
        <f t="shared" si="253"/>
        <v>243.57639840026297</v>
      </c>
      <c r="BU163" s="137">
        <f t="shared" si="253"/>
        <v>244.39785697647332</v>
      </c>
      <c r="BV163" s="137">
        <f t="shared" si="253"/>
        <v>233.32595707014826</v>
      </c>
      <c r="BW163" s="137">
        <f t="shared" si="253"/>
        <v>234.36261214270812</v>
      </c>
      <c r="BX163" s="137">
        <f t="shared" si="253"/>
        <v>254.4067067927773</v>
      </c>
      <c r="BY163" s="132">
        <f t="shared" si="253"/>
        <v>241.57309525113655</v>
      </c>
      <c r="BZ163" s="137">
        <f t="shared" si="253"/>
        <v>242.8535732133933</v>
      </c>
      <c r="CA163" s="137">
        <f t="shared" si="253"/>
        <v>251.18471953578336</v>
      </c>
      <c r="CB163" s="137">
        <f t="shared" si="253"/>
        <v>222.03213018986023</v>
      </c>
      <c r="CC163" s="137">
        <f t="shared" si="253"/>
        <v>263.87272021730695</v>
      </c>
      <c r="CD163" s="132">
        <f t="shared" si="253"/>
        <v>249.60558936218166</v>
      </c>
      <c r="CE163" s="137">
        <f t="shared" si="253"/>
        <v>234.37351119580754</v>
      </c>
      <c r="CF163" s="137">
        <f t="shared" si="253"/>
        <v>235.81374115498744</v>
      </c>
      <c r="CG163" s="137">
        <f t="shared" si="253"/>
        <v>232.26876814599751</v>
      </c>
      <c r="CH163" s="137">
        <f t="shared" si="253"/>
        <v>241.54929577464787</v>
      </c>
      <c r="CI163" s="132">
        <f t="shared" si="253"/>
        <v>232.8579916815211</v>
      </c>
      <c r="CJ163" s="181">
        <f>CI163</f>
        <v>232.8579916815211</v>
      </c>
      <c r="CK163" s="181">
        <f>CJ163</f>
        <v>232.8579916815211</v>
      </c>
      <c r="CL163" s="182"/>
      <c r="CM163" s="182"/>
      <c r="CN163" s="182"/>
      <c r="CO163" s="137"/>
      <c r="CP163" s="137"/>
      <c r="CQ163" s="6"/>
      <c r="CR163" s="6"/>
      <c r="CS163" s="6"/>
      <c r="CT163" s="124"/>
      <c r="CU163" s="124"/>
      <c r="CV163" s="124"/>
      <c r="CW163" s="124"/>
      <c r="CX163" s="124"/>
      <c r="CY163" s="124"/>
      <c r="CZ163" s="124"/>
      <c r="DA163" s="124"/>
      <c r="DB163" s="124"/>
      <c r="DC163" s="124"/>
      <c r="DD163" s="124"/>
      <c r="DE163" s="124"/>
      <c r="DF163" s="124"/>
      <c r="DG163" s="124"/>
      <c r="DH163" s="124"/>
      <c r="DI163" s="124"/>
      <c r="DK163" s="124"/>
      <c r="DL163" s="124"/>
      <c r="DM163" s="6"/>
      <c r="DN163" s="124"/>
      <c r="DO163" s="124"/>
      <c r="DQ163" s="136"/>
      <c r="DR163" s="124"/>
      <c r="DS163" s="124"/>
      <c r="DT163" s="124"/>
      <c r="DV163" s="124"/>
      <c r="DW163" s="124"/>
      <c r="DX163" s="124"/>
      <c r="EA163" s="111"/>
      <c r="EB163" s="111"/>
      <c r="EC163" s="111"/>
      <c r="ED163" s="124"/>
      <c r="EE163" s="124"/>
      <c r="EF163" s="124"/>
      <c r="EJ163" s="111"/>
      <c r="EK163" s="111"/>
      <c r="EL163" s="124"/>
      <c r="EM163" s="124"/>
      <c r="EN163" s="124"/>
      <c r="EP163" s="111"/>
      <c r="EQ163" s="124"/>
      <c r="ER163" s="124"/>
      <c r="ES163" s="124"/>
      <c r="EV163" s="111"/>
      <c r="EW163" s="111"/>
      <c r="EX163" s="111"/>
      <c r="EY163" s="111"/>
      <c r="EZ163" s="124"/>
      <c r="FA163" s="124"/>
      <c r="FD163" s="111">
        <v>29.714813421679537</v>
      </c>
      <c r="FE163" s="111"/>
      <c r="FF163" s="111"/>
      <c r="FG163" s="124"/>
      <c r="FH163" s="124"/>
      <c r="FK163" s="124"/>
      <c r="FL163" s="124"/>
      <c r="FO163" s="111">
        <v>189.67793708538412</v>
      </c>
      <c r="FP163" s="111">
        <v>189.67793708538412</v>
      </c>
      <c r="FQ163" s="124"/>
      <c r="FR163" s="124"/>
      <c r="FU163" s="111">
        <v>183.44741409232904</v>
      </c>
      <c r="FV163" s="124">
        <v>185.44741409232904</v>
      </c>
      <c r="FW163" s="124">
        <v>171.44741409232904</v>
      </c>
      <c r="FX163" s="124">
        <v>185</v>
      </c>
      <c r="FY163" s="124">
        <v>185</v>
      </c>
      <c r="GA163" s="124">
        <v>176.41695943019397</v>
      </c>
      <c r="GB163" s="124">
        <v>176.41695943019397</v>
      </c>
      <c r="GC163" s="124">
        <v>178.41695943019397</v>
      </c>
      <c r="GF163" s="111"/>
      <c r="GG163" s="111"/>
      <c r="GH163" s="111"/>
      <c r="GI163" s="124">
        <v>176.41695943019397</v>
      </c>
      <c r="GJ163" s="124">
        <v>176.41695943019397</v>
      </c>
      <c r="GK163" s="124">
        <v>178.41695943019397</v>
      </c>
      <c r="GN163" s="111"/>
      <c r="GO163" s="111"/>
      <c r="GP163" s="124">
        <v>184.41695943019397</v>
      </c>
      <c r="GQ163" s="124">
        <v>184.41695943019397</v>
      </c>
      <c r="GR163" s="124">
        <v>186.41695943019397</v>
      </c>
      <c r="GV163" s="111">
        <v>187.01913316204735</v>
      </c>
      <c r="GW163" s="124">
        <v>184.41695943019397</v>
      </c>
      <c r="GX163" s="124">
        <v>184.41695943019397</v>
      </c>
      <c r="GY163" s="124">
        <v>186.41695943019397</v>
      </c>
      <c r="HC163" s="124">
        <v>0</v>
      </c>
      <c r="HD163" s="124">
        <v>231.79662118258611</v>
      </c>
      <c r="HE163" s="124">
        <v>233.79662118258611</v>
      </c>
      <c r="HF163" s="124">
        <v>235.79662118258611</v>
      </c>
      <c r="HI163" s="111"/>
      <c r="HJ163" s="111"/>
      <c r="HK163" s="111"/>
      <c r="HL163" s="111"/>
      <c r="HM163" s="124">
        <v>233.79662118258611</v>
      </c>
      <c r="HN163" s="124">
        <v>235.79662118258611</v>
      </c>
      <c r="HO163" s="124">
        <v>237.79662118258611</v>
      </c>
      <c r="HR163" s="111"/>
      <c r="HS163" s="111"/>
      <c r="HT163" s="111"/>
      <c r="HU163" s="124">
        <v>233.79662118258611</v>
      </c>
      <c r="HV163" s="124">
        <v>200</v>
      </c>
      <c r="HW163" s="124">
        <v>202</v>
      </c>
      <c r="HZ163" s="111"/>
      <c r="IA163" s="124">
        <v>233.79662118258611</v>
      </c>
      <c r="IB163" s="124">
        <v>200</v>
      </c>
      <c r="IC163" s="124">
        <v>202</v>
      </c>
      <c r="IE163" s="111"/>
      <c r="IF163" s="124">
        <v>233.79662118258611</v>
      </c>
      <c r="IG163" s="124">
        <v>200</v>
      </c>
      <c r="IH163" s="124">
        <v>202</v>
      </c>
      <c r="IK163" s="124">
        <v>200</v>
      </c>
      <c r="IL163" s="124">
        <v>202</v>
      </c>
      <c r="IO163" s="124">
        <v>238</v>
      </c>
      <c r="IP163" s="124">
        <v>240</v>
      </c>
      <c r="IS163" s="160"/>
      <c r="IT163" s="160"/>
      <c r="IU163" s="160"/>
      <c r="IX163" s="124">
        <v>239.81558026534643</v>
      </c>
      <c r="IY163" s="124">
        <v>238</v>
      </c>
      <c r="IZ163" s="124">
        <v>240</v>
      </c>
      <c r="JA163" s="124">
        <v>242</v>
      </c>
      <c r="JD163" s="124">
        <v>243.57309525113655</v>
      </c>
      <c r="JE163" s="124">
        <v>245.57309525113655</v>
      </c>
      <c r="JH163" s="124">
        <v>243.57309525113655</v>
      </c>
      <c r="JI163" s="124">
        <v>245.57309525113655</v>
      </c>
      <c r="JJ163" s="124">
        <v>247.57309525113655</v>
      </c>
      <c r="JM163" s="124">
        <v>245.57309525113655</v>
      </c>
      <c r="JN163" s="124">
        <v>247.57309525113655</v>
      </c>
      <c r="JQ163" s="124">
        <v>243.57309525113655</v>
      </c>
      <c r="JR163" s="124">
        <v>243.57309525113655</v>
      </c>
      <c r="JS163" s="124">
        <v>243.57309525113655</v>
      </c>
      <c r="JV163" s="124">
        <v>243.57309525113655</v>
      </c>
      <c r="JW163" s="124">
        <v>243.57309525113655</v>
      </c>
      <c r="JY163" s="124">
        <v>243.57309525113655</v>
      </c>
      <c r="JZ163" s="124">
        <v>243.57309525113655</v>
      </c>
      <c r="KB163" s="124">
        <v>243.57309525113655</v>
      </c>
      <c r="KC163" s="124">
        <v>243.57309525113655</v>
      </c>
      <c r="KD163" s="124">
        <v>243.57309525113655</v>
      </c>
    </row>
    <row r="164" spans="2:290" s="60" customFormat="1" hidden="1" x14ac:dyDescent="0.25">
      <c r="B164" s="58" t="s">
        <v>239</v>
      </c>
      <c r="C164" s="4"/>
      <c r="D164" s="4"/>
      <c r="E164" s="4"/>
      <c r="F164" s="4"/>
      <c r="G164" s="4"/>
      <c r="H164" s="145"/>
      <c r="I164" s="156"/>
      <c r="J164" s="156"/>
      <c r="K164" s="156"/>
      <c r="L164" s="156"/>
      <c r="M164" s="145"/>
      <c r="N164" s="156"/>
      <c r="O164" s="156"/>
      <c r="P164" s="156"/>
      <c r="Q164" s="156"/>
      <c r="R164" s="145"/>
      <c r="S164" s="156"/>
      <c r="T164" s="156"/>
      <c r="U164" s="156"/>
      <c r="V164" s="156"/>
      <c r="W164" s="145"/>
      <c r="X164" s="156"/>
      <c r="Y164" s="156"/>
      <c r="Z164" s="156"/>
      <c r="AA164" s="156"/>
      <c r="AB164" s="145"/>
      <c r="AC164" s="156"/>
      <c r="AD164" s="156"/>
      <c r="AE164" s="156"/>
      <c r="AF164" s="156"/>
      <c r="AG164" s="145"/>
      <c r="AH164" s="156"/>
      <c r="AI164" s="156"/>
      <c r="AJ164" s="156"/>
      <c r="AK164" s="145"/>
      <c r="AL164" s="156"/>
      <c r="AM164" s="156"/>
      <c r="AN164" s="156"/>
      <c r="AO164" s="156"/>
      <c r="AP164" s="145"/>
      <c r="AQ164" s="156"/>
      <c r="AR164" s="156"/>
      <c r="AS164" s="156"/>
      <c r="AT164" s="156"/>
      <c r="AU164" s="145"/>
      <c r="AV164" s="148"/>
      <c r="AW164" s="148"/>
      <c r="AX164" s="148"/>
      <c r="AY164" s="148"/>
      <c r="AZ164" s="145">
        <f t="shared" ref="AZ164:CH164" si="254">AZ147*10000000/(AZ123*1000)</f>
        <v>141.0115507446298</v>
      </c>
      <c r="BA164" s="145">
        <f t="shared" si="254"/>
        <v>126.67330817787496</v>
      </c>
      <c r="BB164" s="145">
        <f t="shared" si="254"/>
        <v>135.92513368983956</v>
      </c>
      <c r="BC164" s="145">
        <f t="shared" si="254"/>
        <v>135.44524769954532</v>
      </c>
      <c r="BD164" s="145">
        <f t="shared" si="254"/>
        <v>138.61337209302326</v>
      </c>
      <c r="BE164" s="145">
        <f t="shared" si="254"/>
        <v>133.9309537058862</v>
      </c>
      <c r="BF164" s="145">
        <f t="shared" si="254"/>
        <v>115.24094870477089</v>
      </c>
      <c r="BG164" s="145">
        <f t="shared" si="254"/>
        <v>144.96393774516005</v>
      </c>
      <c r="BH164" s="145">
        <f t="shared" si="254"/>
        <v>165.2423286492687</v>
      </c>
      <c r="BI164" s="145">
        <f t="shared" si="254"/>
        <v>187.39909023894708</v>
      </c>
      <c r="BJ164" s="145">
        <f t="shared" si="254"/>
        <v>155.38792840049959</v>
      </c>
      <c r="BK164" s="145">
        <f t="shared" si="254"/>
        <v>188.32510103277951</v>
      </c>
      <c r="BL164" s="145">
        <f t="shared" si="254"/>
        <v>187.83321808070281</v>
      </c>
      <c r="BM164" s="145">
        <f t="shared" si="254"/>
        <v>212.8990948195659</v>
      </c>
      <c r="BN164" s="145">
        <f t="shared" si="254"/>
        <v>198.82976820857346</v>
      </c>
      <c r="BO164" s="145">
        <f t="shared" si="254"/>
        <v>197.32627244501876</v>
      </c>
      <c r="BP164" s="145">
        <f t="shared" si="254"/>
        <v>202.52841482896017</v>
      </c>
      <c r="BQ164" s="145">
        <f t="shared" si="254"/>
        <v>186.63184351046039</v>
      </c>
      <c r="BR164" s="145">
        <f t="shared" si="254"/>
        <v>167.00466891198448</v>
      </c>
      <c r="BS164" s="145">
        <f t="shared" si="254"/>
        <v>176.2586999877895</v>
      </c>
      <c r="BT164" s="145">
        <f t="shared" si="254"/>
        <v>181.66973016835112</v>
      </c>
      <c r="BU164" s="145">
        <f t="shared" si="254"/>
        <v>159.45309133993968</v>
      </c>
      <c r="BV164" s="145">
        <f t="shared" si="254"/>
        <v>167.58418443268508</v>
      </c>
      <c r="BW164" s="145">
        <f t="shared" si="254"/>
        <v>154.98180667615884</v>
      </c>
      <c r="BX164" s="145">
        <f t="shared" si="254"/>
        <v>153.95943061591143</v>
      </c>
      <c r="BY164" s="145">
        <f t="shared" si="254"/>
        <v>158.42182519645897</v>
      </c>
      <c r="BZ164" s="145">
        <f t="shared" si="254"/>
        <v>151.65818160899707</v>
      </c>
      <c r="CA164" s="145">
        <f t="shared" si="254"/>
        <v>164.61467152385987</v>
      </c>
      <c r="CB164" s="145">
        <f t="shared" si="254"/>
        <v>153.20962031497984</v>
      </c>
      <c r="CC164" s="145">
        <f t="shared" si="254"/>
        <v>151.39537908882596</v>
      </c>
      <c r="CD164" s="145">
        <f t="shared" si="254"/>
        <v>154.83832708188166</v>
      </c>
      <c r="CE164" s="145">
        <f t="shared" si="254"/>
        <v>141.96460148101397</v>
      </c>
      <c r="CF164" s="145">
        <f t="shared" si="254"/>
        <v>155.01227085235476</v>
      </c>
      <c r="CG164" s="145">
        <f t="shared" si="254"/>
        <v>146.19628497121778</v>
      </c>
      <c r="CH164" s="145">
        <f t="shared" si="254"/>
        <v>152.1284073708315</v>
      </c>
      <c r="CI164" s="145">
        <f>CI147*10000000/(CI123*1000)</f>
        <v>148.71502377620521</v>
      </c>
      <c r="CJ164" s="183">
        <f t="shared" ref="CJ164" si="255">CJ147*10000000/(CJ123*1000)</f>
        <v>148.5624660824547</v>
      </c>
      <c r="CK164" s="183">
        <v>150</v>
      </c>
      <c r="CL164" s="183">
        <f>CK164*1.02</f>
        <v>153</v>
      </c>
      <c r="CM164" s="183">
        <f t="shared" ref="CM164:CN164" si="256">CL164*1.02</f>
        <v>156.06</v>
      </c>
      <c r="CN164" s="183">
        <f t="shared" si="256"/>
        <v>159.18120000000002</v>
      </c>
      <c r="CO164" s="148"/>
      <c r="CP164" s="148"/>
      <c r="CQ164" s="58"/>
      <c r="CR164" s="58"/>
      <c r="CS164" s="58"/>
      <c r="CT164" s="143"/>
      <c r="CU164" s="143"/>
      <c r="CV164" s="143"/>
      <c r="CW164" s="143"/>
      <c r="CX164" s="143"/>
      <c r="CY164" s="143"/>
      <c r="CZ164" s="143"/>
      <c r="DA164" s="143"/>
      <c r="DB164" s="143"/>
      <c r="DC164" s="143"/>
      <c r="DD164" s="143"/>
      <c r="DE164" s="143"/>
      <c r="DF164" s="143"/>
      <c r="DG164" s="143"/>
      <c r="DH164" s="143"/>
      <c r="DI164" s="143"/>
      <c r="DK164" s="143"/>
      <c r="DL164" s="143"/>
      <c r="DM164" s="58"/>
      <c r="DN164" s="143"/>
      <c r="DO164" s="143"/>
      <c r="DQ164" s="4"/>
      <c r="DR164" s="143"/>
      <c r="DS164" s="143"/>
      <c r="DT164" s="143"/>
      <c r="DV164" s="143"/>
      <c r="DW164" s="143"/>
      <c r="DX164" s="143"/>
      <c r="EA164" s="119"/>
      <c r="EB164" s="119"/>
      <c r="EC164" s="119"/>
      <c r="ED164" s="143"/>
      <c r="EE164" s="143"/>
      <c r="EF164" s="143"/>
      <c r="EJ164" s="119"/>
      <c r="EK164" s="119"/>
      <c r="EL164" s="143"/>
      <c r="EM164" s="143"/>
      <c r="EN164" s="143"/>
      <c r="EP164" s="119"/>
      <c r="EQ164" s="143"/>
      <c r="ER164" s="143"/>
      <c r="ES164" s="143"/>
      <c r="EV164" s="119"/>
      <c r="EW164" s="119"/>
      <c r="EX164" s="119"/>
      <c r="EY164" s="119"/>
      <c r="EZ164" s="143"/>
      <c r="FA164" s="143"/>
      <c r="FD164" s="119"/>
      <c r="FE164" s="119"/>
      <c r="FF164" s="119"/>
      <c r="FG164" s="143"/>
      <c r="FH164" s="143"/>
      <c r="FK164" s="143"/>
      <c r="FL164" s="143"/>
      <c r="FO164" s="119"/>
      <c r="FP164" s="119"/>
      <c r="FQ164" s="143"/>
      <c r="FR164" s="143"/>
      <c r="FU164" s="119"/>
      <c r="FV164" s="143"/>
      <c r="FW164" s="143"/>
      <c r="FX164" s="143"/>
      <c r="FY164" s="143"/>
      <c r="GA164" s="143"/>
      <c r="GB164" s="143"/>
      <c r="GC164" s="143"/>
      <c r="GF164" s="119"/>
      <c r="GG164" s="119"/>
      <c r="GH164" s="119"/>
      <c r="GI164" s="143"/>
      <c r="GJ164" s="143"/>
      <c r="GK164" s="143"/>
      <c r="GN164" s="119"/>
      <c r="GO164" s="119"/>
      <c r="GP164" s="143"/>
      <c r="GQ164" s="143"/>
      <c r="GR164" s="143"/>
      <c r="GV164" s="119"/>
      <c r="GW164" s="143"/>
      <c r="GX164" s="143"/>
      <c r="GY164" s="143"/>
      <c r="HC164" s="143"/>
      <c r="HD164" s="143"/>
      <c r="HE164" s="143"/>
      <c r="HF164" s="143"/>
      <c r="HI164" s="119"/>
      <c r="HJ164" s="119"/>
      <c r="HK164" s="119"/>
      <c r="HL164" s="119"/>
      <c r="HM164" s="143"/>
      <c r="HN164" s="143"/>
      <c r="HO164" s="143"/>
      <c r="HR164" s="119"/>
      <c r="HS164" s="119"/>
      <c r="HT164" s="119"/>
      <c r="HU164" s="143"/>
      <c r="HV164" s="143"/>
      <c r="HW164" s="143"/>
      <c r="HZ164" s="119"/>
      <c r="IA164" s="143"/>
      <c r="IB164" s="143"/>
      <c r="IC164" s="143"/>
      <c r="IE164" s="119"/>
      <c r="IF164" s="143"/>
      <c r="IG164" s="143"/>
      <c r="IH164" s="143"/>
      <c r="IK164" s="143"/>
      <c r="IL164" s="143"/>
      <c r="IO164" s="143"/>
      <c r="IP164" s="143"/>
      <c r="IS164" s="157"/>
      <c r="IT164" s="157"/>
      <c r="IU164" s="157"/>
      <c r="IX164" s="143"/>
      <c r="IY164" s="143"/>
      <c r="IZ164" s="143"/>
      <c r="JA164" s="143"/>
      <c r="JD164" s="143"/>
      <c r="JE164" s="143"/>
      <c r="JH164" s="143"/>
      <c r="JI164" s="143"/>
      <c r="JJ164" s="143"/>
      <c r="JM164" s="143"/>
      <c r="JN164" s="143"/>
      <c r="JQ164" s="143"/>
      <c r="JR164" s="143"/>
      <c r="JS164" s="143"/>
      <c r="JV164" s="143"/>
      <c r="JW164" s="143"/>
      <c r="JY164" s="143"/>
      <c r="JZ164" s="143"/>
      <c r="KB164" s="143"/>
      <c r="KC164" s="143"/>
      <c r="KD164" s="143"/>
    </row>
    <row r="165" spans="2:290" hidden="1" x14ac:dyDescent="0.25">
      <c r="B165" s="6" t="s">
        <v>240</v>
      </c>
      <c r="C165" s="136"/>
      <c r="D165" s="136"/>
      <c r="E165" s="136"/>
      <c r="F165" s="136"/>
      <c r="G165" s="136"/>
      <c r="H165" s="132"/>
      <c r="I165" s="158"/>
      <c r="J165" s="158"/>
      <c r="K165" s="158"/>
      <c r="L165" s="158"/>
      <c r="M165" s="132"/>
      <c r="N165" s="158"/>
      <c r="O165" s="158"/>
      <c r="P165" s="158"/>
      <c r="Q165" s="158"/>
      <c r="R165" s="132"/>
      <c r="S165" s="158"/>
      <c r="T165" s="158"/>
      <c r="U165" s="158"/>
      <c r="V165" s="158"/>
      <c r="W165" s="132"/>
      <c r="X165" s="158">
        <v>71.715999999999994</v>
      </c>
      <c r="Y165" s="158">
        <v>73.739999999999995</v>
      </c>
      <c r="Z165" s="158">
        <v>76.12</v>
      </c>
      <c r="AA165" s="158">
        <v>76.108000000000004</v>
      </c>
      <c r="AB165" s="132">
        <f>AVERAGE(X165:AA165)</f>
        <v>74.420999999999992</v>
      </c>
      <c r="AC165" s="158">
        <v>76.742000000000004</v>
      </c>
      <c r="AD165" s="158">
        <v>65.878</v>
      </c>
      <c r="AE165" s="158">
        <v>65.87</v>
      </c>
      <c r="AF165" s="158">
        <v>67.299000000000007</v>
      </c>
      <c r="AG165" s="132">
        <f>AVERAGE(AC165:AF165)</f>
        <v>68.947249999999997</v>
      </c>
      <c r="AH165" s="158">
        <v>64.260000000000005</v>
      </c>
      <c r="AI165" s="158">
        <v>62.256</v>
      </c>
      <c r="AJ165" s="158">
        <v>63.250999999999998</v>
      </c>
      <c r="AK165" s="132">
        <f>AVERAGE(AH165:AJ165)</f>
        <v>63.255666666666663</v>
      </c>
      <c r="AL165" s="158">
        <v>67.251000000000005</v>
      </c>
      <c r="AM165" s="158">
        <v>69.024000000000001</v>
      </c>
      <c r="AN165" s="158">
        <v>73.436000000000007</v>
      </c>
      <c r="AO165" s="158">
        <v>76.260000000000005</v>
      </c>
      <c r="AP165" s="132">
        <f>AVERAGE(AL165:AO165)</f>
        <v>71.492750000000001</v>
      </c>
      <c r="AQ165" s="158">
        <v>72.093000000000004</v>
      </c>
      <c r="AR165" s="158">
        <v>71.760000000000005</v>
      </c>
      <c r="AS165" s="158">
        <v>69.3</v>
      </c>
      <c r="AT165" s="158">
        <v>71.415999999999997</v>
      </c>
      <c r="AU165" s="132">
        <f>AVERAGE(AQ165:AT165)</f>
        <v>71.142250000000004</v>
      </c>
      <c r="AV165" s="137">
        <v>75.099999999999994</v>
      </c>
      <c r="AW165" s="137">
        <v>78.825000000000003</v>
      </c>
      <c r="AX165" s="137">
        <v>75.563999999999993</v>
      </c>
      <c r="AY165" s="137">
        <v>75.397999999999996</v>
      </c>
      <c r="AZ165" s="132">
        <f>AVERAGE(AV165:AY165)</f>
        <v>76.22175</v>
      </c>
      <c r="BA165" s="137">
        <v>70.116</v>
      </c>
      <c r="BB165" s="137">
        <v>75.947000000000003</v>
      </c>
      <c r="BC165" s="137">
        <v>73.876000000000005</v>
      </c>
      <c r="BD165" s="137">
        <v>74.876999999999995</v>
      </c>
      <c r="BE165" s="132">
        <f>AVERAGE(BA165:BD165)</f>
        <v>73.703999999999994</v>
      </c>
      <c r="BF165" s="137">
        <v>68.486999999999995</v>
      </c>
      <c r="BG165" s="137">
        <v>80.677999999999997</v>
      </c>
      <c r="BH165" s="137">
        <v>102.313</v>
      </c>
      <c r="BI165" s="137">
        <v>124.97799999999999</v>
      </c>
      <c r="BJ165" s="132">
        <f>AVERAGE(BF165:BI165)</f>
        <v>94.114000000000004</v>
      </c>
      <c r="BK165" s="137">
        <v>130.76900000000001</v>
      </c>
      <c r="BL165" s="137">
        <v>126.994</v>
      </c>
      <c r="BM165" s="137">
        <v>151.03</v>
      </c>
      <c r="BN165" s="137">
        <v>136.64500000000001</v>
      </c>
      <c r="BO165" s="132">
        <f>AVERAGE(BK165:BN165)</f>
        <v>136.3595</v>
      </c>
      <c r="BP165" s="137">
        <v>128.4</v>
      </c>
      <c r="BQ165" s="137">
        <v>99.9</v>
      </c>
      <c r="BR165" s="137">
        <v>82.462000000000003</v>
      </c>
      <c r="BS165" s="137">
        <v>90.9</v>
      </c>
      <c r="BT165" s="132">
        <f>AVERAGE(BP165:BS165)</f>
        <v>100.41550000000001</v>
      </c>
      <c r="BU165" s="137">
        <v>81.150000000000006</v>
      </c>
      <c r="BV165" s="137">
        <v>83.566000000000003</v>
      </c>
      <c r="BW165" s="137">
        <v>77.566000000000003</v>
      </c>
      <c r="BX165" s="137">
        <v>76.400000000000006</v>
      </c>
      <c r="BY165" s="132">
        <f>AVERAGE(BU165:BX165)</f>
        <v>79.670500000000004</v>
      </c>
      <c r="BZ165" s="137">
        <f t="shared" ref="BZ165:CD165" si="257">AVERAGE(BV165:BY165)</f>
        <v>79.300624999999997</v>
      </c>
      <c r="CA165" s="137">
        <f t="shared" si="257"/>
        <v>78.234281250000009</v>
      </c>
      <c r="CB165" s="137">
        <f t="shared" si="257"/>
        <v>78.401351562499997</v>
      </c>
      <c r="CC165" s="137">
        <f t="shared" si="257"/>
        <v>78.901689453125002</v>
      </c>
      <c r="CD165" s="132">
        <f t="shared" si="257"/>
        <v>78.709486816406255</v>
      </c>
      <c r="CE165" s="137">
        <v>71.965999999999994</v>
      </c>
      <c r="CF165" s="137">
        <v>75.849999999999994</v>
      </c>
      <c r="CG165" s="137">
        <v>71.165999999999997</v>
      </c>
      <c r="CH165" s="137">
        <v>84.54</v>
      </c>
      <c r="CI165" s="132">
        <f t="shared" ref="CI165" si="258">AVERAGE(CE165:CH165)</f>
        <v>75.880499999999998</v>
      </c>
      <c r="CJ165" s="181">
        <v>80</v>
      </c>
      <c r="CK165" s="181">
        <v>80</v>
      </c>
      <c r="CL165" s="181">
        <f>CK165</f>
        <v>80</v>
      </c>
      <c r="CM165" s="181">
        <f t="shared" ref="CM165:CN165" si="259">CL165</f>
        <v>80</v>
      </c>
      <c r="CN165" s="181">
        <f t="shared" si="259"/>
        <v>80</v>
      </c>
      <c r="CO165" s="137"/>
      <c r="CP165" s="137"/>
      <c r="CQ165" s="6"/>
      <c r="CR165" s="6"/>
      <c r="CS165" s="6"/>
      <c r="CT165" s="124"/>
      <c r="CU165" s="124"/>
      <c r="CV165" s="124"/>
      <c r="CW165" s="124"/>
      <c r="CX165" s="124"/>
      <c r="CY165" s="124"/>
      <c r="CZ165" s="124"/>
      <c r="DA165" s="124"/>
      <c r="DB165" s="124"/>
      <c r="DC165" s="124"/>
      <c r="DD165" s="124"/>
      <c r="DE165" s="124"/>
      <c r="DF165" s="124"/>
      <c r="DG165" s="124"/>
      <c r="DH165" s="124"/>
      <c r="DI165" s="124"/>
      <c r="DK165" s="124"/>
      <c r="DL165" s="124"/>
      <c r="DM165" s="6"/>
      <c r="DN165" s="124"/>
      <c r="DO165" s="124"/>
      <c r="DQ165" s="136"/>
      <c r="DR165" s="124"/>
      <c r="DS165" s="124"/>
      <c r="DT165" s="124"/>
      <c r="DV165" s="124"/>
      <c r="DW165" s="124"/>
      <c r="DX165" s="124"/>
      <c r="EA165" s="111"/>
      <c r="EB165" s="111"/>
      <c r="EC165" s="111"/>
      <c r="ED165" s="124"/>
      <c r="EE165" s="124"/>
      <c r="EF165" s="124"/>
      <c r="EJ165" s="111"/>
      <c r="EK165" s="111"/>
      <c r="EL165" s="124"/>
      <c r="EM165" s="124"/>
      <c r="EN165" s="124"/>
      <c r="EP165" s="111"/>
      <c r="EQ165" s="124"/>
      <c r="ER165" s="124"/>
      <c r="ES165" s="124"/>
      <c r="EV165" s="111"/>
      <c r="EW165" s="111"/>
      <c r="EX165" s="111"/>
      <c r="EY165" s="111"/>
      <c r="EZ165" s="124"/>
      <c r="FA165" s="124"/>
      <c r="FD165" s="111"/>
      <c r="FE165" s="111"/>
      <c r="FF165" s="111"/>
      <c r="FG165" s="124"/>
      <c r="FH165" s="124"/>
      <c r="FK165" s="124"/>
      <c r="FL165" s="124"/>
      <c r="FO165" s="111"/>
      <c r="FP165" s="111"/>
      <c r="FQ165" s="124"/>
      <c r="FR165" s="124"/>
      <c r="FU165" s="111"/>
      <c r="FV165" s="124"/>
      <c r="FW165" s="124"/>
      <c r="FX165" s="124"/>
      <c r="FY165" s="124"/>
      <c r="GA165" s="124"/>
      <c r="GB165" s="124"/>
      <c r="GC165" s="124"/>
      <c r="GF165" s="111"/>
      <c r="GG165" s="111"/>
      <c r="GH165" s="111"/>
      <c r="GI165" s="124"/>
      <c r="GJ165" s="124"/>
      <c r="GK165" s="124"/>
      <c r="GN165" s="111"/>
      <c r="GO165" s="111"/>
      <c r="GP165" s="124"/>
      <c r="GQ165" s="124"/>
      <c r="GR165" s="124"/>
      <c r="GV165" s="111"/>
      <c r="GW165" s="124"/>
      <c r="GX165" s="124"/>
      <c r="GY165" s="124"/>
      <c r="HC165" s="124"/>
      <c r="HD165" s="124"/>
      <c r="HE165" s="124"/>
      <c r="HF165" s="124"/>
      <c r="HI165" s="111"/>
      <c r="HJ165" s="111"/>
      <c r="HK165" s="111"/>
      <c r="HL165" s="111"/>
      <c r="HM165" s="124"/>
      <c r="HN165" s="124"/>
      <c r="HO165" s="124"/>
      <c r="HR165" s="111"/>
      <c r="HS165" s="111"/>
      <c r="HT165" s="111"/>
      <c r="HU165" s="124"/>
      <c r="HV165" s="124"/>
      <c r="HW165" s="124"/>
      <c r="HZ165" s="111"/>
      <c r="IA165" s="124"/>
      <c r="IB165" s="124"/>
      <c r="IC165" s="124"/>
      <c r="IE165" s="111"/>
      <c r="IF165" s="124"/>
      <c r="IG165" s="124"/>
      <c r="IH165" s="124"/>
      <c r="IK165" s="124"/>
      <c r="IL165" s="124"/>
      <c r="IO165" s="124"/>
      <c r="IP165" s="124"/>
      <c r="IS165" s="160"/>
      <c r="IT165" s="160"/>
      <c r="IU165" s="160"/>
      <c r="IX165" s="124"/>
      <c r="IY165" s="124"/>
      <c r="IZ165" s="124"/>
      <c r="JA165" s="124"/>
      <c r="JD165" s="124"/>
      <c r="JE165" s="124"/>
      <c r="JH165" s="124"/>
      <c r="JI165" s="124"/>
      <c r="JJ165" s="124"/>
      <c r="JM165" s="124"/>
      <c r="JN165" s="124"/>
      <c r="JQ165" s="124"/>
      <c r="JR165" s="124"/>
      <c r="JS165" s="124"/>
      <c r="JV165" s="124"/>
      <c r="JW165" s="124"/>
      <c r="JY165" s="124"/>
      <c r="JZ165" s="124"/>
      <c r="KB165" s="124"/>
      <c r="KC165" s="124"/>
      <c r="KD165" s="124"/>
    </row>
    <row r="166" spans="2:290" hidden="1" x14ac:dyDescent="0.25">
      <c r="B166" s="6" t="s">
        <v>241</v>
      </c>
      <c r="C166" s="136"/>
      <c r="D166" s="136"/>
      <c r="E166" s="136"/>
      <c r="F166" s="136"/>
      <c r="G166" s="136"/>
      <c r="H166" s="132"/>
      <c r="I166" s="158"/>
      <c r="J166" s="158"/>
      <c r="K166" s="158"/>
      <c r="L166" s="158"/>
      <c r="M166" s="132"/>
      <c r="N166" s="158"/>
      <c r="O166" s="158"/>
      <c r="P166" s="158"/>
      <c r="Q166" s="158"/>
      <c r="R166" s="132"/>
      <c r="S166" s="158"/>
      <c r="T166" s="158"/>
      <c r="U166" s="158"/>
      <c r="V166" s="158"/>
      <c r="W166" s="132"/>
      <c r="X166" s="158">
        <f>X165/X160</f>
        <v>0.63190198692098087</v>
      </c>
      <c r="Y166" s="158">
        <f t="shared" ref="Y166:CJ166" si="260">Y165/Y160</f>
        <v>0.683958669584245</v>
      </c>
      <c r="Z166" s="158">
        <f t="shared" si="260"/>
        <v>0.70953109225092259</v>
      </c>
      <c r="AA166" s="158">
        <f t="shared" si="260"/>
        <v>0.68765880979827088</v>
      </c>
      <c r="AB166" s="161">
        <f t="shared" si="260"/>
        <v>0.67900492092233</v>
      </c>
      <c r="AC166" s="162">
        <f t="shared" si="260"/>
        <v>0.65637361041619291</v>
      </c>
      <c r="AD166" s="162">
        <f t="shared" si="260"/>
        <v>0.63836049796747962</v>
      </c>
      <c r="AE166" s="162">
        <f t="shared" si="260"/>
        <v>0.69249316549295781</v>
      </c>
      <c r="AF166" s="162">
        <f t="shared" si="260"/>
        <v>0.64028958846153849</v>
      </c>
      <c r="AG166" s="161">
        <f t="shared" si="260"/>
        <v>0.66627436766709547</v>
      </c>
      <c r="AH166" s="162">
        <f t="shared" si="260"/>
        <v>0.60609081896981176</v>
      </c>
      <c r="AI166" s="162">
        <f t="shared" si="260"/>
        <v>0.62906398048780487</v>
      </c>
      <c r="AJ166" s="162">
        <f t="shared" si="260"/>
        <v>0.67041581675657425</v>
      </c>
      <c r="AK166" s="161">
        <f t="shared" si="260"/>
        <v>0.64240366981868602</v>
      </c>
      <c r="AL166" s="162">
        <f t="shared" si="260"/>
        <v>0.61728913536755947</v>
      </c>
      <c r="AM166" s="162">
        <f t="shared" si="260"/>
        <v>0.64650728025161397</v>
      </c>
      <c r="AN166" s="162">
        <f t="shared" si="260"/>
        <v>0.67400415035238848</v>
      </c>
      <c r="AO166" s="162">
        <f t="shared" si="260"/>
        <v>0.62929545554496813</v>
      </c>
      <c r="AP166" s="161">
        <f t="shared" si="260"/>
        <v>0.68176058105528126</v>
      </c>
      <c r="AQ166" s="162">
        <f t="shared" si="260"/>
        <v>0.71724343229707177</v>
      </c>
      <c r="AR166" s="162">
        <f t="shared" si="260"/>
        <v>0.67028390646492453</v>
      </c>
      <c r="AS166" s="162">
        <f t="shared" si="260"/>
        <v>0.67001958136394324</v>
      </c>
      <c r="AT166" s="162">
        <f t="shared" si="260"/>
        <v>0.62713688361205622</v>
      </c>
      <c r="AU166" s="161">
        <f t="shared" si="260"/>
        <v>0.66866969087228978</v>
      </c>
      <c r="AV166" s="74">
        <f t="shared" si="260"/>
        <v>0.69991792503346717</v>
      </c>
      <c r="AW166" s="74">
        <f t="shared" si="260"/>
        <v>0.65622218097618346</v>
      </c>
      <c r="AX166" s="74">
        <f t="shared" si="260"/>
        <v>0.66166216475766515</v>
      </c>
      <c r="AY166" s="74">
        <f t="shared" si="260"/>
        <v>0.66903252171140037</v>
      </c>
      <c r="AZ166" s="161">
        <f t="shared" si="260"/>
        <v>0.67201015187519697</v>
      </c>
      <c r="BA166" s="74">
        <f t="shared" si="260"/>
        <v>0.66538206868902849</v>
      </c>
      <c r="BB166" s="74">
        <f t="shared" si="260"/>
        <v>0.634626129238959</v>
      </c>
      <c r="BC166" s="74">
        <f t="shared" si="260"/>
        <v>0.65172295502085498</v>
      </c>
      <c r="BD166" s="74">
        <f t="shared" si="260"/>
        <v>0.61782195203944412</v>
      </c>
      <c r="BE166" s="161">
        <f t="shared" si="260"/>
        <v>0.64351048045354386</v>
      </c>
      <c r="BF166" s="74">
        <f t="shared" si="260"/>
        <v>0.67172956800376671</v>
      </c>
      <c r="BG166" s="74">
        <f t="shared" si="260"/>
        <v>0.63427334340513419</v>
      </c>
      <c r="BH166" s="74">
        <f t="shared" si="260"/>
        <v>0.68889855850877202</v>
      </c>
      <c r="BI166" s="74">
        <f t="shared" si="260"/>
        <v>0.70524990280304434</v>
      </c>
      <c r="BJ166" s="161">
        <f t="shared" si="260"/>
        <v>0.675885192898392</v>
      </c>
      <c r="BK166" s="74">
        <f t="shared" si="260"/>
        <v>0.75704558799109567</v>
      </c>
      <c r="BL166" s="74">
        <f t="shared" si="260"/>
        <v>0.72632134334953591</v>
      </c>
      <c r="BM166" s="74">
        <f t="shared" si="260"/>
        <v>0.75247934756097556</v>
      </c>
      <c r="BN166" s="74">
        <f t="shared" si="260"/>
        <v>0.73273207731159673</v>
      </c>
      <c r="BO166" s="161">
        <f t="shared" si="260"/>
        <v>0.76500931516636395</v>
      </c>
      <c r="BP166" s="74">
        <f t="shared" si="260"/>
        <v>0.69690171798761735</v>
      </c>
      <c r="BQ166" s="74">
        <f t="shared" si="260"/>
        <v>0.6112625993465719</v>
      </c>
      <c r="BR166" s="74">
        <f t="shared" si="260"/>
        <v>0.56904289564387422</v>
      </c>
      <c r="BS166" s="74">
        <f t="shared" si="260"/>
        <v>0.57643063587079291</v>
      </c>
      <c r="BT166" s="161">
        <f t="shared" si="260"/>
        <v>0.62377216532257407</v>
      </c>
      <c r="BU166" s="74">
        <f t="shared" si="260"/>
        <v>0.58524854407143434</v>
      </c>
      <c r="BV166" s="74">
        <f t="shared" si="260"/>
        <v>0.5698985485794551</v>
      </c>
      <c r="BW166" s="74">
        <f t="shared" si="260"/>
        <v>0.57574816402518791</v>
      </c>
      <c r="BX166" s="74">
        <f t="shared" si="260"/>
        <v>0.5636129577752691</v>
      </c>
      <c r="BY166" s="161">
        <f t="shared" si="260"/>
        <v>0.57584357036717515</v>
      </c>
      <c r="BZ166" s="74">
        <f t="shared" si="260"/>
        <v>0.59806284516135111</v>
      </c>
      <c r="CA166" s="74">
        <f t="shared" si="260"/>
        <v>0.55625214345882623</v>
      </c>
      <c r="CB166" s="74">
        <f t="shared" si="260"/>
        <v>0.59575759899393288</v>
      </c>
      <c r="CC166" s="74">
        <f t="shared" si="260"/>
        <v>0.61716414536702546</v>
      </c>
      <c r="CD166" s="161">
        <f t="shared" si="260"/>
        <v>0.59424599660637256</v>
      </c>
      <c r="CE166" s="74">
        <f t="shared" si="260"/>
        <v>0.59734297571290673</v>
      </c>
      <c r="CF166" s="74">
        <f t="shared" si="260"/>
        <v>0.56747005474099455</v>
      </c>
      <c r="CG166" s="74">
        <f t="shared" si="260"/>
        <v>0.57380173757542507</v>
      </c>
      <c r="CH166" s="74">
        <f t="shared" si="260"/>
        <v>0.63406156606443442</v>
      </c>
      <c r="CI166" s="161">
        <f t="shared" si="260"/>
        <v>0.59281439356547061</v>
      </c>
      <c r="CJ166" s="161">
        <f t="shared" si="260"/>
        <v>0.62499787804821594</v>
      </c>
      <c r="CK166" s="161">
        <f t="shared" ref="CK166" si="261">CK165/CK160</f>
        <v>0.62499787804821594</v>
      </c>
      <c r="CL166" s="161"/>
      <c r="CM166" s="161"/>
      <c r="CN166" s="161"/>
      <c r="CO166" s="74"/>
      <c r="CP166" s="74"/>
      <c r="CQ166" s="6"/>
      <c r="CR166" s="6"/>
      <c r="CS166" s="6"/>
      <c r="CT166" s="124"/>
      <c r="CU166" s="124"/>
      <c r="CV166" s="124"/>
      <c r="CW166" s="124"/>
      <c r="CX166" s="124"/>
      <c r="CY166" s="124"/>
      <c r="CZ166" s="124"/>
      <c r="DA166" s="124"/>
      <c r="DB166" s="124"/>
      <c r="DC166" s="124"/>
      <c r="DD166" s="124"/>
      <c r="DE166" s="124"/>
      <c r="DF166" s="124"/>
      <c r="DG166" s="124"/>
      <c r="DH166" s="124"/>
      <c r="DI166" s="124"/>
      <c r="DK166" s="124"/>
      <c r="DL166" s="124"/>
      <c r="DM166" s="6"/>
      <c r="DN166" s="124"/>
      <c r="DO166" s="124"/>
      <c r="DQ166" s="136"/>
      <c r="DR166" s="124"/>
      <c r="DS166" s="124"/>
      <c r="DT166" s="124"/>
      <c r="DV166" s="124"/>
      <c r="DW166" s="124"/>
      <c r="DX166" s="124"/>
      <c r="EA166" s="111"/>
      <c r="EB166" s="111"/>
      <c r="EC166" s="111"/>
      <c r="ED166" s="124"/>
      <c r="EE166" s="124"/>
      <c r="EF166" s="124"/>
      <c r="EJ166" s="111"/>
      <c r="EK166" s="111"/>
      <c r="EL166" s="124"/>
      <c r="EM166" s="124"/>
      <c r="EN166" s="124"/>
      <c r="EP166" s="111"/>
      <c r="EQ166" s="124"/>
      <c r="ER166" s="124"/>
      <c r="ES166" s="124"/>
      <c r="EV166" s="111"/>
      <c r="EW166" s="111"/>
      <c r="EX166" s="111"/>
      <c r="EY166" s="111"/>
      <c r="EZ166" s="124"/>
      <c r="FA166" s="124"/>
      <c r="FD166" s="111"/>
      <c r="FE166" s="111"/>
      <c r="FF166" s="111"/>
      <c r="FG166" s="124"/>
      <c r="FH166" s="124"/>
      <c r="FK166" s="124"/>
      <c r="FL166" s="124"/>
      <c r="FO166" s="111"/>
      <c r="FP166" s="111"/>
      <c r="FQ166" s="124"/>
      <c r="FR166" s="124"/>
      <c r="FU166" s="111"/>
      <c r="FV166" s="124"/>
      <c r="FW166" s="124"/>
      <c r="FX166" s="124"/>
      <c r="FY166" s="124"/>
      <c r="GA166" s="124"/>
      <c r="GB166" s="124"/>
      <c r="GC166" s="124"/>
      <c r="GF166" s="111"/>
      <c r="GG166" s="111"/>
      <c r="GH166" s="111"/>
      <c r="GI166" s="124"/>
      <c r="GJ166" s="124"/>
      <c r="GK166" s="124"/>
      <c r="GN166" s="111"/>
      <c r="GO166" s="111"/>
      <c r="GP166" s="124"/>
      <c r="GQ166" s="124"/>
      <c r="GR166" s="124"/>
      <c r="GV166" s="111"/>
      <c r="GW166" s="124"/>
      <c r="GX166" s="124"/>
      <c r="GY166" s="124"/>
      <c r="HC166" s="124"/>
      <c r="HD166" s="124"/>
      <c r="HE166" s="124"/>
      <c r="HF166" s="124"/>
      <c r="HI166" s="111"/>
      <c r="HJ166" s="111"/>
      <c r="HK166" s="111"/>
      <c r="HL166" s="111"/>
      <c r="HM166" s="124"/>
      <c r="HN166" s="124"/>
      <c r="HO166" s="124"/>
      <c r="HR166" s="111"/>
      <c r="HS166" s="111"/>
      <c r="HT166" s="111"/>
      <c r="HU166" s="124"/>
      <c r="HV166" s="124"/>
      <c r="HW166" s="124"/>
      <c r="HZ166" s="111"/>
      <c r="IA166" s="124"/>
      <c r="IB166" s="124"/>
      <c r="IC166" s="124"/>
      <c r="IE166" s="111"/>
      <c r="IF166" s="124"/>
      <c r="IG166" s="124"/>
      <c r="IH166" s="124"/>
      <c r="IK166" s="124"/>
      <c r="IL166" s="124"/>
      <c r="IO166" s="124"/>
      <c r="IP166" s="124"/>
      <c r="IS166" s="160"/>
      <c r="IT166" s="160"/>
      <c r="IU166" s="160"/>
      <c r="IX166" s="124"/>
      <c r="IY166" s="124"/>
      <c r="IZ166" s="124"/>
      <c r="JA166" s="124"/>
      <c r="JD166" s="124"/>
      <c r="JE166" s="124"/>
      <c r="JH166" s="124"/>
      <c r="JI166" s="124"/>
      <c r="JJ166" s="124"/>
      <c r="JM166" s="124"/>
      <c r="JN166" s="124"/>
      <c r="JQ166" s="124"/>
      <c r="JR166" s="124"/>
      <c r="JS166" s="124"/>
      <c r="JV166" s="124"/>
      <c r="JW166" s="124"/>
      <c r="JY166" s="124"/>
      <c r="JZ166" s="124"/>
      <c r="KB166" s="124"/>
      <c r="KC166" s="124"/>
      <c r="KD166" s="124"/>
    </row>
    <row r="167" spans="2:290" hidden="1" x14ac:dyDescent="0.25">
      <c r="AZ167" s="184">
        <f>AZ165/AZ164</f>
        <v>0.54053550647093207</v>
      </c>
      <c r="BA167" s="184">
        <f t="shared" ref="BA167:CN167" si="262">BA165/BA164</f>
        <v>0.55351834580291337</v>
      </c>
      <c r="BB167" s="184">
        <f t="shared" si="262"/>
        <v>0.55874140372964054</v>
      </c>
      <c r="BC167" s="184">
        <f t="shared" si="262"/>
        <v>0.54543072757987954</v>
      </c>
      <c r="BD167" s="184">
        <f t="shared" si="262"/>
        <v>0.54018597823123538</v>
      </c>
      <c r="BE167" s="184">
        <f t="shared" si="262"/>
        <v>0.55031341120630528</v>
      </c>
      <c r="BF167" s="184">
        <f t="shared" si="262"/>
        <v>0.59429396208332919</v>
      </c>
      <c r="BG167" s="184">
        <f t="shared" si="262"/>
        <v>0.55653841400078563</v>
      </c>
      <c r="BH167" s="184">
        <f t="shared" si="262"/>
        <v>0.61916943943075331</v>
      </c>
      <c r="BI167" s="184">
        <f t="shared" si="262"/>
        <v>0.66690825361342054</v>
      </c>
      <c r="BJ167" s="184">
        <f t="shared" si="262"/>
        <v>0.60567124466341371</v>
      </c>
      <c r="BK167" s="184">
        <f t="shared" si="262"/>
        <v>0.6943790247973296</v>
      </c>
      <c r="BL167" s="184">
        <f t="shared" si="262"/>
        <v>0.67609979372997187</v>
      </c>
      <c r="BM167" s="184">
        <f t="shared" si="262"/>
        <v>0.7093970978505072</v>
      </c>
      <c r="BN167" s="184">
        <f t="shared" si="262"/>
        <v>0.68724618668095361</v>
      </c>
      <c r="BO167" s="184">
        <f t="shared" si="262"/>
        <v>0.69103570604362374</v>
      </c>
      <c r="BP167" s="184">
        <f t="shared" si="262"/>
        <v>0.63398511319232276</v>
      </c>
      <c r="BQ167" s="184">
        <f t="shared" si="262"/>
        <v>0.53527842902329148</v>
      </c>
      <c r="BR167" s="184">
        <f t="shared" si="262"/>
        <v>0.49377062651739084</v>
      </c>
      <c r="BS167" s="184">
        <f t="shared" si="262"/>
        <v>0.5157192241080707</v>
      </c>
      <c r="BT167" s="184">
        <f t="shared" si="262"/>
        <v>0.55273655059071314</v>
      </c>
      <c r="BU167" s="184">
        <f t="shared" si="262"/>
        <v>0.50892710400324248</v>
      </c>
      <c r="BV167" s="184">
        <f t="shared" si="262"/>
        <v>0.49865087378556683</v>
      </c>
      <c r="BW167" s="184">
        <f t="shared" si="262"/>
        <v>0.50048455146788617</v>
      </c>
      <c r="BX167" s="184">
        <f t="shared" si="262"/>
        <v>0.49623462294166348</v>
      </c>
      <c r="BY167" s="184">
        <f t="shared" si="262"/>
        <v>0.50290103589704627</v>
      </c>
      <c r="BZ167" s="184">
        <f t="shared" si="262"/>
        <v>0.52289051707379508</v>
      </c>
      <c r="CA167" s="184">
        <f t="shared" si="262"/>
        <v>0.47525703830512117</v>
      </c>
      <c r="CB167" s="184">
        <f t="shared" si="262"/>
        <v>0.5117260352275308</v>
      </c>
      <c r="CC167" s="184">
        <f t="shared" si="262"/>
        <v>0.52116312880878735</v>
      </c>
      <c r="CD167" s="184">
        <f t="shared" si="262"/>
        <v>0.50833335841185545</v>
      </c>
      <c r="CE167" s="184">
        <f t="shared" si="262"/>
        <v>0.50692918691864586</v>
      </c>
      <c r="CF167" s="184">
        <f t="shared" si="262"/>
        <v>0.48931610112495666</v>
      </c>
      <c r="CG167" s="184">
        <f t="shared" si="262"/>
        <v>0.48678391529586895</v>
      </c>
      <c r="CH167" s="184">
        <f t="shared" si="262"/>
        <v>0.55571475085467414</v>
      </c>
      <c r="CI167" s="184">
        <f t="shared" si="262"/>
        <v>0.51024098354843606</v>
      </c>
      <c r="CJ167" s="184">
        <f t="shared" si="262"/>
        <v>0.53849402281460945</v>
      </c>
      <c r="CK167" s="184">
        <f t="shared" si="262"/>
        <v>0.53333333333333333</v>
      </c>
      <c r="CL167" s="184">
        <f t="shared" si="262"/>
        <v>0.52287581699346408</v>
      </c>
      <c r="CM167" s="184">
        <f t="shared" si="262"/>
        <v>0.51262334999359216</v>
      </c>
      <c r="CN167" s="184">
        <f t="shared" si="262"/>
        <v>0.50257191175842364</v>
      </c>
    </row>
    <row r="168" spans="2:290" hidden="1" x14ac:dyDescent="0.25">
      <c r="AZ168" s="184"/>
      <c r="BA168" s="184"/>
      <c r="BB168" s="184"/>
      <c r="BC168" s="184"/>
      <c r="BD168" s="184"/>
      <c r="BE168" s="184"/>
      <c r="BF168" s="184"/>
      <c r="BG168" s="184"/>
      <c r="BH168" s="184"/>
      <c r="BI168" s="184"/>
      <c r="BJ168" s="184"/>
      <c r="BK168" s="184"/>
      <c r="BL168" s="184"/>
      <c r="BM168" s="184"/>
      <c r="BN168" s="184"/>
      <c r="BO168" s="184"/>
      <c r="BP168" s="184"/>
      <c r="BQ168" s="184"/>
      <c r="BR168" s="184"/>
      <c r="BS168" s="184"/>
      <c r="BT168" s="184"/>
      <c r="BU168" s="184"/>
      <c r="BV168" s="184"/>
      <c r="BW168" s="184"/>
      <c r="BX168" s="184"/>
      <c r="BY168" s="184"/>
      <c r="BZ168" s="184"/>
      <c r="CA168" s="184"/>
      <c r="CB168" s="184"/>
      <c r="CC168" s="184"/>
      <c r="CD168" s="184"/>
      <c r="CE168" s="184"/>
      <c r="CF168" s="184"/>
      <c r="CG168" s="184"/>
      <c r="CH168" s="184"/>
      <c r="CI168" s="184"/>
      <c r="CJ168" s="184"/>
      <c r="CK168" s="184"/>
      <c r="CL168" s="184"/>
      <c r="CM168" s="184"/>
      <c r="CN168" s="184"/>
    </row>
    <row r="169" spans="2:290" s="60" customFormat="1" hidden="1" x14ac:dyDescent="0.25">
      <c r="B169" s="58" t="s">
        <v>242</v>
      </c>
      <c r="C169" s="4"/>
      <c r="D169" s="4" t="str">
        <f t="shared" ref="D169:BO169" si="263">D218</f>
        <v>1QFY10</v>
      </c>
      <c r="E169" s="4" t="str">
        <f t="shared" si="263"/>
        <v>2QFY10</v>
      </c>
      <c r="F169" s="4" t="str">
        <f t="shared" si="263"/>
        <v>3QFY10</v>
      </c>
      <c r="G169" s="4" t="str">
        <f t="shared" si="263"/>
        <v>4QFY10</v>
      </c>
      <c r="H169" s="145" t="str">
        <f t="shared" si="263"/>
        <v>CY10</v>
      </c>
      <c r="I169" s="156" t="str">
        <f t="shared" si="263"/>
        <v>1QFY11</v>
      </c>
      <c r="J169" s="156" t="str">
        <f t="shared" si="263"/>
        <v>2QFY11</v>
      </c>
      <c r="K169" s="156" t="str">
        <f t="shared" si="263"/>
        <v>3QFY11</v>
      </c>
      <c r="L169" s="156" t="str">
        <f t="shared" si="263"/>
        <v>4QFY11</v>
      </c>
      <c r="M169" s="145" t="str">
        <f t="shared" si="263"/>
        <v>CY11</v>
      </c>
      <c r="N169" s="156" t="str">
        <f t="shared" si="263"/>
        <v>1QFY12</v>
      </c>
      <c r="O169" s="156" t="str">
        <f t="shared" si="263"/>
        <v>2QFY12</v>
      </c>
      <c r="P169" s="156" t="str">
        <f t="shared" si="263"/>
        <v>3QFY12</v>
      </c>
      <c r="Q169" s="156" t="str">
        <f t="shared" si="263"/>
        <v>4QFY12</v>
      </c>
      <c r="R169" s="145" t="str">
        <f t="shared" si="263"/>
        <v>CY12</v>
      </c>
      <c r="S169" s="156" t="str">
        <f t="shared" si="263"/>
        <v>1QFY13</v>
      </c>
      <c r="T169" s="156" t="str">
        <f t="shared" si="263"/>
        <v>2QFY13</v>
      </c>
      <c r="U169" s="156" t="str">
        <f t="shared" si="263"/>
        <v>3QFY13</v>
      </c>
      <c r="V169" s="156" t="str">
        <f t="shared" si="263"/>
        <v>4QFY13</v>
      </c>
      <c r="W169" s="145" t="str">
        <f t="shared" si="263"/>
        <v>CY13</v>
      </c>
      <c r="X169" s="156" t="str">
        <f t="shared" si="263"/>
        <v>1QFY14</v>
      </c>
      <c r="Y169" s="156" t="str">
        <f t="shared" si="263"/>
        <v>2QFY14</v>
      </c>
      <c r="Z169" s="156" t="str">
        <f t="shared" si="263"/>
        <v>3QFY14</v>
      </c>
      <c r="AA169" s="156" t="str">
        <f t="shared" si="263"/>
        <v>4QFY14</v>
      </c>
      <c r="AB169" s="145" t="str">
        <f t="shared" si="263"/>
        <v>CY14</v>
      </c>
      <c r="AC169" s="156" t="str">
        <f t="shared" si="263"/>
        <v>1QFY15</v>
      </c>
      <c r="AD169" s="156" t="str">
        <f t="shared" si="263"/>
        <v>2QFY15</v>
      </c>
      <c r="AE169" s="156" t="str">
        <f t="shared" si="263"/>
        <v>3QFY15</v>
      </c>
      <c r="AF169" s="156" t="str">
        <f t="shared" si="263"/>
        <v>4QFY15</v>
      </c>
      <c r="AG169" s="145" t="str">
        <f t="shared" si="263"/>
        <v>CY15</v>
      </c>
      <c r="AH169" s="156" t="str">
        <f t="shared" si="263"/>
        <v>1QFY16</v>
      </c>
      <c r="AI169" s="156" t="str">
        <f t="shared" si="263"/>
        <v>2QFY16</v>
      </c>
      <c r="AJ169" s="156" t="str">
        <f t="shared" si="263"/>
        <v>3QFY16</v>
      </c>
      <c r="AK169" s="145" t="str">
        <f t="shared" si="263"/>
        <v>FY16</v>
      </c>
      <c r="AL169" s="156" t="str">
        <f t="shared" si="263"/>
        <v>1QFY17</v>
      </c>
      <c r="AM169" s="156" t="str">
        <f t="shared" si="263"/>
        <v>2QFY17</v>
      </c>
      <c r="AN169" s="156" t="str">
        <f t="shared" si="263"/>
        <v>3QFY17</v>
      </c>
      <c r="AO169" s="156" t="str">
        <f t="shared" si="263"/>
        <v>4QFY17</v>
      </c>
      <c r="AP169" s="145" t="str">
        <f t="shared" si="263"/>
        <v>FY17</v>
      </c>
      <c r="AQ169" s="156" t="str">
        <f t="shared" si="263"/>
        <v>1QFY18</v>
      </c>
      <c r="AR169" s="156" t="str">
        <f t="shared" si="263"/>
        <v>2QFY18</v>
      </c>
      <c r="AS169" s="156" t="str">
        <f t="shared" si="263"/>
        <v>3QFY18</v>
      </c>
      <c r="AT169" s="156" t="str">
        <f t="shared" si="263"/>
        <v>4QFY18</v>
      </c>
      <c r="AU169" s="145" t="str">
        <f t="shared" si="263"/>
        <v>FY18</v>
      </c>
      <c r="AV169" s="148" t="str">
        <f t="shared" si="263"/>
        <v>1QFY19</v>
      </c>
      <c r="AW169" s="148" t="str">
        <f t="shared" si="263"/>
        <v>2QFY19</v>
      </c>
      <c r="AX169" s="148" t="str">
        <f t="shared" si="263"/>
        <v>3QFY19</v>
      </c>
      <c r="AY169" s="148" t="str">
        <f t="shared" si="263"/>
        <v>4QFY19</v>
      </c>
      <c r="AZ169" s="145" t="str">
        <f t="shared" si="263"/>
        <v>FY19</v>
      </c>
      <c r="BA169" s="148" t="str">
        <f t="shared" si="263"/>
        <v>1QFY20</v>
      </c>
      <c r="BB169" s="148" t="str">
        <f t="shared" si="263"/>
        <v>2QFY20</v>
      </c>
      <c r="BC169" s="148" t="str">
        <f t="shared" si="263"/>
        <v>3QFY20</v>
      </c>
      <c r="BD169" s="148" t="str">
        <f t="shared" si="263"/>
        <v>4QFY20</v>
      </c>
      <c r="BE169" s="145" t="str">
        <f t="shared" si="263"/>
        <v>FY20</v>
      </c>
      <c r="BF169" s="148" t="str">
        <f t="shared" si="263"/>
        <v>1QFY21</v>
      </c>
      <c r="BG169" s="148" t="str">
        <f t="shared" si="263"/>
        <v>2QFY21</v>
      </c>
      <c r="BH169" s="148" t="str">
        <f t="shared" si="263"/>
        <v>3QFY21</v>
      </c>
      <c r="BI169" s="148" t="str">
        <f t="shared" si="263"/>
        <v>4QFY21</v>
      </c>
      <c r="BJ169" s="145" t="str">
        <f t="shared" si="263"/>
        <v>FY21</v>
      </c>
      <c r="BK169" s="148" t="str">
        <f t="shared" si="263"/>
        <v>1QFY22</v>
      </c>
      <c r="BL169" s="148" t="str">
        <f t="shared" si="263"/>
        <v>2QFY22</v>
      </c>
      <c r="BM169" s="148" t="str">
        <f t="shared" si="263"/>
        <v>3QFY22</v>
      </c>
      <c r="BN169" s="148" t="str">
        <f t="shared" si="263"/>
        <v>4QFY22</v>
      </c>
      <c r="BO169" s="145" t="str">
        <f t="shared" si="263"/>
        <v>FY22</v>
      </c>
      <c r="BP169" s="148" t="str">
        <f t="shared" ref="BP169:CK169" si="264">BP218</f>
        <v>1QFY23</v>
      </c>
      <c r="BQ169" s="148" t="str">
        <f t="shared" si="264"/>
        <v>2QFY23</v>
      </c>
      <c r="BR169" s="148" t="str">
        <f t="shared" si="264"/>
        <v>3QFY23</v>
      </c>
      <c r="BS169" s="148" t="str">
        <f t="shared" si="264"/>
        <v>4QFY23</v>
      </c>
      <c r="BT169" s="145" t="str">
        <f t="shared" si="264"/>
        <v>FY23</v>
      </c>
      <c r="BU169" s="148" t="str">
        <f t="shared" si="264"/>
        <v>1QFY24</v>
      </c>
      <c r="BV169" s="148" t="str">
        <f t="shared" si="264"/>
        <v>2QFY24</v>
      </c>
      <c r="BW169" s="148" t="str">
        <f t="shared" si="264"/>
        <v>3QFY24</v>
      </c>
      <c r="BX169" s="148" t="str">
        <f t="shared" si="264"/>
        <v>4QFY24</v>
      </c>
      <c r="BY169" s="145" t="str">
        <f t="shared" si="264"/>
        <v>FY24</v>
      </c>
      <c r="BZ169" s="148" t="str">
        <f t="shared" si="264"/>
        <v>1QFY25</v>
      </c>
      <c r="CA169" s="148" t="str">
        <f t="shared" si="264"/>
        <v>2QFY25</v>
      </c>
      <c r="CB169" s="148" t="str">
        <f t="shared" si="264"/>
        <v>3QFY25</v>
      </c>
      <c r="CC169" s="148" t="str">
        <f t="shared" si="264"/>
        <v>4QFY25</v>
      </c>
      <c r="CD169" s="145" t="str">
        <f t="shared" si="264"/>
        <v>FY25</v>
      </c>
      <c r="CE169" s="148" t="str">
        <f t="shared" si="264"/>
        <v>1QFY26</v>
      </c>
      <c r="CF169" s="148" t="str">
        <f t="shared" si="264"/>
        <v>2QFY26</v>
      </c>
      <c r="CG169" s="148" t="str">
        <f t="shared" si="264"/>
        <v>3QFY26</v>
      </c>
      <c r="CH169" s="148" t="str">
        <f t="shared" si="264"/>
        <v>4QFY26</v>
      </c>
      <c r="CI169" s="145" t="str">
        <f t="shared" si="264"/>
        <v>FY26</v>
      </c>
      <c r="CJ169" s="145" t="str">
        <f t="shared" si="264"/>
        <v>FY27E</v>
      </c>
      <c r="CK169" s="145" t="str">
        <f t="shared" si="264"/>
        <v>FY28E</v>
      </c>
      <c r="CL169" s="145"/>
      <c r="CM169" s="145"/>
      <c r="CN169" s="145"/>
      <c r="CO169" s="148"/>
      <c r="CP169" s="148"/>
      <c r="CQ169" s="58"/>
      <c r="CR169" s="58"/>
      <c r="CS169" s="58"/>
      <c r="CT169" s="143"/>
      <c r="CU169" s="143"/>
      <c r="CV169" s="143"/>
      <c r="CW169" s="143"/>
      <c r="CX169" s="143"/>
      <c r="CY169" s="143"/>
      <c r="CZ169" s="143"/>
      <c r="DA169" s="143"/>
      <c r="DB169" s="143"/>
      <c r="DC169" s="143"/>
      <c r="DD169" s="143"/>
      <c r="DE169" s="143"/>
      <c r="DF169" s="143"/>
      <c r="DG169" s="143"/>
      <c r="DH169" s="143"/>
      <c r="DI169" s="143"/>
      <c r="DK169" s="143"/>
      <c r="DL169" s="143"/>
      <c r="DM169" s="58"/>
      <c r="DN169" s="143"/>
      <c r="DO169" s="143"/>
      <c r="DQ169" s="4"/>
      <c r="DR169" s="143"/>
      <c r="DS169" s="143"/>
      <c r="DT169" s="143"/>
      <c r="DV169" s="143"/>
      <c r="DW169" s="143"/>
      <c r="DX169" s="143"/>
      <c r="EA169" s="119"/>
      <c r="EB169" s="119"/>
      <c r="EC169" s="119"/>
      <c r="ED169" s="143"/>
      <c r="EE169" s="143"/>
      <c r="EF169" s="143"/>
      <c r="EJ169" s="119"/>
      <c r="EK169" s="119"/>
      <c r="EL169" s="143"/>
      <c r="EM169" s="143"/>
      <c r="EN169" s="143"/>
      <c r="EP169" s="119"/>
      <c r="EQ169" s="143"/>
      <c r="ER169" s="143"/>
      <c r="ES169" s="143"/>
      <c r="EV169" s="119"/>
      <c r="EW169" s="119"/>
      <c r="EX169" s="119"/>
      <c r="EY169" s="119"/>
      <c r="EZ169" s="143"/>
      <c r="FA169" s="143"/>
      <c r="FD169" s="119"/>
      <c r="FE169" s="119"/>
      <c r="FF169" s="119"/>
      <c r="FG169" s="143"/>
      <c r="FH169" s="143"/>
      <c r="FK169" s="143"/>
      <c r="FL169" s="143"/>
      <c r="FO169" s="119"/>
      <c r="FP169" s="119"/>
      <c r="FQ169" s="143"/>
      <c r="FR169" s="143"/>
      <c r="FU169" s="119"/>
      <c r="FV169" s="143"/>
      <c r="FW169" s="143"/>
      <c r="FX169" s="143"/>
      <c r="FY169" s="143"/>
      <c r="GA169" s="143"/>
      <c r="GB169" s="143"/>
      <c r="GC169" s="143"/>
      <c r="GF169" s="119"/>
      <c r="GG169" s="119"/>
      <c r="GH169" s="119"/>
      <c r="GI169" s="143"/>
      <c r="GJ169" s="143"/>
      <c r="GK169" s="143"/>
      <c r="GN169" s="119"/>
      <c r="GO169" s="119"/>
      <c r="GP169" s="143"/>
      <c r="GQ169" s="143"/>
      <c r="GR169" s="143"/>
      <c r="GV169" s="119"/>
      <c r="GW169" s="143"/>
      <c r="GX169" s="143"/>
      <c r="GY169" s="143"/>
      <c r="HC169" s="143"/>
      <c r="HD169" s="143"/>
      <c r="HE169" s="143"/>
      <c r="HF169" s="143"/>
      <c r="HI169" s="119"/>
      <c r="HJ169" s="119"/>
      <c r="HK169" s="119"/>
      <c r="HL169" s="119"/>
      <c r="HM169" s="143"/>
      <c r="HN169" s="143"/>
      <c r="HO169" s="143"/>
      <c r="HR169" s="119"/>
      <c r="HS169" s="119"/>
      <c r="HT169" s="119"/>
      <c r="HU169" s="143"/>
      <c r="HV169" s="143"/>
      <c r="HW169" s="143"/>
      <c r="HZ169" s="119"/>
      <c r="IA169" s="143"/>
      <c r="IB169" s="143"/>
      <c r="IC169" s="143"/>
      <c r="IE169" s="119"/>
      <c r="IF169" s="143"/>
      <c r="IG169" s="143"/>
      <c r="IH169" s="143"/>
      <c r="IK169" s="143"/>
      <c r="IL169" s="143"/>
      <c r="IO169" s="143"/>
      <c r="IP169" s="143"/>
      <c r="IS169" s="157"/>
      <c r="IT169" s="157"/>
      <c r="IU169" s="157"/>
      <c r="IX169" s="143"/>
      <c r="IY169" s="143"/>
      <c r="IZ169" s="143"/>
      <c r="JA169" s="143"/>
      <c r="JD169" s="143"/>
      <c r="JE169" s="143"/>
      <c r="JH169" s="143"/>
      <c r="JI169" s="143"/>
      <c r="JJ169" s="143"/>
      <c r="JM169" s="143"/>
      <c r="JN169" s="143"/>
      <c r="JQ169" s="143"/>
      <c r="JR169" s="143"/>
      <c r="JS169" s="143"/>
      <c r="JV169" s="143"/>
      <c r="JW169" s="143"/>
      <c r="JY169" s="143"/>
      <c r="JZ169" s="143"/>
      <c r="KB169" s="143"/>
      <c r="KC169" s="143"/>
      <c r="KD169" s="143"/>
    </row>
    <row r="170" spans="2:290" hidden="1" x14ac:dyDescent="0.25">
      <c r="B170" s="6" t="str">
        <f>B141</f>
        <v>Plastics Piping Products</v>
      </c>
      <c r="C170" s="136"/>
      <c r="D170" s="136"/>
      <c r="E170" s="136"/>
      <c r="F170" s="136"/>
      <c r="G170" s="136"/>
      <c r="H170" s="132"/>
      <c r="I170" s="158"/>
      <c r="J170" s="158"/>
      <c r="K170" s="158"/>
      <c r="L170" s="158"/>
      <c r="M170" s="132"/>
      <c r="N170" s="158"/>
      <c r="O170" s="158"/>
      <c r="P170" s="158"/>
      <c r="Q170" s="158"/>
      <c r="R170" s="132"/>
      <c r="S170" s="158"/>
      <c r="T170" s="158"/>
      <c r="U170" s="158"/>
      <c r="V170" s="158"/>
      <c r="W170" s="132"/>
      <c r="X170" s="158"/>
      <c r="Y170" s="158"/>
      <c r="Z170" s="158"/>
      <c r="AA170" s="158"/>
      <c r="AB170" s="132"/>
      <c r="AC170" s="158"/>
      <c r="AD170" s="158"/>
      <c r="AE170" s="158"/>
      <c r="AF170" s="158"/>
      <c r="AG170" s="132"/>
      <c r="AH170" s="158">
        <v>41.99</v>
      </c>
      <c r="AI170" s="158">
        <v>52</v>
      </c>
      <c r="AJ170" s="158">
        <v>92.58</v>
      </c>
      <c r="AK170" s="132">
        <v>186.56800000000001</v>
      </c>
      <c r="AL170" s="158">
        <v>93.69</v>
      </c>
      <c r="AM170" s="158">
        <v>62.79</v>
      </c>
      <c r="AN170" s="158">
        <v>74.099999999999994</v>
      </c>
      <c r="AO170" s="158">
        <v>105.98</v>
      </c>
      <c r="AP170" s="132">
        <v>336.56</v>
      </c>
      <c r="AQ170" s="158">
        <v>65.14</v>
      </c>
      <c r="AR170" s="158">
        <v>50.35</v>
      </c>
      <c r="AS170" s="158">
        <v>67.8</v>
      </c>
      <c r="AT170" s="158">
        <v>130.33000000000001</v>
      </c>
      <c r="AU170" s="132">
        <v>313.63</v>
      </c>
      <c r="AV170" s="137">
        <v>77.36</v>
      </c>
      <c r="AW170" s="137">
        <v>64.95</v>
      </c>
      <c r="AX170" s="137">
        <v>75.5</v>
      </c>
      <c r="AY170" s="137">
        <v>95.02</v>
      </c>
      <c r="AZ170" s="132">
        <v>312.83</v>
      </c>
      <c r="BA170" s="137">
        <v>78.28</v>
      </c>
      <c r="BB170" s="137">
        <v>109.86</v>
      </c>
      <c r="BC170" s="137">
        <v>103.54</v>
      </c>
      <c r="BD170" s="137">
        <v>168.83</v>
      </c>
      <c r="BE170" s="132">
        <f>SUM(BA170:BD170)</f>
        <v>460.51</v>
      </c>
      <c r="BF170" s="137">
        <v>66.47</v>
      </c>
      <c r="BG170" s="137">
        <v>147.54</v>
      </c>
      <c r="BH170" s="137">
        <v>250.27</v>
      </c>
      <c r="BI170" s="137">
        <v>357.01</v>
      </c>
      <c r="BJ170" s="132">
        <v>821.29</v>
      </c>
      <c r="BK170" s="137">
        <v>141.56</v>
      </c>
      <c r="BL170" s="137">
        <v>194.02</v>
      </c>
      <c r="BM170" s="137">
        <v>189</v>
      </c>
      <c r="BN170" s="137">
        <v>258.91000000000003</v>
      </c>
      <c r="BO170" s="132">
        <v>783.88</v>
      </c>
      <c r="BP170" s="137">
        <v>154.41</v>
      </c>
      <c r="BQ170" s="137">
        <v>24.77</v>
      </c>
      <c r="BR170" s="137">
        <v>170.97</v>
      </c>
      <c r="BS170" s="137">
        <v>329.12</v>
      </c>
      <c r="BT170" s="132">
        <v>679.27</v>
      </c>
      <c r="BU170" s="137">
        <v>194.11</v>
      </c>
      <c r="BV170" s="137">
        <v>200.57</v>
      </c>
      <c r="BW170" s="137">
        <v>212.88</v>
      </c>
      <c r="BX170" s="137">
        <v>292.62</v>
      </c>
      <c r="BY170" s="132">
        <v>900.18</v>
      </c>
      <c r="BZ170" s="137">
        <v>231.31</v>
      </c>
      <c r="CA170" s="137">
        <f>150.42+35</f>
        <v>185.42</v>
      </c>
      <c r="CB170" s="137">
        <v>137.66</v>
      </c>
      <c r="CC170" s="137">
        <v>215.92</v>
      </c>
      <c r="CD170" s="132">
        <v>735</v>
      </c>
      <c r="CE170" s="137">
        <v>157.38999999999999</v>
      </c>
      <c r="CF170" s="137">
        <v>126.83</v>
      </c>
      <c r="CG170" s="137">
        <v>135.1</v>
      </c>
      <c r="CH170" s="137">
        <v>381.86</v>
      </c>
      <c r="CI170" s="132">
        <v>801.18</v>
      </c>
      <c r="CJ170" s="132">
        <f t="shared" ref="CJ170:CK173" si="265">CJ179*CJ119/10000</f>
        <v>0</v>
      </c>
      <c r="CK170" s="132">
        <f t="shared" si="265"/>
        <v>0</v>
      </c>
      <c r="CL170" s="132"/>
      <c r="CM170" s="132"/>
      <c r="CN170" s="132"/>
      <c r="CO170" s="137"/>
      <c r="CP170" s="137"/>
      <c r="CQ170" s="6"/>
      <c r="CR170" s="6"/>
      <c r="CS170" s="6"/>
      <c r="CT170" s="124"/>
      <c r="CU170" s="124"/>
      <c r="CV170" s="124"/>
      <c r="CW170" s="124"/>
      <c r="CX170" s="124"/>
      <c r="CY170" s="124"/>
      <c r="CZ170" s="124"/>
      <c r="DA170" s="124"/>
      <c r="DB170" s="124"/>
      <c r="DC170" s="124"/>
      <c r="DD170" s="124"/>
      <c r="DE170" s="124"/>
      <c r="DF170" s="124"/>
      <c r="DG170" s="124"/>
      <c r="DH170" s="124"/>
      <c r="DI170" s="124"/>
      <c r="DK170" s="124"/>
      <c r="DL170" s="124"/>
      <c r="DM170" s="6"/>
      <c r="DN170" s="124"/>
      <c r="DO170" s="124"/>
      <c r="DQ170" s="136"/>
      <c r="DR170" s="124"/>
      <c r="DS170" s="124"/>
      <c r="DT170" s="124"/>
      <c r="DV170" s="124"/>
      <c r="DW170" s="124"/>
      <c r="DX170" s="124"/>
      <c r="EA170" s="111"/>
      <c r="EB170" s="111"/>
      <c r="EC170" s="111"/>
      <c r="ED170" s="124"/>
      <c r="EE170" s="124"/>
      <c r="EF170" s="124"/>
      <c r="EJ170" s="111"/>
      <c r="EK170" s="111"/>
      <c r="EL170" s="124"/>
      <c r="EM170" s="124"/>
      <c r="EN170" s="124"/>
      <c r="EP170" s="111"/>
      <c r="EQ170" s="124"/>
      <c r="ER170" s="124"/>
      <c r="ES170" s="124"/>
      <c r="EV170" s="111"/>
      <c r="EW170" s="111"/>
      <c r="EX170" s="111"/>
      <c r="EY170" s="111"/>
      <c r="EZ170" s="124"/>
      <c r="FA170" s="124"/>
      <c r="FD170" s="111"/>
      <c r="FE170" s="111"/>
      <c r="FF170" s="111"/>
      <c r="FG170" s="124"/>
      <c r="FH170" s="124"/>
      <c r="FK170" s="124"/>
      <c r="FL170" s="124"/>
      <c r="FO170" s="111"/>
      <c r="FP170" s="111"/>
      <c r="FQ170" s="124"/>
      <c r="FR170" s="124"/>
      <c r="FU170" s="111"/>
      <c r="FV170" s="124"/>
      <c r="FW170" s="124"/>
      <c r="FX170" s="124"/>
      <c r="FY170" s="124"/>
      <c r="GA170" s="124"/>
      <c r="GB170" s="124"/>
      <c r="GC170" s="124"/>
      <c r="GF170" s="111"/>
      <c r="GG170" s="111"/>
      <c r="GH170" s="111"/>
      <c r="GI170" s="124"/>
      <c r="GJ170" s="124"/>
      <c r="GK170" s="124"/>
      <c r="GN170" s="111"/>
      <c r="GO170" s="111"/>
      <c r="GP170" s="124"/>
      <c r="GQ170" s="124"/>
      <c r="GR170" s="124"/>
      <c r="GV170" s="111"/>
      <c r="GW170" s="124"/>
      <c r="GX170" s="124"/>
      <c r="GY170" s="124"/>
      <c r="HC170" s="124"/>
      <c r="HD170" s="124"/>
      <c r="HE170" s="124"/>
      <c r="HF170" s="124"/>
      <c r="HI170" s="111"/>
      <c r="HJ170" s="111"/>
      <c r="HK170" s="111"/>
      <c r="HL170" s="111"/>
      <c r="HM170" s="124"/>
      <c r="HN170" s="124"/>
      <c r="HO170" s="124"/>
      <c r="HR170" s="111"/>
      <c r="HS170" s="111"/>
      <c r="HT170" s="111"/>
      <c r="HU170" s="124"/>
      <c r="HV170" s="124"/>
      <c r="HW170" s="124"/>
      <c r="HZ170" s="111"/>
      <c r="IA170" s="124"/>
      <c r="IB170" s="124"/>
      <c r="IC170" s="124"/>
      <c r="IE170" s="111"/>
      <c r="IF170" s="124"/>
      <c r="IG170" s="124"/>
      <c r="IH170" s="124"/>
      <c r="IK170" s="124"/>
      <c r="IL170" s="124"/>
      <c r="IO170" s="124"/>
      <c r="IP170" s="124"/>
      <c r="IS170" s="160"/>
      <c r="IT170" s="160"/>
      <c r="IU170" s="160"/>
      <c r="IX170" s="124"/>
      <c r="IY170" s="124"/>
      <c r="IZ170" s="124"/>
      <c r="JA170" s="124"/>
      <c r="JD170" s="124"/>
      <c r="JE170" s="124"/>
      <c r="JH170" s="124"/>
      <c r="JI170" s="124"/>
      <c r="JJ170" s="124"/>
      <c r="JM170" s="124"/>
      <c r="JN170" s="124"/>
      <c r="JQ170" s="124"/>
      <c r="JR170" s="124"/>
      <c r="JS170" s="124"/>
      <c r="JV170" s="124"/>
      <c r="JW170" s="124"/>
      <c r="JY170" s="124"/>
      <c r="JZ170" s="124"/>
      <c r="KB170" s="124"/>
      <c r="KC170" s="124"/>
      <c r="KD170" s="124"/>
    </row>
    <row r="171" spans="2:290" hidden="1" x14ac:dyDescent="0.25">
      <c r="B171" s="6" t="str">
        <f>B142</f>
        <v>Industrial Products</v>
      </c>
      <c r="C171" s="136"/>
      <c r="D171" s="136"/>
      <c r="E171" s="136"/>
      <c r="F171" s="136"/>
      <c r="G171" s="136"/>
      <c r="H171" s="132"/>
      <c r="I171" s="158"/>
      <c r="J171" s="158"/>
      <c r="K171" s="158"/>
      <c r="L171" s="158"/>
      <c r="M171" s="132"/>
      <c r="N171" s="158"/>
      <c r="O171" s="158"/>
      <c r="P171" s="158"/>
      <c r="Q171" s="158"/>
      <c r="R171" s="132"/>
      <c r="S171" s="158"/>
      <c r="T171" s="158"/>
      <c r="U171" s="158"/>
      <c r="V171" s="158"/>
      <c r="W171" s="132"/>
      <c r="X171" s="158"/>
      <c r="Y171" s="158"/>
      <c r="Z171" s="158"/>
      <c r="AA171" s="158"/>
      <c r="AB171" s="132"/>
      <c r="AC171" s="158"/>
      <c r="AD171" s="158"/>
      <c r="AE171" s="158"/>
      <c r="AF171" s="158"/>
      <c r="AG171" s="132"/>
      <c r="AH171" s="158">
        <v>4.6399999999999997</v>
      </c>
      <c r="AI171" s="158">
        <v>5.0549999999999997</v>
      </c>
      <c r="AJ171" s="158">
        <v>16.61</v>
      </c>
      <c r="AK171" s="132">
        <v>26.3</v>
      </c>
      <c r="AL171" s="158">
        <v>10.81</v>
      </c>
      <c r="AM171" s="158">
        <v>11.66</v>
      </c>
      <c r="AN171" s="158">
        <v>9.65</v>
      </c>
      <c r="AO171" s="158">
        <v>23.65</v>
      </c>
      <c r="AP171" s="132">
        <v>55.78</v>
      </c>
      <c r="AQ171" s="158">
        <v>10.92</v>
      </c>
      <c r="AR171" s="158">
        <v>15.8</v>
      </c>
      <c r="AS171" s="158">
        <v>18.46</v>
      </c>
      <c r="AT171" s="158">
        <v>33.119999999999997</v>
      </c>
      <c r="AU171" s="132">
        <v>78.3</v>
      </c>
      <c r="AV171" s="137">
        <v>19.61</v>
      </c>
      <c r="AW171" s="137">
        <v>18.899999999999999</v>
      </c>
      <c r="AX171" s="137">
        <v>11.34</v>
      </c>
      <c r="AY171" s="137">
        <v>15.46</v>
      </c>
      <c r="AZ171" s="132">
        <v>63.57</v>
      </c>
      <c r="BA171" s="137">
        <v>12.03</v>
      </c>
      <c r="BB171" s="137">
        <v>-1.96</v>
      </c>
      <c r="BC171" s="137">
        <v>8.49</v>
      </c>
      <c r="BD171" s="137">
        <v>14.01</v>
      </c>
      <c r="BE171" s="132">
        <f>SUM(BA171:BD171)</f>
        <v>32.57</v>
      </c>
      <c r="BF171" s="137">
        <v>-7.6</v>
      </c>
      <c r="BG171" s="137">
        <v>11.99</v>
      </c>
      <c r="BH171" s="137">
        <v>20.05</v>
      </c>
      <c r="BI171" s="137">
        <v>39.020000000000003</v>
      </c>
      <c r="BJ171" s="132">
        <v>63.46</v>
      </c>
      <c r="BK171" s="137">
        <v>12.2</v>
      </c>
      <c r="BL171" s="137">
        <v>19.21</v>
      </c>
      <c r="BM171" s="137">
        <v>22</v>
      </c>
      <c r="BN171" s="137">
        <v>31.44</v>
      </c>
      <c r="BO171" s="132">
        <v>85.26</v>
      </c>
      <c r="BP171" s="137">
        <v>25.55</v>
      </c>
      <c r="BQ171" s="137">
        <v>29.83</v>
      </c>
      <c r="BR171" s="137">
        <v>31.61</v>
      </c>
      <c r="BS171" s="137">
        <v>36.93</v>
      </c>
      <c r="BT171" s="132">
        <v>123.92</v>
      </c>
      <c r="BU171" s="137">
        <v>18.88</v>
      </c>
      <c r="BV171" s="137">
        <v>25.24</v>
      </c>
      <c r="BW171" s="137">
        <v>29.67</v>
      </c>
      <c r="BX171" s="137">
        <v>39.54</v>
      </c>
      <c r="BY171" s="132">
        <v>113.33</v>
      </c>
      <c r="BZ171" s="137">
        <v>19.54</v>
      </c>
      <c r="CA171" s="137">
        <v>28.14</v>
      </c>
      <c r="CB171" s="137">
        <v>27.2</v>
      </c>
      <c r="CC171" s="137">
        <v>35.200000000000003</v>
      </c>
      <c r="CD171" s="132">
        <v>110</v>
      </c>
      <c r="CE171" s="137">
        <v>17.64</v>
      </c>
      <c r="CF171" s="137">
        <v>11.8</v>
      </c>
      <c r="CG171" s="137">
        <v>26.96</v>
      </c>
      <c r="CH171" s="137">
        <v>41.64</v>
      </c>
      <c r="CI171" s="132">
        <v>98.04</v>
      </c>
      <c r="CJ171" s="132">
        <f t="shared" si="265"/>
        <v>0</v>
      </c>
      <c r="CK171" s="132">
        <f t="shared" si="265"/>
        <v>0</v>
      </c>
      <c r="CL171" s="132"/>
      <c r="CM171" s="132"/>
      <c r="CN171" s="132"/>
      <c r="CO171" s="137"/>
      <c r="CP171" s="137"/>
      <c r="CQ171" s="6"/>
      <c r="CR171" s="6"/>
      <c r="CS171" s="6"/>
      <c r="CT171" s="124"/>
      <c r="CU171" s="124"/>
      <c r="CV171" s="124"/>
      <c r="CW171" s="124"/>
      <c r="CX171" s="124"/>
      <c r="CY171" s="124"/>
      <c r="CZ171" s="124"/>
      <c r="DA171" s="124"/>
      <c r="DB171" s="124"/>
      <c r="DC171" s="124"/>
      <c r="DD171" s="124"/>
      <c r="DE171" s="124"/>
      <c r="DF171" s="124"/>
      <c r="DG171" s="124"/>
      <c r="DH171" s="124"/>
      <c r="DI171" s="124"/>
      <c r="DK171" s="124"/>
      <c r="DL171" s="124"/>
      <c r="DM171" s="6"/>
      <c r="DN171" s="124"/>
      <c r="DO171" s="124"/>
      <c r="DQ171" s="136"/>
      <c r="DR171" s="124"/>
      <c r="DS171" s="124"/>
      <c r="DT171" s="124"/>
      <c r="DV171" s="124"/>
      <c r="DW171" s="124"/>
      <c r="DX171" s="124"/>
      <c r="EA171" s="111"/>
      <c r="EB171" s="111"/>
      <c r="EC171" s="111"/>
      <c r="ED171" s="124"/>
      <c r="EE171" s="124"/>
      <c r="EF171" s="124"/>
      <c r="EJ171" s="111"/>
      <c r="EK171" s="111"/>
      <c r="EL171" s="124"/>
      <c r="EM171" s="124"/>
      <c r="EN171" s="124"/>
      <c r="EP171" s="111"/>
      <c r="EQ171" s="124"/>
      <c r="ER171" s="124"/>
      <c r="ES171" s="124"/>
      <c r="EV171" s="111"/>
      <c r="EW171" s="111"/>
      <c r="EX171" s="111"/>
      <c r="EY171" s="111"/>
      <c r="EZ171" s="124"/>
      <c r="FA171" s="124"/>
      <c r="FD171" s="111"/>
      <c r="FE171" s="111"/>
      <c r="FF171" s="111"/>
      <c r="FG171" s="124"/>
      <c r="FH171" s="124"/>
      <c r="FK171" s="124"/>
      <c r="FL171" s="124"/>
      <c r="FO171" s="111"/>
      <c r="FP171" s="111"/>
      <c r="FQ171" s="124"/>
      <c r="FR171" s="124"/>
      <c r="FU171" s="111"/>
      <c r="FV171" s="124"/>
      <c r="FW171" s="124"/>
      <c r="FX171" s="124"/>
      <c r="FY171" s="124"/>
      <c r="GA171" s="124"/>
      <c r="GB171" s="124"/>
      <c r="GC171" s="124"/>
      <c r="GF171" s="111"/>
      <c r="GG171" s="111"/>
      <c r="GH171" s="111"/>
      <c r="GI171" s="124"/>
      <c r="GJ171" s="124"/>
      <c r="GK171" s="124"/>
      <c r="GN171" s="111"/>
      <c r="GO171" s="111"/>
      <c r="GP171" s="124"/>
      <c r="GQ171" s="124"/>
      <c r="GR171" s="124"/>
      <c r="GV171" s="111"/>
      <c r="GW171" s="124"/>
      <c r="GX171" s="124"/>
      <c r="GY171" s="124"/>
      <c r="HC171" s="124"/>
      <c r="HD171" s="124"/>
      <c r="HE171" s="124"/>
      <c r="HF171" s="124"/>
      <c r="HI171" s="111"/>
      <c r="HJ171" s="111"/>
      <c r="HK171" s="111"/>
      <c r="HL171" s="111"/>
      <c r="HM171" s="124"/>
      <c r="HN171" s="124"/>
      <c r="HO171" s="124"/>
      <c r="HR171" s="111"/>
      <c r="HS171" s="111"/>
      <c r="HT171" s="111"/>
      <c r="HU171" s="124"/>
      <c r="HV171" s="124"/>
      <c r="HW171" s="124"/>
      <c r="HZ171" s="111"/>
      <c r="IA171" s="124"/>
      <c r="IB171" s="124"/>
      <c r="IC171" s="124"/>
      <c r="IE171" s="111"/>
      <c r="IF171" s="124"/>
      <c r="IG171" s="124"/>
      <c r="IH171" s="124"/>
      <c r="IK171" s="124"/>
      <c r="IL171" s="124"/>
      <c r="IO171" s="124"/>
      <c r="IP171" s="124"/>
      <c r="IS171" s="160"/>
      <c r="IT171" s="160"/>
      <c r="IU171" s="160"/>
      <c r="IX171" s="124"/>
      <c r="IY171" s="124"/>
      <c r="IZ171" s="124"/>
      <c r="JA171" s="124"/>
      <c r="JD171" s="124"/>
      <c r="JE171" s="124"/>
      <c r="JH171" s="124"/>
      <c r="JI171" s="124"/>
      <c r="JJ171" s="124"/>
      <c r="JM171" s="124"/>
      <c r="JN171" s="124"/>
      <c r="JQ171" s="124"/>
      <c r="JR171" s="124"/>
      <c r="JS171" s="124"/>
      <c r="JV171" s="124"/>
      <c r="JW171" s="124"/>
      <c r="JY171" s="124"/>
      <c r="JZ171" s="124"/>
      <c r="KB171" s="124"/>
      <c r="KC171" s="124"/>
      <c r="KD171" s="124"/>
    </row>
    <row r="172" spans="2:290" hidden="1" x14ac:dyDescent="0.25">
      <c r="B172" s="6" t="str">
        <f>B143</f>
        <v>Packaging Products</v>
      </c>
      <c r="C172" s="136"/>
      <c r="D172" s="136"/>
      <c r="E172" s="136"/>
      <c r="F172" s="136"/>
      <c r="G172" s="136"/>
      <c r="H172" s="132"/>
      <c r="I172" s="158"/>
      <c r="J172" s="158"/>
      <c r="K172" s="158"/>
      <c r="L172" s="158"/>
      <c r="M172" s="132"/>
      <c r="N172" s="158"/>
      <c r="O172" s="158"/>
      <c r="P172" s="158"/>
      <c r="Q172" s="158"/>
      <c r="R172" s="132"/>
      <c r="S172" s="158"/>
      <c r="T172" s="158"/>
      <c r="U172" s="158"/>
      <c r="V172" s="158"/>
      <c r="W172" s="132"/>
      <c r="X172" s="158"/>
      <c r="Y172" s="158"/>
      <c r="Z172" s="158"/>
      <c r="AA172" s="158"/>
      <c r="AB172" s="132"/>
      <c r="AC172" s="158"/>
      <c r="AD172" s="158"/>
      <c r="AE172" s="158"/>
      <c r="AF172" s="158"/>
      <c r="AG172" s="132"/>
      <c r="AH172" s="158">
        <v>18.22</v>
      </c>
      <c r="AI172" s="158">
        <v>57.97</v>
      </c>
      <c r="AJ172" s="158">
        <v>49.23</v>
      </c>
      <c r="AK172" s="132">
        <v>125.42</v>
      </c>
      <c r="AL172" s="158">
        <v>52.58</v>
      </c>
      <c r="AM172" s="158">
        <v>19.559999999999999</v>
      </c>
      <c r="AN172" s="158">
        <v>56.33</v>
      </c>
      <c r="AO172" s="158">
        <v>53.15</v>
      </c>
      <c r="AP172" s="132">
        <v>181.62</v>
      </c>
      <c r="AQ172" s="158">
        <v>36.07</v>
      </c>
      <c r="AR172" s="158">
        <v>27.79</v>
      </c>
      <c r="AS172" s="158">
        <v>61.42</v>
      </c>
      <c r="AT172" s="158">
        <v>49.29</v>
      </c>
      <c r="AU172" s="132">
        <v>174.58</v>
      </c>
      <c r="AV172" s="137">
        <v>37.340000000000003</v>
      </c>
      <c r="AW172" s="137">
        <v>24.38</v>
      </c>
      <c r="AX172" s="137">
        <v>36.200000000000003</v>
      </c>
      <c r="AY172" s="137">
        <v>29.91</v>
      </c>
      <c r="AZ172" s="132">
        <v>127.83</v>
      </c>
      <c r="BA172" s="137">
        <v>20.59</v>
      </c>
      <c r="BB172" s="137">
        <v>3.82</v>
      </c>
      <c r="BC172" s="137">
        <v>43.74</v>
      </c>
      <c r="BD172" s="137">
        <v>33.36</v>
      </c>
      <c r="BE172" s="132">
        <f>SUM(BA172:BD172)</f>
        <v>101.51</v>
      </c>
      <c r="BF172" s="137">
        <v>18.329999999999998</v>
      </c>
      <c r="BG172" s="137">
        <v>25.59</v>
      </c>
      <c r="BH172" s="137">
        <v>39.869999999999997</v>
      </c>
      <c r="BI172" s="137">
        <v>40.799999999999997</v>
      </c>
      <c r="BJ172" s="132">
        <v>124.59</v>
      </c>
      <c r="BK172" s="137">
        <v>17.14</v>
      </c>
      <c r="BL172" s="137">
        <v>25.48</v>
      </c>
      <c r="BM172" s="137">
        <v>25</v>
      </c>
      <c r="BN172" s="137">
        <v>33.69</v>
      </c>
      <c r="BO172" s="132">
        <v>100.91</v>
      </c>
      <c r="BP172" s="137">
        <v>22.77</v>
      </c>
      <c r="BQ172" s="137">
        <v>21.31</v>
      </c>
      <c r="BR172" s="137">
        <v>22.57</v>
      </c>
      <c r="BS172" s="137">
        <v>24.88</v>
      </c>
      <c r="BT172" s="132">
        <v>91.53</v>
      </c>
      <c r="BU172" s="137">
        <v>25.52</v>
      </c>
      <c r="BV172" s="137">
        <v>47.82</v>
      </c>
      <c r="BW172" s="137">
        <v>46.54</v>
      </c>
      <c r="BX172" s="137">
        <v>67.81</v>
      </c>
      <c r="BY172" s="132">
        <v>187.69</v>
      </c>
      <c r="BZ172" s="137">
        <v>42.13</v>
      </c>
      <c r="CA172" s="137">
        <v>41.29</v>
      </c>
      <c r="CB172" s="137">
        <v>44.13</v>
      </c>
      <c r="CC172" s="137">
        <v>57</v>
      </c>
      <c r="CD172" s="132">
        <v>184</v>
      </c>
      <c r="CE172" s="137">
        <v>45.73</v>
      </c>
      <c r="CF172" s="137">
        <v>47.59</v>
      </c>
      <c r="CG172" s="137">
        <v>33.44</v>
      </c>
      <c r="CH172" s="137">
        <v>58.56</v>
      </c>
      <c r="CI172" s="132">
        <v>185.32</v>
      </c>
      <c r="CJ172" s="132">
        <f t="shared" si="265"/>
        <v>0</v>
      </c>
      <c r="CK172" s="132">
        <f t="shared" si="265"/>
        <v>0</v>
      </c>
      <c r="CL172" s="132"/>
      <c r="CM172" s="132"/>
      <c r="CN172" s="132"/>
      <c r="CO172" s="137"/>
      <c r="CP172" s="137"/>
      <c r="CQ172" s="6"/>
      <c r="CR172" s="6"/>
      <c r="CS172" s="6"/>
      <c r="CT172" s="124"/>
      <c r="CU172" s="124"/>
      <c r="CV172" s="124"/>
      <c r="CW172" s="124"/>
      <c r="CX172" s="124"/>
      <c r="CY172" s="124"/>
      <c r="CZ172" s="124"/>
      <c r="DA172" s="124"/>
      <c r="DB172" s="124"/>
      <c r="DC172" s="124"/>
      <c r="DD172" s="124"/>
      <c r="DE172" s="124"/>
      <c r="DF172" s="124"/>
      <c r="DG172" s="124"/>
      <c r="DH172" s="124"/>
      <c r="DI172" s="124"/>
      <c r="DK172" s="124"/>
      <c r="DL172" s="124"/>
      <c r="DM172" s="6"/>
      <c r="DN172" s="124"/>
      <c r="DO172" s="124"/>
      <c r="DQ172" s="136"/>
      <c r="DR172" s="124"/>
      <c r="DS172" s="124"/>
      <c r="DT172" s="124"/>
      <c r="DV172" s="124"/>
      <c r="DW172" s="124"/>
      <c r="DX172" s="124"/>
      <c r="EA172" s="111"/>
      <c r="EB172" s="111"/>
      <c r="EC172" s="111"/>
      <c r="ED172" s="124"/>
      <c r="EE172" s="124"/>
      <c r="EF172" s="124"/>
      <c r="EJ172" s="111"/>
      <c r="EK172" s="111"/>
      <c r="EL172" s="124"/>
      <c r="EM172" s="124"/>
      <c r="EN172" s="124"/>
      <c r="EP172" s="111"/>
      <c r="EQ172" s="124"/>
      <c r="ER172" s="124"/>
      <c r="ES172" s="124"/>
      <c r="EV172" s="111"/>
      <c r="EW172" s="111"/>
      <c r="EX172" s="111"/>
      <c r="EY172" s="111"/>
      <c r="EZ172" s="124"/>
      <c r="FA172" s="124"/>
      <c r="FD172" s="111"/>
      <c r="FE172" s="111"/>
      <c r="FF172" s="111"/>
      <c r="FG172" s="124"/>
      <c r="FH172" s="124"/>
      <c r="FK172" s="124"/>
      <c r="FL172" s="124"/>
      <c r="FO172" s="111"/>
      <c r="FP172" s="111"/>
      <c r="FQ172" s="124"/>
      <c r="FR172" s="124"/>
      <c r="FU172" s="111"/>
      <c r="FV172" s="124"/>
      <c r="FW172" s="124"/>
      <c r="FX172" s="124"/>
      <c r="FY172" s="124"/>
      <c r="GA172" s="124"/>
      <c r="GB172" s="124"/>
      <c r="GC172" s="124"/>
      <c r="GF172" s="111"/>
      <c r="GG172" s="111"/>
      <c r="GH172" s="111"/>
      <c r="GI172" s="124"/>
      <c r="GJ172" s="124"/>
      <c r="GK172" s="124"/>
      <c r="GN172" s="111"/>
      <c r="GO172" s="111"/>
      <c r="GP172" s="124"/>
      <c r="GQ172" s="124"/>
      <c r="GR172" s="124"/>
      <c r="GV172" s="111"/>
      <c r="GW172" s="124"/>
      <c r="GX172" s="124"/>
      <c r="GY172" s="124"/>
      <c r="HC172" s="124"/>
      <c r="HD172" s="124"/>
      <c r="HE172" s="124"/>
      <c r="HF172" s="124"/>
      <c r="HI172" s="111"/>
      <c r="HJ172" s="111"/>
      <c r="HK172" s="111"/>
      <c r="HL172" s="111"/>
      <c r="HM172" s="124"/>
      <c r="HN172" s="124"/>
      <c r="HO172" s="124"/>
      <c r="HR172" s="111"/>
      <c r="HS172" s="111"/>
      <c r="HT172" s="111"/>
      <c r="HU172" s="124"/>
      <c r="HV172" s="124"/>
      <c r="HW172" s="124"/>
      <c r="HZ172" s="111"/>
      <c r="IA172" s="124"/>
      <c r="IB172" s="124"/>
      <c r="IC172" s="124"/>
      <c r="IE172" s="111"/>
      <c r="IF172" s="124"/>
      <c r="IG172" s="124"/>
      <c r="IH172" s="124"/>
      <c r="IK172" s="124"/>
      <c r="IL172" s="124"/>
      <c r="IO172" s="124"/>
      <c r="IP172" s="124"/>
      <c r="IS172" s="160"/>
      <c r="IT172" s="160"/>
      <c r="IU172" s="160"/>
      <c r="IX172" s="124"/>
      <c r="IY172" s="124"/>
      <c r="IZ172" s="124"/>
      <c r="JA172" s="124"/>
      <c r="JD172" s="124"/>
      <c r="JE172" s="124"/>
      <c r="JH172" s="124"/>
      <c r="JI172" s="124"/>
      <c r="JJ172" s="124"/>
      <c r="JM172" s="124"/>
      <c r="JN172" s="124"/>
      <c r="JQ172" s="124"/>
      <c r="JR172" s="124"/>
      <c r="JS172" s="124"/>
      <c r="JV172" s="124"/>
      <c r="JW172" s="124"/>
      <c r="JY172" s="124"/>
      <c r="JZ172" s="124"/>
      <c r="KB172" s="124"/>
      <c r="KC172" s="124"/>
      <c r="KD172" s="124"/>
    </row>
    <row r="173" spans="2:290" hidden="1" x14ac:dyDescent="0.25">
      <c r="B173" s="6" t="str">
        <f>B144</f>
        <v>Consumer Products</v>
      </c>
      <c r="C173" s="136"/>
      <c r="D173" s="136"/>
      <c r="E173" s="136"/>
      <c r="F173" s="136"/>
      <c r="G173" s="136"/>
      <c r="H173" s="132"/>
      <c r="I173" s="158"/>
      <c r="J173" s="158"/>
      <c r="K173" s="158"/>
      <c r="L173" s="158"/>
      <c r="M173" s="132"/>
      <c r="N173" s="158"/>
      <c r="O173" s="158"/>
      <c r="P173" s="158"/>
      <c r="Q173" s="158"/>
      <c r="R173" s="132"/>
      <c r="S173" s="158"/>
      <c r="T173" s="158"/>
      <c r="U173" s="158"/>
      <c r="V173" s="158"/>
      <c r="W173" s="132"/>
      <c r="X173" s="158"/>
      <c r="Y173" s="158"/>
      <c r="Z173" s="158"/>
      <c r="AA173" s="158"/>
      <c r="AB173" s="132"/>
      <c r="AC173" s="158"/>
      <c r="AD173" s="158"/>
      <c r="AE173" s="158"/>
      <c r="AF173" s="158"/>
      <c r="AG173" s="132"/>
      <c r="AH173" s="158">
        <v>3.17</v>
      </c>
      <c r="AI173" s="158">
        <v>8.59</v>
      </c>
      <c r="AJ173" s="158">
        <v>15.4</v>
      </c>
      <c r="AK173" s="132">
        <v>27.157</v>
      </c>
      <c r="AL173" s="158">
        <v>13.39</v>
      </c>
      <c r="AM173" s="158">
        <v>8.48</v>
      </c>
      <c r="AN173" s="158">
        <v>11.67</v>
      </c>
      <c r="AO173" s="158">
        <v>19.579999999999998</v>
      </c>
      <c r="AP173" s="132">
        <v>53.14</v>
      </c>
      <c r="AQ173" s="158">
        <v>9.48</v>
      </c>
      <c r="AR173" s="158">
        <v>11.45</v>
      </c>
      <c r="AS173" s="158">
        <v>12.08</v>
      </c>
      <c r="AT173" s="158">
        <v>24.75</v>
      </c>
      <c r="AU173" s="132">
        <v>57.77</v>
      </c>
      <c r="AV173" s="137">
        <v>12.06</v>
      </c>
      <c r="AW173" s="137">
        <v>11.91</v>
      </c>
      <c r="AX173" s="137">
        <v>13.69</v>
      </c>
      <c r="AY173" s="137">
        <v>18.28</v>
      </c>
      <c r="AZ173" s="132">
        <v>55.95</v>
      </c>
      <c r="BA173" s="137">
        <v>12.86</v>
      </c>
      <c r="BB173" s="137">
        <v>10.96</v>
      </c>
      <c r="BC173" s="137">
        <v>15.27</v>
      </c>
      <c r="BD173" s="137">
        <v>18.52</v>
      </c>
      <c r="BE173" s="132">
        <f>SUM(BA173:BD173)</f>
        <v>57.61</v>
      </c>
      <c r="BF173" s="137">
        <v>-4.5</v>
      </c>
      <c r="BG173" s="137">
        <v>12.69</v>
      </c>
      <c r="BH173" s="137">
        <v>22.83</v>
      </c>
      <c r="BI173" s="137">
        <v>28.64</v>
      </c>
      <c r="BJ173" s="132">
        <v>59.66</v>
      </c>
      <c r="BK173" s="137">
        <v>0.62</v>
      </c>
      <c r="BL173" s="137">
        <v>17.5</v>
      </c>
      <c r="BM173" s="137">
        <v>21</v>
      </c>
      <c r="BN173" s="137">
        <v>14.5</v>
      </c>
      <c r="BO173" s="132">
        <v>54.07</v>
      </c>
      <c r="BP173" s="137">
        <v>11.01</v>
      </c>
      <c r="BQ173" s="137">
        <v>15.52</v>
      </c>
      <c r="BR173" s="137">
        <v>19.77</v>
      </c>
      <c r="BS173" s="137">
        <v>21.52</v>
      </c>
      <c r="BT173" s="132">
        <v>67.819999999999993</v>
      </c>
      <c r="BU173" s="137">
        <v>17.73</v>
      </c>
      <c r="BV173" s="137">
        <v>17.52</v>
      </c>
      <c r="BW173" s="137">
        <v>19.559999999999999</v>
      </c>
      <c r="BX173" s="137">
        <v>20.52</v>
      </c>
      <c r="BY173" s="132">
        <v>75.33</v>
      </c>
      <c r="BZ173" s="137">
        <v>16.079999999999998</v>
      </c>
      <c r="CA173" s="137">
        <v>16.7</v>
      </c>
      <c r="CB173" s="137">
        <v>16.920000000000002</v>
      </c>
      <c r="CC173" s="137">
        <v>22.58</v>
      </c>
      <c r="CD173" s="132">
        <v>72.28</v>
      </c>
      <c r="CE173" s="137">
        <v>13.87</v>
      </c>
      <c r="CF173" s="137">
        <v>14.12</v>
      </c>
      <c r="CG173" s="137">
        <v>17.149999999999999</v>
      </c>
      <c r="CH173" s="137">
        <v>31.47</v>
      </c>
      <c r="CI173" s="132">
        <v>76.55</v>
      </c>
      <c r="CJ173" s="132">
        <f t="shared" si="265"/>
        <v>0</v>
      </c>
      <c r="CK173" s="132">
        <f t="shared" si="265"/>
        <v>0</v>
      </c>
      <c r="CL173" s="132"/>
      <c r="CM173" s="132"/>
      <c r="CN173" s="132"/>
      <c r="CO173" s="137"/>
      <c r="CP173" s="137"/>
      <c r="CQ173" s="6"/>
      <c r="CR173" s="6"/>
      <c r="CS173" s="6"/>
      <c r="CT173" s="124"/>
      <c r="CU173" s="124"/>
      <c r="CV173" s="124"/>
      <c r="CW173" s="124"/>
      <c r="CX173" s="124"/>
      <c r="CY173" s="124"/>
      <c r="CZ173" s="124"/>
      <c r="DA173" s="124"/>
      <c r="DB173" s="124"/>
      <c r="DC173" s="124"/>
      <c r="DD173" s="124"/>
      <c r="DE173" s="124"/>
      <c r="DF173" s="124"/>
      <c r="DG173" s="124"/>
      <c r="DH173" s="124"/>
      <c r="DI173" s="124"/>
      <c r="DK173" s="124"/>
      <c r="DL173" s="124"/>
      <c r="DM173" s="6"/>
      <c r="DN173" s="124"/>
      <c r="DO173" s="124"/>
      <c r="DQ173" s="136"/>
      <c r="DR173" s="124"/>
      <c r="DS173" s="124"/>
      <c r="DT173" s="124"/>
      <c r="DV173" s="124"/>
      <c r="DW173" s="124"/>
      <c r="DX173" s="124"/>
      <c r="EA173" s="111"/>
      <c r="EB173" s="111"/>
      <c r="EC173" s="111"/>
      <c r="ED173" s="124"/>
      <c r="EE173" s="124"/>
      <c r="EF173" s="124"/>
      <c r="EJ173" s="111"/>
      <c r="EK173" s="111"/>
      <c r="EL173" s="124"/>
      <c r="EM173" s="124"/>
      <c r="EN173" s="124"/>
      <c r="EP173" s="111"/>
      <c r="EQ173" s="124"/>
      <c r="ER173" s="124"/>
      <c r="ES173" s="124"/>
      <c r="EV173" s="111"/>
      <c r="EW173" s="111"/>
      <c r="EX173" s="111"/>
      <c r="EY173" s="111"/>
      <c r="EZ173" s="124"/>
      <c r="FA173" s="124"/>
      <c r="FD173" s="111"/>
      <c r="FE173" s="111"/>
      <c r="FF173" s="111"/>
      <c r="FG173" s="124"/>
      <c r="FH173" s="124"/>
      <c r="FK173" s="124"/>
      <c r="FL173" s="124"/>
      <c r="FO173" s="111"/>
      <c r="FP173" s="111"/>
      <c r="FQ173" s="124"/>
      <c r="FR173" s="124"/>
      <c r="FU173" s="111"/>
      <c r="FV173" s="124"/>
      <c r="FW173" s="124"/>
      <c r="FX173" s="124"/>
      <c r="FY173" s="124"/>
      <c r="GA173" s="124"/>
      <c r="GB173" s="124"/>
      <c r="GC173" s="124"/>
      <c r="GF173" s="111"/>
      <c r="GG173" s="111"/>
      <c r="GH173" s="111"/>
      <c r="GI173" s="124"/>
      <c r="GJ173" s="124"/>
      <c r="GK173" s="124"/>
      <c r="GN173" s="111"/>
      <c r="GO173" s="111"/>
      <c r="GP173" s="124"/>
      <c r="GQ173" s="124"/>
      <c r="GR173" s="124"/>
      <c r="GV173" s="111"/>
      <c r="GW173" s="124"/>
      <c r="GX173" s="124"/>
      <c r="GY173" s="124"/>
      <c r="HC173" s="124"/>
      <c r="HD173" s="124"/>
      <c r="HE173" s="124"/>
      <c r="HF173" s="124"/>
      <c r="HI173" s="111"/>
      <c r="HJ173" s="111"/>
      <c r="HK173" s="111"/>
      <c r="HL173" s="111"/>
      <c r="HM173" s="124"/>
      <c r="HN173" s="124"/>
      <c r="HO173" s="124"/>
      <c r="HR173" s="111"/>
      <c r="HS173" s="111"/>
      <c r="HT173" s="111"/>
      <c r="HU173" s="124"/>
      <c r="HV173" s="124"/>
      <c r="HW173" s="124"/>
      <c r="HZ173" s="111"/>
      <c r="IA173" s="124"/>
      <c r="IB173" s="124"/>
      <c r="IC173" s="124"/>
      <c r="IE173" s="111"/>
      <c r="IF173" s="124"/>
      <c r="IG173" s="124"/>
      <c r="IH173" s="124"/>
      <c r="IK173" s="124"/>
      <c r="IL173" s="124"/>
      <c r="IO173" s="124"/>
      <c r="IP173" s="124"/>
      <c r="IS173" s="160"/>
      <c r="IT173" s="160"/>
      <c r="IU173" s="160"/>
      <c r="IX173" s="124"/>
      <c r="IY173" s="124"/>
      <c r="IZ173" s="124"/>
      <c r="JA173" s="124"/>
      <c r="JD173" s="124"/>
      <c r="JE173" s="124"/>
      <c r="JH173" s="124"/>
      <c r="JI173" s="124"/>
      <c r="JJ173" s="124"/>
      <c r="JM173" s="124"/>
      <c r="JN173" s="124"/>
      <c r="JQ173" s="124"/>
      <c r="JR173" s="124"/>
      <c r="JS173" s="124"/>
      <c r="JV173" s="124"/>
      <c r="JW173" s="124"/>
      <c r="JY173" s="124"/>
      <c r="JZ173" s="124"/>
      <c r="KB173" s="124"/>
      <c r="KC173" s="124"/>
      <c r="KD173" s="124"/>
    </row>
    <row r="174" spans="2:290" hidden="1" x14ac:dyDescent="0.25">
      <c r="B174" s="6" t="str">
        <f>B145</f>
        <v>Others</v>
      </c>
      <c r="C174" s="136"/>
      <c r="D174" s="136"/>
      <c r="E174" s="136"/>
      <c r="F174" s="136"/>
      <c r="G174" s="136"/>
      <c r="H174" s="132"/>
      <c r="I174" s="158"/>
      <c r="J174" s="158"/>
      <c r="K174" s="158"/>
      <c r="L174" s="158"/>
      <c r="M174" s="132"/>
      <c r="N174" s="158"/>
      <c r="O174" s="158"/>
      <c r="P174" s="158"/>
      <c r="Q174" s="158"/>
      <c r="R174" s="132"/>
      <c r="S174" s="158"/>
      <c r="T174" s="158"/>
      <c r="U174" s="158"/>
      <c r="V174" s="158"/>
      <c r="W174" s="132"/>
      <c r="X174" s="158"/>
      <c r="Y174" s="158"/>
      <c r="Z174" s="158"/>
      <c r="AA174" s="158"/>
      <c r="AB174" s="132"/>
      <c r="AC174" s="158"/>
      <c r="AD174" s="158"/>
      <c r="AE174" s="158"/>
      <c r="AF174" s="158"/>
      <c r="AG174" s="132"/>
      <c r="AH174" s="158">
        <v>-2.2400000000000002</v>
      </c>
      <c r="AI174" s="158">
        <v>-3.11</v>
      </c>
      <c r="AJ174" s="158">
        <v>-4.3600000000000003</v>
      </c>
      <c r="AK174" s="132">
        <v>-9.7100000000000009</v>
      </c>
      <c r="AL174" s="158">
        <v>-2.37</v>
      </c>
      <c r="AM174" s="158">
        <v>-2.44</v>
      </c>
      <c r="AN174" s="158">
        <v>-3.31</v>
      </c>
      <c r="AO174" s="158">
        <v>0.08</v>
      </c>
      <c r="AP174" s="132">
        <v>-8.58</v>
      </c>
      <c r="AQ174" s="158">
        <v>-3.18</v>
      </c>
      <c r="AR174" s="158">
        <v>-2.64</v>
      </c>
      <c r="AS174" s="158">
        <v>-3.43</v>
      </c>
      <c r="AT174" s="158">
        <v>11.96</v>
      </c>
      <c r="AU174" s="132">
        <v>2.7</v>
      </c>
      <c r="AV174" s="137">
        <v>-2.2599999999999998</v>
      </c>
      <c r="AW174" s="137">
        <v>0</v>
      </c>
      <c r="AX174" s="137"/>
      <c r="AY174" s="137">
        <v>-0.25</v>
      </c>
      <c r="AZ174" s="132"/>
      <c r="BA174" s="137">
        <v>-0.21</v>
      </c>
      <c r="BB174" s="137">
        <v>0.28999999999999998</v>
      </c>
      <c r="BC174" s="137">
        <v>0.1</v>
      </c>
      <c r="BD174" s="137">
        <v>4.79</v>
      </c>
      <c r="BE174" s="132">
        <f>SUM(BA174:BD174)</f>
        <v>4.97</v>
      </c>
      <c r="BF174" s="137">
        <v>-0.12</v>
      </c>
      <c r="BG174" s="137">
        <v>10.039999999999999</v>
      </c>
      <c r="BH174" s="137">
        <v>13.92</v>
      </c>
      <c r="BI174" s="137">
        <v>0.39</v>
      </c>
      <c r="BJ174" s="132">
        <v>24.23</v>
      </c>
      <c r="BK174" s="137">
        <v>-0.56000000000000005</v>
      </c>
      <c r="BL174" s="137">
        <v>2.15</v>
      </c>
      <c r="BM174" s="137">
        <v>5.83</v>
      </c>
      <c r="BN174" s="137">
        <v>1.03</v>
      </c>
      <c r="BO174" s="132">
        <v>8.4499999999999993</v>
      </c>
      <c r="BP174" s="137">
        <v>-0.54</v>
      </c>
      <c r="BQ174" s="137">
        <v>-3.2</v>
      </c>
      <c r="BR174" s="137">
        <v>-0.04</v>
      </c>
      <c r="BS174" s="137">
        <v>1.0900000000000001</v>
      </c>
      <c r="BT174" s="132">
        <v>-2.69</v>
      </c>
      <c r="BU174" s="137">
        <v>0.05</v>
      </c>
      <c r="BV174" s="137">
        <v>-0.26</v>
      </c>
      <c r="BW174" s="137">
        <v>-0.39</v>
      </c>
      <c r="BX174" s="137">
        <v>-0.31</v>
      </c>
      <c r="BY174" s="132">
        <v>-0.91</v>
      </c>
      <c r="BZ174" s="137">
        <v>-0.25</v>
      </c>
      <c r="CA174" s="137">
        <v>0.06</v>
      </c>
      <c r="CB174" s="137">
        <v>0.33</v>
      </c>
      <c r="CC174" s="137">
        <v>0.81</v>
      </c>
      <c r="CD174" s="132">
        <v>0.95</v>
      </c>
      <c r="CE174" s="137">
        <v>-0.16</v>
      </c>
      <c r="CF174" s="137">
        <v>0.06</v>
      </c>
      <c r="CG174" s="137">
        <v>0.16</v>
      </c>
      <c r="CH174" s="137">
        <v>-6.4</v>
      </c>
      <c r="CI174" s="132">
        <v>-6.34</v>
      </c>
      <c r="CJ174" s="132">
        <f>CI174</f>
        <v>-6.34</v>
      </c>
      <c r="CK174" s="132">
        <f t="shared" ref="CK174" si="266">CJ174</f>
        <v>-6.34</v>
      </c>
      <c r="CL174" s="132"/>
      <c r="CM174" s="132"/>
      <c r="CN174" s="132"/>
      <c r="CO174" s="137"/>
      <c r="CP174" s="137"/>
      <c r="CQ174" s="6"/>
      <c r="CR174" s="6"/>
      <c r="CS174" s="6"/>
      <c r="CT174" s="124"/>
      <c r="CU174" s="124"/>
      <c r="CV174" s="124"/>
      <c r="CW174" s="124"/>
      <c r="CX174" s="124"/>
      <c r="CY174" s="124"/>
      <c r="CZ174" s="124"/>
      <c r="DA174" s="124"/>
      <c r="DB174" s="124"/>
      <c r="DC174" s="124"/>
      <c r="DD174" s="124"/>
      <c r="DE174" s="124"/>
      <c r="DF174" s="124"/>
      <c r="DG174" s="124"/>
      <c r="DH174" s="124"/>
      <c r="DI174" s="124"/>
      <c r="DK174" s="124"/>
      <c r="DL174" s="124"/>
      <c r="DM174" s="6"/>
      <c r="DN174" s="124"/>
      <c r="DO174" s="124"/>
      <c r="DQ174" s="136"/>
      <c r="DR174" s="124"/>
      <c r="DS174" s="124"/>
      <c r="DT174" s="124"/>
      <c r="DV174" s="124"/>
      <c r="DW174" s="124"/>
      <c r="DX174" s="124"/>
      <c r="EA174" s="111"/>
      <c r="EB174" s="111"/>
      <c r="EC174" s="111"/>
      <c r="ED174" s="124"/>
      <c r="EE174" s="124"/>
      <c r="EF174" s="124"/>
      <c r="EJ174" s="111"/>
      <c r="EK174" s="111"/>
      <c r="EL174" s="124"/>
      <c r="EM174" s="124"/>
      <c r="EN174" s="124"/>
      <c r="EP174" s="111"/>
      <c r="EQ174" s="124"/>
      <c r="ER174" s="124"/>
      <c r="ES174" s="124"/>
      <c r="EV174" s="111"/>
      <c r="EW174" s="111"/>
      <c r="EX174" s="111"/>
      <c r="EY174" s="111"/>
      <c r="EZ174" s="124"/>
      <c r="FA174" s="124"/>
      <c r="FD174" s="111"/>
      <c r="FE174" s="111"/>
      <c r="FF174" s="111"/>
      <c r="FG174" s="124"/>
      <c r="FH174" s="124"/>
      <c r="FK174" s="124"/>
      <c r="FL174" s="124"/>
      <c r="FO174" s="111"/>
      <c r="FP174" s="111"/>
      <c r="FQ174" s="124"/>
      <c r="FR174" s="124"/>
      <c r="FU174" s="111"/>
      <c r="FV174" s="124"/>
      <c r="FW174" s="124"/>
      <c r="FX174" s="124"/>
      <c r="FY174" s="124"/>
      <c r="GA174" s="124"/>
      <c r="GB174" s="124"/>
      <c r="GC174" s="124"/>
      <c r="GF174" s="111"/>
      <c r="GG174" s="111"/>
      <c r="GH174" s="111"/>
      <c r="GI174" s="124"/>
      <c r="GJ174" s="124"/>
      <c r="GK174" s="124"/>
      <c r="GN174" s="111"/>
      <c r="GO174" s="111"/>
      <c r="GP174" s="124"/>
      <c r="GQ174" s="124"/>
      <c r="GR174" s="124"/>
      <c r="GV174" s="111"/>
      <c r="GW174" s="124"/>
      <c r="GX174" s="124"/>
      <c r="GY174" s="124"/>
      <c r="HC174" s="124"/>
      <c r="HD174" s="124"/>
      <c r="HE174" s="124"/>
      <c r="HF174" s="124"/>
      <c r="HI174" s="111"/>
      <c r="HJ174" s="111"/>
      <c r="HK174" s="111"/>
      <c r="HL174" s="111"/>
      <c r="HM174" s="124"/>
      <c r="HN174" s="124"/>
      <c r="HO174" s="124"/>
      <c r="HR174" s="111"/>
      <c r="HS174" s="111"/>
      <c r="HT174" s="111"/>
      <c r="HU174" s="124"/>
      <c r="HV174" s="124"/>
      <c r="HW174" s="124"/>
      <c r="HZ174" s="111"/>
      <c r="IA174" s="124"/>
      <c r="IB174" s="124"/>
      <c r="IC174" s="124"/>
      <c r="IE174" s="111"/>
      <c r="IF174" s="124"/>
      <c r="IG174" s="124"/>
      <c r="IH174" s="124"/>
      <c r="IK174" s="124"/>
      <c r="IL174" s="124"/>
      <c r="IO174" s="124"/>
      <c r="IP174" s="124"/>
      <c r="IS174" s="160"/>
      <c r="IT174" s="160"/>
      <c r="IU174" s="160"/>
      <c r="IX174" s="124"/>
      <c r="IY174" s="124"/>
      <c r="IZ174" s="124"/>
      <c r="JA174" s="124"/>
      <c r="JD174" s="124"/>
      <c r="JE174" s="124"/>
      <c r="JH174" s="124"/>
      <c r="JI174" s="124"/>
      <c r="JJ174" s="124"/>
      <c r="JM174" s="124"/>
      <c r="JN174" s="124"/>
      <c r="JQ174" s="124"/>
      <c r="JR174" s="124"/>
      <c r="JS174" s="124"/>
      <c r="JV174" s="124"/>
      <c r="JW174" s="124"/>
      <c r="JY174" s="124"/>
      <c r="JZ174" s="124"/>
      <c r="KB174" s="124"/>
      <c r="KC174" s="124"/>
      <c r="KD174" s="124"/>
    </row>
    <row r="175" spans="2:290" hidden="1" x14ac:dyDescent="0.25">
      <c r="B175" s="6" t="s">
        <v>243</v>
      </c>
      <c r="C175" s="136"/>
      <c r="D175" s="136"/>
      <c r="E175" s="136"/>
      <c r="F175" s="136"/>
      <c r="G175" s="136"/>
      <c r="H175" s="132"/>
      <c r="I175" s="158"/>
      <c r="J175" s="158"/>
      <c r="K175" s="158"/>
      <c r="L175" s="158"/>
      <c r="M175" s="132"/>
      <c r="N175" s="158"/>
      <c r="O175" s="158"/>
      <c r="P175" s="158"/>
      <c r="Q175" s="158"/>
      <c r="R175" s="132"/>
      <c r="S175" s="158"/>
      <c r="T175" s="158"/>
      <c r="U175" s="158"/>
      <c r="V175" s="158"/>
      <c r="W175" s="132"/>
      <c r="X175" s="158"/>
      <c r="Y175" s="158"/>
      <c r="Z175" s="158"/>
      <c r="AA175" s="158"/>
      <c r="AB175" s="132"/>
      <c r="AC175" s="158"/>
      <c r="AD175" s="158"/>
      <c r="AE175" s="158"/>
      <c r="AF175" s="158"/>
      <c r="AG175" s="132"/>
      <c r="AH175" s="158">
        <v>0</v>
      </c>
      <c r="AI175" s="158">
        <v>0</v>
      </c>
      <c r="AJ175" s="158">
        <v>0</v>
      </c>
      <c r="AK175" s="132">
        <v>0</v>
      </c>
      <c r="AL175" s="158">
        <v>-2.52</v>
      </c>
      <c r="AM175" s="158">
        <v>-1.63</v>
      </c>
      <c r="AN175" s="158">
        <v>-1.05</v>
      </c>
      <c r="AO175" s="158">
        <v>1.57</v>
      </c>
      <c r="AP175" s="132">
        <v>-5.81</v>
      </c>
      <c r="AQ175" s="158">
        <v>0.06</v>
      </c>
      <c r="AR175" s="158">
        <v>-1.1100000000000001</v>
      </c>
      <c r="AS175" s="158">
        <v>-0.86</v>
      </c>
      <c r="AT175" s="158">
        <v>-0.36</v>
      </c>
      <c r="AU175" s="132">
        <v>-2.27</v>
      </c>
      <c r="AV175" s="137">
        <f>-0.51</f>
        <v>-0.51</v>
      </c>
      <c r="AW175" s="137">
        <v>54.46</v>
      </c>
      <c r="AX175" s="137">
        <v>-0.01</v>
      </c>
      <c r="AY175" s="137">
        <v>0</v>
      </c>
      <c r="AZ175" s="132"/>
      <c r="BA175" s="137">
        <v>0</v>
      </c>
      <c r="BB175" s="137"/>
      <c r="BC175" s="137"/>
      <c r="BD175" s="137"/>
      <c r="BE175" s="132"/>
      <c r="BF175" s="137"/>
      <c r="BG175" s="137"/>
      <c r="BH175" s="137"/>
      <c r="BI175" s="137"/>
      <c r="BJ175" s="132"/>
      <c r="BK175" s="137"/>
      <c r="BL175" s="137"/>
      <c r="BM175" s="137"/>
      <c r="BN175" s="137"/>
      <c r="BO175" s="132"/>
      <c r="BP175" s="137"/>
      <c r="BQ175" s="137"/>
      <c r="BR175" s="137"/>
      <c r="BS175" s="137"/>
      <c r="BT175" s="132"/>
      <c r="BU175" s="137"/>
      <c r="BV175" s="137"/>
      <c r="BW175" s="137"/>
      <c r="BX175" s="137"/>
      <c r="BY175" s="132"/>
      <c r="BZ175" s="137"/>
      <c r="CA175" s="137"/>
      <c r="CB175" s="137"/>
      <c r="CC175" s="137"/>
      <c r="CD175" s="132"/>
      <c r="CE175" s="137"/>
      <c r="CF175" s="137"/>
      <c r="CG175" s="137"/>
      <c r="CH175" s="137"/>
      <c r="CI175" s="132"/>
      <c r="CJ175" s="132"/>
      <c r="CK175" s="132"/>
      <c r="CL175" s="132"/>
      <c r="CM175" s="132"/>
      <c r="CN175" s="132"/>
      <c r="CO175" s="137"/>
      <c r="CP175" s="137"/>
      <c r="CQ175" s="6"/>
      <c r="CR175" s="6"/>
      <c r="CS175" s="6"/>
      <c r="CT175" s="124"/>
      <c r="CU175" s="124"/>
      <c r="CV175" s="124"/>
      <c r="CW175" s="124"/>
      <c r="CX175" s="124"/>
      <c r="CY175" s="124"/>
      <c r="CZ175" s="124"/>
      <c r="DA175" s="124"/>
      <c r="DB175" s="124"/>
      <c r="DC175" s="124"/>
      <c r="DD175" s="124"/>
      <c r="DE175" s="124"/>
      <c r="DF175" s="124"/>
      <c r="DG175" s="124"/>
      <c r="DH175" s="124"/>
      <c r="DI175" s="124"/>
      <c r="DK175" s="124"/>
      <c r="DL175" s="124"/>
      <c r="DM175" s="6"/>
      <c r="DN175" s="124"/>
      <c r="DO175" s="124"/>
      <c r="DQ175" s="136"/>
      <c r="DR175" s="124"/>
      <c r="DS175" s="124"/>
      <c r="DT175" s="124"/>
      <c r="DV175" s="124"/>
      <c r="DW175" s="124"/>
      <c r="DX175" s="124"/>
      <c r="EA175" s="111"/>
      <c r="EB175" s="111"/>
      <c r="EC175" s="111"/>
      <c r="ED175" s="124"/>
      <c r="EE175" s="124"/>
      <c r="EF175" s="124"/>
      <c r="EJ175" s="111"/>
      <c r="EK175" s="111"/>
      <c r="EL175" s="124"/>
      <c r="EM175" s="124"/>
      <c r="EN175" s="124"/>
      <c r="EP175" s="111"/>
      <c r="EQ175" s="124"/>
      <c r="ER175" s="124"/>
      <c r="ES175" s="124"/>
      <c r="EV175" s="111"/>
      <c r="EW175" s="111"/>
      <c r="EX175" s="111"/>
      <c r="EY175" s="111"/>
      <c r="EZ175" s="124"/>
      <c r="FA175" s="124"/>
      <c r="FD175" s="111"/>
      <c r="FE175" s="111"/>
      <c r="FF175" s="111"/>
      <c r="FG175" s="124"/>
      <c r="FH175" s="124"/>
      <c r="FK175" s="124"/>
      <c r="FL175" s="124"/>
      <c r="FO175" s="111"/>
      <c r="FP175" s="111"/>
      <c r="FQ175" s="124"/>
      <c r="FR175" s="124"/>
      <c r="FU175" s="111"/>
      <c r="FV175" s="124"/>
      <c r="FW175" s="124"/>
      <c r="FX175" s="124"/>
      <c r="FY175" s="124"/>
      <c r="GA175" s="124"/>
      <c r="GB175" s="124"/>
      <c r="GC175" s="124"/>
      <c r="GF175" s="111"/>
      <c r="GG175" s="111"/>
      <c r="GH175" s="111"/>
      <c r="GI175" s="124"/>
      <c r="GJ175" s="124"/>
      <c r="GK175" s="124"/>
      <c r="GN175" s="111"/>
      <c r="GO175" s="111"/>
      <c r="GP175" s="124"/>
      <c r="GQ175" s="124"/>
      <c r="GR175" s="124"/>
      <c r="GV175" s="111"/>
      <c r="GW175" s="124"/>
      <c r="GX175" s="124"/>
      <c r="GY175" s="124"/>
      <c r="HC175" s="124"/>
      <c r="HD175" s="124"/>
      <c r="HE175" s="124"/>
      <c r="HF175" s="124"/>
      <c r="HI175" s="111"/>
      <c r="HJ175" s="111"/>
      <c r="HK175" s="111"/>
      <c r="HL175" s="111"/>
      <c r="HM175" s="124"/>
      <c r="HN175" s="124"/>
      <c r="HO175" s="124"/>
      <c r="HR175" s="111"/>
      <c r="HS175" s="111"/>
      <c r="HT175" s="111"/>
      <c r="HU175" s="124"/>
      <c r="HV175" s="124"/>
      <c r="HW175" s="124"/>
      <c r="HZ175" s="111"/>
      <c r="IA175" s="124"/>
      <c r="IB175" s="124"/>
      <c r="IC175" s="124"/>
      <c r="IE175" s="111"/>
      <c r="IF175" s="124"/>
      <c r="IG175" s="124"/>
      <c r="IH175" s="124"/>
      <c r="IK175" s="124"/>
      <c r="IL175" s="124"/>
      <c r="IO175" s="124"/>
      <c r="IP175" s="124"/>
      <c r="IS175" s="160"/>
      <c r="IT175" s="160"/>
      <c r="IU175" s="160"/>
      <c r="IX175" s="124"/>
      <c r="IY175" s="124"/>
      <c r="IZ175" s="124"/>
      <c r="JA175" s="124"/>
      <c r="JD175" s="124"/>
      <c r="JE175" s="124"/>
      <c r="JH175" s="124"/>
      <c r="JI175" s="124"/>
      <c r="JJ175" s="124"/>
      <c r="JM175" s="124"/>
      <c r="JN175" s="124"/>
      <c r="JQ175" s="124"/>
      <c r="JR175" s="124"/>
      <c r="JS175" s="124"/>
      <c r="JV175" s="124"/>
      <c r="JW175" s="124"/>
      <c r="JY175" s="124"/>
      <c r="JZ175" s="124"/>
      <c r="KB175" s="124"/>
      <c r="KC175" s="124"/>
      <c r="KD175" s="124"/>
    </row>
    <row r="176" spans="2:290" s="60" customFormat="1" hidden="1" x14ac:dyDescent="0.25">
      <c r="B176" s="58" t="s">
        <v>244</v>
      </c>
      <c r="C176" s="4"/>
      <c r="D176" s="4"/>
      <c r="E176" s="4"/>
      <c r="F176" s="4"/>
      <c r="G176" s="4"/>
      <c r="H176" s="145"/>
      <c r="I176" s="156"/>
      <c r="J176" s="156"/>
      <c r="K176" s="156"/>
      <c r="L176" s="156"/>
      <c r="M176" s="145"/>
      <c r="N176" s="156"/>
      <c r="O176" s="156"/>
      <c r="P176" s="156"/>
      <c r="Q176" s="156"/>
      <c r="R176" s="145"/>
      <c r="S176" s="156"/>
      <c r="T176" s="156"/>
      <c r="U176" s="156"/>
      <c r="V176" s="156"/>
      <c r="W176" s="145"/>
      <c r="X176" s="156"/>
      <c r="Y176" s="156"/>
      <c r="Z176" s="156"/>
      <c r="AA176" s="156"/>
      <c r="AB176" s="145"/>
      <c r="AC176" s="156"/>
      <c r="AD176" s="156"/>
      <c r="AE176" s="156"/>
      <c r="AF176" s="156"/>
      <c r="AG176" s="145"/>
      <c r="AH176" s="156">
        <v>65.78</v>
      </c>
      <c r="AI176" s="156">
        <v>120.50500000000001</v>
      </c>
      <c r="AJ176" s="156">
        <v>169.45999999999998</v>
      </c>
      <c r="AK176" s="145">
        <v>355.73500000000001</v>
      </c>
      <c r="AL176" s="156">
        <f t="shared" ref="AL176:CD176" si="267">SUM(AL170:AL175)</f>
        <v>165.57999999999996</v>
      </c>
      <c r="AM176" s="156">
        <f t="shared" si="267"/>
        <v>98.420000000000016</v>
      </c>
      <c r="AN176" s="156">
        <f t="shared" si="267"/>
        <v>147.38999999999996</v>
      </c>
      <c r="AO176" s="156">
        <f t="shared" si="267"/>
        <v>204.01000000000002</v>
      </c>
      <c r="AP176" s="145">
        <f t="shared" si="267"/>
        <v>612.71</v>
      </c>
      <c r="AQ176" s="156">
        <f t="shared" si="267"/>
        <v>118.49</v>
      </c>
      <c r="AR176" s="156">
        <f t="shared" si="267"/>
        <v>101.64</v>
      </c>
      <c r="AS176" s="156">
        <f t="shared" si="267"/>
        <v>155.47</v>
      </c>
      <c r="AT176" s="156">
        <f t="shared" si="267"/>
        <v>249.09</v>
      </c>
      <c r="AU176" s="145">
        <f t="shared" si="267"/>
        <v>624.71</v>
      </c>
      <c r="AV176" s="148">
        <f t="shared" si="267"/>
        <v>143.60000000000002</v>
      </c>
      <c r="AW176" s="148">
        <f t="shared" si="267"/>
        <v>174.6</v>
      </c>
      <c r="AX176" s="148">
        <f t="shared" si="267"/>
        <v>136.72000000000003</v>
      </c>
      <c r="AY176" s="148">
        <f t="shared" si="267"/>
        <v>158.41999999999999</v>
      </c>
      <c r="AZ176" s="145">
        <f t="shared" si="267"/>
        <v>560.17999999999995</v>
      </c>
      <c r="BA176" s="148">
        <f t="shared" si="267"/>
        <v>123.55000000000001</v>
      </c>
      <c r="BB176" s="148">
        <f t="shared" si="267"/>
        <v>122.97000000000001</v>
      </c>
      <c r="BC176" s="148">
        <f t="shared" si="267"/>
        <v>171.14000000000001</v>
      </c>
      <c r="BD176" s="148">
        <f t="shared" si="267"/>
        <v>239.51</v>
      </c>
      <c r="BE176" s="145">
        <f t="shared" si="267"/>
        <v>657.17000000000007</v>
      </c>
      <c r="BF176" s="148">
        <f t="shared" si="267"/>
        <v>72.579999999999984</v>
      </c>
      <c r="BG176" s="148">
        <f t="shared" si="267"/>
        <v>207.85</v>
      </c>
      <c r="BH176" s="148">
        <f t="shared" si="267"/>
        <v>346.94</v>
      </c>
      <c r="BI176" s="148">
        <f t="shared" si="267"/>
        <v>465.85999999999996</v>
      </c>
      <c r="BJ176" s="145">
        <f t="shared" si="267"/>
        <v>1093.23</v>
      </c>
      <c r="BK176" s="148">
        <f t="shared" si="267"/>
        <v>170.95999999999998</v>
      </c>
      <c r="BL176" s="148">
        <f t="shared" si="267"/>
        <v>258.36</v>
      </c>
      <c r="BM176" s="148">
        <f t="shared" si="267"/>
        <v>262.83</v>
      </c>
      <c r="BN176" s="148">
        <f t="shared" si="267"/>
        <v>339.57</v>
      </c>
      <c r="BO176" s="145">
        <f t="shared" si="267"/>
        <v>1032.57</v>
      </c>
      <c r="BP176" s="148">
        <f t="shared" si="267"/>
        <v>213.20000000000002</v>
      </c>
      <c r="BQ176" s="148">
        <f t="shared" si="267"/>
        <v>88.22999999999999</v>
      </c>
      <c r="BR176" s="148">
        <f t="shared" si="267"/>
        <v>244.88</v>
      </c>
      <c r="BS176" s="148">
        <f t="shared" si="267"/>
        <v>413.53999999999996</v>
      </c>
      <c r="BT176" s="145">
        <f t="shared" si="267"/>
        <v>959.84999999999991</v>
      </c>
      <c r="BU176" s="148">
        <f t="shared" si="267"/>
        <v>256.29000000000002</v>
      </c>
      <c r="BV176" s="148">
        <f t="shared" si="267"/>
        <v>290.89</v>
      </c>
      <c r="BW176" s="148">
        <f t="shared" si="267"/>
        <v>308.26000000000005</v>
      </c>
      <c r="BX176" s="148">
        <f t="shared" si="267"/>
        <v>420.18</v>
      </c>
      <c r="BY176" s="145">
        <f t="shared" si="267"/>
        <v>1275.6199999999999</v>
      </c>
      <c r="BZ176" s="148">
        <f t="shared" si="267"/>
        <v>308.81</v>
      </c>
      <c r="CA176" s="148">
        <f t="shared" si="267"/>
        <v>271.61</v>
      </c>
      <c r="CB176" s="148">
        <f t="shared" si="267"/>
        <v>226.23999999999998</v>
      </c>
      <c r="CC176" s="148">
        <f t="shared" si="267"/>
        <v>331.51</v>
      </c>
      <c r="CD176" s="145">
        <f t="shared" si="267"/>
        <v>1102.23</v>
      </c>
      <c r="CE176" s="148">
        <f>SUM(CE170:CE175)</f>
        <v>234.46999999999997</v>
      </c>
      <c r="CF176" s="148">
        <f>SUM(CF170:CF175)</f>
        <v>200.4</v>
      </c>
      <c r="CG176" s="148">
        <f t="shared" ref="CG176:CI176" si="268">SUM(CG170:CG175)</f>
        <v>212.81</v>
      </c>
      <c r="CH176" s="148">
        <f t="shared" si="268"/>
        <v>507.13</v>
      </c>
      <c r="CI176" s="145">
        <f t="shared" si="268"/>
        <v>1154.75</v>
      </c>
      <c r="CJ176" s="145" t="e">
        <f>#REF!</f>
        <v>#REF!</v>
      </c>
      <c r="CK176" s="145" t="e">
        <f>#REF!</f>
        <v>#REF!</v>
      </c>
      <c r="CL176" s="145" t="e">
        <f>#REF!</f>
        <v>#REF!</v>
      </c>
      <c r="CM176" s="145" t="e">
        <f>#REF!</f>
        <v>#REF!</v>
      </c>
      <c r="CN176" s="145" t="e">
        <f>#REF!</f>
        <v>#REF!</v>
      </c>
      <c r="CO176" s="148"/>
      <c r="CP176" s="148"/>
      <c r="CQ176" s="58"/>
      <c r="CR176" s="58"/>
      <c r="CS176" s="58"/>
      <c r="CT176" s="143"/>
      <c r="CU176" s="143"/>
      <c r="CV176" s="143"/>
      <c r="CW176" s="143"/>
      <c r="CX176" s="143"/>
      <c r="CY176" s="143"/>
      <c r="CZ176" s="143"/>
      <c r="DA176" s="143"/>
      <c r="DB176" s="143"/>
      <c r="DC176" s="143"/>
      <c r="DD176" s="143"/>
      <c r="DE176" s="143"/>
      <c r="DF176" s="143"/>
      <c r="DG176" s="143"/>
      <c r="DH176" s="143"/>
      <c r="DI176" s="143"/>
      <c r="DK176" s="143"/>
      <c r="DL176" s="143"/>
      <c r="DM176" s="58"/>
      <c r="DN176" s="143"/>
      <c r="DO176" s="143"/>
      <c r="DQ176" s="4"/>
      <c r="DR176" s="143"/>
      <c r="DS176" s="143"/>
      <c r="DT176" s="143"/>
      <c r="DV176" s="143"/>
      <c r="DW176" s="143"/>
      <c r="DX176" s="143"/>
      <c r="EA176" s="119"/>
      <c r="EB176" s="119"/>
      <c r="EC176" s="119"/>
      <c r="ED176" s="143"/>
      <c r="EE176" s="143"/>
      <c r="EF176" s="143"/>
      <c r="EJ176" s="119"/>
      <c r="EK176" s="119"/>
      <c r="EL176" s="143"/>
      <c r="EM176" s="143"/>
      <c r="EN176" s="143"/>
      <c r="EP176" s="119"/>
      <c r="EQ176" s="143"/>
      <c r="ER176" s="143"/>
      <c r="ES176" s="143"/>
      <c r="EV176" s="119"/>
      <c r="EW176" s="119"/>
      <c r="EX176" s="119"/>
      <c r="EY176" s="119"/>
      <c r="EZ176" s="143"/>
      <c r="FA176" s="143"/>
      <c r="FD176" s="119"/>
      <c r="FE176" s="119"/>
      <c r="FF176" s="119"/>
      <c r="FG176" s="143"/>
      <c r="FH176" s="143"/>
      <c r="FK176" s="143"/>
      <c r="FL176" s="143"/>
      <c r="FO176" s="119"/>
      <c r="FP176" s="119"/>
      <c r="FQ176" s="143"/>
      <c r="FR176" s="143"/>
      <c r="FU176" s="119"/>
      <c r="FV176" s="143"/>
      <c r="FW176" s="143"/>
      <c r="FX176" s="143"/>
      <c r="FY176" s="143"/>
      <c r="GA176" s="143"/>
      <c r="GB176" s="143"/>
      <c r="GC176" s="143"/>
      <c r="GF176" s="119"/>
      <c r="GG176" s="119"/>
      <c r="GH176" s="119"/>
      <c r="GI176" s="143"/>
      <c r="GJ176" s="143"/>
      <c r="GK176" s="143"/>
      <c r="GN176" s="119"/>
      <c r="GO176" s="119"/>
      <c r="GP176" s="143"/>
      <c r="GQ176" s="143"/>
      <c r="GR176" s="143"/>
      <c r="GV176" s="119"/>
      <c r="GW176" s="143"/>
      <c r="GX176" s="143"/>
      <c r="GY176" s="143"/>
      <c r="HC176" s="143"/>
      <c r="HD176" s="143"/>
      <c r="HE176" s="143"/>
      <c r="HF176" s="143"/>
      <c r="HI176" s="119"/>
      <c r="HJ176" s="119"/>
      <c r="HK176" s="119"/>
      <c r="HL176" s="119"/>
      <c r="HM176" s="143"/>
      <c r="HN176" s="143"/>
      <c r="HO176" s="143"/>
      <c r="HR176" s="119"/>
      <c r="HS176" s="119"/>
      <c r="HT176" s="119"/>
      <c r="HU176" s="143"/>
      <c r="HV176" s="143"/>
      <c r="HW176" s="143"/>
      <c r="HZ176" s="119"/>
      <c r="IA176" s="143"/>
      <c r="IB176" s="143"/>
      <c r="IC176" s="143"/>
      <c r="IE176" s="119"/>
      <c r="IF176" s="143"/>
      <c r="IG176" s="143"/>
      <c r="IH176" s="143"/>
      <c r="IK176" s="143"/>
      <c r="IL176" s="143"/>
      <c r="IO176" s="143"/>
      <c r="IP176" s="143"/>
      <c r="IS176" s="157"/>
      <c r="IT176" s="157"/>
      <c r="IU176" s="157"/>
      <c r="IX176" s="143"/>
      <c r="IY176" s="143"/>
      <c r="IZ176" s="143"/>
      <c r="JA176" s="143"/>
      <c r="JD176" s="143"/>
      <c r="JE176" s="143"/>
      <c r="JH176" s="143"/>
      <c r="JI176" s="143"/>
      <c r="JJ176" s="143"/>
      <c r="JM176" s="143"/>
      <c r="JN176" s="143"/>
      <c r="JQ176" s="143"/>
      <c r="JR176" s="143"/>
      <c r="JS176" s="143"/>
      <c r="JV176" s="143"/>
      <c r="JW176" s="143"/>
      <c r="JY176" s="143"/>
      <c r="JZ176" s="143"/>
      <c r="KB176" s="143"/>
      <c r="KC176" s="143"/>
      <c r="KD176" s="143"/>
    </row>
    <row r="177" spans="2:290" hidden="1" x14ac:dyDescent="0.25">
      <c r="B177" s="6"/>
      <c r="C177" s="6"/>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68"/>
      <c r="CK177" s="168"/>
      <c r="CL177" s="168"/>
      <c r="CM177" s="168"/>
      <c r="CN177" s="168"/>
      <c r="CO177" s="185"/>
      <c r="CP177" s="185"/>
      <c r="CQ177" s="6"/>
      <c r="CR177" s="6"/>
      <c r="CS177" s="6"/>
      <c r="CT177" s="15"/>
      <c r="CU177" s="15"/>
      <c r="CV177" s="15"/>
      <c r="CW177" s="15"/>
      <c r="CX177" s="15"/>
      <c r="DK177" s="6"/>
      <c r="DL177" s="6"/>
      <c r="DM177" s="6"/>
      <c r="DN177" s="6"/>
      <c r="DO177" s="6"/>
      <c r="EA177" s="15"/>
      <c r="EB177" s="15"/>
      <c r="EC177" s="15"/>
      <c r="ED177" s="15"/>
      <c r="EE177" s="15"/>
      <c r="EF177" s="15"/>
      <c r="EJ177" s="15"/>
      <c r="EK177" s="15"/>
      <c r="EL177" s="15"/>
      <c r="EM177" s="15"/>
      <c r="EN177" s="15"/>
      <c r="EP177" s="15"/>
      <c r="EQ177" s="15"/>
      <c r="ER177" s="15"/>
      <c r="ES177" s="15"/>
      <c r="EV177" s="15"/>
      <c r="EW177" s="15"/>
      <c r="EX177" s="15"/>
      <c r="EY177" s="15"/>
      <c r="EZ177" s="15"/>
      <c r="FA177" s="15"/>
      <c r="FD177" s="15"/>
      <c r="FE177" s="15"/>
      <c r="FF177" s="15"/>
      <c r="FG177" s="15"/>
      <c r="FH177" s="15"/>
      <c r="FK177" s="15"/>
      <c r="FL177" s="15"/>
      <c r="FO177" s="15"/>
      <c r="FP177" s="15"/>
      <c r="FQ177" s="15"/>
      <c r="FR177" s="15"/>
      <c r="FU177" s="15"/>
      <c r="FV177" s="15"/>
      <c r="FW177" s="15"/>
      <c r="FX177" s="15"/>
      <c r="FY177" s="15"/>
      <c r="GA177" s="15"/>
      <c r="GB177" s="15"/>
      <c r="GC177" s="15"/>
      <c r="GF177" s="15"/>
      <c r="GG177" s="15"/>
      <c r="GH177" s="15"/>
      <c r="GI177" s="15"/>
      <c r="GJ177" s="15"/>
      <c r="GK177" s="15"/>
      <c r="GN177" s="15"/>
      <c r="GO177" s="15"/>
      <c r="GP177" s="15"/>
      <c r="GQ177" s="15"/>
      <c r="GR177" s="15"/>
      <c r="GV177" s="15"/>
      <c r="GW177" s="15"/>
      <c r="GX177" s="15"/>
      <c r="GY177" s="15"/>
      <c r="HC177" s="15"/>
      <c r="HD177" s="15"/>
      <c r="HE177" s="15"/>
      <c r="HF177" s="15"/>
      <c r="HI177" s="15"/>
      <c r="HJ177" s="15"/>
      <c r="HK177" s="15"/>
      <c r="HL177" s="15"/>
      <c r="HM177" s="15"/>
      <c r="HN177" s="15"/>
      <c r="HO177" s="15"/>
      <c r="HR177" s="15"/>
      <c r="HS177" s="15"/>
      <c r="HT177" s="15"/>
      <c r="HU177" s="15"/>
      <c r="HV177" s="15"/>
      <c r="HW177" s="15"/>
      <c r="HZ177" s="15"/>
      <c r="IA177" s="15"/>
      <c r="IB177" s="15"/>
      <c r="IC177" s="15"/>
      <c r="IE177" s="15"/>
      <c r="IF177" s="15"/>
      <c r="IG177" s="15"/>
      <c r="IH177" s="15"/>
      <c r="IK177" s="15"/>
      <c r="IL177" s="15"/>
      <c r="IO177" s="15"/>
      <c r="IP177" s="15"/>
      <c r="IS177" s="15"/>
      <c r="IT177" s="15"/>
      <c r="IU177" s="15"/>
      <c r="IX177" s="15"/>
      <c r="IY177" s="15"/>
      <c r="IZ177" s="15"/>
      <c r="JA177" s="15"/>
      <c r="JD177" s="15"/>
      <c r="JE177" s="15"/>
      <c r="JH177" s="15"/>
      <c r="JI177" s="15"/>
      <c r="JJ177" s="15"/>
      <c r="JM177" s="15"/>
      <c r="JN177" s="15"/>
      <c r="JQ177" s="15"/>
      <c r="JR177" s="15"/>
      <c r="JS177" s="15"/>
      <c r="JV177" s="15"/>
      <c r="JW177" s="15"/>
      <c r="JY177" s="15"/>
      <c r="JZ177" s="15"/>
      <c r="KB177" s="15"/>
      <c r="KC177" s="15"/>
      <c r="KD177" s="15"/>
    </row>
    <row r="178" spans="2:290" s="60" customFormat="1" hidden="1" x14ac:dyDescent="0.25">
      <c r="B178" s="58" t="s">
        <v>245</v>
      </c>
      <c r="C178" s="4"/>
      <c r="D178" s="4">
        <f>D203</f>
        <v>0</v>
      </c>
      <c r="E178" s="4">
        <f>E203</f>
        <v>0</v>
      </c>
      <c r="F178" s="4">
        <f>F203</f>
        <v>0</v>
      </c>
      <c r="G178" s="4">
        <f>G203</f>
        <v>0</v>
      </c>
      <c r="H178" s="145" t="str">
        <f t="shared" ref="H178:BS178" si="269">H201</f>
        <v>CY10</v>
      </c>
      <c r="I178" s="145" t="str">
        <f t="shared" si="269"/>
        <v>1QFY11</v>
      </c>
      <c r="J178" s="145" t="str">
        <f t="shared" si="269"/>
        <v>2QFY11</v>
      </c>
      <c r="K178" s="145" t="str">
        <f t="shared" si="269"/>
        <v>3QFY11</v>
      </c>
      <c r="L178" s="145" t="str">
        <f t="shared" si="269"/>
        <v>4QFY11</v>
      </c>
      <c r="M178" s="145" t="str">
        <f t="shared" si="269"/>
        <v>CY11</v>
      </c>
      <c r="N178" s="145" t="str">
        <f t="shared" si="269"/>
        <v>1QFY12</v>
      </c>
      <c r="O178" s="145" t="str">
        <f t="shared" si="269"/>
        <v>2QFY12</v>
      </c>
      <c r="P178" s="145" t="str">
        <f t="shared" si="269"/>
        <v>3QFY12</v>
      </c>
      <c r="Q178" s="145" t="str">
        <f t="shared" si="269"/>
        <v>4QFY12</v>
      </c>
      <c r="R178" s="145" t="str">
        <f t="shared" si="269"/>
        <v>CY12</v>
      </c>
      <c r="S178" s="145" t="str">
        <f t="shared" si="269"/>
        <v>1QFY13</v>
      </c>
      <c r="T178" s="145" t="str">
        <f t="shared" si="269"/>
        <v>2QFY13</v>
      </c>
      <c r="U178" s="145" t="str">
        <f t="shared" si="269"/>
        <v>3QFY13</v>
      </c>
      <c r="V178" s="145" t="str">
        <f t="shared" si="269"/>
        <v>4QFY13</v>
      </c>
      <c r="W178" s="145" t="str">
        <f t="shared" si="269"/>
        <v>CY13</v>
      </c>
      <c r="X178" s="145" t="str">
        <f t="shared" si="269"/>
        <v>1QFY14</v>
      </c>
      <c r="Y178" s="145" t="str">
        <f t="shared" si="269"/>
        <v>2QFY14</v>
      </c>
      <c r="Z178" s="145" t="str">
        <f t="shared" si="269"/>
        <v>3QFY14</v>
      </c>
      <c r="AA178" s="145" t="str">
        <f t="shared" si="269"/>
        <v>4QFY14</v>
      </c>
      <c r="AB178" s="145" t="str">
        <f t="shared" si="269"/>
        <v>CY14</v>
      </c>
      <c r="AC178" s="145" t="str">
        <f t="shared" si="269"/>
        <v>1QFY15</v>
      </c>
      <c r="AD178" s="145" t="str">
        <f t="shared" si="269"/>
        <v>2QFY15</v>
      </c>
      <c r="AE178" s="145" t="str">
        <f t="shared" si="269"/>
        <v>3QFY15</v>
      </c>
      <c r="AF178" s="145" t="str">
        <f t="shared" si="269"/>
        <v>4QFY15</v>
      </c>
      <c r="AG178" s="145" t="str">
        <f t="shared" si="269"/>
        <v>CY15</v>
      </c>
      <c r="AH178" s="145" t="str">
        <f t="shared" si="269"/>
        <v>1QFY16</v>
      </c>
      <c r="AI178" s="145" t="str">
        <f t="shared" si="269"/>
        <v>2QFY16</v>
      </c>
      <c r="AJ178" s="145" t="str">
        <f t="shared" si="269"/>
        <v>3QFY16</v>
      </c>
      <c r="AK178" s="145" t="str">
        <f t="shared" si="269"/>
        <v>FY16</v>
      </c>
      <c r="AL178" s="145" t="str">
        <f t="shared" si="269"/>
        <v>1QFY17</v>
      </c>
      <c r="AM178" s="145" t="str">
        <f t="shared" si="269"/>
        <v>2QFY17</v>
      </c>
      <c r="AN178" s="145" t="str">
        <f t="shared" si="269"/>
        <v>3QFY17</v>
      </c>
      <c r="AO178" s="145" t="str">
        <f t="shared" si="269"/>
        <v>4QFY17</v>
      </c>
      <c r="AP178" s="145" t="str">
        <f t="shared" si="269"/>
        <v>FY17</v>
      </c>
      <c r="AQ178" s="145" t="str">
        <f t="shared" si="269"/>
        <v>1QFY18</v>
      </c>
      <c r="AR178" s="145" t="str">
        <f t="shared" si="269"/>
        <v>2QFY18</v>
      </c>
      <c r="AS178" s="145" t="str">
        <f t="shared" si="269"/>
        <v>3QFY18</v>
      </c>
      <c r="AT178" s="145" t="str">
        <f t="shared" si="269"/>
        <v>4QFY18</v>
      </c>
      <c r="AU178" s="145" t="str">
        <f t="shared" si="269"/>
        <v>FY18</v>
      </c>
      <c r="AV178" s="145" t="str">
        <f t="shared" si="269"/>
        <v>1QFY19</v>
      </c>
      <c r="AW178" s="145" t="str">
        <f t="shared" si="269"/>
        <v>2QFY19</v>
      </c>
      <c r="AX178" s="145" t="str">
        <f t="shared" si="269"/>
        <v>3QFY19</v>
      </c>
      <c r="AY178" s="145" t="str">
        <f t="shared" si="269"/>
        <v>4QFY19</v>
      </c>
      <c r="AZ178" s="145" t="str">
        <f t="shared" si="269"/>
        <v>FY19</v>
      </c>
      <c r="BA178" s="145" t="str">
        <f t="shared" si="269"/>
        <v>1QFY20</v>
      </c>
      <c r="BB178" s="145" t="str">
        <f t="shared" si="269"/>
        <v>2QFY20</v>
      </c>
      <c r="BC178" s="145" t="str">
        <f t="shared" si="269"/>
        <v>3QFY20</v>
      </c>
      <c r="BD178" s="145" t="str">
        <f t="shared" si="269"/>
        <v>4QFY20</v>
      </c>
      <c r="BE178" s="145" t="str">
        <f t="shared" si="269"/>
        <v>FY20</v>
      </c>
      <c r="BF178" s="145" t="str">
        <f t="shared" si="269"/>
        <v>1QFY21</v>
      </c>
      <c r="BG178" s="145" t="str">
        <f t="shared" si="269"/>
        <v>2QFY21</v>
      </c>
      <c r="BH178" s="145" t="str">
        <f t="shared" si="269"/>
        <v>3QFY21</v>
      </c>
      <c r="BI178" s="145" t="str">
        <f t="shared" si="269"/>
        <v>4QFY21</v>
      </c>
      <c r="BJ178" s="145" t="str">
        <f t="shared" si="269"/>
        <v>FY21</v>
      </c>
      <c r="BK178" s="145" t="str">
        <f t="shared" si="269"/>
        <v>1QFY22</v>
      </c>
      <c r="BL178" s="145" t="str">
        <f t="shared" si="269"/>
        <v>2QFY22</v>
      </c>
      <c r="BM178" s="145" t="str">
        <f t="shared" si="269"/>
        <v>3QFY22</v>
      </c>
      <c r="BN178" s="145" t="str">
        <f t="shared" si="269"/>
        <v>4QFY22</v>
      </c>
      <c r="BO178" s="145" t="str">
        <f t="shared" si="269"/>
        <v>FY22</v>
      </c>
      <c r="BP178" s="145" t="str">
        <f t="shared" si="269"/>
        <v>1QFY23</v>
      </c>
      <c r="BQ178" s="145" t="str">
        <f t="shared" si="269"/>
        <v>2QFY23</v>
      </c>
      <c r="BR178" s="145" t="str">
        <f t="shared" si="269"/>
        <v>3QFY23</v>
      </c>
      <c r="BS178" s="145" t="str">
        <f t="shared" si="269"/>
        <v>4QFY23</v>
      </c>
      <c r="BT178" s="145" t="str">
        <f t="shared" ref="BT178:CK178" si="270">BT201</f>
        <v>FY23</v>
      </c>
      <c r="BU178" s="145" t="str">
        <f t="shared" si="270"/>
        <v>1QFY24</v>
      </c>
      <c r="BV178" s="145" t="str">
        <f t="shared" si="270"/>
        <v>2QFY24</v>
      </c>
      <c r="BW178" s="145" t="str">
        <f t="shared" si="270"/>
        <v>3QFY24</v>
      </c>
      <c r="BX178" s="145" t="str">
        <f t="shared" si="270"/>
        <v>4QFY24</v>
      </c>
      <c r="BY178" s="145" t="str">
        <f t="shared" si="270"/>
        <v>FY24</v>
      </c>
      <c r="BZ178" s="145" t="str">
        <f t="shared" si="270"/>
        <v>1QFY25</v>
      </c>
      <c r="CA178" s="145" t="str">
        <f t="shared" si="270"/>
        <v>2QFY25</v>
      </c>
      <c r="CB178" s="145" t="str">
        <f t="shared" si="270"/>
        <v>3QFY25</v>
      </c>
      <c r="CC178" s="145" t="str">
        <f t="shared" si="270"/>
        <v>4QFY25</v>
      </c>
      <c r="CD178" s="145" t="str">
        <f t="shared" si="270"/>
        <v>FY25</v>
      </c>
      <c r="CE178" s="145" t="str">
        <f t="shared" si="270"/>
        <v>1QFY26</v>
      </c>
      <c r="CF178" s="145" t="str">
        <f t="shared" si="270"/>
        <v>2QFY26</v>
      </c>
      <c r="CG178" s="145" t="str">
        <f t="shared" si="270"/>
        <v>3QFY26</v>
      </c>
      <c r="CH178" s="145" t="str">
        <f t="shared" si="270"/>
        <v>4QFY26</v>
      </c>
      <c r="CI178" s="145" t="str">
        <f t="shared" si="270"/>
        <v>FY26</v>
      </c>
      <c r="CJ178" s="145" t="str">
        <f t="shared" si="270"/>
        <v>FY27E</v>
      </c>
      <c r="CK178" s="145" t="str">
        <f t="shared" si="270"/>
        <v>FY28E</v>
      </c>
      <c r="CL178" s="145"/>
      <c r="CM178" s="145"/>
      <c r="CN178" s="145"/>
      <c r="CO178" s="148"/>
      <c r="CP178" s="148"/>
      <c r="CQ178" s="58"/>
      <c r="CR178" s="58"/>
      <c r="CS178" s="58"/>
      <c r="CT178" s="143"/>
      <c r="CU178" s="143"/>
      <c r="CV178" s="143"/>
      <c r="CW178" s="143"/>
      <c r="CX178" s="143"/>
      <c r="CY178" s="143"/>
      <c r="CZ178" s="143"/>
      <c r="DA178" s="143"/>
      <c r="DB178" s="143"/>
      <c r="DC178" s="143"/>
      <c r="DD178" s="143"/>
      <c r="DE178" s="143"/>
      <c r="DF178" s="143"/>
      <c r="DG178" s="143"/>
      <c r="DH178" s="143"/>
      <c r="DI178" s="143"/>
      <c r="DK178" s="143"/>
      <c r="DL178" s="143"/>
      <c r="DM178" s="58"/>
      <c r="DN178" s="143"/>
      <c r="DO178" s="143"/>
      <c r="DQ178" s="4"/>
      <c r="DR178" s="143"/>
      <c r="DS178" s="143"/>
      <c r="DT178" s="143"/>
      <c r="DV178" s="143"/>
      <c r="DW178" s="143"/>
      <c r="DX178" s="143"/>
      <c r="EA178" s="119"/>
      <c r="EB178" s="119"/>
      <c r="EC178" s="119"/>
      <c r="ED178" s="143"/>
      <c r="EE178" s="143"/>
      <c r="EF178" s="143"/>
      <c r="EJ178" s="119"/>
      <c r="EK178" s="119"/>
      <c r="EL178" s="143"/>
      <c r="EM178" s="143"/>
      <c r="EN178" s="143"/>
      <c r="EP178" s="119"/>
      <c r="EQ178" s="143"/>
      <c r="ER178" s="143"/>
      <c r="ES178" s="143"/>
      <c r="EV178" s="119"/>
      <c r="EW178" s="119"/>
      <c r="EX178" s="119"/>
      <c r="EY178" s="119"/>
      <c r="EZ178" s="143"/>
      <c r="FA178" s="143"/>
      <c r="FD178" s="119"/>
      <c r="FE178" s="119"/>
      <c r="FF178" s="119"/>
      <c r="FG178" s="143"/>
      <c r="FH178" s="143"/>
      <c r="FK178" s="143"/>
      <c r="FL178" s="143"/>
      <c r="FO178" s="119"/>
      <c r="FP178" s="119"/>
      <c r="FQ178" s="143"/>
      <c r="FR178" s="143"/>
      <c r="FU178" s="119"/>
      <c r="FV178" s="143"/>
      <c r="FW178" s="143"/>
      <c r="FX178" s="143"/>
      <c r="FY178" s="143"/>
      <c r="GA178" s="143"/>
      <c r="GB178" s="143"/>
      <c r="GC178" s="143"/>
      <c r="GF178" s="119"/>
      <c r="GG178" s="119"/>
      <c r="GH178" s="119"/>
      <c r="GI178" s="143"/>
      <c r="GJ178" s="143"/>
      <c r="GK178" s="143"/>
      <c r="GN178" s="119"/>
      <c r="GO178" s="119"/>
      <c r="GP178" s="143"/>
      <c r="GQ178" s="143"/>
      <c r="GR178" s="143"/>
      <c r="GV178" s="119"/>
      <c r="GW178" s="143"/>
      <c r="GX178" s="143"/>
      <c r="GY178" s="143"/>
      <c r="HC178" s="143"/>
      <c r="HD178" s="143"/>
      <c r="HE178" s="143"/>
      <c r="HF178" s="143"/>
      <c r="HI178" s="119"/>
      <c r="HJ178" s="119"/>
      <c r="HK178" s="119"/>
      <c r="HL178" s="119"/>
      <c r="HM178" s="143"/>
      <c r="HN178" s="143"/>
      <c r="HO178" s="143"/>
      <c r="HR178" s="119"/>
      <c r="HS178" s="119"/>
      <c r="HT178" s="119"/>
      <c r="HU178" s="143"/>
      <c r="HV178" s="143"/>
      <c r="HW178" s="143"/>
      <c r="HZ178" s="119"/>
      <c r="IA178" s="143"/>
      <c r="IB178" s="143"/>
      <c r="IC178" s="143"/>
      <c r="IE178" s="119"/>
      <c r="IF178" s="143"/>
      <c r="IG178" s="143"/>
      <c r="IH178" s="143"/>
      <c r="IK178" s="143"/>
      <c r="IL178" s="143"/>
      <c r="IO178" s="143"/>
      <c r="IP178" s="143"/>
      <c r="IS178" s="157"/>
      <c r="IT178" s="157"/>
      <c r="IU178" s="157"/>
      <c r="IX178" s="143"/>
      <c r="IY178" s="143"/>
      <c r="IZ178" s="143"/>
      <c r="JA178" s="143"/>
      <c r="JD178" s="143"/>
      <c r="JE178" s="143"/>
      <c r="JH178" s="143"/>
      <c r="JI178" s="143"/>
      <c r="JJ178" s="143"/>
      <c r="JM178" s="143"/>
      <c r="JN178" s="143"/>
      <c r="JQ178" s="143"/>
      <c r="JR178" s="143"/>
      <c r="JS178" s="143"/>
      <c r="JV178" s="143"/>
      <c r="JW178" s="143"/>
      <c r="JY178" s="143"/>
      <c r="JZ178" s="143"/>
      <c r="KB178" s="143"/>
      <c r="KC178" s="143"/>
      <c r="KD178" s="143"/>
    </row>
    <row r="179" spans="2:290" hidden="1" x14ac:dyDescent="0.25">
      <c r="B179" s="6" t="s">
        <v>233</v>
      </c>
      <c r="C179" s="136"/>
      <c r="D179" s="136"/>
      <c r="E179" s="136"/>
      <c r="F179" s="136"/>
      <c r="G179" s="136"/>
      <c r="H179" s="132"/>
      <c r="I179" s="158"/>
      <c r="J179" s="158"/>
      <c r="K179" s="158"/>
      <c r="L179" s="158"/>
      <c r="M179" s="132"/>
      <c r="N179" s="158"/>
      <c r="O179" s="158"/>
      <c r="P179" s="158"/>
      <c r="Q179" s="158"/>
      <c r="R179" s="132"/>
      <c r="S179" s="158"/>
      <c r="T179" s="158"/>
      <c r="U179" s="158"/>
      <c r="V179" s="158"/>
      <c r="W179" s="132">
        <f t="shared" ref="W179:CH179" si="271">W170*10000/W119</f>
        <v>0</v>
      </c>
      <c r="X179" s="158">
        <f t="shared" si="271"/>
        <v>0</v>
      </c>
      <c r="Y179" s="158">
        <f t="shared" si="271"/>
        <v>0</v>
      </c>
      <c r="Z179" s="158">
        <f t="shared" si="271"/>
        <v>0</v>
      </c>
      <c r="AA179" s="158">
        <f t="shared" si="271"/>
        <v>0</v>
      </c>
      <c r="AB179" s="132">
        <f t="shared" si="271"/>
        <v>0</v>
      </c>
      <c r="AC179" s="158">
        <f t="shared" si="271"/>
        <v>0</v>
      </c>
      <c r="AD179" s="158">
        <f t="shared" si="271"/>
        <v>0</v>
      </c>
      <c r="AE179" s="158">
        <f t="shared" si="271"/>
        <v>0</v>
      </c>
      <c r="AF179" s="158">
        <f t="shared" si="271"/>
        <v>0</v>
      </c>
      <c r="AG179" s="132">
        <f t="shared" si="271"/>
        <v>0</v>
      </c>
      <c r="AH179" s="158">
        <f t="shared" si="271"/>
        <v>11.088810837932765</v>
      </c>
      <c r="AI179" s="158">
        <f t="shared" si="271"/>
        <v>10.459830228909361</v>
      </c>
      <c r="AJ179" s="158">
        <f t="shared" si="271"/>
        <v>12.27037773359841</v>
      </c>
      <c r="AK179" s="132">
        <f t="shared" si="271"/>
        <v>11.443713158847093</v>
      </c>
      <c r="AL179" s="158">
        <f t="shared" si="271"/>
        <v>13.219607179139858</v>
      </c>
      <c r="AM179" s="158">
        <f t="shared" si="271"/>
        <v>13.871338311315336</v>
      </c>
      <c r="AN179" s="158">
        <f t="shared" si="271"/>
        <v>14.368819080860966</v>
      </c>
      <c r="AO179" s="158">
        <f t="shared" si="271"/>
        <v>15.689351433774002</v>
      </c>
      <c r="AP179" s="132">
        <f t="shared" si="271"/>
        <v>14.306056780457117</v>
      </c>
      <c r="AQ179" s="158">
        <f t="shared" si="271"/>
        <v>9.8474655701522327</v>
      </c>
      <c r="AR179" s="158">
        <f t="shared" si="271"/>
        <v>9.5059187796174971</v>
      </c>
      <c r="AS179" s="158">
        <f t="shared" si="271"/>
        <v>10.522231706370761</v>
      </c>
      <c r="AT179" s="158">
        <f t="shared" si="271"/>
        <v>17.907638192335703</v>
      </c>
      <c r="AU179" s="132">
        <f t="shared" si="271"/>
        <v>12.235399680099871</v>
      </c>
      <c r="AV179" s="137">
        <f t="shared" si="271"/>
        <v>11.111909105272986</v>
      </c>
      <c r="AW179" s="137">
        <f t="shared" si="271"/>
        <v>11.469793561375315</v>
      </c>
      <c r="AX179" s="137">
        <f t="shared" si="271"/>
        <v>10.781709650701169</v>
      </c>
      <c r="AY179" s="137">
        <f t="shared" si="271"/>
        <v>11.382912453878959</v>
      </c>
      <c r="AZ179" s="132">
        <f t="shared" si="271"/>
        <v>11.18256430787709</v>
      </c>
      <c r="BA179" s="137">
        <f t="shared" si="271"/>
        <v>9.186283943952871</v>
      </c>
      <c r="BB179" s="137">
        <f t="shared" si="271"/>
        <v>16.200672447354449</v>
      </c>
      <c r="BC179" s="137">
        <f t="shared" si="271"/>
        <v>14.70091295026338</v>
      </c>
      <c r="BD179" s="137">
        <f t="shared" si="271"/>
        <v>21.836642307443579</v>
      </c>
      <c r="BE179" s="132">
        <f t="shared" si="271"/>
        <v>15.310933198569016</v>
      </c>
      <c r="BF179" s="137">
        <f t="shared" si="271"/>
        <v>8.8636121186259871</v>
      </c>
      <c r="BG179" s="137">
        <f t="shared" si="271"/>
        <v>22.150159888303381</v>
      </c>
      <c r="BH179" s="137">
        <f t="shared" si="271"/>
        <v>32.604645709297934</v>
      </c>
      <c r="BI179" s="137">
        <f t="shared" si="271"/>
        <v>46.976854349513793</v>
      </c>
      <c r="BJ179" s="132">
        <f t="shared" si="271"/>
        <v>27.901154040841565</v>
      </c>
      <c r="BK179" s="137">
        <f t="shared" si="271"/>
        <v>29.42362453492964</v>
      </c>
      <c r="BL179" s="137">
        <f t="shared" si="271"/>
        <v>26.768763796909493</v>
      </c>
      <c r="BM179" s="137">
        <f t="shared" si="271"/>
        <v>33.043691102680214</v>
      </c>
      <c r="BN179" s="137">
        <f t="shared" si="271"/>
        <v>26.828105733262877</v>
      </c>
      <c r="BO179" s="132">
        <f t="shared" si="271"/>
        <v>28.577990849268122</v>
      </c>
      <c r="BP179" s="137">
        <f t="shared" si="271"/>
        <v>19.441226833199032</v>
      </c>
      <c r="BQ179" s="137">
        <f t="shared" si="271"/>
        <v>3.1267356728098963</v>
      </c>
      <c r="BR179" s="137">
        <f t="shared" si="271"/>
        <v>16.422211336195719</v>
      </c>
      <c r="BS179" s="137">
        <f t="shared" si="271"/>
        <v>29.309039744240515</v>
      </c>
      <c r="BT179" s="132">
        <f t="shared" si="271"/>
        <v>18.111644971550156</v>
      </c>
      <c r="BU179" s="137">
        <f t="shared" si="271"/>
        <v>16.551835871548683</v>
      </c>
      <c r="BV179" s="137">
        <f t="shared" si="271"/>
        <v>19.48624780188285</v>
      </c>
      <c r="BW179" s="137">
        <f t="shared" si="271"/>
        <v>17.448751260214912</v>
      </c>
      <c r="BX179" s="137">
        <f t="shared" si="271"/>
        <v>18.427532353033786</v>
      </c>
      <c r="BY179" s="132">
        <f t="shared" si="271"/>
        <v>17.967628807128129</v>
      </c>
      <c r="BZ179" s="137">
        <f t="shared" si="271"/>
        <v>16.504106226766464</v>
      </c>
      <c r="CA179" s="137">
        <f t="shared" si="271"/>
        <v>18.136113773743617</v>
      </c>
      <c r="CB179" s="137">
        <f t="shared" si="271"/>
        <v>10.880923210686479</v>
      </c>
      <c r="CC179" s="137">
        <f t="shared" si="271"/>
        <v>13.309744986962713</v>
      </c>
      <c r="CD179" s="132">
        <f t="shared" si="271"/>
        <v>13.838341808925447</v>
      </c>
      <c r="CE179" s="137">
        <f t="shared" si="271"/>
        <v>10.57956012045601</v>
      </c>
      <c r="CF179" s="137">
        <f t="shared" si="271"/>
        <v>10.581511763724345</v>
      </c>
      <c r="CG179" s="137">
        <f t="shared" si="271"/>
        <v>9.1913515572911706</v>
      </c>
      <c r="CH179" s="137">
        <f t="shared" si="271"/>
        <v>19.901705815826094</v>
      </c>
      <c r="CI179" s="132">
        <f t="shared" ref="CI179" si="272">CI170*10000/CI119</f>
        <v>13.188430369703383</v>
      </c>
      <c r="CJ179" s="132"/>
      <c r="CK179" s="132"/>
      <c r="CL179" s="132"/>
      <c r="CM179" s="132"/>
      <c r="CN179" s="132"/>
      <c r="CO179" s="137"/>
      <c r="CP179" s="137"/>
      <c r="CQ179" s="6"/>
      <c r="CR179" s="6"/>
      <c r="CS179" s="6"/>
      <c r="CT179" s="124"/>
      <c r="CU179" s="124"/>
      <c r="CV179" s="124"/>
      <c r="CW179" s="124"/>
      <c r="CX179" s="124"/>
      <c r="CY179" s="124"/>
      <c r="CZ179" s="124"/>
      <c r="DA179" s="124"/>
      <c r="DB179" s="124"/>
      <c r="DC179" s="124"/>
      <c r="DD179" s="124"/>
      <c r="DE179" s="124"/>
      <c r="DF179" s="124"/>
      <c r="DG179" s="124"/>
      <c r="DH179" s="124"/>
      <c r="DI179" s="124"/>
      <c r="DK179" s="124"/>
      <c r="DL179" s="124"/>
      <c r="DM179" s="6"/>
      <c r="DN179" s="124"/>
      <c r="DO179" s="124"/>
      <c r="DQ179" s="136"/>
      <c r="DR179" s="124"/>
      <c r="DS179" s="124"/>
      <c r="DT179" s="124"/>
      <c r="DV179" s="124"/>
      <c r="DW179" s="124"/>
      <c r="DX179" s="124"/>
      <c r="EA179" s="111"/>
      <c r="EB179" s="111"/>
      <c r="EC179" s="111"/>
      <c r="ED179" s="124"/>
      <c r="EE179" s="124"/>
      <c r="EF179" s="124"/>
      <c r="EJ179" s="111"/>
      <c r="EK179" s="111"/>
      <c r="EL179" s="124"/>
      <c r="EM179" s="124"/>
      <c r="EN179" s="124"/>
      <c r="EP179" s="111"/>
      <c r="EQ179" s="124"/>
      <c r="ER179" s="124"/>
      <c r="ES179" s="124"/>
      <c r="EV179" s="111"/>
      <c r="EW179" s="111"/>
      <c r="EX179" s="111"/>
      <c r="EY179" s="111"/>
      <c r="EZ179" s="124"/>
      <c r="FA179" s="124"/>
      <c r="FD179" s="111"/>
      <c r="FE179" s="111"/>
      <c r="FF179" s="111"/>
      <c r="FG179" s="124"/>
      <c r="FH179" s="124"/>
      <c r="FK179" s="124"/>
      <c r="FL179" s="124"/>
      <c r="FO179" s="111"/>
      <c r="FP179" s="111"/>
      <c r="FQ179" s="124"/>
      <c r="FR179" s="124"/>
      <c r="FU179" s="111"/>
      <c r="FV179" s="124"/>
      <c r="FW179" s="124"/>
      <c r="FX179" s="124"/>
      <c r="FY179" s="124"/>
      <c r="GA179" s="124"/>
      <c r="GB179" s="124"/>
      <c r="GC179" s="124"/>
      <c r="GF179" s="111"/>
      <c r="GG179" s="111"/>
      <c r="GH179" s="111"/>
      <c r="GI179" s="124"/>
      <c r="GJ179" s="124"/>
      <c r="GK179" s="124"/>
      <c r="GN179" s="111"/>
      <c r="GO179" s="111"/>
      <c r="GP179" s="124"/>
      <c r="GQ179" s="124"/>
      <c r="GR179" s="124"/>
      <c r="GV179" s="111"/>
      <c r="GW179" s="124"/>
      <c r="GX179" s="124"/>
      <c r="GY179" s="124"/>
      <c r="HC179" s="124"/>
      <c r="HD179" s="124"/>
      <c r="HE179" s="124"/>
      <c r="HF179" s="124"/>
      <c r="HI179" s="111"/>
      <c r="HJ179" s="111"/>
      <c r="HK179" s="111"/>
      <c r="HL179" s="111"/>
      <c r="HM179" s="124"/>
      <c r="HN179" s="124"/>
      <c r="HO179" s="124"/>
      <c r="HR179" s="111"/>
      <c r="HS179" s="111"/>
      <c r="HT179" s="111"/>
      <c r="HU179" s="124"/>
      <c r="HV179" s="124"/>
      <c r="HW179" s="124"/>
      <c r="HZ179" s="111"/>
      <c r="IA179" s="124"/>
      <c r="IB179" s="124"/>
      <c r="IC179" s="124"/>
      <c r="IE179" s="111"/>
      <c r="IF179" s="124"/>
      <c r="IG179" s="124"/>
      <c r="IH179" s="124"/>
      <c r="IK179" s="124"/>
      <c r="IL179" s="124"/>
      <c r="IO179" s="124"/>
      <c r="IP179" s="124"/>
      <c r="IS179" s="160"/>
      <c r="IT179" s="160"/>
      <c r="IU179" s="160"/>
      <c r="IX179" s="124"/>
      <c r="IY179" s="124"/>
      <c r="IZ179" s="124"/>
      <c r="JA179" s="124"/>
      <c r="JD179" s="124"/>
      <c r="JE179" s="124"/>
      <c r="JH179" s="124"/>
      <c r="JI179" s="124"/>
      <c r="JJ179" s="124"/>
      <c r="JM179" s="124"/>
      <c r="JN179" s="124"/>
      <c r="JQ179" s="124"/>
      <c r="JR179" s="124"/>
      <c r="JS179" s="124"/>
      <c r="JV179" s="124"/>
      <c r="JW179" s="124"/>
      <c r="JY179" s="124"/>
      <c r="JZ179" s="124"/>
      <c r="KB179" s="124"/>
      <c r="KC179" s="124"/>
      <c r="KD179" s="124"/>
    </row>
    <row r="180" spans="2:290" hidden="1" x14ac:dyDescent="0.25">
      <c r="B180" s="6" t="s">
        <v>224</v>
      </c>
      <c r="C180" s="136"/>
      <c r="D180" s="136"/>
      <c r="E180" s="136"/>
      <c r="F180" s="136"/>
      <c r="G180" s="136"/>
      <c r="H180" s="132"/>
      <c r="I180" s="158"/>
      <c r="J180" s="158"/>
      <c r="K180" s="158"/>
      <c r="L180" s="158"/>
      <c r="M180" s="132"/>
      <c r="N180" s="158"/>
      <c r="O180" s="158"/>
      <c r="P180" s="158"/>
      <c r="Q180" s="158"/>
      <c r="R180" s="132"/>
      <c r="S180" s="158"/>
      <c r="T180" s="158"/>
      <c r="U180" s="158"/>
      <c r="V180" s="158"/>
      <c r="W180" s="132">
        <f t="shared" ref="W180:CH180" si="273">W171*10000/W121</f>
        <v>0</v>
      </c>
      <c r="X180" s="158">
        <f t="shared" si="273"/>
        <v>0</v>
      </c>
      <c r="Y180" s="158">
        <f t="shared" si="273"/>
        <v>0</v>
      </c>
      <c r="Z180" s="158">
        <f t="shared" si="273"/>
        <v>0</v>
      </c>
      <c r="AA180" s="158">
        <f t="shared" si="273"/>
        <v>0</v>
      </c>
      <c r="AB180" s="132">
        <f t="shared" si="273"/>
        <v>0</v>
      </c>
      <c r="AC180" s="158">
        <f t="shared" si="273"/>
        <v>0</v>
      </c>
      <c r="AD180" s="158">
        <f t="shared" si="273"/>
        <v>0</v>
      </c>
      <c r="AE180" s="158">
        <f t="shared" si="273"/>
        <v>0</v>
      </c>
      <c r="AF180" s="158">
        <f t="shared" si="273"/>
        <v>0</v>
      </c>
      <c r="AG180" s="132">
        <f t="shared" si="273"/>
        <v>0</v>
      </c>
      <c r="AH180" s="158">
        <f t="shared" si="273"/>
        <v>5.5502392344497604</v>
      </c>
      <c r="AI180" s="158">
        <f t="shared" si="273"/>
        <v>6.5992167101827679</v>
      </c>
      <c r="AJ180" s="158">
        <f t="shared" si="273"/>
        <v>16.578500848388064</v>
      </c>
      <c r="AK180" s="132">
        <f t="shared" si="273"/>
        <v>10.100234263988632</v>
      </c>
      <c r="AL180" s="158">
        <f t="shared" si="273"/>
        <v>11.45612547689699</v>
      </c>
      <c r="AM180" s="158">
        <f t="shared" si="273"/>
        <v>12.922531308877314</v>
      </c>
      <c r="AN180" s="158">
        <f t="shared" si="273"/>
        <v>9.9402554594149155</v>
      </c>
      <c r="AO180" s="158">
        <f t="shared" si="273"/>
        <v>21.863733012850144</v>
      </c>
      <c r="AP180" s="132">
        <f t="shared" si="273"/>
        <v>14.308434229427457</v>
      </c>
      <c r="AQ180" s="158">
        <f t="shared" si="273"/>
        <v>10.94298025854294</v>
      </c>
      <c r="AR180" s="158">
        <f t="shared" si="273"/>
        <v>14.963538213846007</v>
      </c>
      <c r="AS180" s="158">
        <f t="shared" si="273"/>
        <v>19.08404838209449</v>
      </c>
      <c r="AT180" s="158">
        <f t="shared" si="273"/>
        <v>23.198150872031938</v>
      </c>
      <c r="AU180" s="132">
        <f t="shared" si="273"/>
        <v>17.600251753281785</v>
      </c>
      <c r="AV180" s="137">
        <f t="shared" si="273"/>
        <v>15.971656621599609</v>
      </c>
      <c r="AW180" s="137">
        <f t="shared" si="273"/>
        <v>16.502226490875753</v>
      </c>
      <c r="AX180" s="137">
        <f t="shared" si="273"/>
        <v>11.471927162367223</v>
      </c>
      <c r="AY180" s="137">
        <f t="shared" si="273"/>
        <v>14.174383423489502</v>
      </c>
      <c r="AZ180" s="132">
        <f t="shared" si="273"/>
        <v>14.27801361094266</v>
      </c>
      <c r="BA180" s="137">
        <f t="shared" si="273"/>
        <v>11.601890249783008</v>
      </c>
      <c r="BB180" s="137">
        <f t="shared" si="273"/>
        <v>-1.9692555008540138</v>
      </c>
      <c r="BC180" s="137">
        <f t="shared" si="273"/>
        <v>9.6466310646517446</v>
      </c>
      <c r="BD180" s="137">
        <f t="shared" si="273"/>
        <v>14.756688434800926</v>
      </c>
      <c r="BE180" s="132">
        <f t="shared" si="273"/>
        <v>8.4341093300877858</v>
      </c>
      <c r="BF180" s="137">
        <f t="shared" si="273"/>
        <v>-15.932914046121594</v>
      </c>
      <c r="BG180" s="137">
        <f t="shared" si="273"/>
        <v>10.624723083739477</v>
      </c>
      <c r="BH180" s="137">
        <f t="shared" si="273"/>
        <v>17.207346378304155</v>
      </c>
      <c r="BI180" s="137">
        <f t="shared" si="273"/>
        <v>28.390570430733415</v>
      </c>
      <c r="BJ180" s="132">
        <f t="shared" si="273"/>
        <v>15.309642710670429</v>
      </c>
      <c r="BK180" s="137">
        <f t="shared" si="273"/>
        <v>12.825904121110177</v>
      </c>
      <c r="BL180" s="137">
        <f t="shared" si="273"/>
        <v>15.504439063761097</v>
      </c>
      <c r="BM180" s="137">
        <f t="shared" si="273"/>
        <v>17.792155276991508</v>
      </c>
      <c r="BN180" s="137">
        <f t="shared" si="273"/>
        <v>22.843856717285476</v>
      </c>
      <c r="BO180" s="132">
        <f t="shared" si="273"/>
        <v>17.751405371642722</v>
      </c>
      <c r="BP180" s="137">
        <f t="shared" si="273"/>
        <v>19.804666304937601</v>
      </c>
      <c r="BQ180" s="137">
        <f t="shared" si="273"/>
        <v>20.201814980360286</v>
      </c>
      <c r="BR180" s="137">
        <f t="shared" si="273"/>
        <v>21.379776800811634</v>
      </c>
      <c r="BS180" s="137">
        <f t="shared" si="273"/>
        <v>22.370971650109038</v>
      </c>
      <c r="BT180" s="132">
        <f t="shared" si="273"/>
        <v>21.017639077340569</v>
      </c>
      <c r="BU180" s="137">
        <f t="shared" si="273"/>
        <v>14.080095458274293</v>
      </c>
      <c r="BV180" s="137">
        <f t="shared" si="273"/>
        <v>16.363047001620743</v>
      </c>
      <c r="BW180" s="137">
        <f t="shared" si="273"/>
        <v>18.279834883864211</v>
      </c>
      <c r="BX180" s="137">
        <f t="shared" si="273"/>
        <v>23.436666469088969</v>
      </c>
      <c r="BY180" s="132">
        <f t="shared" si="273"/>
        <v>18.297920433996385</v>
      </c>
      <c r="BZ180" s="137">
        <f t="shared" si="273"/>
        <v>13.058878567132259</v>
      </c>
      <c r="CA180" s="137">
        <f t="shared" si="273"/>
        <v>18.623428193249502</v>
      </c>
      <c r="CB180" s="137">
        <f t="shared" si="273"/>
        <v>16.758055572669583</v>
      </c>
      <c r="CC180" s="137">
        <f t="shared" si="273"/>
        <v>21.101852406930039</v>
      </c>
      <c r="CD180" s="132">
        <f t="shared" si="273"/>
        <v>17.114762260393327</v>
      </c>
      <c r="CE180" s="137">
        <f t="shared" si="273"/>
        <v>10.903696377797008</v>
      </c>
      <c r="CF180" s="137">
        <f t="shared" si="273"/>
        <v>8.4727507718819552</v>
      </c>
      <c r="CG180" s="137">
        <f t="shared" si="273"/>
        <v>17.44645052740568</v>
      </c>
      <c r="CH180" s="137">
        <f t="shared" si="273"/>
        <v>22.66369128612638</v>
      </c>
      <c r="CI180" s="132">
        <f t="shared" ref="CI180" si="274">CI171*10000/CI121</f>
        <v>14.557441311416991</v>
      </c>
      <c r="CJ180" s="132"/>
      <c r="CK180" s="132"/>
      <c r="CL180" s="132"/>
      <c r="CM180" s="132"/>
      <c r="CN180" s="132"/>
      <c r="CO180" s="137"/>
      <c r="CP180" s="137"/>
      <c r="CQ180" s="6"/>
      <c r="CR180" s="6"/>
      <c r="CS180" s="6"/>
      <c r="CT180" s="124"/>
      <c r="CU180" s="124"/>
      <c r="CV180" s="124"/>
      <c r="CW180" s="124"/>
      <c r="CX180" s="124"/>
      <c r="CY180" s="124"/>
      <c r="CZ180" s="124"/>
      <c r="DA180" s="124"/>
      <c r="DB180" s="124"/>
      <c r="DC180" s="124"/>
      <c r="DD180" s="124"/>
      <c r="DE180" s="124"/>
      <c r="DF180" s="124"/>
      <c r="DG180" s="124"/>
      <c r="DH180" s="124"/>
      <c r="DI180" s="124"/>
      <c r="DK180" s="124"/>
      <c r="DL180" s="124"/>
      <c r="DM180" s="6"/>
      <c r="DN180" s="124"/>
      <c r="DO180" s="124"/>
      <c r="DQ180" s="136"/>
      <c r="DR180" s="124"/>
      <c r="DS180" s="124"/>
      <c r="DT180" s="124"/>
      <c r="DV180" s="124"/>
      <c r="DW180" s="124"/>
      <c r="DX180" s="124"/>
      <c r="EA180" s="111"/>
      <c r="EB180" s="111"/>
      <c r="EC180" s="111"/>
      <c r="ED180" s="124"/>
      <c r="EE180" s="124"/>
      <c r="EF180" s="124"/>
      <c r="EJ180" s="111"/>
      <c r="EK180" s="111"/>
      <c r="EL180" s="124"/>
      <c r="EM180" s="124"/>
      <c r="EN180" s="124"/>
      <c r="EP180" s="111"/>
      <c r="EQ180" s="124"/>
      <c r="ER180" s="124"/>
      <c r="ES180" s="124"/>
      <c r="EV180" s="111"/>
      <c r="EW180" s="111"/>
      <c r="EX180" s="111"/>
      <c r="EY180" s="111"/>
      <c r="EZ180" s="124"/>
      <c r="FA180" s="124"/>
      <c r="FD180" s="111"/>
      <c r="FE180" s="111"/>
      <c r="FF180" s="111"/>
      <c r="FG180" s="124"/>
      <c r="FH180" s="124"/>
      <c r="FK180" s="124"/>
      <c r="FL180" s="124"/>
      <c r="FO180" s="111"/>
      <c r="FP180" s="111"/>
      <c r="FQ180" s="124"/>
      <c r="FR180" s="124"/>
      <c r="FU180" s="111"/>
      <c r="FV180" s="124"/>
      <c r="FW180" s="124"/>
      <c r="FX180" s="124"/>
      <c r="FY180" s="124"/>
      <c r="GA180" s="124"/>
      <c r="GB180" s="124"/>
      <c r="GC180" s="124"/>
      <c r="GF180" s="111"/>
      <c r="GG180" s="111"/>
      <c r="GH180" s="111"/>
      <c r="GI180" s="124"/>
      <c r="GJ180" s="124"/>
      <c r="GK180" s="124"/>
      <c r="GN180" s="111"/>
      <c r="GO180" s="111"/>
      <c r="GP180" s="124"/>
      <c r="GQ180" s="124"/>
      <c r="GR180" s="124"/>
      <c r="GV180" s="111"/>
      <c r="GW180" s="124"/>
      <c r="GX180" s="124"/>
      <c r="GY180" s="124"/>
      <c r="HC180" s="124"/>
      <c r="HD180" s="124"/>
      <c r="HE180" s="124"/>
      <c r="HF180" s="124"/>
      <c r="HI180" s="111"/>
      <c r="HJ180" s="111"/>
      <c r="HK180" s="111"/>
      <c r="HL180" s="111"/>
      <c r="HM180" s="124"/>
      <c r="HN180" s="124"/>
      <c r="HO180" s="124"/>
      <c r="HR180" s="111"/>
      <c r="HS180" s="111"/>
      <c r="HT180" s="111"/>
      <c r="HU180" s="124"/>
      <c r="HV180" s="124"/>
      <c r="HW180" s="124"/>
      <c r="HZ180" s="111"/>
      <c r="IA180" s="124"/>
      <c r="IB180" s="124"/>
      <c r="IC180" s="124"/>
      <c r="IE180" s="111"/>
      <c r="IF180" s="124"/>
      <c r="IG180" s="124"/>
      <c r="IH180" s="124"/>
      <c r="IK180" s="124"/>
      <c r="IL180" s="124"/>
      <c r="IO180" s="124"/>
      <c r="IP180" s="124"/>
      <c r="IS180" s="160"/>
      <c r="IT180" s="160"/>
      <c r="IU180" s="160"/>
      <c r="IX180" s="124"/>
      <c r="IY180" s="124"/>
      <c r="IZ180" s="124"/>
      <c r="JA180" s="124"/>
      <c r="JD180" s="124"/>
      <c r="JE180" s="124"/>
      <c r="JH180" s="124"/>
      <c r="JI180" s="124"/>
      <c r="JJ180" s="124"/>
      <c r="JM180" s="124"/>
      <c r="JN180" s="124"/>
      <c r="JQ180" s="124"/>
      <c r="JR180" s="124"/>
      <c r="JS180" s="124"/>
      <c r="JV180" s="124"/>
      <c r="JW180" s="124"/>
      <c r="JY180" s="124"/>
      <c r="JZ180" s="124"/>
      <c r="KB180" s="124"/>
      <c r="KC180" s="124"/>
      <c r="KD180" s="124"/>
    </row>
    <row r="181" spans="2:290" hidden="1" x14ac:dyDescent="0.25">
      <c r="B181" s="6" t="s">
        <v>223</v>
      </c>
      <c r="C181" s="136"/>
      <c r="D181" s="136"/>
      <c r="E181" s="136"/>
      <c r="F181" s="136"/>
      <c r="G181" s="136"/>
      <c r="H181" s="132"/>
      <c r="I181" s="158"/>
      <c r="J181" s="158"/>
      <c r="K181" s="158"/>
      <c r="L181" s="158"/>
      <c r="M181" s="132"/>
      <c r="N181" s="158"/>
      <c r="O181" s="158"/>
      <c r="P181" s="158"/>
      <c r="Q181" s="158"/>
      <c r="R181" s="132"/>
      <c r="S181" s="158"/>
      <c r="T181" s="158"/>
      <c r="U181" s="158"/>
      <c r="V181" s="158"/>
      <c r="W181" s="132">
        <f t="shared" ref="W181:CH181" si="275">W172*10000/W120</f>
        <v>0</v>
      </c>
      <c r="X181" s="158">
        <f t="shared" si="275"/>
        <v>0</v>
      </c>
      <c r="Y181" s="158">
        <f t="shared" si="275"/>
        <v>0</v>
      </c>
      <c r="Z181" s="158">
        <f t="shared" si="275"/>
        <v>0</v>
      </c>
      <c r="AA181" s="158">
        <f t="shared" si="275"/>
        <v>0</v>
      </c>
      <c r="AB181" s="132">
        <f t="shared" si="275"/>
        <v>0</v>
      </c>
      <c r="AC181" s="158">
        <f t="shared" si="275"/>
        <v>0</v>
      </c>
      <c r="AD181" s="158">
        <f t="shared" si="275"/>
        <v>0</v>
      </c>
      <c r="AE181" s="158">
        <f t="shared" si="275"/>
        <v>0</v>
      </c>
      <c r="AF181" s="158">
        <f t="shared" si="275"/>
        <v>0</v>
      </c>
      <c r="AG181" s="132">
        <f t="shared" si="275"/>
        <v>0</v>
      </c>
      <c r="AH181" s="158">
        <f t="shared" si="275"/>
        <v>23.446145927165102</v>
      </c>
      <c r="AI181" s="158">
        <f t="shared" si="275"/>
        <v>39.798160098860357</v>
      </c>
      <c r="AJ181" s="158">
        <f t="shared" si="275"/>
        <v>45.298122929701869</v>
      </c>
      <c r="AK181" s="132">
        <f t="shared" si="275"/>
        <v>37.771419966872458</v>
      </c>
      <c r="AL181" s="158">
        <f t="shared" si="275"/>
        <v>44.790868046682</v>
      </c>
      <c r="AM181" s="158">
        <f t="shared" si="275"/>
        <v>23.569104711411015</v>
      </c>
      <c r="AN181" s="158">
        <f t="shared" si="275"/>
        <v>36.737755168590624</v>
      </c>
      <c r="AO181" s="158">
        <f t="shared" si="275"/>
        <v>43.405471621069822</v>
      </c>
      <c r="AP181" s="132">
        <f t="shared" si="275"/>
        <v>38.142641129032256</v>
      </c>
      <c r="AQ181" s="158">
        <f t="shared" si="275"/>
        <v>31.449995640422006</v>
      </c>
      <c r="AR181" s="158">
        <f t="shared" si="275"/>
        <v>25.848758255046043</v>
      </c>
      <c r="AS181" s="158">
        <f t="shared" si="275"/>
        <v>35.125243051584121</v>
      </c>
      <c r="AT181" s="158">
        <f t="shared" si="275"/>
        <v>48.205378973105134</v>
      </c>
      <c r="AU181" s="132">
        <f t="shared" si="275"/>
        <v>34.964250665918975</v>
      </c>
      <c r="AV181" s="137">
        <f t="shared" si="275"/>
        <v>29.524788487388317</v>
      </c>
      <c r="AW181" s="137">
        <f t="shared" si="275"/>
        <v>23.345781863449201</v>
      </c>
      <c r="AX181" s="137">
        <f t="shared" si="275"/>
        <v>23.10589136401353</v>
      </c>
      <c r="AY181" s="137">
        <f t="shared" si="275"/>
        <v>22.111332889776005</v>
      </c>
      <c r="AZ181" s="132">
        <f t="shared" si="275"/>
        <v>24.449162267615332</v>
      </c>
      <c r="BA181" s="137">
        <f t="shared" si="275"/>
        <v>16.155355041192625</v>
      </c>
      <c r="BB181" s="137">
        <f t="shared" si="275"/>
        <v>3.4532634243355633</v>
      </c>
      <c r="BC181" s="137">
        <f t="shared" si="275"/>
        <v>26.672358070614063</v>
      </c>
      <c r="BD181" s="137">
        <f t="shared" si="275"/>
        <v>29.927334708890285</v>
      </c>
      <c r="BE181" s="132">
        <f t="shared" si="275"/>
        <v>19.767102214086812</v>
      </c>
      <c r="BF181" s="137">
        <f t="shared" si="275"/>
        <v>18.002357100766055</v>
      </c>
      <c r="BG181" s="137">
        <f t="shared" si="275"/>
        <v>20.908570961679875</v>
      </c>
      <c r="BH181" s="137">
        <f t="shared" si="275"/>
        <v>23.753351206434317</v>
      </c>
      <c r="BI181" s="137">
        <f t="shared" si="275"/>
        <v>26.108658091764255</v>
      </c>
      <c r="BJ181" s="132">
        <f t="shared" si="275"/>
        <v>22.721718673061844</v>
      </c>
      <c r="BK181" s="137">
        <f t="shared" si="275"/>
        <v>14.862989941033646</v>
      </c>
      <c r="BL181" s="137">
        <f t="shared" si="275"/>
        <v>19.74428516079039</v>
      </c>
      <c r="BM181" s="137">
        <f t="shared" si="275"/>
        <v>15.065686392672051</v>
      </c>
      <c r="BN181" s="137">
        <f t="shared" si="275"/>
        <v>25.656842586246288</v>
      </c>
      <c r="BO181" s="132">
        <f t="shared" si="275"/>
        <v>18.63114360621838</v>
      </c>
      <c r="BP181" s="137">
        <f t="shared" si="275"/>
        <v>17.697808176589461</v>
      </c>
      <c r="BQ181" s="137">
        <f t="shared" si="275"/>
        <v>16.026171316838386</v>
      </c>
      <c r="BR181" s="137">
        <f t="shared" si="275"/>
        <v>15.515226507183613</v>
      </c>
      <c r="BS181" s="137">
        <f t="shared" si="275"/>
        <v>18.38604788649128</v>
      </c>
      <c r="BT181" s="132">
        <f t="shared" si="275"/>
        <v>16.87437778842963</v>
      </c>
      <c r="BU181" s="137">
        <f t="shared" si="275"/>
        <v>18.808962264150942</v>
      </c>
      <c r="BV181" s="137">
        <f t="shared" si="275"/>
        <v>32.115513767629281</v>
      </c>
      <c r="BW181" s="137">
        <f t="shared" si="275"/>
        <v>31.030804107214294</v>
      </c>
      <c r="BX181" s="137">
        <f t="shared" si="275"/>
        <v>45.053484818284502</v>
      </c>
      <c r="BY181" s="132">
        <f t="shared" si="275"/>
        <v>32.079922060608133</v>
      </c>
      <c r="BZ181" s="137">
        <f t="shared" si="275"/>
        <v>28.626758170822857</v>
      </c>
      <c r="CA181" s="137">
        <f t="shared" si="275"/>
        <v>24.883987223527992</v>
      </c>
      <c r="CB181" s="137">
        <f t="shared" si="275"/>
        <v>27.105214667403722</v>
      </c>
      <c r="CC181" s="137">
        <f t="shared" si="275"/>
        <v>36.048570705793068</v>
      </c>
      <c r="CD181" s="132">
        <f t="shared" si="275"/>
        <v>29.98842837818016</v>
      </c>
      <c r="CE181" s="137">
        <f t="shared" si="275"/>
        <v>31.217147928186222</v>
      </c>
      <c r="CF181" s="137">
        <f t="shared" si="275"/>
        <v>29.262743651232864</v>
      </c>
      <c r="CG181" s="137">
        <f t="shared" si="275"/>
        <v>20.226214238190288</v>
      </c>
      <c r="CH181" s="137">
        <f t="shared" si="275"/>
        <v>35.428640571117427</v>
      </c>
      <c r="CI181" s="132">
        <f t="shared" ref="CI181" si="276">CI172*10000/CI120</f>
        <v>30.602067439479509</v>
      </c>
      <c r="CJ181" s="132"/>
      <c r="CK181" s="132"/>
      <c r="CL181" s="132"/>
      <c r="CM181" s="132"/>
      <c r="CN181" s="132"/>
      <c r="CO181" s="137"/>
      <c r="CP181" s="137"/>
      <c r="CQ181" s="6"/>
      <c r="CR181" s="6"/>
      <c r="CS181" s="6"/>
      <c r="CT181" s="124"/>
      <c r="CU181" s="124"/>
      <c r="CV181" s="124"/>
      <c r="CW181" s="124"/>
      <c r="CX181" s="124"/>
      <c r="CY181" s="124"/>
      <c r="CZ181" s="124"/>
      <c r="DA181" s="124"/>
      <c r="DB181" s="124"/>
      <c r="DC181" s="124"/>
      <c r="DD181" s="124"/>
      <c r="DE181" s="124"/>
      <c r="DF181" s="124"/>
      <c r="DG181" s="124"/>
      <c r="DH181" s="124"/>
      <c r="DI181" s="124"/>
      <c r="DK181" s="124"/>
      <c r="DL181" s="124"/>
      <c r="DM181" s="6"/>
      <c r="DN181" s="124"/>
      <c r="DO181" s="124"/>
      <c r="DQ181" s="136"/>
      <c r="DR181" s="124"/>
      <c r="DS181" s="124"/>
      <c r="DT181" s="124"/>
      <c r="DV181" s="124"/>
      <c r="DW181" s="124"/>
      <c r="DX181" s="124"/>
      <c r="EA181" s="111"/>
      <c r="EB181" s="111"/>
      <c r="EC181" s="111"/>
      <c r="ED181" s="124"/>
      <c r="EE181" s="124"/>
      <c r="EF181" s="124"/>
      <c r="EJ181" s="111"/>
      <c r="EK181" s="111"/>
      <c r="EL181" s="124"/>
      <c r="EM181" s="124"/>
      <c r="EN181" s="124"/>
      <c r="EP181" s="111"/>
      <c r="EQ181" s="124"/>
      <c r="ER181" s="124"/>
      <c r="ES181" s="124"/>
      <c r="EV181" s="111"/>
      <c r="EW181" s="111"/>
      <c r="EX181" s="111"/>
      <c r="EY181" s="111"/>
      <c r="EZ181" s="124"/>
      <c r="FA181" s="124"/>
      <c r="FD181" s="111"/>
      <c r="FE181" s="111"/>
      <c r="FF181" s="111"/>
      <c r="FG181" s="124"/>
      <c r="FH181" s="124"/>
      <c r="FK181" s="124"/>
      <c r="FL181" s="124"/>
      <c r="FO181" s="111"/>
      <c r="FP181" s="111"/>
      <c r="FQ181" s="124"/>
      <c r="FR181" s="124"/>
      <c r="FU181" s="111"/>
      <c r="FV181" s="124"/>
      <c r="FW181" s="124"/>
      <c r="FX181" s="124"/>
      <c r="FY181" s="124"/>
      <c r="GA181" s="124"/>
      <c r="GB181" s="124"/>
      <c r="GC181" s="124"/>
      <c r="GF181" s="111"/>
      <c r="GG181" s="111"/>
      <c r="GH181" s="111"/>
      <c r="GI181" s="124"/>
      <c r="GJ181" s="124"/>
      <c r="GK181" s="124"/>
      <c r="GN181" s="111"/>
      <c r="GO181" s="111"/>
      <c r="GP181" s="124"/>
      <c r="GQ181" s="124"/>
      <c r="GR181" s="124"/>
      <c r="GV181" s="111"/>
      <c r="GW181" s="124"/>
      <c r="GX181" s="124"/>
      <c r="GY181" s="124"/>
      <c r="HC181" s="124"/>
      <c r="HD181" s="124"/>
      <c r="HE181" s="124"/>
      <c r="HF181" s="124"/>
      <c r="HI181" s="111"/>
      <c r="HJ181" s="111"/>
      <c r="HK181" s="111"/>
      <c r="HL181" s="111"/>
      <c r="HM181" s="124"/>
      <c r="HN181" s="124"/>
      <c r="HO181" s="124"/>
      <c r="HR181" s="111"/>
      <c r="HS181" s="111"/>
      <c r="HT181" s="111"/>
      <c r="HU181" s="124"/>
      <c r="HV181" s="124"/>
      <c r="HW181" s="124"/>
      <c r="HZ181" s="111"/>
      <c r="IA181" s="124"/>
      <c r="IB181" s="124"/>
      <c r="IC181" s="124"/>
      <c r="IE181" s="111"/>
      <c r="IF181" s="124"/>
      <c r="IG181" s="124"/>
      <c r="IH181" s="124"/>
      <c r="IK181" s="124"/>
      <c r="IL181" s="124"/>
      <c r="IO181" s="124"/>
      <c r="IP181" s="124"/>
      <c r="IS181" s="160"/>
      <c r="IT181" s="160"/>
      <c r="IU181" s="160"/>
      <c r="IX181" s="124"/>
      <c r="IY181" s="124"/>
      <c r="IZ181" s="124"/>
      <c r="JA181" s="124"/>
      <c r="JD181" s="124"/>
      <c r="JE181" s="124"/>
      <c r="JH181" s="124"/>
      <c r="JI181" s="124"/>
      <c r="JJ181" s="124"/>
      <c r="JM181" s="124"/>
      <c r="JN181" s="124"/>
      <c r="JQ181" s="124"/>
      <c r="JR181" s="124"/>
      <c r="JS181" s="124"/>
      <c r="JV181" s="124"/>
      <c r="JW181" s="124"/>
      <c r="JY181" s="124"/>
      <c r="JZ181" s="124"/>
      <c r="KB181" s="124"/>
      <c r="KC181" s="124"/>
      <c r="KD181" s="124"/>
    </row>
    <row r="182" spans="2:290" hidden="1" x14ac:dyDescent="0.25">
      <c r="B182" s="6" t="s">
        <v>225</v>
      </c>
      <c r="C182" s="136"/>
      <c r="D182" s="136"/>
      <c r="E182" s="136"/>
      <c r="F182" s="136"/>
      <c r="G182" s="136"/>
      <c r="H182" s="132"/>
      <c r="I182" s="158"/>
      <c r="J182" s="158"/>
      <c r="K182" s="158"/>
      <c r="L182" s="158"/>
      <c r="M182" s="132"/>
      <c r="N182" s="158"/>
      <c r="O182" s="158"/>
      <c r="P182" s="158"/>
      <c r="Q182" s="158"/>
      <c r="R182" s="132"/>
      <c r="S182" s="158"/>
      <c r="T182" s="158"/>
      <c r="U182" s="158"/>
      <c r="V182" s="158"/>
      <c r="W182" s="132">
        <f t="shared" ref="W182:CH182" si="277">W173*10000/W122</f>
        <v>0</v>
      </c>
      <c r="X182" s="158">
        <f t="shared" si="277"/>
        <v>0</v>
      </c>
      <c r="Y182" s="158">
        <f t="shared" si="277"/>
        <v>0</v>
      </c>
      <c r="Z182" s="158">
        <f t="shared" si="277"/>
        <v>0</v>
      </c>
      <c r="AA182" s="158">
        <f t="shared" si="277"/>
        <v>0</v>
      </c>
      <c r="AB182" s="132">
        <f t="shared" si="277"/>
        <v>0</v>
      </c>
      <c r="AC182" s="158">
        <f t="shared" si="277"/>
        <v>0</v>
      </c>
      <c r="AD182" s="158">
        <f t="shared" si="277"/>
        <v>0</v>
      </c>
      <c r="AE182" s="158">
        <f t="shared" si="277"/>
        <v>0</v>
      </c>
      <c r="AF182" s="158">
        <f t="shared" si="277"/>
        <v>0</v>
      </c>
      <c r="AG182" s="132">
        <f t="shared" si="277"/>
        <v>0</v>
      </c>
      <c r="AH182" s="158">
        <f t="shared" si="277"/>
        <v>9.8203221809169765</v>
      </c>
      <c r="AI182" s="158">
        <f t="shared" si="277"/>
        <v>18.405828155131776</v>
      </c>
      <c r="AJ182" s="158">
        <f t="shared" si="277"/>
        <v>30.019493177387915</v>
      </c>
      <c r="AK182" s="132">
        <f t="shared" si="277"/>
        <v>20.849904030710174</v>
      </c>
      <c r="AL182" s="158">
        <f t="shared" si="277"/>
        <v>26.909163987138264</v>
      </c>
      <c r="AM182" s="158">
        <f t="shared" si="277"/>
        <v>20.161673799334284</v>
      </c>
      <c r="AN182" s="158">
        <f t="shared" si="277"/>
        <v>25.586494189870642</v>
      </c>
      <c r="AO182" s="158">
        <f t="shared" si="277"/>
        <v>38.741590819153139</v>
      </c>
      <c r="AP182" s="132">
        <f t="shared" si="277"/>
        <v>28.270468691812525</v>
      </c>
      <c r="AQ182" s="158">
        <f t="shared" si="277"/>
        <v>20.680628272251308</v>
      </c>
      <c r="AR182" s="158">
        <f t="shared" si="277"/>
        <v>24.110339018740788</v>
      </c>
      <c r="AS182" s="158">
        <f t="shared" si="277"/>
        <v>23.488236437876726</v>
      </c>
      <c r="AT182" s="158">
        <f t="shared" si="277"/>
        <v>41.885259773227283</v>
      </c>
      <c r="AU182" s="132">
        <f t="shared" si="277"/>
        <v>28.339465293107676</v>
      </c>
      <c r="AV182" s="137">
        <f t="shared" si="277"/>
        <v>22.862559241706162</v>
      </c>
      <c r="AW182" s="137">
        <f t="shared" si="277"/>
        <v>25.612903225806452</v>
      </c>
      <c r="AX182" s="137">
        <f t="shared" si="277"/>
        <v>25.333086602516655</v>
      </c>
      <c r="AY182" s="137">
        <f t="shared" si="277"/>
        <v>29.972126578127561</v>
      </c>
      <c r="AZ182" s="132">
        <f t="shared" si="277"/>
        <v>26.110696285234273</v>
      </c>
      <c r="BA182" s="137">
        <f t="shared" si="277"/>
        <v>25.215686274509803</v>
      </c>
      <c r="BB182" s="137">
        <f t="shared" si="277"/>
        <v>23.453884014551683</v>
      </c>
      <c r="BC182" s="137">
        <f t="shared" si="277"/>
        <v>26.501214855952796</v>
      </c>
      <c r="BD182" s="137">
        <f t="shared" si="277"/>
        <v>35.316552250190696</v>
      </c>
      <c r="BE182" s="132">
        <f t="shared" si="277"/>
        <v>27.725107079262717</v>
      </c>
      <c r="BF182" s="137">
        <f t="shared" si="277"/>
        <v>-29.860650298606505</v>
      </c>
      <c r="BG182" s="137">
        <f t="shared" si="277"/>
        <v>26.982776950882414</v>
      </c>
      <c r="BH182" s="137">
        <f t="shared" si="277"/>
        <v>35.738885410144015</v>
      </c>
      <c r="BI182" s="137">
        <f t="shared" si="277"/>
        <v>48.790459965928449</v>
      </c>
      <c r="BJ182" s="132">
        <f t="shared" si="277"/>
        <v>32.304526748971192</v>
      </c>
      <c r="BK182" s="137">
        <f t="shared" si="277"/>
        <v>2.9397818871503083</v>
      </c>
      <c r="BL182" s="137">
        <f t="shared" si="277"/>
        <v>35.728868926092282</v>
      </c>
      <c r="BM182" s="137">
        <f t="shared" si="277"/>
        <v>40.330324563088148</v>
      </c>
      <c r="BN182" s="137">
        <f t="shared" si="277"/>
        <v>27.852477910103726</v>
      </c>
      <c r="BO182" s="132">
        <f t="shared" si="277"/>
        <v>31.039035591274398</v>
      </c>
      <c r="BP182" s="137">
        <f t="shared" si="277"/>
        <v>29.509514875368534</v>
      </c>
      <c r="BQ182" s="137">
        <f t="shared" si="277"/>
        <v>34.336283185840706</v>
      </c>
      <c r="BR182" s="137">
        <f t="shared" si="277"/>
        <v>40.174761227392807</v>
      </c>
      <c r="BS182" s="137">
        <f t="shared" si="277"/>
        <v>42.353867348947055</v>
      </c>
      <c r="BT182" s="132">
        <f t="shared" si="277"/>
        <v>37.155536076261427</v>
      </c>
      <c r="BU182" s="137">
        <f t="shared" si="277"/>
        <v>41.299790356394126</v>
      </c>
      <c r="BV182" s="137">
        <f t="shared" si="277"/>
        <v>38.769639300730248</v>
      </c>
      <c r="BW182" s="137">
        <f t="shared" si="277"/>
        <v>40.809513874400167</v>
      </c>
      <c r="BX182" s="137">
        <f t="shared" si="277"/>
        <v>44.110060189165949</v>
      </c>
      <c r="BY182" s="132">
        <f t="shared" si="277"/>
        <v>41.26088623541655</v>
      </c>
      <c r="BZ182" s="137">
        <f t="shared" si="277"/>
        <v>40.179910044977504</v>
      </c>
      <c r="CA182" s="137">
        <f t="shared" si="277"/>
        <v>40.377176015473886</v>
      </c>
      <c r="CB182" s="137">
        <f t="shared" si="277"/>
        <v>35.301481326935118</v>
      </c>
      <c r="CC182" s="137">
        <f t="shared" si="277"/>
        <v>43.810632518432278</v>
      </c>
      <c r="CD182" s="132">
        <f t="shared" si="277"/>
        <v>40.725715573585759</v>
      </c>
      <c r="CE182" s="137">
        <f t="shared" si="277"/>
        <v>33.039542639352071</v>
      </c>
      <c r="CF182" s="137">
        <f t="shared" si="277"/>
        <v>32.230084455603745</v>
      </c>
      <c r="CG182" s="137">
        <f t="shared" si="277"/>
        <v>35.566155122355866</v>
      </c>
      <c r="CH182" s="137">
        <f t="shared" si="277"/>
        <v>61.561032863849768</v>
      </c>
      <c r="CI182" s="132">
        <f t="shared" ref="CI182" si="278">CI173*10000/CI122</f>
        <v>41.349322097985201</v>
      </c>
      <c r="CJ182" s="132"/>
      <c r="CK182" s="132"/>
      <c r="CL182" s="132"/>
      <c r="CM182" s="132"/>
      <c r="CN182" s="132"/>
      <c r="CO182" s="137"/>
      <c r="CP182" s="137"/>
      <c r="CQ182" s="6"/>
      <c r="CR182" s="6"/>
      <c r="CS182" s="6"/>
      <c r="CT182" s="124"/>
      <c r="CU182" s="124"/>
      <c r="CV182" s="124"/>
      <c r="CW182" s="124"/>
      <c r="CX182" s="124"/>
      <c r="CY182" s="124"/>
      <c r="CZ182" s="124"/>
      <c r="DA182" s="124"/>
      <c r="DB182" s="124"/>
      <c r="DC182" s="124"/>
      <c r="DD182" s="124"/>
      <c r="DE182" s="124"/>
      <c r="DF182" s="124"/>
      <c r="DG182" s="124"/>
      <c r="DH182" s="124"/>
      <c r="DI182" s="124"/>
      <c r="DK182" s="124"/>
      <c r="DL182" s="124"/>
      <c r="DM182" s="6"/>
      <c r="DN182" s="124"/>
      <c r="DO182" s="124"/>
      <c r="DQ182" s="136"/>
      <c r="DR182" s="124"/>
      <c r="DS182" s="124"/>
      <c r="DT182" s="124"/>
      <c r="DV182" s="124"/>
      <c r="DW182" s="124"/>
      <c r="DX182" s="124"/>
      <c r="EA182" s="111"/>
      <c r="EB182" s="111"/>
      <c r="EC182" s="111"/>
      <c r="ED182" s="124"/>
      <c r="EE182" s="124"/>
      <c r="EF182" s="124"/>
      <c r="EJ182" s="111"/>
      <c r="EK182" s="111"/>
      <c r="EL182" s="124"/>
      <c r="EM182" s="124"/>
      <c r="EN182" s="124"/>
      <c r="EP182" s="111"/>
      <c r="EQ182" s="124"/>
      <c r="ER182" s="124"/>
      <c r="ES182" s="124"/>
      <c r="EV182" s="111"/>
      <c r="EW182" s="111"/>
      <c r="EX182" s="111"/>
      <c r="EY182" s="111"/>
      <c r="EZ182" s="124"/>
      <c r="FA182" s="124"/>
      <c r="FD182" s="111"/>
      <c r="FE182" s="111"/>
      <c r="FF182" s="111"/>
      <c r="FG182" s="124"/>
      <c r="FH182" s="124"/>
      <c r="FK182" s="124"/>
      <c r="FL182" s="124"/>
      <c r="FO182" s="111"/>
      <c r="FP182" s="111"/>
      <c r="FQ182" s="124"/>
      <c r="FR182" s="124"/>
      <c r="FU182" s="111"/>
      <c r="FV182" s="124"/>
      <c r="FW182" s="124"/>
      <c r="FX182" s="124"/>
      <c r="FY182" s="124"/>
      <c r="GA182" s="124"/>
      <c r="GB182" s="124"/>
      <c r="GC182" s="124"/>
      <c r="GF182" s="111"/>
      <c r="GG182" s="111"/>
      <c r="GH182" s="111"/>
      <c r="GI182" s="124"/>
      <c r="GJ182" s="124"/>
      <c r="GK182" s="124"/>
      <c r="GN182" s="111"/>
      <c r="GO182" s="111"/>
      <c r="GP182" s="124"/>
      <c r="GQ182" s="124"/>
      <c r="GR182" s="124"/>
      <c r="GV182" s="111"/>
      <c r="GW182" s="124"/>
      <c r="GX182" s="124"/>
      <c r="GY182" s="124"/>
      <c r="HC182" s="124"/>
      <c r="HD182" s="124"/>
      <c r="HE182" s="124"/>
      <c r="HF182" s="124"/>
      <c r="HI182" s="111"/>
      <c r="HJ182" s="111"/>
      <c r="HK182" s="111"/>
      <c r="HL182" s="111"/>
      <c r="HM182" s="124"/>
      <c r="HN182" s="124"/>
      <c r="HO182" s="124"/>
      <c r="HR182" s="111"/>
      <c r="HS182" s="111"/>
      <c r="HT182" s="111"/>
      <c r="HU182" s="124"/>
      <c r="HV182" s="124"/>
      <c r="HW182" s="124"/>
      <c r="HZ182" s="111"/>
      <c r="IA182" s="124"/>
      <c r="IB182" s="124"/>
      <c r="IC182" s="124"/>
      <c r="IE182" s="111"/>
      <c r="IF182" s="124"/>
      <c r="IG182" s="124"/>
      <c r="IH182" s="124"/>
      <c r="IK182" s="124"/>
      <c r="IL182" s="124"/>
      <c r="IO182" s="124"/>
      <c r="IP182" s="124"/>
      <c r="IS182" s="160"/>
      <c r="IT182" s="160"/>
      <c r="IU182" s="160"/>
      <c r="IX182" s="124"/>
      <c r="IY182" s="124"/>
      <c r="IZ182" s="124"/>
      <c r="JA182" s="124"/>
      <c r="JD182" s="124"/>
      <c r="JE182" s="124"/>
      <c r="JH182" s="124"/>
      <c r="JI182" s="124"/>
      <c r="JJ182" s="124"/>
      <c r="JM182" s="124"/>
      <c r="JN182" s="124"/>
      <c r="JQ182" s="124"/>
      <c r="JR182" s="124"/>
      <c r="JS182" s="124"/>
      <c r="JV182" s="124"/>
      <c r="JW182" s="124"/>
      <c r="JY182" s="124"/>
      <c r="JZ182" s="124"/>
      <c r="KB182" s="124"/>
      <c r="KC182" s="124"/>
      <c r="KD182" s="124"/>
    </row>
    <row r="183" spans="2:290" s="60" customFormat="1" hidden="1" x14ac:dyDescent="0.25">
      <c r="B183" s="58" t="s">
        <v>235</v>
      </c>
      <c r="C183" s="4"/>
      <c r="D183" s="4"/>
      <c r="E183" s="4"/>
      <c r="F183" s="4"/>
      <c r="G183" s="4"/>
      <c r="H183" s="145"/>
      <c r="I183" s="156"/>
      <c r="J183" s="156"/>
      <c r="K183" s="156"/>
      <c r="L183" s="156"/>
      <c r="M183" s="145"/>
      <c r="N183" s="156"/>
      <c r="O183" s="156"/>
      <c r="P183" s="156"/>
      <c r="Q183" s="156"/>
      <c r="R183" s="145"/>
      <c r="S183" s="156"/>
      <c r="T183" s="156"/>
      <c r="U183" s="156"/>
      <c r="V183" s="156"/>
      <c r="W183" s="145">
        <f t="shared" ref="W183:CH183" si="279">W176*10000/W123</f>
        <v>0</v>
      </c>
      <c r="X183" s="145">
        <f t="shared" si="279"/>
        <v>0</v>
      </c>
      <c r="Y183" s="145">
        <f t="shared" si="279"/>
        <v>0</v>
      </c>
      <c r="Z183" s="145">
        <f t="shared" si="279"/>
        <v>0</v>
      </c>
      <c r="AA183" s="145">
        <f t="shared" si="279"/>
        <v>0</v>
      </c>
      <c r="AB183" s="145">
        <f t="shared" si="279"/>
        <v>0</v>
      </c>
      <c r="AC183" s="145">
        <f t="shared" si="279"/>
        <v>0</v>
      </c>
      <c r="AD183" s="145">
        <f t="shared" si="279"/>
        <v>0</v>
      </c>
      <c r="AE183" s="145">
        <f t="shared" si="279"/>
        <v>0</v>
      </c>
      <c r="AF183" s="145">
        <f t="shared" si="279"/>
        <v>0</v>
      </c>
      <c r="AG183" s="145">
        <f t="shared" si="279"/>
        <v>0</v>
      </c>
      <c r="AH183" s="145">
        <f t="shared" si="279"/>
        <v>11.49477510222626</v>
      </c>
      <c r="AI183" s="145">
        <f t="shared" si="279"/>
        <v>15.729053815932023</v>
      </c>
      <c r="AJ183" s="145">
        <f t="shared" si="279"/>
        <v>16.700996383060499</v>
      </c>
      <c r="AK183" s="145">
        <f t="shared" si="279"/>
        <v>15.117974042310863</v>
      </c>
      <c r="AL183" s="145">
        <f t="shared" si="279"/>
        <v>17.066056502066516</v>
      </c>
      <c r="AM183" s="145">
        <f t="shared" si="279"/>
        <v>14.734856424229722</v>
      </c>
      <c r="AN183" s="145">
        <f t="shared" si="279"/>
        <v>18.157739121864676</v>
      </c>
      <c r="AO183" s="145">
        <f t="shared" si="279"/>
        <v>21.325458631683482</v>
      </c>
      <c r="AP183" s="145">
        <f t="shared" si="279"/>
        <v>17.986285204342234</v>
      </c>
      <c r="AQ183" s="145">
        <f t="shared" si="279"/>
        <v>12.854058862455387</v>
      </c>
      <c r="AR183" s="145">
        <f t="shared" si="279"/>
        <v>12.861589856502922</v>
      </c>
      <c r="AS183" s="145">
        <f t="shared" si="279"/>
        <v>16.071410111953028</v>
      </c>
      <c r="AT183" s="145">
        <f t="shared" si="279"/>
        <v>24.138966954162225</v>
      </c>
      <c r="AU183" s="145">
        <f t="shared" si="279"/>
        <v>16.832464824025823</v>
      </c>
      <c r="AV183" s="145">
        <f t="shared" si="279"/>
        <v>14.386038730101486</v>
      </c>
      <c r="AW183" s="145">
        <f t="shared" si="279"/>
        <v>20.992389357123105</v>
      </c>
      <c r="AX183" s="145">
        <f t="shared" si="279"/>
        <v>13.539046562753761</v>
      </c>
      <c r="AY183" s="145">
        <f t="shared" si="279"/>
        <v>13.895394223263073</v>
      </c>
      <c r="AZ183" s="145">
        <f t="shared" si="279"/>
        <v>14.075475585640591</v>
      </c>
      <c r="BA183" s="145">
        <f t="shared" si="279"/>
        <v>10.892372253764503</v>
      </c>
      <c r="BB183" s="145">
        <f t="shared" si="279"/>
        <v>13.151871657754013</v>
      </c>
      <c r="BC183" s="145">
        <f t="shared" si="279"/>
        <v>16.878877240046158</v>
      </c>
      <c r="BD183" s="145">
        <f t="shared" si="279"/>
        <v>23.208333333333332</v>
      </c>
      <c r="BE183" s="145">
        <f t="shared" si="279"/>
        <v>15.969294398098762</v>
      </c>
      <c r="BF183" s="145">
        <f t="shared" si="279"/>
        <v>7.9364905796546772</v>
      </c>
      <c r="BG183" s="145">
        <f t="shared" si="279"/>
        <v>21.916782656375215</v>
      </c>
      <c r="BH183" s="145">
        <f t="shared" si="279"/>
        <v>31.092271293375394</v>
      </c>
      <c r="BI183" s="145">
        <f t="shared" si="279"/>
        <v>41.879573527032129</v>
      </c>
      <c r="BJ183" s="145">
        <f t="shared" si="279"/>
        <v>26.722218284124768</v>
      </c>
      <c r="BK183" s="145">
        <f t="shared" si="279"/>
        <v>23.989672204759763</v>
      </c>
      <c r="BL183" s="145">
        <f t="shared" si="279"/>
        <v>25.163382778335102</v>
      </c>
      <c r="BM183" s="145">
        <f t="shared" si="279"/>
        <v>28.767663058349662</v>
      </c>
      <c r="BN183" s="145">
        <f t="shared" si="279"/>
        <v>26.403694977722829</v>
      </c>
      <c r="BO183" s="145">
        <f t="shared" si="279"/>
        <v>26.213547867897752</v>
      </c>
      <c r="BP183" s="145">
        <f t="shared" si="279"/>
        <v>19.573639852371421</v>
      </c>
      <c r="BQ183" s="145">
        <f t="shared" si="279"/>
        <v>7.8915592604849589</v>
      </c>
      <c r="BR183" s="145">
        <f t="shared" si="279"/>
        <v>17.698501033520763</v>
      </c>
      <c r="BS183" s="145">
        <f t="shared" si="279"/>
        <v>28.052966475368688</v>
      </c>
      <c r="BT183" s="145">
        <f t="shared" si="279"/>
        <v>18.950604243624397</v>
      </c>
      <c r="BU183" s="145">
        <f t="shared" si="279"/>
        <v>17.253473718224903</v>
      </c>
      <c r="BV183" s="145">
        <f t="shared" si="279"/>
        <v>21.115248651669898</v>
      </c>
      <c r="BW183" s="145">
        <f t="shared" si="279"/>
        <v>19.507040025312453</v>
      </c>
      <c r="BX183" s="145">
        <f t="shared" si="279"/>
        <v>21.506994456643582</v>
      </c>
      <c r="BY183" s="145">
        <f t="shared" si="279"/>
        <v>19.940878629234593</v>
      </c>
      <c r="BZ183" s="145">
        <f t="shared" si="279"/>
        <v>17.764546840394626</v>
      </c>
      <c r="CA183" s="145">
        <f t="shared" si="279"/>
        <v>19.670908261332446</v>
      </c>
      <c r="CB183" s="145">
        <f t="shared" si="279"/>
        <v>13.810279575143451</v>
      </c>
      <c r="CC183" s="145">
        <f t="shared" si="279"/>
        <v>16.585949147963216</v>
      </c>
      <c r="CD183" s="145">
        <f t="shared" si="279"/>
        <v>16.341195831047724</v>
      </c>
      <c r="CE183" s="145">
        <f t="shared" si="279"/>
        <v>12.757286730180146</v>
      </c>
      <c r="CF183" s="145">
        <f t="shared" si="279"/>
        <v>12.97666919206636</v>
      </c>
      <c r="CG183" s="145">
        <f t="shared" si="279"/>
        <v>11.578724006224359</v>
      </c>
      <c r="CH183" s="145">
        <f t="shared" si="279"/>
        <v>21.869703778133314</v>
      </c>
      <c r="CI183" s="145">
        <f t="shared" ref="CI183:CN183" si="280">CI176*10000/CI123</f>
        <v>15.31691658763372</v>
      </c>
      <c r="CJ183" s="145" t="e">
        <f t="shared" si="280"/>
        <v>#REF!</v>
      </c>
      <c r="CK183" s="145" t="e">
        <f t="shared" si="280"/>
        <v>#REF!</v>
      </c>
      <c r="CL183" s="145" t="e">
        <f t="shared" si="280"/>
        <v>#REF!</v>
      </c>
      <c r="CM183" s="145" t="e">
        <f t="shared" si="280"/>
        <v>#REF!</v>
      </c>
      <c r="CN183" s="145" t="e">
        <f t="shared" si="280"/>
        <v>#REF!</v>
      </c>
      <c r="CO183" s="148"/>
      <c r="CP183" s="148"/>
      <c r="CQ183" s="58"/>
      <c r="CR183" s="58"/>
      <c r="CS183" s="58"/>
      <c r="CT183" s="143"/>
      <c r="CU183" s="143"/>
      <c r="CV183" s="143"/>
      <c r="CW183" s="143"/>
      <c r="CX183" s="143"/>
      <c r="CY183" s="143"/>
      <c r="CZ183" s="143"/>
      <c r="DA183" s="143"/>
      <c r="DB183" s="143"/>
      <c r="DC183" s="143"/>
      <c r="DD183" s="143"/>
      <c r="DE183" s="143"/>
      <c r="DF183" s="143"/>
      <c r="DG183" s="143"/>
      <c r="DH183" s="143"/>
      <c r="DI183" s="143"/>
      <c r="DK183" s="143"/>
      <c r="DL183" s="143"/>
      <c r="DM183" s="58"/>
      <c r="DN183" s="143"/>
      <c r="DO183" s="143"/>
      <c r="DQ183" s="4"/>
      <c r="DR183" s="143"/>
      <c r="DS183" s="143"/>
      <c r="DT183" s="143"/>
      <c r="DV183" s="143"/>
      <c r="DW183" s="143"/>
      <c r="DX183" s="143"/>
      <c r="EA183" s="119"/>
      <c r="EB183" s="119"/>
      <c r="EC183" s="119"/>
      <c r="ED183" s="143"/>
      <c r="EE183" s="143"/>
      <c r="EF183" s="143"/>
      <c r="EJ183" s="119"/>
      <c r="EK183" s="119"/>
      <c r="EL183" s="143"/>
      <c r="EM183" s="143"/>
      <c r="EN183" s="143"/>
      <c r="EP183" s="119"/>
      <c r="EQ183" s="143"/>
      <c r="ER183" s="143"/>
      <c r="ES183" s="143"/>
      <c r="EV183" s="119"/>
      <c r="EW183" s="119"/>
      <c r="EX183" s="119"/>
      <c r="EY183" s="119"/>
      <c r="EZ183" s="143"/>
      <c r="FA183" s="143"/>
      <c r="FD183" s="119"/>
      <c r="FE183" s="119"/>
      <c r="FF183" s="119"/>
      <c r="FG183" s="143"/>
      <c r="FH183" s="143"/>
      <c r="FK183" s="143"/>
      <c r="FL183" s="143"/>
      <c r="FO183" s="119"/>
      <c r="FP183" s="119"/>
      <c r="FQ183" s="143"/>
      <c r="FR183" s="143"/>
      <c r="FU183" s="119"/>
      <c r="FV183" s="143"/>
      <c r="FW183" s="143"/>
      <c r="FX183" s="143"/>
      <c r="FY183" s="143"/>
      <c r="GA183" s="143"/>
      <c r="GB183" s="143"/>
      <c r="GC183" s="143"/>
      <c r="GF183" s="119"/>
      <c r="GG183" s="119"/>
      <c r="GH183" s="119"/>
      <c r="GI183" s="143"/>
      <c r="GJ183" s="143"/>
      <c r="GK183" s="143"/>
      <c r="GN183" s="119"/>
      <c r="GO183" s="119"/>
      <c r="GP183" s="143"/>
      <c r="GQ183" s="143"/>
      <c r="GR183" s="143"/>
      <c r="GV183" s="119"/>
      <c r="GW183" s="143"/>
      <c r="GX183" s="143"/>
      <c r="GY183" s="143"/>
      <c r="HC183" s="143"/>
      <c r="HD183" s="143"/>
      <c r="HE183" s="143"/>
      <c r="HF183" s="143"/>
      <c r="HI183" s="119"/>
      <c r="HJ183" s="119"/>
      <c r="HK183" s="119"/>
      <c r="HL183" s="119"/>
      <c r="HM183" s="143"/>
      <c r="HN183" s="143"/>
      <c r="HO183" s="143"/>
      <c r="HR183" s="119"/>
      <c r="HS183" s="119"/>
      <c r="HT183" s="119"/>
      <c r="HU183" s="143"/>
      <c r="HV183" s="143"/>
      <c r="HW183" s="143"/>
      <c r="HZ183" s="119"/>
      <c r="IA183" s="143"/>
      <c r="IB183" s="143"/>
      <c r="IC183" s="143"/>
      <c r="IE183" s="119"/>
      <c r="IF183" s="143"/>
      <c r="IG183" s="143"/>
      <c r="IH183" s="143"/>
      <c r="IK183" s="143"/>
      <c r="IL183" s="143"/>
      <c r="IO183" s="143"/>
      <c r="IP183" s="143"/>
      <c r="IS183" s="157"/>
      <c r="IT183" s="157"/>
      <c r="IU183" s="157"/>
      <c r="IX183" s="143"/>
      <c r="IY183" s="143"/>
      <c r="IZ183" s="143"/>
      <c r="JA183" s="143"/>
      <c r="JD183" s="143"/>
      <c r="JE183" s="143"/>
      <c r="JH183" s="143"/>
      <c r="JI183" s="143"/>
      <c r="JJ183" s="143"/>
      <c r="JM183" s="143"/>
      <c r="JN183" s="143"/>
      <c r="JQ183" s="143"/>
      <c r="JR183" s="143"/>
      <c r="JS183" s="143"/>
      <c r="JV183" s="143"/>
      <c r="JW183" s="143"/>
      <c r="JY183" s="143"/>
      <c r="JZ183" s="143"/>
      <c r="KB183" s="143"/>
      <c r="KC183" s="143"/>
      <c r="KD183" s="143"/>
    </row>
    <row r="184" spans="2:290" hidden="1" x14ac:dyDescent="0.25">
      <c r="B184" s="6"/>
      <c r="C184" s="6"/>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6"/>
      <c r="CR184" s="6"/>
      <c r="CS184" s="6"/>
      <c r="CT184" s="15"/>
      <c r="CU184" s="15"/>
      <c r="CV184" s="15"/>
      <c r="CW184" s="15"/>
      <c r="CX184" s="15"/>
      <c r="DK184" s="6"/>
      <c r="DL184" s="6"/>
      <c r="DM184" s="6"/>
      <c r="DN184" s="6"/>
      <c r="DO184" s="6"/>
      <c r="EA184" s="15"/>
      <c r="EB184" s="15"/>
      <c r="EC184" s="15"/>
      <c r="ED184" s="15"/>
      <c r="EE184" s="15"/>
      <c r="EF184" s="15"/>
      <c r="EJ184" s="15"/>
      <c r="EK184" s="15"/>
      <c r="EL184" s="15"/>
      <c r="EM184" s="15"/>
      <c r="EN184" s="15"/>
      <c r="EP184" s="15"/>
      <c r="EQ184" s="15"/>
      <c r="ER184" s="15"/>
      <c r="ES184" s="15"/>
      <c r="EV184" s="15"/>
      <c r="EW184" s="15"/>
      <c r="EX184" s="15"/>
      <c r="EY184" s="15"/>
      <c r="EZ184" s="15"/>
      <c r="FA184" s="15"/>
      <c r="FD184" s="15"/>
      <c r="FE184" s="15"/>
      <c r="FF184" s="15"/>
      <c r="FG184" s="15"/>
      <c r="FH184" s="15"/>
      <c r="FK184" s="15"/>
      <c r="FL184" s="15"/>
      <c r="FO184" s="15"/>
      <c r="FP184" s="15"/>
      <c r="FQ184" s="15"/>
      <c r="FR184" s="15"/>
      <c r="FU184" s="15"/>
      <c r="FV184" s="15"/>
      <c r="FW184" s="15"/>
      <c r="FX184" s="15"/>
      <c r="FY184" s="15"/>
      <c r="GA184" s="15"/>
      <c r="GB184" s="15"/>
      <c r="GC184" s="15"/>
      <c r="GF184" s="15"/>
      <c r="GG184" s="15"/>
      <c r="GH184" s="15"/>
      <c r="GI184" s="15"/>
      <c r="GJ184" s="15"/>
      <c r="GK184" s="15"/>
      <c r="GN184" s="15"/>
      <c r="GO184" s="15"/>
      <c r="GP184" s="15"/>
      <c r="GQ184" s="15"/>
      <c r="GR184" s="15"/>
      <c r="GV184" s="15"/>
      <c r="GW184" s="15"/>
      <c r="GX184" s="15"/>
      <c r="GY184" s="15"/>
      <c r="HC184" s="15"/>
      <c r="HD184" s="15"/>
      <c r="HE184" s="15"/>
      <c r="HF184" s="15"/>
      <c r="HI184" s="15"/>
      <c r="HJ184" s="15"/>
      <c r="HK184" s="15"/>
      <c r="HL184" s="15"/>
      <c r="HM184" s="15"/>
      <c r="HN184" s="15"/>
      <c r="HO184" s="15"/>
      <c r="HR184" s="15"/>
      <c r="HS184" s="15"/>
      <c r="HT184" s="15"/>
      <c r="HU184" s="15"/>
      <c r="HV184" s="15"/>
      <c r="HW184" s="15"/>
      <c r="HZ184" s="15"/>
      <c r="IA184" s="15"/>
      <c r="IB184" s="15"/>
      <c r="IC184" s="15"/>
      <c r="IE184" s="15"/>
      <c r="IF184" s="15"/>
      <c r="IG184" s="15"/>
      <c r="IH184" s="15"/>
      <c r="IK184" s="15"/>
      <c r="IL184" s="15"/>
      <c r="IO184" s="15"/>
      <c r="IP184" s="15"/>
      <c r="IS184" s="15"/>
      <c r="IT184" s="15"/>
      <c r="IU184" s="15"/>
      <c r="IX184" s="15"/>
      <c r="IY184" s="15"/>
      <c r="IZ184" s="15"/>
      <c r="JA184" s="15"/>
      <c r="JD184" s="15"/>
      <c r="JE184" s="15"/>
      <c r="JH184" s="15"/>
      <c r="JI184" s="15"/>
      <c r="JJ184" s="15"/>
      <c r="JM184" s="15"/>
      <c r="JN184" s="15"/>
      <c r="JQ184" s="15"/>
      <c r="JR184" s="15"/>
      <c r="JS184" s="15"/>
      <c r="JV184" s="15"/>
      <c r="JW184" s="15"/>
      <c r="JY184" s="15"/>
      <c r="JZ184" s="15"/>
      <c r="KB184" s="15"/>
      <c r="KC184" s="15"/>
      <c r="KD184" s="15"/>
    </row>
    <row r="185" spans="2:290" s="60" customFormat="1" hidden="1" x14ac:dyDescent="0.25">
      <c r="B185" s="58" t="s">
        <v>246</v>
      </c>
      <c r="C185" s="4"/>
      <c r="D185" s="4" t="str">
        <f t="shared" ref="D185:BO185" si="281">D169</f>
        <v>1QFY10</v>
      </c>
      <c r="E185" s="4" t="str">
        <f t="shared" si="281"/>
        <v>2QFY10</v>
      </c>
      <c r="F185" s="4" t="str">
        <f t="shared" si="281"/>
        <v>3QFY10</v>
      </c>
      <c r="G185" s="4" t="str">
        <f t="shared" si="281"/>
        <v>4QFY10</v>
      </c>
      <c r="H185" s="145" t="str">
        <f t="shared" si="281"/>
        <v>CY10</v>
      </c>
      <c r="I185" s="156" t="str">
        <f t="shared" si="281"/>
        <v>1QFY11</v>
      </c>
      <c r="J185" s="156" t="str">
        <f t="shared" si="281"/>
        <v>2QFY11</v>
      </c>
      <c r="K185" s="156" t="str">
        <f t="shared" si="281"/>
        <v>3QFY11</v>
      </c>
      <c r="L185" s="156" t="str">
        <f t="shared" si="281"/>
        <v>4QFY11</v>
      </c>
      <c r="M185" s="145" t="str">
        <f t="shared" si="281"/>
        <v>CY11</v>
      </c>
      <c r="N185" s="156" t="str">
        <f t="shared" si="281"/>
        <v>1QFY12</v>
      </c>
      <c r="O185" s="156" t="str">
        <f t="shared" si="281"/>
        <v>2QFY12</v>
      </c>
      <c r="P185" s="156" t="str">
        <f t="shared" si="281"/>
        <v>3QFY12</v>
      </c>
      <c r="Q185" s="156" t="str">
        <f t="shared" si="281"/>
        <v>4QFY12</v>
      </c>
      <c r="R185" s="145" t="str">
        <f t="shared" si="281"/>
        <v>CY12</v>
      </c>
      <c r="S185" s="156" t="str">
        <f t="shared" si="281"/>
        <v>1QFY13</v>
      </c>
      <c r="T185" s="156" t="str">
        <f t="shared" si="281"/>
        <v>2QFY13</v>
      </c>
      <c r="U185" s="156" t="str">
        <f t="shared" si="281"/>
        <v>3QFY13</v>
      </c>
      <c r="V185" s="156" t="str">
        <f t="shared" si="281"/>
        <v>4QFY13</v>
      </c>
      <c r="W185" s="145" t="str">
        <f t="shared" si="281"/>
        <v>CY13</v>
      </c>
      <c r="X185" s="156" t="str">
        <f t="shared" si="281"/>
        <v>1QFY14</v>
      </c>
      <c r="Y185" s="156" t="str">
        <f t="shared" si="281"/>
        <v>2QFY14</v>
      </c>
      <c r="Z185" s="156" t="str">
        <f t="shared" si="281"/>
        <v>3QFY14</v>
      </c>
      <c r="AA185" s="156" t="str">
        <f t="shared" si="281"/>
        <v>4QFY14</v>
      </c>
      <c r="AB185" s="145" t="str">
        <f t="shared" si="281"/>
        <v>CY14</v>
      </c>
      <c r="AC185" s="156" t="str">
        <f t="shared" si="281"/>
        <v>1QFY15</v>
      </c>
      <c r="AD185" s="156" t="str">
        <f t="shared" si="281"/>
        <v>2QFY15</v>
      </c>
      <c r="AE185" s="156" t="str">
        <f t="shared" si="281"/>
        <v>3QFY15</v>
      </c>
      <c r="AF185" s="156" t="str">
        <f t="shared" si="281"/>
        <v>4QFY15</v>
      </c>
      <c r="AG185" s="145" t="str">
        <f t="shared" si="281"/>
        <v>CY15</v>
      </c>
      <c r="AH185" s="156" t="str">
        <f t="shared" si="281"/>
        <v>1QFY16</v>
      </c>
      <c r="AI185" s="156" t="str">
        <f t="shared" si="281"/>
        <v>2QFY16</v>
      </c>
      <c r="AJ185" s="156" t="str">
        <f t="shared" si="281"/>
        <v>3QFY16</v>
      </c>
      <c r="AK185" s="145" t="str">
        <f t="shared" si="281"/>
        <v>FY16</v>
      </c>
      <c r="AL185" s="156" t="str">
        <f t="shared" si="281"/>
        <v>1QFY17</v>
      </c>
      <c r="AM185" s="156" t="str">
        <f t="shared" si="281"/>
        <v>2QFY17</v>
      </c>
      <c r="AN185" s="156" t="str">
        <f t="shared" si="281"/>
        <v>3QFY17</v>
      </c>
      <c r="AO185" s="156" t="str">
        <f t="shared" si="281"/>
        <v>4QFY17</v>
      </c>
      <c r="AP185" s="145" t="str">
        <f t="shared" si="281"/>
        <v>FY17</v>
      </c>
      <c r="AQ185" s="156" t="str">
        <f t="shared" si="281"/>
        <v>1QFY18</v>
      </c>
      <c r="AR185" s="156" t="str">
        <f t="shared" si="281"/>
        <v>2QFY18</v>
      </c>
      <c r="AS185" s="156" t="str">
        <f t="shared" si="281"/>
        <v>3QFY18</v>
      </c>
      <c r="AT185" s="156" t="str">
        <f t="shared" si="281"/>
        <v>4QFY18</v>
      </c>
      <c r="AU185" s="145" t="str">
        <f t="shared" si="281"/>
        <v>FY18</v>
      </c>
      <c r="AV185" s="148" t="str">
        <f t="shared" si="281"/>
        <v>1QFY19</v>
      </c>
      <c r="AW185" s="148" t="str">
        <f t="shared" si="281"/>
        <v>2QFY19</v>
      </c>
      <c r="AX185" s="148" t="str">
        <f t="shared" si="281"/>
        <v>3QFY19</v>
      </c>
      <c r="AY185" s="148" t="str">
        <f t="shared" si="281"/>
        <v>4QFY19</v>
      </c>
      <c r="AZ185" s="145" t="str">
        <f t="shared" si="281"/>
        <v>FY19</v>
      </c>
      <c r="BA185" s="148" t="str">
        <f t="shared" si="281"/>
        <v>1QFY20</v>
      </c>
      <c r="BB185" s="148" t="str">
        <f t="shared" si="281"/>
        <v>2QFY20</v>
      </c>
      <c r="BC185" s="148" t="str">
        <f t="shared" si="281"/>
        <v>3QFY20</v>
      </c>
      <c r="BD185" s="148" t="str">
        <f t="shared" si="281"/>
        <v>4QFY20</v>
      </c>
      <c r="BE185" s="145" t="str">
        <f t="shared" si="281"/>
        <v>FY20</v>
      </c>
      <c r="BF185" s="148" t="str">
        <f t="shared" si="281"/>
        <v>1QFY21</v>
      </c>
      <c r="BG185" s="148" t="str">
        <f t="shared" si="281"/>
        <v>2QFY21</v>
      </c>
      <c r="BH185" s="148" t="str">
        <f t="shared" si="281"/>
        <v>3QFY21</v>
      </c>
      <c r="BI185" s="148" t="str">
        <f t="shared" si="281"/>
        <v>4QFY21</v>
      </c>
      <c r="BJ185" s="145" t="str">
        <f t="shared" si="281"/>
        <v>FY21</v>
      </c>
      <c r="BK185" s="148" t="str">
        <f t="shared" si="281"/>
        <v>1QFY22</v>
      </c>
      <c r="BL185" s="148" t="str">
        <f t="shared" si="281"/>
        <v>2QFY22</v>
      </c>
      <c r="BM185" s="148" t="str">
        <f t="shared" si="281"/>
        <v>3QFY22</v>
      </c>
      <c r="BN185" s="148" t="str">
        <f t="shared" si="281"/>
        <v>4QFY22</v>
      </c>
      <c r="BO185" s="145" t="str">
        <f t="shared" si="281"/>
        <v>FY22</v>
      </c>
      <c r="BP185" s="148" t="str">
        <f t="shared" ref="BP185:CK185" si="282">BP169</f>
        <v>1QFY23</v>
      </c>
      <c r="BQ185" s="148" t="str">
        <f t="shared" si="282"/>
        <v>2QFY23</v>
      </c>
      <c r="BR185" s="148" t="str">
        <f t="shared" si="282"/>
        <v>3QFY23</v>
      </c>
      <c r="BS185" s="148" t="str">
        <f t="shared" si="282"/>
        <v>4QFY23</v>
      </c>
      <c r="BT185" s="145" t="str">
        <f t="shared" si="282"/>
        <v>FY23</v>
      </c>
      <c r="BU185" s="148" t="str">
        <f t="shared" si="282"/>
        <v>1QFY24</v>
      </c>
      <c r="BV185" s="148" t="str">
        <f t="shared" si="282"/>
        <v>2QFY24</v>
      </c>
      <c r="BW185" s="148" t="str">
        <f t="shared" si="282"/>
        <v>3QFY24</v>
      </c>
      <c r="BX185" s="148" t="str">
        <f t="shared" si="282"/>
        <v>4QFY24</v>
      </c>
      <c r="BY185" s="145" t="str">
        <f t="shared" si="282"/>
        <v>FY24</v>
      </c>
      <c r="BZ185" s="148" t="str">
        <f t="shared" si="282"/>
        <v>1QFY25</v>
      </c>
      <c r="CA185" s="148" t="str">
        <f t="shared" si="282"/>
        <v>2QFY25</v>
      </c>
      <c r="CB185" s="148" t="str">
        <f t="shared" si="282"/>
        <v>3QFY25</v>
      </c>
      <c r="CC185" s="148" t="str">
        <f t="shared" si="282"/>
        <v>4QFY25</v>
      </c>
      <c r="CD185" s="145" t="str">
        <f t="shared" si="282"/>
        <v>FY25</v>
      </c>
      <c r="CE185" s="148" t="str">
        <f t="shared" si="282"/>
        <v>1QFY26</v>
      </c>
      <c r="CF185" s="148" t="str">
        <f t="shared" si="282"/>
        <v>2QFY26</v>
      </c>
      <c r="CG185" s="148" t="str">
        <f t="shared" si="282"/>
        <v>3QFY26</v>
      </c>
      <c r="CH185" s="148" t="str">
        <f t="shared" si="282"/>
        <v>4QFY26</v>
      </c>
      <c r="CI185" s="145" t="str">
        <f t="shared" si="282"/>
        <v>FY26</v>
      </c>
      <c r="CJ185" s="145" t="str">
        <f t="shared" si="282"/>
        <v>FY27E</v>
      </c>
      <c r="CK185" s="145" t="str">
        <f t="shared" si="282"/>
        <v>FY28E</v>
      </c>
      <c r="CL185" s="145"/>
      <c r="CM185" s="145"/>
      <c r="CN185" s="145"/>
      <c r="CO185" s="148"/>
      <c r="CP185" s="148"/>
      <c r="CQ185" s="58"/>
      <c r="CR185" s="58"/>
      <c r="CS185" s="58"/>
      <c r="CT185" s="143"/>
      <c r="CU185" s="143"/>
      <c r="CV185" s="143"/>
      <c r="CW185" s="143"/>
      <c r="CX185" s="143"/>
      <c r="CY185" s="143"/>
      <c r="CZ185" s="143"/>
      <c r="DA185" s="143"/>
      <c r="DB185" s="143"/>
      <c r="DC185" s="143"/>
      <c r="DD185" s="143"/>
      <c r="DE185" s="143"/>
      <c r="DF185" s="143"/>
      <c r="DG185" s="143"/>
      <c r="DH185" s="143"/>
      <c r="DI185" s="143"/>
      <c r="DK185" s="143"/>
      <c r="DL185" s="143"/>
      <c r="DM185" s="58"/>
      <c r="DN185" s="143"/>
      <c r="DO185" s="143"/>
      <c r="DQ185" s="4"/>
      <c r="DR185" s="143"/>
      <c r="DS185" s="143"/>
      <c r="DT185" s="143"/>
      <c r="DV185" s="143"/>
      <c r="DW185" s="143"/>
      <c r="DX185" s="143"/>
      <c r="EA185" s="119"/>
      <c r="EB185" s="119"/>
      <c r="EC185" s="119"/>
      <c r="ED185" s="143"/>
      <c r="EE185" s="143"/>
      <c r="EF185" s="143"/>
      <c r="EJ185" s="119"/>
      <c r="EK185" s="119"/>
      <c r="EL185" s="143"/>
      <c r="EM185" s="143"/>
      <c r="EN185" s="143"/>
      <c r="EP185" s="119"/>
      <c r="EQ185" s="143"/>
      <c r="ER185" s="143"/>
      <c r="ES185" s="143"/>
      <c r="EV185" s="119"/>
      <c r="EW185" s="119"/>
      <c r="EX185" s="119"/>
      <c r="EY185" s="119"/>
      <c r="EZ185" s="143"/>
      <c r="FA185" s="143"/>
      <c r="FD185" s="119"/>
      <c r="FE185" s="119"/>
      <c r="FF185" s="119"/>
      <c r="FG185" s="143"/>
      <c r="FH185" s="143"/>
      <c r="FK185" s="143"/>
      <c r="FL185" s="143"/>
      <c r="FO185" s="119" t="s">
        <v>85</v>
      </c>
      <c r="FP185" s="119" t="s">
        <v>86</v>
      </c>
      <c r="FQ185" s="143"/>
      <c r="FR185" s="143"/>
      <c r="FU185" s="119" t="s">
        <v>86</v>
      </c>
      <c r="FV185" s="143"/>
      <c r="FW185" s="143"/>
      <c r="FX185" s="143"/>
      <c r="FY185" s="143"/>
      <c r="GA185" s="143"/>
      <c r="GB185" s="143"/>
      <c r="GC185" s="143"/>
      <c r="GF185" s="119" t="s">
        <v>88</v>
      </c>
      <c r="GG185" s="119"/>
      <c r="GH185" s="119"/>
      <c r="GI185" s="143"/>
      <c r="GJ185" s="143"/>
      <c r="GK185" s="143"/>
      <c r="GN185" s="119"/>
      <c r="GO185" s="119"/>
      <c r="GP185" s="143"/>
      <c r="GQ185" s="143"/>
      <c r="GR185" s="143"/>
      <c r="GV185" s="119"/>
      <c r="GW185" s="143"/>
      <c r="GX185" s="143"/>
      <c r="GY185" s="143"/>
      <c r="HC185" s="143"/>
      <c r="HD185" s="143"/>
      <c r="HE185" s="143"/>
      <c r="HF185" s="143"/>
      <c r="HI185" s="119"/>
      <c r="HJ185" s="119"/>
      <c r="HK185" s="119"/>
      <c r="HL185" s="119"/>
      <c r="HM185" s="143"/>
      <c r="HN185" s="143"/>
      <c r="HO185" s="143"/>
      <c r="HR185" s="119"/>
      <c r="HS185" s="119"/>
      <c r="HT185" s="119"/>
      <c r="HU185" s="143"/>
      <c r="HV185" s="143"/>
      <c r="HW185" s="143"/>
      <c r="HZ185" s="119"/>
      <c r="IA185" s="143"/>
      <c r="IB185" s="143"/>
      <c r="IC185" s="143"/>
      <c r="IE185" s="119"/>
      <c r="IF185" s="143"/>
      <c r="IG185" s="143"/>
      <c r="IH185" s="143"/>
      <c r="IK185" s="143"/>
      <c r="IL185" s="143"/>
      <c r="IO185" s="143"/>
      <c r="IP185" s="143"/>
      <c r="IS185" s="157"/>
      <c r="IT185" s="157"/>
      <c r="IU185" s="157"/>
      <c r="IX185" s="143"/>
      <c r="IY185" s="143"/>
      <c r="IZ185" s="143"/>
      <c r="JA185" s="143"/>
      <c r="JD185" s="143"/>
      <c r="JE185" s="143"/>
      <c r="JH185" s="143"/>
      <c r="JI185" s="143"/>
      <c r="JJ185" s="143"/>
      <c r="JM185" s="143"/>
      <c r="JN185" s="143"/>
      <c r="JQ185" s="143"/>
      <c r="JR185" s="143"/>
      <c r="JS185" s="143"/>
      <c r="JV185" s="143"/>
      <c r="JW185" s="143"/>
      <c r="JY185" s="143"/>
      <c r="JZ185" s="143"/>
      <c r="KB185" s="143"/>
      <c r="KC185" s="143"/>
      <c r="KD185" s="143"/>
    </row>
    <row r="186" spans="2:290" hidden="1" x14ac:dyDescent="0.25">
      <c r="B186" s="6" t="str">
        <f>B170</f>
        <v>Plastics Piping Products</v>
      </c>
      <c r="C186" s="136"/>
      <c r="D186" s="136"/>
      <c r="E186" s="136"/>
      <c r="F186" s="136"/>
      <c r="G186" s="136"/>
      <c r="H186" s="132"/>
      <c r="I186" s="158"/>
      <c r="J186" s="158"/>
      <c r="K186" s="158"/>
      <c r="L186" s="158"/>
      <c r="M186" s="132"/>
      <c r="N186" s="158"/>
      <c r="O186" s="158"/>
      <c r="P186" s="158"/>
      <c r="Q186" s="158"/>
      <c r="R186" s="132"/>
      <c r="S186" s="158"/>
      <c r="T186" s="158"/>
      <c r="U186" s="158"/>
      <c r="V186" s="158"/>
      <c r="W186" s="132"/>
      <c r="X186" s="158"/>
      <c r="Y186" s="158"/>
      <c r="Z186" s="158"/>
      <c r="AA186" s="158"/>
      <c r="AB186" s="161"/>
      <c r="AC186" s="162"/>
      <c r="AD186" s="162"/>
      <c r="AE186" s="162"/>
      <c r="AF186" s="162"/>
      <c r="AG186" s="161"/>
      <c r="AH186" s="162">
        <v>0.1045880243100528</v>
      </c>
      <c r="AI186" s="162">
        <v>0.10569105691056911</v>
      </c>
      <c r="AJ186" s="162">
        <v>0.13005731625084285</v>
      </c>
      <c r="AK186" s="161">
        <v>0.11621857324396381</v>
      </c>
      <c r="AL186" s="162">
        <f>AL170/AL141</f>
        <v>0.12134124229394394</v>
      </c>
      <c r="AM186" s="162"/>
      <c r="AN186" s="162">
        <f t="shared" ref="AN186:CK190" si="283">AN170/AN141</f>
        <v>0.13187869295935073</v>
      </c>
      <c r="AO186" s="162">
        <f t="shared" si="283"/>
        <v>0.12946810330083802</v>
      </c>
      <c r="AP186" s="161">
        <f t="shared" si="283"/>
        <v>0.13642370146978947</v>
      </c>
      <c r="AQ186" s="162">
        <f t="shared" si="283"/>
        <v>9.7971092962745726E-2</v>
      </c>
      <c r="AR186" s="162">
        <f t="shared" si="283"/>
        <v>8.8791309561598433E-2</v>
      </c>
      <c r="AS186" s="162">
        <f t="shared" si="283"/>
        <v>0.1017330632455548</v>
      </c>
      <c r="AT186" s="162">
        <f t="shared" si="283"/>
        <v>0.15725524264581675</v>
      </c>
      <c r="AU186" s="161">
        <f t="shared" si="283"/>
        <v>0.11500115503503607</v>
      </c>
      <c r="AV186" s="74">
        <f t="shared" si="283"/>
        <v>0.10356091030789825</v>
      </c>
      <c r="AW186" s="74">
        <f t="shared" si="283"/>
        <v>9.5486621581887685E-2</v>
      </c>
      <c r="AX186" s="74">
        <f t="shared" si="283"/>
        <v>9.4408042814985244E-2</v>
      </c>
      <c r="AY186" s="74">
        <f t="shared" si="283"/>
        <v>0.10100451767207015</v>
      </c>
      <c r="AZ186" s="161">
        <f t="shared" si="283"/>
        <v>9.8591238575480619E-2</v>
      </c>
      <c r="BA186" s="74">
        <f t="shared" si="283"/>
        <v>8.7175375295113364E-2</v>
      </c>
      <c r="BB186" s="74">
        <f t="shared" si="283"/>
        <v>0.13537559148264985</v>
      </c>
      <c r="BC186" s="74">
        <f t="shared" si="283"/>
        <v>0.12968924183022909</v>
      </c>
      <c r="BD186" s="74">
        <f t="shared" si="283"/>
        <v>0.18017758425647265</v>
      </c>
      <c r="BE186" s="161">
        <f t="shared" si="283"/>
        <v>0.1336799356724637</v>
      </c>
      <c r="BF186" s="74">
        <f t="shared" si="283"/>
        <v>8.6935481761466926E-2</v>
      </c>
      <c r="BG186" s="74">
        <f t="shared" si="283"/>
        <v>0.17413986426674535</v>
      </c>
      <c r="BH186" s="74">
        <f t="shared" si="283"/>
        <v>0.21953508771929825</v>
      </c>
      <c r="BI186" s="74">
        <f t="shared" si="283"/>
        <v>0.26509003155745314</v>
      </c>
      <c r="BJ186" s="161">
        <f t="shared" si="283"/>
        <v>0.2003737688439759</v>
      </c>
      <c r="BK186" s="74">
        <f t="shared" si="283"/>
        <v>0.1703387281150352</v>
      </c>
      <c r="BL186" s="74">
        <f t="shared" si="283"/>
        <v>0.15309955179597248</v>
      </c>
      <c r="BM186" s="74">
        <f t="shared" si="283"/>
        <v>0.16463414634146342</v>
      </c>
      <c r="BN186" s="74">
        <f t="shared" si="283"/>
        <v>0.14386046795908278</v>
      </c>
      <c r="BO186" s="161">
        <f t="shared" si="283"/>
        <v>0.15534711721584862</v>
      </c>
      <c r="BP186" s="74">
        <f t="shared" si="283"/>
        <v>0.10551888146295461</v>
      </c>
      <c r="BQ186" s="74">
        <f t="shared" si="283"/>
        <v>1.9131697445760053E-2</v>
      </c>
      <c r="BR186" s="74">
        <f t="shared" si="283"/>
        <v>0.11332423045311132</v>
      </c>
      <c r="BS186" s="74">
        <f t="shared" si="283"/>
        <v>0.18585949853173708</v>
      </c>
      <c r="BT186" s="161">
        <f t="shared" si="283"/>
        <v>0.11250792956722369</v>
      </c>
      <c r="BU186" s="74">
        <f t="shared" si="283"/>
        <v>0.11937076827520895</v>
      </c>
      <c r="BV186" s="74">
        <f t="shared" si="283"/>
        <v>0.13289117990034982</v>
      </c>
      <c r="BW186" s="74">
        <f t="shared" si="283"/>
        <v>0.1295166245855261</v>
      </c>
      <c r="BX186" s="74">
        <f t="shared" si="283"/>
        <v>0.1359423562040947</v>
      </c>
      <c r="BY186" s="161">
        <f t="shared" si="283"/>
        <v>0.12986668243990898</v>
      </c>
      <c r="BZ186" s="74">
        <f t="shared" si="283"/>
        <v>0.12446929298255999</v>
      </c>
      <c r="CA186" s="74">
        <f t="shared" si="283"/>
        <v>0.1289492534407099</v>
      </c>
      <c r="CB186" s="74">
        <f t="shared" si="283"/>
        <v>8.268215480530712E-2</v>
      </c>
      <c r="CC186" s="74">
        <f t="shared" si="283"/>
        <v>0.10410800385728061</v>
      </c>
      <c r="CD186" s="161">
        <f t="shared" si="283"/>
        <v>0.1044776119402985</v>
      </c>
      <c r="CE186" s="74">
        <f t="shared" si="283"/>
        <v>8.7814050024828283E-2</v>
      </c>
      <c r="CF186" s="74">
        <f t="shared" si="283"/>
        <v>7.9165340274266749E-2</v>
      </c>
      <c r="CG186" s="74">
        <f t="shared" si="283"/>
        <v>7.4108612177729016E-2</v>
      </c>
      <c r="CH186" s="74">
        <f t="shared" si="283"/>
        <v>0.14926551640568197</v>
      </c>
      <c r="CI186" s="161">
        <f t="shared" si="283"/>
        <v>0.10303426244814078</v>
      </c>
      <c r="CJ186" s="161">
        <f t="shared" si="283"/>
        <v>0</v>
      </c>
      <c r="CK186" s="161">
        <f t="shared" si="283"/>
        <v>0</v>
      </c>
      <c r="CL186" s="161"/>
      <c r="CM186" s="161"/>
      <c r="CN186" s="161"/>
      <c r="CO186" s="74"/>
      <c r="CP186" s="74"/>
      <c r="CQ186" s="6"/>
      <c r="CR186" s="6"/>
      <c r="CS186" s="6"/>
      <c r="CT186" s="124"/>
      <c r="CU186" s="124"/>
      <c r="CV186" s="124"/>
      <c r="CW186" s="124"/>
      <c r="CX186" s="124"/>
      <c r="CY186" s="124"/>
      <c r="CZ186" s="124"/>
      <c r="DA186" s="124"/>
      <c r="DB186" s="124"/>
      <c r="DC186" s="124"/>
      <c r="DD186" s="124"/>
      <c r="DE186" s="124"/>
      <c r="DF186" s="124"/>
      <c r="DG186" s="124"/>
      <c r="DH186" s="124"/>
      <c r="DI186" s="124"/>
      <c r="DK186" s="124"/>
      <c r="DL186" s="124"/>
      <c r="DM186" s="6"/>
      <c r="DN186" s="124"/>
      <c r="DO186" s="124"/>
      <c r="DQ186" s="136"/>
      <c r="DR186" s="124"/>
      <c r="DS186" s="124"/>
      <c r="DT186" s="124"/>
      <c r="DV186" s="124"/>
      <c r="DW186" s="124"/>
      <c r="DX186" s="124"/>
      <c r="EA186" s="111"/>
      <c r="EB186" s="111"/>
      <c r="EC186" s="111"/>
      <c r="ED186" s="124"/>
      <c r="EE186" s="124"/>
      <c r="EF186" s="124"/>
      <c r="EJ186" s="111"/>
      <c r="EK186" s="111"/>
      <c r="EL186" s="124"/>
      <c r="EM186" s="124"/>
      <c r="EN186" s="124"/>
      <c r="EP186" s="111"/>
      <c r="EQ186" s="124"/>
      <c r="ER186" s="124"/>
      <c r="ES186" s="124"/>
      <c r="EV186" s="111"/>
      <c r="EW186" s="111"/>
      <c r="EX186" s="111"/>
      <c r="EY186" s="111"/>
      <c r="EZ186" s="124"/>
      <c r="FA186" s="124"/>
      <c r="FD186" s="111"/>
      <c r="FE186" s="111"/>
      <c r="FF186" s="111"/>
      <c r="FG186" s="124"/>
      <c r="FH186" s="124"/>
      <c r="FK186" s="124"/>
      <c r="FL186" s="124"/>
      <c r="FO186" s="111"/>
      <c r="FP186" s="111"/>
      <c r="FQ186" s="124"/>
      <c r="FR186" s="124"/>
      <c r="FU186" s="111"/>
      <c r="FV186" s="124"/>
      <c r="FW186" s="124"/>
      <c r="FX186" s="124"/>
      <c r="FY186" s="124"/>
      <c r="GA186" s="124"/>
      <c r="GB186" s="124"/>
      <c r="GC186" s="124"/>
      <c r="GF186" s="111" t="e">
        <v>#DIV/0!</v>
      </c>
      <c r="GG186" s="111"/>
      <c r="GH186" s="111"/>
      <c r="GI186" s="124"/>
      <c r="GJ186" s="124"/>
      <c r="GK186" s="124"/>
      <c r="GN186" s="111"/>
      <c r="GO186" s="111"/>
      <c r="GP186" s="124"/>
      <c r="GQ186" s="124"/>
      <c r="GR186" s="124"/>
      <c r="GV186" s="111"/>
      <c r="GW186" s="124"/>
      <c r="GX186" s="124"/>
      <c r="GY186" s="124"/>
      <c r="HC186" s="124"/>
      <c r="HD186" s="124"/>
      <c r="HE186" s="124"/>
      <c r="HF186" s="124"/>
      <c r="HI186" s="111"/>
      <c r="HJ186" s="111"/>
      <c r="HK186" s="111"/>
      <c r="HL186" s="111"/>
      <c r="HM186" s="124"/>
      <c r="HN186" s="124"/>
      <c r="HO186" s="124"/>
      <c r="HR186" s="111"/>
      <c r="HS186" s="111"/>
      <c r="HT186" s="111"/>
      <c r="HU186" s="124"/>
      <c r="HV186" s="124"/>
      <c r="HW186" s="124"/>
      <c r="HZ186" s="111"/>
      <c r="IA186" s="124"/>
      <c r="IB186" s="124"/>
      <c r="IC186" s="124"/>
      <c r="IE186" s="111"/>
      <c r="IF186" s="124"/>
      <c r="IG186" s="124"/>
      <c r="IH186" s="124"/>
      <c r="IK186" s="124"/>
      <c r="IL186" s="124"/>
      <c r="IO186" s="124"/>
      <c r="IP186" s="124"/>
      <c r="IS186" s="160"/>
      <c r="IT186" s="160"/>
      <c r="IU186" s="160"/>
      <c r="IX186" s="124"/>
      <c r="IY186" s="124"/>
      <c r="IZ186" s="124"/>
      <c r="JA186" s="124"/>
      <c r="JD186" s="124"/>
      <c r="JE186" s="124"/>
      <c r="JH186" s="124"/>
      <c r="JI186" s="124"/>
      <c r="JJ186" s="124"/>
      <c r="JM186" s="124"/>
      <c r="JN186" s="124"/>
      <c r="JQ186" s="124"/>
      <c r="JR186" s="124"/>
      <c r="JS186" s="124"/>
      <c r="JV186" s="124"/>
      <c r="JW186" s="124"/>
      <c r="JY186" s="124"/>
      <c r="JZ186" s="124"/>
      <c r="KB186" s="124"/>
      <c r="KC186" s="124"/>
      <c r="KD186" s="124"/>
    </row>
    <row r="187" spans="2:290" hidden="1" x14ac:dyDescent="0.25">
      <c r="B187" s="6" t="str">
        <f>B171</f>
        <v>Industrial Products</v>
      </c>
      <c r="C187" s="136"/>
      <c r="D187" s="136"/>
      <c r="E187" s="136"/>
      <c r="F187" s="136"/>
      <c r="G187" s="136"/>
      <c r="H187" s="132"/>
      <c r="I187" s="158"/>
      <c r="J187" s="158"/>
      <c r="K187" s="158"/>
      <c r="L187" s="158"/>
      <c r="M187" s="132"/>
      <c r="N187" s="158"/>
      <c r="O187" s="158"/>
      <c r="P187" s="158"/>
      <c r="Q187" s="158"/>
      <c r="R187" s="132"/>
      <c r="S187" s="158"/>
      <c r="T187" s="158"/>
      <c r="U187" s="158"/>
      <c r="V187" s="158"/>
      <c r="W187" s="132"/>
      <c r="X187" s="158"/>
      <c r="Y187" s="158"/>
      <c r="Z187" s="158"/>
      <c r="AA187" s="158"/>
      <c r="AB187" s="161"/>
      <c r="AC187" s="162"/>
      <c r="AD187" s="162"/>
      <c r="AE187" s="162"/>
      <c r="AF187" s="162"/>
      <c r="AG187" s="161"/>
      <c r="AH187" s="162">
        <v>3.3053141473144323E-2</v>
      </c>
      <c r="AI187" s="162">
        <v>4.0439999999999997E-2</v>
      </c>
      <c r="AJ187" s="162">
        <v>0.11052701623635877</v>
      </c>
      <c r="AK187" s="161">
        <v>6.3272867247269396E-2</v>
      </c>
      <c r="AL187" s="162">
        <f>AL171/AL142</f>
        <v>6.2557870370370375E-2</v>
      </c>
      <c r="AM187" s="162"/>
      <c r="AN187" s="162">
        <f t="shared" si="283"/>
        <v>6.4397731064397737E-2</v>
      </c>
      <c r="AO187" s="162">
        <f t="shared" si="283"/>
        <v>0.1259385483785079</v>
      </c>
      <c r="AP187" s="161">
        <f t="shared" si="283"/>
        <v>8.9380998926402486E-2</v>
      </c>
      <c r="AQ187" s="162">
        <f t="shared" si="283"/>
        <v>6.5735612810016858E-2</v>
      </c>
      <c r="AR187" s="162">
        <f t="shared" si="283"/>
        <v>8.5313174946004322E-2</v>
      </c>
      <c r="AS187" s="162">
        <f t="shared" si="283"/>
        <v>9.5781663467026421E-2</v>
      </c>
      <c r="AT187" s="162">
        <f t="shared" si="283"/>
        <v>0.12950146627565981</v>
      </c>
      <c r="AU187" s="161">
        <f t="shared" si="283"/>
        <v>9.7898250834573208E-2</v>
      </c>
      <c r="AV187" s="74">
        <f t="shared" si="283"/>
        <v>8.6008771929824562E-2</v>
      </c>
      <c r="AW187" s="74">
        <f t="shared" si="283"/>
        <v>7.4286612687681788E-2</v>
      </c>
      <c r="AX187" s="74">
        <f t="shared" si="283"/>
        <v>5.6993516610544304E-2</v>
      </c>
      <c r="AY187" s="74">
        <f t="shared" si="283"/>
        <v>7.714570858283433E-2</v>
      </c>
      <c r="AZ187" s="161">
        <f t="shared" si="283"/>
        <v>7.1830508474576268E-2</v>
      </c>
      <c r="BA187" s="74">
        <f t="shared" si="283"/>
        <v>6.390098799532562E-2</v>
      </c>
      <c r="BB187" s="74">
        <f t="shared" si="283"/>
        <v>-1.1590774689532821E-2</v>
      </c>
      <c r="BC187" s="74">
        <f t="shared" si="283"/>
        <v>5.4228410832907512E-2</v>
      </c>
      <c r="BD187" s="74">
        <f t="shared" si="283"/>
        <v>8.7963834997174598E-2</v>
      </c>
      <c r="BE187" s="161">
        <f t="shared" si="283"/>
        <v>4.8381586179236172E-2</v>
      </c>
      <c r="BF187" s="74">
        <f t="shared" si="283"/>
        <v>-0.10783200908059022</v>
      </c>
      <c r="BG187" s="74">
        <f t="shared" si="283"/>
        <v>6.6078809589418572E-2</v>
      </c>
      <c r="BH187" s="74">
        <f t="shared" si="283"/>
        <v>9.2824074074074073E-2</v>
      </c>
      <c r="BI187" s="74">
        <f t="shared" si="283"/>
        <v>0.13313316728649904</v>
      </c>
      <c r="BJ187" s="161">
        <f t="shared" si="283"/>
        <v>8.337712844229557E-2</v>
      </c>
      <c r="BK187" s="74">
        <f t="shared" si="283"/>
        <v>6.1331188417454253E-2</v>
      </c>
      <c r="BL187" s="74">
        <f t="shared" si="283"/>
        <v>7.5943862423403841E-2</v>
      </c>
      <c r="BM187" s="74">
        <f t="shared" si="283"/>
        <v>8.0882352941176475E-2</v>
      </c>
      <c r="BN187" s="74">
        <f t="shared" si="283"/>
        <v>0.1047022778739843</v>
      </c>
      <c r="BO187" s="161">
        <f t="shared" si="283"/>
        <v>8.3288559789776007E-2</v>
      </c>
      <c r="BP187" s="74">
        <f t="shared" si="283"/>
        <v>8.4529874942102831E-2</v>
      </c>
      <c r="BQ187" s="74">
        <f t="shared" si="283"/>
        <v>8.9082004419757499E-2</v>
      </c>
      <c r="BR187" s="74">
        <f t="shared" si="283"/>
        <v>9.4122201048118151E-2</v>
      </c>
      <c r="BS187" s="74">
        <f t="shared" si="283"/>
        <v>0.10017088453088127</v>
      </c>
      <c r="BT187" s="161">
        <f t="shared" si="283"/>
        <v>9.2365257187152938E-2</v>
      </c>
      <c r="BU187" s="74">
        <f t="shared" si="283"/>
        <v>6.3249581239530991E-2</v>
      </c>
      <c r="BV187" s="74">
        <f t="shared" si="283"/>
        <v>7.7468463214757061E-2</v>
      </c>
      <c r="BW187" s="74">
        <f t="shared" si="283"/>
        <v>8.9380930863081798E-2</v>
      </c>
      <c r="BX187" s="74">
        <f t="shared" si="283"/>
        <v>0.11247013312094664</v>
      </c>
      <c r="BY187" s="161">
        <f t="shared" si="283"/>
        <v>8.6655655977122242E-2</v>
      </c>
      <c r="BZ187" s="74">
        <f t="shared" si="283"/>
        <v>6.3777008943142505E-2</v>
      </c>
      <c r="CA187" s="74">
        <f t="shared" si="283"/>
        <v>8.5907925265600191E-2</v>
      </c>
      <c r="CB187" s="74">
        <f t="shared" si="283"/>
        <v>8.1838969791792032E-2</v>
      </c>
      <c r="CC187" s="74">
        <f t="shared" si="283"/>
        <v>0.10173410404624278</v>
      </c>
      <c r="CD187" s="161">
        <f t="shared" si="283"/>
        <v>8.3841463414634151E-2</v>
      </c>
      <c r="CE187" s="74">
        <f t="shared" si="283"/>
        <v>5.8490002984183831E-2</v>
      </c>
      <c r="CF187" s="74">
        <f t="shared" si="283"/>
        <v>4.1761041902604761E-2</v>
      </c>
      <c r="CG187" s="74">
        <f t="shared" si="283"/>
        <v>8.0238095238095247E-2</v>
      </c>
      <c r="CH187" s="74">
        <f t="shared" si="283"/>
        <v>0.11614738779950351</v>
      </c>
      <c r="CI187" s="161">
        <f t="shared" si="283"/>
        <v>7.6702811810543114E-2</v>
      </c>
      <c r="CJ187" s="161">
        <f t="shared" si="283"/>
        <v>0</v>
      </c>
      <c r="CK187" s="161">
        <f t="shared" si="283"/>
        <v>0</v>
      </c>
      <c r="CL187" s="161"/>
      <c r="CM187" s="161"/>
      <c r="CN187" s="161"/>
      <c r="CO187" s="74"/>
      <c r="CP187" s="74"/>
      <c r="CQ187" s="6"/>
      <c r="CR187" s="6"/>
      <c r="CS187" s="6"/>
      <c r="CT187" s="124"/>
      <c r="CU187" s="124"/>
      <c r="CV187" s="124"/>
      <c r="CW187" s="124"/>
      <c r="CX187" s="124"/>
      <c r="CY187" s="124"/>
      <c r="CZ187" s="124"/>
      <c r="DA187" s="124"/>
      <c r="DB187" s="124"/>
      <c r="DC187" s="124"/>
      <c r="DD187" s="124"/>
      <c r="DE187" s="124"/>
      <c r="DF187" s="124"/>
      <c r="DG187" s="124"/>
      <c r="DH187" s="124"/>
      <c r="DI187" s="124"/>
      <c r="DK187" s="124"/>
      <c r="DL187" s="124"/>
      <c r="DM187" s="6"/>
      <c r="DN187" s="124"/>
      <c r="DO187" s="124"/>
      <c r="DQ187" s="136"/>
      <c r="DR187" s="124"/>
      <c r="DS187" s="124"/>
      <c r="DT187" s="124"/>
      <c r="DV187" s="124"/>
      <c r="DW187" s="124"/>
      <c r="DX187" s="124"/>
      <c r="EA187" s="111"/>
      <c r="EB187" s="111"/>
      <c r="EC187" s="111"/>
      <c r="ED187" s="124"/>
      <c r="EE187" s="124"/>
      <c r="EF187" s="124"/>
      <c r="EJ187" s="111"/>
      <c r="EK187" s="111"/>
      <c r="EL187" s="124"/>
      <c r="EM187" s="124"/>
      <c r="EN187" s="124"/>
      <c r="EP187" s="111"/>
      <c r="EQ187" s="124"/>
      <c r="ER187" s="124"/>
      <c r="ES187" s="124"/>
      <c r="EV187" s="111"/>
      <c r="EW187" s="111"/>
      <c r="EX187" s="111"/>
      <c r="EY187" s="111"/>
      <c r="EZ187" s="124"/>
      <c r="FA187" s="124"/>
      <c r="FD187" s="111"/>
      <c r="FE187" s="111"/>
      <c r="FF187" s="111"/>
      <c r="FG187" s="124"/>
      <c r="FH187" s="124"/>
      <c r="FK187" s="124"/>
      <c r="FL187" s="124"/>
      <c r="FO187" s="111"/>
      <c r="FP187" s="111"/>
      <c r="FQ187" s="124"/>
      <c r="FR187" s="124"/>
      <c r="FU187" s="111"/>
      <c r="FV187" s="124"/>
      <c r="FW187" s="124"/>
      <c r="FX187" s="124"/>
      <c r="FY187" s="124"/>
      <c r="GA187" s="124"/>
      <c r="GB187" s="124"/>
      <c r="GC187" s="124"/>
      <c r="GF187" s="111" t="e">
        <v>#DIV/0!</v>
      </c>
      <c r="GG187" s="111"/>
      <c r="GH187" s="111"/>
      <c r="GI187" s="124"/>
      <c r="GJ187" s="124"/>
      <c r="GK187" s="124"/>
      <c r="GN187" s="111"/>
      <c r="GO187" s="111"/>
      <c r="GP187" s="124"/>
      <c r="GQ187" s="124"/>
      <c r="GR187" s="124"/>
      <c r="GV187" s="111"/>
      <c r="GW187" s="124"/>
      <c r="GX187" s="124"/>
      <c r="GY187" s="124"/>
      <c r="HC187" s="124"/>
      <c r="HD187" s="124"/>
      <c r="HE187" s="124"/>
      <c r="HF187" s="124"/>
      <c r="HI187" s="111"/>
      <c r="HJ187" s="111"/>
      <c r="HK187" s="111"/>
      <c r="HL187" s="111"/>
      <c r="HM187" s="124"/>
      <c r="HN187" s="124"/>
      <c r="HO187" s="124"/>
      <c r="HR187" s="111"/>
      <c r="HS187" s="111"/>
      <c r="HT187" s="111"/>
      <c r="HU187" s="124"/>
      <c r="HV187" s="124"/>
      <c r="HW187" s="124"/>
      <c r="HZ187" s="111"/>
      <c r="IA187" s="124"/>
      <c r="IB187" s="124"/>
      <c r="IC187" s="124"/>
      <c r="IE187" s="111"/>
      <c r="IF187" s="124"/>
      <c r="IG187" s="124"/>
      <c r="IH187" s="124"/>
      <c r="IK187" s="124"/>
      <c r="IL187" s="124"/>
      <c r="IO187" s="124"/>
      <c r="IP187" s="124"/>
      <c r="IS187" s="160"/>
      <c r="IT187" s="160"/>
      <c r="IU187" s="160"/>
      <c r="IX187" s="124"/>
      <c r="IY187" s="124"/>
      <c r="IZ187" s="124"/>
      <c r="JA187" s="124"/>
      <c r="JD187" s="124"/>
      <c r="JE187" s="124"/>
      <c r="JH187" s="124"/>
      <c r="JI187" s="124"/>
      <c r="JJ187" s="124"/>
      <c r="JM187" s="124"/>
      <c r="JN187" s="124"/>
      <c r="JQ187" s="124"/>
      <c r="JR187" s="124"/>
      <c r="JS187" s="124"/>
      <c r="JV187" s="124"/>
      <c r="JW187" s="124"/>
      <c r="JY187" s="124"/>
      <c r="JZ187" s="124"/>
      <c r="KB187" s="124"/>
      <c r="KC187" s="124"/>
      <c r="KD187" s="124"/>
    </row>
    <row r="188" spans="2:290" hidden="1" x14ac:dyDescent="0.25">
      <c r="B188" s="6" t="str">
        <f>B172</f>
        <v>Packaging Products</v>
      </c>
      <c r="C188" s="136"/>
      <c r="D188" s="136"/>
      <c r="E188" s="136"/>
      <c r="F188" s="136"/>
      <c r="G188" s="136"/>
      <c r="H188" s="132"/>
      <c r="I188" s="158"/>
      <c r="J188" s="158"/>
      <c r="K188" s="158"/>
      <c r="L188" s="158"/>
      <c r="M188" s="132"/>
      <c r="N188" s="158"/>
      <c r="O188" s="158"/>
      <c r="P188" s="158"/>
      <c r="Q188" s="158"/>
      <c r="R188" s="132"/>
      <c r="S188" s="158"/>
      <c r="T188" s="158"/>
      <c r="U188" s="158"/>
      <c r="V188" s="158"/>
      <c r="W188" s="132"/>
      <c r="X188" s="158"/>
      <c r="Y188" s="158"/>
      <c r="Z188" s="158"/>
      <c r="AA188" s="158"/>
      <c r="AB188" s="161"/>
      <c r="AC188" s="162"/>
      <c r="AD188" s="162"/>
      <c r="AE188" s="162"/>
      <c r="AF188" s="162"/>
      <c r="AG188" s="161"/>
      <c r="AH188" s="162">
        <v>0.11496718828874306</v>
      </c>
      <c r="AI188" s="162">
        <v>0.19132013201320131</v>
      </c>
      <c r="AJ188" s="162">
        <v>0.22252859015504223</v>
      </c>
      <c r="AK188" s="161">
        <v>0.1837090419065196</v>
      </c>
      <c r="AL188" s="162">
        <f>AL172/AL143</f>
        <v>0.18746434683399885</v>
      </c>
      <c r="AM188" s="162"/>
      <c r="AN188" s="162">
        <f t="shared" si="283"/>
        <v>0.18136449982291769</v>
      </c>
      <c r="AO188" s="162">
        <f t="shared" si="283"/>
        <v>0.18621027922783168</v>
      </c>
      <c r="AP188" s="161">
        <f t="shared" si="283"/>
        <v>0.18508855960703585</v>
      </c>
      <c r="AQ188" s="162">
        <f t="shared" si="283"/>
        <v>0.15167570749758211</v>
      </c>
      <c r="AR188" s="162">
        <f t="shared" si="283"/>
        <v>0.12910569105691055</v>
      </c>
      <c r="AS188" s="162">
        <f t="shared" si="283"/>
        <v>0.19242457470472132</v>
      </c>
      <c r="AT188" s="162">
        <f t="shared" si="283"/>
        <v>0.20002434867299732</v>
      </c>
      <c r="AU188" s="161">
        <f t="shared" si="283"/>
        <v>0.17122736813197592</v>
      </c>
      <c r="AV188" s="74">
        <f t="shared" si="283"/>
        <v>0.14361538461538462</v>
      </c>
      <c r="AW188" s="74">
        <f t="shared" si="283"/>
        <v>0.11740344794375421</v>
      </c>
      <c r="AX188" s="74">
        <f t="shared" si="283"/>
        <v>0.11793451702231635</v>
      </c>
      <c r="AY188" s="74">
        <f t="shared" si="283"/>
        <v>0.11183816930900389</v>
      </c>
      <c r="AZ188" s="161">
        <f t="shared" si="283"/>
        <v>0.12267754318618042</v>
      </c>
      <c r="BA188" s="74">
        <f t="shared" si="283"/>
        <v>8.4003100648688336E-2</v>
      </c>
      <c r="BB188" s="74">
        <f t="shared" si="283"/>
        <v>1.929780247537257E-2</v>
      </c>
      <c r="BC188" s="74">
        <f t="shared" si="283"/>
        <v>0.14172309885623563</v>
      </c>
      <c r="BD188" s="74">
        <f t="shared" si="283"/>
        <v>0.16070912419308217</v>
      </c>
      <c r="BE188" s="161">
        <f t="shared" si="283"/>
        <v>0.10582005066352539</v>
      </c>
      <c r="BF188" s="74">
        <f t="shared" si="283"/>
        <v>9.7723516553819903E-2</v>
      </c>
      <c r="BG188" s="74">
        <f t="shared" si="283"/>
        <v>0.1164028384279476</v>
      </c>
      <c r="BH188" s="74">
        <f t="shared" si="283"/>
        <v>0.12537735849056603</v>
      </c>
      <c r="BI188" s="74">
        <f t="shared" si="283"/>
        <v>0.13172763374552027</v>
      </c>
      <c r="BJ188" s="161">
        <f t="shared" si="283"/>
        <v>0.12036983363283289</v>
      </c>
      <c r="BK188" s="74">
        <f t="shared" si="283"/>
        <v>7.0208495473723015E-2</v>
      </c>
      <c r="BL188" s="74">
        <f t="shared" si="283"/>
        <v>9.1892671667628406E-2</v>
      </c>
      <c r="BM188" s="74">
        <f t="shared" si="283"/>
        <v>6.7567567567567571E-2</v>
      </c>
      <c r="BN188" s="74">
        <f t="shared" si="283"/>
        <v>0.1056212182963915</v>
      </c>
      <c r="BO188" s="161">
        <f t="shared" si="283"/>
        <v>8.3389113386386368E-2</v>
      </c>
      <c r="BP188" s="74">
        <f t="shared" si="283"/>
        <v>6.9775993626084026E-2</v>
      </c>
      <c r="BQ188" s="74">
        <f t="shared" si="283"/>
        <v>6.5005185772680121E-2</v>
      </c>
      <c r="BR188" s="74">
        <f t="shared" si="283"/>
        <v>6.6011523500336344E-2</v>
      </c>
      <c r="BS188" s="74">
        <f t="shared" si="283"/>
        <v>7.701117404896772E-2</v>
      </c>
      <c r="BT188" s="161">
        <f t="shared" si="283"/>
        <v>6.9386641195333276E-2</v>
      </c>
      <c r="BU188" s="74">
        <f t="shared" si="283"/>
        <v>7.8984834416589281E-2</v>
      </c>
      <c r="BV188" s="74">
        <f t="shared" si="283"/>
        <v>0.1357712728201925</v>
      </c>
      <c r="BW188" s="74">
        <f t="shared" si="283"/>
        <v>0.13148749823421388</v>
      </c>
      <c r="BX188" s="74">
        <f t="shared" si="283"/>
        <v>0.18014930527881831</v>
      </c>
      <c r="BY188" s="161">
        <f t="shared" si="283"/>
        <v>0.13352351547660546</v>
      </c>
      <c r="BZ188" s="74">
        <f t="shared" si="283"/>
        <v>0.11445570376810021</v>
      </c>
      <c r="CA188" s="74">
        <f t="shared" si="283"/>
        <v>0.10326114139948982</v>
      </c>
      <c r="CB188" s="74">
        <f t="shared" si="283"/>
        <v>0.11081257533145843</v>
      </c>
      <c r="CC188" s="74">
        <f t="shared" si="283"/>
        <v>0.13380281690140844</v>
      </c>
      <c r="CD188" s="161">
        <f t="shared" si="283"/>
        <v>0.11557788944723618</v>
      </c>
      <c r="CE188" s="74">
        <f t="shared" si="283"/>
        <v>0.11388370065994272</v>
      </c>
      <c r="CF188" s="74">
        <f t="shared" si="283"/>
        <v>0.12093720617011004</v>
      </c>
      <c r="CG188" s="74">
        <f t="shared" si="283"/>
        <v>8.574358974358974E-2</v>
      </c>
      <c r="CH188" s="74">
        <f t="shared" si="283"/>
        <v>0.12816247920861421</v>
      </c>
      <c r="CI188" s="161">
        <f t="shared" si="283"/>
        <v>0.11284380765647549</v>
      </c>
      <c r="CJ188" s="161">
        <f t="shared" si="283"/>
        <v>0</v>
      </c>
      <c r="CK188" s="161">
        <f t="shared" si="283"/>
        <v>0</v>
      </c>
      <c r="CL188" s="161"/>
      <c r="CM188" s="161"/>
      <c r="CN188" s="161"/>
      <c r="CO188" s="74"/>
      <c r="CP188" s="74"/>
      <c r="CQ188" s="6"/>
      <c r="CR188" s="6"/>
      <c r="CS188" s="6"/>
      <c r="CT188" s="124"/>
      <c r="CU188" s="124"/>
      <c r="CV188" s="124"/>
      <c r="CW188" s="124"/>
      <c r="CX188" s="124"/>
      <c r="CY188" s="124"/>
      <c r="CZ188" s="124"/>
      <c r="DA188" s="124"/>
      <c r="DB188" s="124"/>
      <c r="DC188" s="124"/>
      <c r="DD188" s="124"/>
      <c r="DE188" s="124"/>
      <c r="DF188" s="124"/>
      <c r="DG188" s="124"/>
      <c r="DH188" s="124"/>
      <c r="DI188" s="124"/>
      <c r="DK188" s="124"/>
      <c r="DL188" s="124"/>
      <c r="DM188" s="6"/>
      <c r="DN188" s="124"/>
      <c r="DO188" s="124"/>
      <c r="DQ188" s="136"/>
      <c r="DR188" s="124"/>
      <c r="DS188" s="124"/>
      <c r="DT188" s="124"/>
      <c r="DV188" s="124"/>
      <c r="DW188" s="124"/>
      <c r="DX188" s="124"/>
      <c r="EA188" s="111"/>
      <c r="EB188" s="111"/>
      <c r="EC188" s="111"/>
      <c r="ED188" s="124"/>
      <c r="EE188" s="124"/>
      <c r="EF188" s="124"/>
      <c r="EJ188" s="111"/>
      <c r="EK188" s="111"/>
      <c r="EL188" s="124"/>
      <c r="EM188" s="124"/>
      <c r="EN188" s="124"/>
      <c r="EP188" s="111"/>
      <c r="EQ188" s="124"/>
      <c r="ER188" s="124"/>
      <c r="ES188" s="124"/>
      <c r="EV188" s="111"/>
      <c r="EW188" s="111"/>
      <c r="EX188" s="111"/>
      <c r="EY188" s="111"/>
      <c r="EZ188" s="124"/>
      <c r="FA188" s="124"/>
      <c r="FD188" s="111"/>
      <c r="FE188" s="111"/>
      <c r="FF188" s="111"/>
      <c r="FG188" s="124"/>
      <c r="FH188" s="124"/>
      <c r="FK188" s="124"/>
      <c r="FL188" s="124"/>
      <c r="FO188" s="111"/>
      <c r="FP188" s="111"/>
      <c r="FQ188" s="124"/>
      <c r="FR188" s="124"/>
      <c r="FU188" s="111"/>
      <c r="FV188" s="124"/>
      <c r="FW188" s="124"/>
      <c r="FX188" s="124"/>
      <c r="FY188" s="124"/>
      <c r="GA188" s="124"/>
      <c r="GB188" s="124"/>
      <c r="GC188" s="124"/>
      <c r="GF188" s="111" t="e">
        <v>#DIV/0!</v>
      </c>
      <c r="GG188" s="111"/>
      <c r="GH188" s="111"/>
      <c r="GI188" s="124"/>
      <c r="GJ188" s="124"/>
      <c r="GK188" s="124"/>
      <c r="GN188" s="111"/>
      <c r="GO188" s="111"/>
      <c r="GP188" s="124"/>
      <c r="GQ188" s="124"/>
      <c r="GR188" s="124"/>
      <c r="GV188" s="111"/>
      <c r="GW188" s="124"/>
      <c r="GX188" s="124"/>
      <c r="GY188" s="124"/>
      <c r="HC188" s="124"/>
      <c r="HD188" s="124"/>
      <c r="HE188" s="124"/>
      <c r="HF188" s="124"/>
      <c r="HI188" s="111"/>
      <c r="HJ188" s="111"/>
      <c r="HK188" s="111"/>
      <c r="HL188" s="111"/>
      <c r="HM188" s="124"/>
      <c r="HN188" s="124"/>
      <c r="HO188" s="124"/>
      <c r="HR188" s="111"/>
      <c r="HS188" s="111"/>
      <c r="HT188" s="111"/>
      <c r="HU188" s="124"/>
      <c r="HV188" s="124"/>
      <c r="HW188" s="124"/>
      <c r="HZ188" s="111"/>
      <c r="IA188" s="124"/>
      <c r="IB188" s="124"/>
      <c r="IC188" s="124"/>
      <c r="IE188" s="111"/>
      <c r="IF188" s="124"/>
      <c r="IG188" s="124"/>
      <c r="IH188" s="124"/>
      <c r="IK188" s="124"/>
      <c r="IL188" s="124"/>
      <c r="IO188" s="124"/>
      <c r="IP188" s="124"/>
      <c r="IS188" s="160"/>
      <c r="IT188" s="160"/>
      <c r="IU188" s="160"/>
      <c r="IX188" s="124"/>
      <c r="IY188" s="124"/>
      <c r="IZ188" s="124"/>
      <c r="JA188" s="124"/>
      <c r="JD188" s="124"/>
      <c r="JE188" s="124"/>
      <c r="JH188" s="124"/>
      <c r="JI188" s="124"/>
      <c r="JJ188" s="124"/>
      <c r="JM188" s="124"/>
      <c r="JN188" s="124"/>
      <c r="JQ188" s="124"/>
      <c r="JR188" s="124"/>
      <c r="JS188" s="124"/>
      <c r="JV188" s="124"/>
      <c r="JW188" s="124"/>
      <c r="JY188" s="124"/>
      <c r="JZ188" s="124"/>
      <c r="KB188" s="124"/>
      <c r="KC188" s="124"/>
      <c r="KD188" s="124"/>
    </row>
    <row r="189" spans="2:290" hidden="1" x14ac:dyDescent="0.25">
      <c r="B189" s="6" t="str">
        <f>B173</f>
        <v>Consumer Products</v>
      </c>
      <c r="C189" s="136"/>
      <c r="D189" s="136"/>
      <c r="E189" s="136"/>
      <c r="F189" s="136"/>
      <c r="G189" s="136"/>
      <c r="H189" s="132"/>
      <c r="I189" s="158"/>
      <c r="J189" s="158"/>
      <c r="K189" s="158"/>
      <c r="L189" s="158"/>
      <c r="M189" s="132"/>
      <c r="N189" s="158"/>
      <c r="O189" s="158"/>
      <c r="P189" s="158"/>
      <c r="Q189" s="158"/>
      <c r="R189" s="132"/>
      <c r="S189" s="158"/>
      <c r="T189" s="158"/>
      <c r="U189" s="158"/>
      <c r="V189" s="158"/>
      <c r="W189" s="132"/>
      <c r="X189" s="158"/>
      <c r="Y189" s="158"/>
      <c r="Z189" s="158"/>
      <c r="AA189" s="158"/>
      <c r="AB189" s="161"/>
      <c r="AC189" s="162"/>
      <c r="AD189" s="162"/>
      <c r="AE189" s="162"/>
      <c r="AF189" s="162"/>
      <c r="AG189" s="161"/>
      <c r="AH189" s="162">
        <v>5.4551712269833075E-2</v>
      </c>
      <c r="AI189" s="162">
        <v>0.11608108108108108</v>
      </c>
      <c r="AJ189" s="162">
        <v>0.18060279113404476</v>
      </c>
      <c r="AK189" s="161">
        <v>0.12492869629220717</v>
      </c>
      <c r="AL189" s="162">
        <f>AL173/AL144</f>
        <v>0.14481938135409908</v>
      </c>
      <c r="AM189" s="162"/>
      <c r="AN189" s="162">
        <f t="shared" si="283"/>
        <v>0.14927091327705294</v>
      </c>
      <c r="AO189" s="162">
        <f t="shared" si="283"/>
        <v>0.20997319034852546</v>
      </c>
      <c r="AP189" s="161">
        <f t="shared" si="283"/>
        <v>0.16883777085848636</v>
      </c>
      <c r="AQ189" s="162">
        <f t="shared" si="283"/>
        <v>0.11709486166007907</v>
      </c>
      <c r="AR189" s="162">
        <f t="shared" si="283"/>
        <v>0.13593731449602278</v>
      </c>
      <c r="AS189" s="162">
        <f t="shared" si="283"/>
        <v>0.13225312021020363</v>
      </c>
      <c r="AT189" s="162">
        <f t="shared" si="283"/>
        <v>0.25959723096286974</v>
      </c>
      <c r="AU189" s="161">
        <f t="shared" si="283"/>
        <v>0.16422195690488375</v>
      </c>
      <c r="AV189" s="74">
        <f t="shared" si="283"/>
        <v>0.1206</v>
      </c>
      <c r="AW189" s="74">
        <f t="shared" si="283"/>
        <v>0.12827140549273022</v>
      </c>
      <c r="AX189" s="74">
        <f t="shared" si="283"/>
        <v>0.12646651270207851</v>
      </c>
      <c r="AY189" s="74">
        <f t="shared" si="283"/>
        <v>0.18592351505288854</v>
      </c>
      <c r="AZ189" s="161">
        <f t="shared" si="283"/>
        <v>0.14022556390977445</v>
      </c>
      <c r="BA189" s="74">
        <f t="shared" si="283"/>
        <v>0.13207353394269281</v>
      </c>
      <c r="BB189" s="74">
        <f t="shared" si="283"/>
        <v>0.12699884125144845</v>
      </c>
      <c r="BC189" s="74">
        <f t="shared" si="283"/>
        <v>0.1460545193687231</v>
      </c>
      <c r="BD189" s="74">
        <f t="shared" si="283"/>
        <v>0.19498841861444513</v>
      </c>
      <c r="BE189" s="161">
        <f t="shared" si="283"/>
        <v>0.15033924843423799</v>
      </c>
      <c r="BF189" s="74">
        <f t="shared" si="283"/>
        <v>-0.16071428571428573</v>
      </c>
      <c r="BG189" s="74">
        <f t="shared" si="283"/>
        <v>0.14847314847314846</v>
      </c>
      <c r="BH189" s="74">
        <f t="shared" si="283"/>
        <v>0.19512820512820511</v>
      </c>
      <c r="BI189" s="74">
        <f t="shared" si="283"/>
        <v>0.23096774193548389</v>
      </c>
      <c r="BJ189" s="161">
        <f t="shared" si="283"/>
        <v>0.16843115665847944</v>
      </c>
      <c r="BK189" s="74">
        <f t="shared" si="283"/>
        <v>1.2794056954189021E-2</v>
      </c>
      <c r="BL189" s="74">
        <f t="shared" si="283"/>
        <v>0.15741656921831429</v>
      </c>
      <c r="BM189" s="74">
        <f t="shared" si="283"/>
        <v>0.16535433070866143</v>
      </c>
      <c r="BN189" s="74">
        <f t="shared" si="283"/>
        <v>0.1228813559322034</v>
      </c>
      <c r="BO189" s="161">
        <f t="shared" si="283"/>
        <v>0.13347651139253006</v>
      </c>
      <c r="BP189" s="74">
        <f t="shared" si="283"/>
        <v>0.11496293202464238</v>
      </c>
      <c r="BQ189" s="74">
        <f t="shared" si="283"/>
        <v>0.13868287016352426</v>
      </c>
      <c r="BR189" s="74">
        <f t="shared" si="283"/>
        <v>0.17062224907223611</v>
      </c>
      <c r="BS189" s="74">
        <f t="shared" si="283"/>
        <v>0.17777777777777778</v>
      </c>
      <c r="BT189" s="161">
        <f t="shared" si="283"/>
        <v>0.15254161043634726</v>
      </c>
      <c r="BU189" s="74">
        <f t="shared" si="283"/>
        <v>0.16898589401448724</v>
      </c>
      <c r="BV189" s="74">
        <f t="shared" si="283"/>
        <v>0.16616084977238241</v>
      </c>
      <c r="BW189" s="74">
        <f t="shared" si="283"/>
        <v>0.17412979613638385</v>
      </c>
      <c r="BX189" s="74">
        <f t="shared" si="283"/>
        <v>0.17338403041825096</v>
      </c>
      <c r="BY189" s="161">
        <f t="shared" si="283"/>
        <v>0.17080083439143839</v>
      </c>
      <c r="BZ189" s="74">
        <f t="shared" si="283"/>
        <v>0.16544912027986416</v>
      </c>
      <c r="CA189" s="74">
        <f t="shared" si="283"/>
        <v>0.1607469438829531</v>
      </c>
      <c r="CB189" s="74">
        <f t="shared" si="283"/>
        <v>0.15899267055064839</v>
      </c>
      <c r="CC189" s="74">
        <f t="shared" si="283"/>
        <v>0.16602941176470587</v>
      </c>
      <c r="CD189" s="161">
        <f t="shared" si="283"/>
        <v>0.16316027088036117</v>
      </c>
      <c r="CE189" s="74">
        <f t="shared" si="283"/>
        <v>0.14096961073279804</v>
      </c>
      <c r="CF189" s="74">
        <f t="shared" si="283"/>
        <v>0.13667602361823636</v>
      </c>
      <c r="CG189" s="74">
        <f t="shared" si="283"/>
        <v>0.15312499999999998</v>
      </c>
      <c r="CH189" s="74">
        <f t="shared" si="283"/>
        <v>0.25485908649173955</v>
      </c>
      <c r="CI189" s="161">
        <f t="shared" si="283"/>
        <v>0.17757312858103877</v>
      </c>
      <c r="CJ189" s="161">
        <f t="shared" si="283"/>
        <v>0</v>
      </c>
      <c r="CK189" s="161">
        <f t="shared" si="283"/>
        <v>0</v>
      </c>
      <c r="CL189" s="161"/>
      <c r="CM189" s="161"/>
      <c r="CN189" s="161"/>
      <c r="CO189" s="74"/>
      <c r="CP189" s="74"/>
      <c r="CQ189" s="6"/>
      <c r="CR189" s="6"/>
      <c r="CS189" s="6"/>
      <c r="CT189" s="124"/>
      <c r="CU189" s="124"/>
      <c r="CV189" s="124"/>
      <c r="CW189" s="124"/>
      <c r="CX189" s="124"/>
      <c r="CY189" s="124"/>
      <c r="CZ189" s="124"/>
      <c r="DA189" s="124"/>
      <c r="DB189" s="124"/>
      <c r="DC189" s="124"/>
      <c r="DD189" s="124"/>
      <c r="DE189" s="124"/>
      <c r="DF189" s="124"/>
      <c r="DG189" s="124"/>
      <c r="DH189" s="124"/>
      <c r="DI189" s="124"/>
      <c r="DK189" s="124"/>
      <c r="DL189" s="124"/>
      <c r="DM189" s="6"/>
      <c r="DN189" s="124"/>
      <c r="DO189" s="124"/>
      <c r="DQ189" s="136"/>
      <c r="DR189" s="124"/>
      <c r="DS189" s="124"/>
      <c r="DT189" s="124"/>
      <c r="DV189" s="124"/>
      <c r="DW189" s="124"/>
      <c r="DX189" s="124"/>
      <c r="EA189" s="111"/>
      <c r="EB189" s="111"/>
      <c r="EC189" s="111"/>
      <c r="ED189" s="124"/>
      <c r="EE189" s="124"/>
      <c r="EF189" s="124"/>
      <c r="EJ189" s="111"/>
      <c r="EK189" s="111"/>
      <c r="EL189" s="124"/>
      <c r="EM189" s="124"/>
      <c r="EN189" s="124"/>
      <c r="EP189" s="111"/>
      <c r="EQ189" s="124"/>
      <c r="ER189" s="124"/>
      <c r="ES189" s="124"/>
      <c r="EV189" s="111"/>
      <c r="EW189" s="111"/>
      <c r="EX189" s="111"/>
      <c r="EY189" s="111"/>
      <c r="EZ189" s="124"/>
      <c r="FA189" s="124"/>
      <c r="FD189" s="111"/>
      <c r="FE189" s="111"/>
      <c r="FF189" s="111"/>
      <c r="FG189" s="124"/>
      <c r="FH189" s="124"/>
      <c r="FK189" s="124"/>
      <c r="FL189" s="124"/>
      <c r="FO189" s="111"/>
      <c r="FP189" s="111"/>
      <c r="FQ189" s="124"/>
      <c r="FR189" s="124"/>
      <c r="FU189" s="111"/>
      <c r="FV189" s="124"/>
      <c r="FW189" s="124"/>
      <c r="FX189" s="124"/>
      <c r="FY189" s="124"/>
      <c r="GA189" s="124"/>
      <c r="GB189" s="124"/>
      <c r="GC189" s="124"/>
      <c r="GF189" s="111" t="e">
        <v>#DIV/0!</v>
      </c>
      <c r="GG189" s="111"/>
      <c r="GH189" s="111"/>
      <c r="GI189" s="124"/>
      <c r="GJ189" s="124"/>
      <c r="GK189" s="124"/>
      <c r="GN189" s="111"/>
      <c r="GO189" s="111"/>
      <c r="GP189" s="124"/>
      <c r="GQ189" s="124"/>
      <c r="GR189" s="124"/>
      <c r="GV189" s="111"/>
      <c r="GW189" s="124"/>
      <c r="GX189" s="124"/>
      <c r="GY189" s="124"/>
      <c r="HC189" s="124"/>
      <c r="HD189" s="124"/>
      <c r="HE189" s="124"/>
      <c r="HF189" s="124"/>
      <c r="HI189" s="111"/>
      <c r="HJ189" s="111"/>
      <c r="HK189" s="111"/>
      <c r="HL189" s="111"/>
      <c r="HM189" s="124"/>
      <c r="HN189" s="124"/>
      <c r="HO189" s="124"/>
      <c r="HR189" s="111"/>
      <c r="HS189" s="111"/>
      <c r="HT189" s="111"/>
      <c r="HU189" s="124"/>
      <c r="HV189" s="124"/>
      <c r="HW189" s="124"/>
      <c r="HZ189" s="111"/>
      <c r="IA189" s="124"/>
      <c r="IB189" s="124"/>
      <c r="IC189" s="124"/>
      <c r="IE189" s="111"/>
      <c r="IF189" s="124"/>
      <c r="IG189" s="124"/>
      <c r="IH189" s="124"/>
      <c r="IK189" s="124"/>
      <c r="IL189" s="124"/>
      <c r="IO189" s="124"/>
      <c r="IP189" s="124"/>
      <c r="IS189" s="160"/>
      <c r="IT189" s="160"/>
      <c r="IU189" s="160"/>
      <c r="IX189" s="124"/>
      <c r="IY189" s="124"/>
      <c r="IZ189" s="124"/>
      <c r="JA189" s="124"/>
      <c r="JD189" s="124"/>
      <c r="JE189" s="124"/>
      <c r="JH189" s="124"/>
      <c r="JI189" s="124"/>
      <c r="JJ189" s="124"/>
      <c r="JM189" s="124"/>
      <c r="JN189" s="124"/>
      <c r="JQ189" s="124"/>
      <c r="JR189" s="124"/>
      <c r="JS189" s="124"/>
      <c r="JV189" s="124"/>
      <c r="JW189" s="124"/>
      <c r="JY189" s="124"/>
      <c r="JZ189" s="124"/>
      <c r="KB189" s="124"/>
      <c r="KC189" s="124"/>
      <c r="KD189" s="124"/>
    </row>
    <row r="190" spans="2:290" hidden="1" x14ac:dyDescent="0.25">
      <c r="B190" s="6" t="str">
        <f>B174</f>
        <v>Others</v>
      </c>
      <c r="C190" s="136"/>
      <c r="D190" s="136"/>
      <c r="E190" s="136"/>
      <c r="F190" s="136"/>
      <c r="G190" s="136"/>
      <c r="H190" s="132"/>
      <c r="I190" s="158"/>
      <c r="J190" s="158"/>
      <c r="K190" s="158"/>
      <c r="L190" s="158"/>
      <c r="M190" s="132"/>
      <c r="N190" s="158"/>
      <c r="O190" s="158"/>
      <c r="P190" s="158"/>
      <c r="Q190" s="158"/>
      <c r="R190" s="132"/>
      <c r="S190" s="158"/>
      <c r="T190" s="158"/>
      <c r="U190" s="158"/>
      <c r="V190" s="158"/>
      <c r="W190" s="132"/>
      <c r="X190" s="158"/>
      <c r="Y190" s="158"/>
      <c r="Z190" s="158"/>
      <c r="AA190" s="158"/>
      <c r="AB190" s="161"/>
      <c r="AC190" s="162"/>
      <c r="AD190" s="162"/>
      <c r="AE190" s="162"/>
      <c r="AF190" s="162"/>
      <c r="AG190" s="161"/>
      <c r="AH190" s="162" t="e">
        <v>#DIV/0!</v>
      </c>
      <c r="AI190" s="162" t="e">
        <v>#DIV/0!</v>
      </c>
      <c r="AJ190" s="162" t="e">
        <v>#DIV/0!</v>
      </c>
      <c r="AK190" s="161" t="e">
        <v>#DIV/0!</v>
      </c>
      <c r="AL190" s="162">
        <f>AL174/AL145</f>
        <v>-0.13965822038892164</v>
      </c>
      <c r="AM190" s="162"/>
      <c r="AN190" s="162">
        <f t="shared" si="283"/>
        <v>-0.47832369942196534</v>
      </c>
      <c r="AO190" s="162">
        <f t="shared" si="283"/>
        <v>1.7368649587494573E-3</v>
      </c>
      <c r="AP190" s="161">
        <f t="shared" si="283"/>
        <v>-0.11414127976586404</v>
      </c>
      <c r="AQ190" s="162">
        <f t="shared" si="283"/>
        <v>-0.28700361010830328</v>
      </c>
      <c r="AR190" s="162">
        <f t="shared" si="283"/>
        <v>-0.79518072289156638</v>
      </c>
      <c r="AS190" s="162">
        <f t="shared" si="283"/>
        <v>-0.39930151338766007</v>
      </c>
      <c r="AT190" s="162">
        <f t="shared" si="283"/>
        <v>0.26601423487544484</v>
      </c>
      <c r="AU190" s="161">
        <f t="shared" si="283"/>
        <v>3.9746798174591487E-2</v>
      </c>
      <c r="AV190" s="74">
        <f t="shared" si="283"/>
        <v>-0.7533333333333333</v>
      </c>
      <c r="AW190" s="74">
        <f t="shared" si="283"/>
        <v>0</v>
      </c>
      <c r="AX190" s="74">
        <f t="shared" si="283"/>
        <v>0</v>
      </c>
      <c r="AY190" s="74">
        <f t="shared" si="283"/>
        <v>-1.0416666666666666E-2</v>
      </c>
      <c r="AZ190" s="161">
        <f t="shared" si="283"/>
        <v>0</v>
      </c>
      <c r="BA190" s="74">
        <f t="shared" si="283"/>
        <v>-2.5830258302583023E-2</v>
      </c>
      <c r="BB190" s="74">
        <f t="shared" si="283"/>
        <v>4.8092868988391373E-2</v>
      </c>
      <c r="BC190" s="74">
        <f t="shared" si="283"/>
        <v>1.9193857965451058E-2</v>
      </c>
      <c r="BD190" s="74">
        <f t="shared" si="283"/>
        <v>0.15139064475347661</v>
      </c>
      <c r="BE190" s="161">
        <f t="shared" si="283"/>
        <v>9.743187610272494E-2</v>
      </c>
      <c r="BF190" s="74">
        <f t="shared" si="283"/>
        <v>-3.692307692307692E-2</v>
      </c>
      <c r="BG190" s="74">
        <f t="shared" si="283"/>
        <v>0.24625950453765019</v>
      </c>
      <c r="BH190" s="74">
        <f t="shared" si="283"/>
        <v>0.26343679031037093</v>
      </c>
      <c r="BI190" s="74">
        <f t="shared" si="283"/>
        <v>3.5390199637023598E-2</v>
      </c>
      <c r="BJ190" s="161">
        <f t="shared" si="283"/>
        <v>0.2246014089729329</v>
      </c>
      <c r="BK190" s="74">
        <f t="shared" si="283"/>
        <v>-2.8688524590163939E-2</v>
      </c>
      <c r="BL190" s="74">
        <f t="shared" si="283"/>
        <v>0.10825780463242698</v>
      </c>
      <c r="BM190" s="74">
        <f t="shared" si="283"/>
        <v>0.20739950195659981</v>
      </c>
      <c r="BN190" s="74">
        <f t="shared" si="283"/>
        <v>5.1218299353555451E-2</v>
      </c>
      <c r="BO190" s="161">
        <f t="shared" si="283"/>
        <v>9.6066393815370618E-2</v>
      </c>
      <c r="BP190" s="74">
        <f t="shared" si="283"/>
        <v>-2.9540481400437638E-2</v>
      </c>
      <c r="BQ190" s="74">
        <f t="shared" si="283"/>
        <v>-0.18497109826589594</v>
      </c>
      <c r="BR190" s="74">
        <f t="shared" si="283"/>
        <v>-4.7562425683709874E-3</v>
      </c>
      <c r="BS190" s="74">
        <f t="shared" si="283"/>
        <v>7.4099252209381378E-2</v>
      </c>
      <c r="BT190" s="161">
        <f t="shared" si="283"/>
        <v>-4.5826235093696759E-2</v>
      </c>
      <c r="BU190" s="74">
        <f t="shared" si="283"/>
        <v>3.1347962382445144E-3</v>
      </c>
      <c r="BV190" s="74">
        <f t="shared" si="283"/>
        <v>-1.6300940438871474E-2</v>
      </c>
      <c r="BW190" s="74">
        <f t="shared" si="283"/>
        <v>-5.4016620498614963E-2</v>
      </c>
      <c r="BX190" s="74">
        <f t="shared" si="283"/>
        <v>-3.4292035398230093E-2</v>
      </c>
      <c r="BY190" s="161">
        <f t="shared" si="283"/>
        <v>-1.8895348837209305E-2</v>
      </c>
      <c r="BZ190" s="74">
        <f t="shared" si="283"/>
        <v>-3.9556962025316451E-2</v>
      </c>
      <c r="CA190" s="74">
        <f t="shared" si="283"/>
        <v>1.6172506738544475E-2</v>
      </c>
      <c r="CB190" s="74">
        <f t="shared" si="283"/>
        <v>4.1614123581336697E-2</v>
      </c>
      <c r="CC190" s="74">
        <f t="shared" si="283"/>
        <v>1.840909090909091E-2</v>
      </c>
      <c r="CD190" s="161">
        <f t="shared" si="283"/>
        <v>1.532258064516129E-2</v>
      </c>
      <c r="CE190" s="74">
        <f t="shared" si="283"/>
        <v>-1.040988939492518E-2</v>
      </c>
      <c r="CF190" s="74">
        <f t="shared" si="283"/>
        <v>4.8387096774193542E-3</v>
      </c>
      <c r="CG190" s="74">
        <f t="shared" si="283"/>
        <v>6.1538461538461538E-3</v>
      </c>
      <c r="CH190" s="74">
        <f t="shared" si="283"/>
        <v>-0.20990488684814695</v>
      </c>
      <c r="CI190" s="161">
        <f t="shared" si="283"/>
        <v>-7.5207591933570586E-2</v>
      </c>
      <c r="CJ190" s="161">
        <f t="shared" si="283"/>
        <v>-7.5207591933570586E-2</v>
      </c>
      <c r="CK190" s="161">
        <f t="shared" si="283"/>
        <v>-7.5207591933570586E-2</v>
      </c>
      <c r="CL190" s="161"/>
      <c r="CM190" s="161"/>
      <c r="CN190" s="161"/>
      <c r="CO190" s="74"/>
      <c r="CP190" s="74"/>
      <c r="CQ190" s="6"/>
      <c r="CR190" s="6"/>
      <c r="CS190" s="6"/>
      <c r="CT190" s="124"/>
      <c r="CU190" s="124"/>
      <c r="CV190" s="124"/>
      <c r="CW190" s="124"/>
      <c r="CX190" s="124"/>
      <c r="CY190" s="124"/>
      <c r="CZ190" s="124"/>
      <c r="DA190" s="124"/>
      <c r="DB190" s="124"/>
      <c r="DC190" s="124"/>
      <c r="DD190" s="124"/>
      <c r="DE190" s="124"/>
      <c r="DF190" s="124"/>
      <c r="DG190" s="124"/>
      <c r="DH190" s="124"/>
      <c r="DI190" s="124"/>
      <c r="DK190" s="124"/>
      <c r="DL190" s="124"/>
      <c r="DM190" s="6"/>
      <c r="DN190" s="124"/>
      <c r="DO190" s="124"/>
      <c r="DQ190" s="136"/>
      <c r="DR190" s="124"/>
      <c r="DS190" s="124"/>
      <c r="DT190" s="124"/>
      <c r="DV190" s="124"/>
      <c r="DW190" s="124"/>
      <c r="DX190" s="124"/>
      <c r="EA190" s="111"/>
      <c r="EB190" s="111"/>
      <c r="EC190" s="111"/>
      <c r="ED190" s="124"/>
      <c r="EE190" s="124"/>
      <c r="EF190" s="124"/>
      <c r="EJ190" s="111"/>
      <c r="EK190" s="111"/>
      <c r="EL190" s="124"/>
      <c r="EM190" s="124"/>
      <c r="EN190" s="124"/>
      <c r="EP190" s="111"/>
      <c r="EQ190" s="124"/>
      <c r="ER190" s="124"/>
      <c r="ES190" s="124"/>
      <c r="EV190" s="111"/>
      <c r="EW190" s="111"/>
      <c r="EX190" s="111"/>
      <c r="EY190" s="111"/>
      <c r="EZ190" s="124"/>
      <c r="FA190" s="124"/>
      <c r="FD190" s="111"/>
      <c r="FE190" s="111"/>
      <c r="FF190" s="111"/>
      <c r="FG190" s="124"/>
      <c r="FH190" s="124"/>
      <c r="FK190" s="124"/>
      <c r="FL190" s="124"/>
      <c r="FO190" s="111"/>
      <c r="FP190" s="111"/>
      <c r="FQ190" s="124"/>
      <c r="FR190" s="124"/>
      <c r="FU190" s="111"/>
      <c r="FV190" s="124"/>
      <c r="FW190" s="124"/>
      <c r="FX190" s="124"/>
      <c r="FY190" s="124"/>
      <c r="GA190" s="124"/>
      <c r="GB190" s="124"/>
      <c r="GC190" s="124"/>
      <c r="GF190" s="111" t="e">
        <v>#DIV/0!</v>
      </c>
      <c r="GG190" s="111"/>
      <c r="GH190" s="111"/>
      <c r="GI190" s="124"/>
      <c r="GJ190" s="124"/>
      <c r="GK190" s="124"/>
      <c r="GN190" s="111"/>
      <c r="GO190" s="111"/>
      <c r="GP190" s="124"/>
      <c r="GQ190" s="124"/>
      <c r="GR190" s="124"/>
      <c r="GV190" s="111"/>
      <c r="GW190" s="124"/>
      <c r="GX190" s="124"/>
      <c r="GY190" s="124"/>
      <c r="HC190" s="124"/>
      <c r="HD190" s="124"/>
      <c r="HE190" s="124">
        <v>-78</v>
      </c>
      <c r="HF190" s="124"/>
      <c r="HI190" s="111"/>
      <c r="HJ190" s="111"/>
      <c r="HK190" s="111"/>
      <c r="HL190" s="111"/>
      <c r="HM190" s="124">
        <v>-78</v>
      </c>
      <c r="HN190" s="124"/>
      <c r="HO190" s="124"/>
      <c r="HR190" s="111"/>
      <c r="HS190" s="111"/>
      <c r="HT190" s="111"/>
      <c r="HU190" s="124">
        <v>-78</v>
      </c>
      <c r="HV190" s="124"/>
      <c r="HW190" s="124"/>
      <c r="HZ190" s="111"/>
      <c r="IA190" s="124">
        <v>-78</v>
      </c>
      <c r="IB190" s="124"/>
      <c r="IC190" s="124"/>
      <c r="IE190" s="111"/>
      <c r="IF190" s="124">
        <v>-78</v>
      </c>
      <c r="IG190" s="124"/>
      <c r="IH190" s="124"/>
      <c r="IK190" s="124"/>
      <c r="IL190" s="124"/>
      <c r="IO190" s="124"/>
      <c r="IP190" s="124"/>
      <c r="IS190" s="160"/>
      <c r="IT190" s="160"/>
      <c r="IU190" s="160"/>
      <c r="IX190" s="124"/>
      <c r="IY190" s="124"/>
      <c r="IZ190" s="124"/>
      <c r="JA190" s="124"/>
      <c r="JD190" s="124"/>
      <c r="JE190" s="124"/>
      <c r="JH190" s="124"/>
      <c r="JI190" s="124"/>
      <c r="JJ190" s="124"/>
      <c r="JM190" s="124"/>
      <c r="JN190" s="124"/>
      <c r="JQ190" s="124"/>
      <c r="JR190" s="124"/>
      <c r="JS190" s="124"/>
      <c r="JV190" s="124"/>
      <c r="JW190" s="124"/>
      <c r="JY190" s="124"/>
      <c r="JZ190" s="124"/>
      <c r="KB190" s="124"/>
      <c r="KC190" s="124"/>
      <c r="KD190" s="124"/>
    </row>
    <row r="191" spans="2:290" hidden="1" x14ac:dyDescent="0.25">
      <c r="B191" s="6"/>
      <c r="C191" s="6"/>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6"/>
      <c r="CR191" s="6"/>
      <c r="CS191" s="6"/>
      <c r="CT191" s="15"/>
      <c r="CU191" s="15"/>
      <c r="CV191" s="15"/>
      <c r="CW191" s="15"/>
      <c r="CX191" s="15"/>
      <c r="DK191" s="6"/>
      <c r="DL191" s="6"/>
      <c r="DM191" s="6"/>
      <c r="DN191" s="6"/>
      <c r="DO191" s="6"/>
      <c r="EA191" s="15"/>
      <c r="EB191" s="15"/>
      <c r="EC191" s="15"/>
      <c r="ED191" s="15"/>
      <c r="EE191" s="15"/>
      <c r="EF191" s="15"/>
      <c r="EJ191" s="15"/>
      <c r="EK191" s="15"/>
      <c r="EL191" s="15"/>
      <c r="EM191" s="15"/>
      <c r="EN191" s="15"/>
      <c r="EP191" s="15"/>
      <c r="EQ191" s="15"/>
      <c r="ER191" s="15"/>
      <c r="ES191" s="15"/>
      <c r="EV191" s="15"/>
      <c r="EW191" s="15"/>
      <c r="EX191" s="15"/>
      <c r="EY191" s="15"/>
      <c r="EZ191" s="15"/>
      <c r="FA191" s="15"/>
      <c r="FD191" s="15"/>
      <c r="FE191" s="15"/>
      <c r="FF191" s="15"/>
      <c r="FG191" s="15"/>
      <c r="FH191" s="15"/>
      <c r="FK191" s="15"/>
      <c r="FL191" s="15"/>
      <c r="FO191" s="15"/>
      <c r="FP191" s="15"/>
      <c r="FQ191" s="15"/>
      <c r="FR191" s="15"/>
      <c r="FU191" s="15"/>
      <c r="FV191" s="15"/>
      <c r="FW191" s="15"/>
      <c r="FX191" s="15"/>
      <c r="FY191" s="15"/>
      <c r="GA191" s="15"/>
      <c r="GB191" s="15"/>
      <c r="GC191" s="15"/>
      <c r="GF191" s="15"/>
      <c r="GG191" s="15"/>
      <c r="GH191" s="15"/>
      <c r="GI191" s="15"/>
      <c r="GJ191" s="15"/>
      <c r="GK191" s="15"/>
      <c r="GN191" s="15"/>
      <c r="GO191" s="15"/>
      <c r="GP191" s="15"/>
      <c r="GQ191" s="15"/>
      <c r="GR191" s="15"/>
      <c r="GV191" s="15"/>
      <c r="GW191" s="15"/>
      <c r="GX191" s="15"/>
      <c r="GY191" s="15"/>
      <c r="HC191" s="15"/>
      <c r="HD191" s="15"/>
      <c r="HE191" s="15"/>
      <c r="HF191" s="15"/>
      <c r="HI191" s="15"/>
      <c r="HJ191" s="15"/>
      <c r="HK191" s="15"/>
      <c r="HL191" s="15"/>
      <c r="HM191" s="15"/>
      <c r="HN191" s="15"/>
      <c r="HO191" s="15"/>
      <c r="HR191" s="15"/>
      <c r="HS191" s="15"/>
      <c r="HT191" s="15"/>
      <c r="HU191" s="15"/>
      <c r="HV191" s="15"/>
      <c r="HW191" s="15"/>
      <c r="HZ191" s="15"/>
      <c r="IA191" s="15"/>
      <c r="IB191" s="15"/>
      <c r="IC191" s="15"/>
      <c r="IE191" s="15"/>
      <c r="IF191" s="15"/>
      <c r="IG191" s="15"/>
      <c r="IH191" s="15"/>
      <c r="IK191" s="15"/>
      <c r="IL191" s="15"/>
      <c r="IO191" s="15"/>
      <c r="IP191" s="15"/>
      <c r="IS191" s="15"/>
      <c r="IT191" s="15"/>
      <c r="IU191" s="15"/>
      <c r="IX191" s="15"/>
      <c r="IY191" s="15"/>
      <c r="IZ191" s="15"/>
      <c r="JA191" s="15"/>
      <c r="JD191" s="15"/>
      <c r="JE191" s="15"/>
      <c r="JH191" s="15"/>
      <c r="JI191" s="15"/>
      <c r="JJ191" s="15"/>
      <c r="JM191" s="15"/>
      <c r="JN191" s="15"/>
      <c r="JQ191" s="15"/>
      <c r="JR191" s="15"/>
      <c r="JS191" s="15"/>
      <c r="JV191" s="15"/>
      <c r="JW191" s="15"/>
      <c r="JY191" s="15"/>
      <c r="JZ191" s="15"/>
      <c r="KB191" s="15"/>
      <c r="KC191" s="15"/>
      <c r="KD191" s="15"/>
    </row>
    <row r="192" spans="2:290" s="60" customFormat="1" hidden="1" x14ac:dyDescent="0.25">
      <c r="B192" s="58" t="s">
        <v>247</v>
      </c>
      <c r="C192" s="4"/>
      <c r="D192" s="4" t="str">
        <f>D185</f>
        <v>1QFY10</v>
      </c>
      <c r="E192" s="4" t="str">
        <f t="shared" ref="E192:BP192" si="284">E185</f>
        <v>2QFY10</v>
      </c>
      <c r="F192" s="4" t="str">
        <f t="shared" si="284"/>
        <v>3QFY10</v>
      </c>
      <c r="G192" s="4" t="str">
        <f t="shared" si="284"/>
        <v>4QFY10</v>
      </c>
      <c r="H192" s="145" t="str">
        <f t="shared" si="284"/>
        <v>CY10</v>
      </c>
      <c r="I192" s="156" t="str">
        <f t="shared" si="284"/>
        <v>1QFY11</v>
      </c>
      <c r="J192" s="156" t="str">
        <f t="shared" si="284"/>
        <v>2QFY11</v>
      </c>
      <c r="K192" s="156" t="str">
        <f t="shared" si="284"/>
        <v>3QFY11</v>
      </c>
      <c r="L192" s="156" t="str">
        <f t="shared" si="284"/>
        <v>4QFY11</v>
      </c>
      <c r="M192" s="145" t="str">
        <f t="shared" si="284"/>
        <v>CY11</v>
      </c>
      <c r="N192" s="156" t="str">
        <f t="shared" si="284"/>
        <v>1QFY12</v>
      </c>
      <c r="O192" s="156" t="str">
        <f t="shared" si="284"/>
        <v>2QFY12</v>
      </c>
      <c r="P192" s="156" t="str">
        <f t="shared" si="284"/>
        <v>3QFY12</v>
      </c>
      <c r="Q192" s="156" t="str">
        <f t="shared" si="284"/>
        <v>4QFY12</v>
      </c>
      <c r="R192" s="145" t="str">
        <f t="shared" si="284"/>
        <v>CY12</v>
      </c>
      <c r="S192" s="156" t="str">
        <f t="shared" si="284"/>
        <v>1QFY13</v>
      </c>
      <c r="T192" s="156" t="str">
        <f t="shared" si="284"/>
        <v>2QFY13</v>
      </c>
      <c r="U192" s="156" t="str">
        <f t="shared" si="284"/>
        <v>3QFY13</v>
      </c>
      <c r="V192" s="156" t="str">
        <f t="shared" si="284"/>
        <v>4QFY13</v>
      </c>
      <c r="W192" s="145" t="str">
        <f t="shared" si="284"/>
        <v>CY13</v>
      </c>
      <c r="X192" s="156" t="str">
        <f t="shared" si="284"/>
        <v>1QFY14</v>
      </c>
      <c r="Y192" s="156" t="str">
        <f t="shared" si="284"/>
        <v>2QFY14</v>
      </c>
      <c r="Z192" s="156" t="str">
        <f t="shared" si="284"/>
        <v>3QFY14</v>
      </c>
      <c r="AA192" s="156" t="str">
        <f t="shared" si="284"/>
        <v>4QFY14</v>
      </c>
      <c r="AB192" s="145" t="str">
        <f t="shared" si="284"/>
        <v>CY14</v>
      </c>
      <c r="AC192" s="156" t="str">
        <f t="shared" si="284"/>
        <v>1QFY15</v>
      </c>
      <c r="AD192" s="156" t="str">
        <f t="shared" si="284"/>
        <v>2QFY15</v>
      </c>
      <c r="AE192" s="156" t="str">
        <f t="shared" si="284"/>
        <v>3QFY15</v>
      </c>
      <c r="AF192" s="156" t="str">
        <f t="shared" si="284"/>
        <v>4QFY15</v>
      </c>
      <c r="AG192" s="145" t="str">
        <f t="shared" si="284"/>
        <v>CY15</v>
      </c>
      <c r="AH192" s="156" t="str">
        <f t="shared" si="284"/>
        <v>1QFY16</v>
      </c>
      <c r="AI192" s="156" t="str">
        <f t="shared" si="284"/>
        <v>2QFY16</v>
      </c>
      <c r="AJ192" s="156" t="str">
        <f t="shared" si="284"/>
        <v>3QFY16</v>
      </c>
      <c r="AK192" s="145" t="str">
        <f t="shared" si="284"/>
        <v>FY16</v>
      </c>
      <c r="AL192" s="156" t="str">
        <f t="shared" si="284"/>
        <v>1QFY17</v>
      </c>
      <c r="AM192" s="156" t="str">
        <f t="shared" si="284"/>
        <v>2QFY17</v>
      </c>
      <c r="AN192" s="156" t="str">
        <f t="shared" si="284"/>
        <v>3QFY17</v>
      </c>
      <c r="AO192" s="156" t="str">
        <f t="shared" si="284"/>
        <v>4QFY17</v>
      </c>
      <c r="AP192" s="145" t="str">
        <f t="shared" si="284"/>
        <v>FY17</v>
      </c>
      <c r="AQ192" s="156" t="str">
        <f t="shared" si="284"/>
        <v>1QFY18</v>
      </c>
      <c r="AR192" s="156" t="str">
        <f t="shared" si="284"/>
        <v>2QFY18</v>
      </c>
      <c r="AS192" s="156" t="str">
        <f t="shared" si="284"/>
        <v>3QFY18</v>
      </c>
      <c r="AT192" s="156" t="str">
        <f t="shared" si="284"/>
        <v>4QFY18</v>
      </c>
      <c r="AU192" s="145" t="str">
        <f t="shared" si="284"/>
        <v>FY18</v>
      </c>
      <c r="AV192" s="148" t="str">
        <f t="shared" si="284"/>
        <v>1QFY19</v>
      </c>
      <c r="AW192" s="148" t="str">
        <f t="shared" si="284"/>
        <v>2QFY19</v>
      </c>
      <c r="AX192" s="148" t="str">
        <f t="shared" si="284"/>
        <v>3QFY19</v>
      </c>
      <c r="AY192" s="148" t="str">
        <f t="shared" si="284"/>
        <v>4QFY19</v>
      </c>
      <c r="AZ192" s="145" t="str">
        <f t="shared" si="284"/>
        <v>FY19</v>
      </c>
      <c r="BA192" s="148" t="str">
        <f t="shared" si="284"/>
        <v>1QFY20</v>
      </c>
      <c r="BB192" s="148" t="str">
        <f t="shared" si="284"/>
        <v>2QFY20</v>
      </c>
      <c r="BC192" s="148" t="str">
        <f t="shared" si="284"/>
        <v>3QFY20</v>
      </c>
      <c r="BD192" s="148" t="str">
        <f t="shared" si="284"/>
        <v>4QFY20</v>
      </c>
      <c r="BE192" s="145" t="str">
        <f t="shared" si="284"/>
        <v>FY20</v>
      </c>
      <c r="BF192" s="148" t="str">
        <f t="shared" si="284"/>
        <v>1QFY21</v>
      </c>
      <c r="BG192" s="148" t="str">
        <f t="shared" si="284"/>
        <v>2QFY21</v>
      </c>
      <c r="BH192" s="148" t="str">
        <f t="shared" si="284"/>
        <v>3QFY21</v>
      </c>
      <c r="BI192" s="148" t="str">
        <f t="shared" si="284"/>
        <v>4QFY21</v>
      </c>
      <c r="BJ192" s="145" t="str">
        <f t="shared" si="284"/>
        <v>FY21</v>
      </c>
      <c r="BK192" s="148" t="str">
        <f t="shared" si="284"/>
        <v>1QFY22</v>
      </c>
      <c r="BL192" s="148" t="str">
        <f t="shared" si="284"/>
        <v>2QFY22</v>
      </c>
      <c r="BM192" s="148" t="str">
        <f t="shared" si="284"/>
        <v>3QFY22</v>
      </c>
      <c r="BN192" s="148" t="str">
        <f t="shared" si="284"/>
        <v>4QFY22</v>
      </c>
      <c r="BO192" s="145" t="str">
        <f t="shared" si="284"/>
        <v>FY22</v>
      </c>
      <c r="BP192" s="148" t="str">
        <f t="shared" si="284"/>
        <v>1QFY23</v>
      </c>
      <c r="BQ192" s="148" t="str">
        <f t="shared" ref="BQ192:CK192" si="285">BQ185</f>
        <v>2QFY23</v>
      </c>
      <c r="BR192" s="148" t="str">
        <f t="shared" si="285"/>
        <v>3QFY23</v>
      </c>
      <c r="BS192" s="148" t="str">
        <f t="shared" si="285"/>
        <v>4QFY23</v>
      </c>
      <c r="BT192" s="145" t="str">
        <f t="shared" si="285"/>
        <v>FY23</v>
      </c>
      <c r="BU192" s="148" t="str">
        <f t="shared" si="285"/>
        <v>1QFY24</v>
      </c>
      <c r="BV192" s="148" t="str">
        <f t="shared" si="285"/>
        <v>2QFY24</v>
      </c>
      <c r="BW192" s="148" t="str">
        <f t="shared" si="285"/>
        <v>3QFY24</v>
      </c>
      <c r="BX192" s="148" t="str">
        <f t="shared" si="285"/>
        <v>4QFY24</v>
      </c>
      <c r="BY192" s="145" t="str">
        <f t="shared" si="285"/>
        <v>FY24</v>
      </c>
      <c r="BZ192" s="148" t="str">
        <f t="shared" si="285"/>
        <v>1QFY25</v>
      </c>
      <c r="CA192" s="148" t="str">
        <f t="shared" si="285"/>
        <v>2QFY25</v>
      </c>
      <c r="CB192" s="148" t="str">
        <f t="shared" si="285"/>
        <v>3QFY25</v>
      </c>
      <c r="CC192" s="148" t="str">
        <f t="shared" si="285"/>
        <v>4QFY25</v>
      </c>
      <c r="CD192" s="145" t="str">
        <f t="shared" si="285"/>
        <v>FY25</v>
      </c>
      <c r="CE192" s="148" t="str">
        <f t="shared" si="285"/>
        <v>1QFY26</v>
      </c>
      <c r="CF192" s="148" t="str">
        <f t="shared" si="285"/>
        <v>2QFY26</v>
      </c>
      <c r="CG192" s="148" t="str">
        <f t="shared" si="285"/>
        <v>3QFY26</v>
      </c>
      <c r="CH192" s="148" t="str">
        <f t="shared" si="285"/>
        <v>4QFY26</v>
      </c>
      <c r="CI192" s="145" t="str">
        <f t="shared" si="285"/>
        <v>FY26</v>
      </c>
      <c r="CJ192" s="145" t="str">
        <f t="shared" si="285"/>
        <v>FY27E</v>
      </c>
      <c r="CK192" s="145" t="str">
        <f t="shared" si="285"/>
        <v>FY28E</v>
      </c>
      <c r="CL192" s="145"/>
      <c r="CM192" s="145"/>
      <c r="CN192" s="145"/>
      <c r="CO192" s="148"/>
      <c r="CP192" s="148"/>
      <c r="CQ192" s="58"/>
      <c r="CR192" s="58"/>
      <c r="CS192" s="58"/>
      <c r="CT192" s="143"/>
      <c r="CU192" s="143"/>
      <c r="CV192" s="143"/>
      <c r="CW192" s="143"/>
      <c r="CX192" s="143"/>
      <c r="CY192" s="143"/>
      <c r="CZ192" s="143"/>
      <c r="DA192" s="143"/>
      <c r="DB192" s="143"/>
      <c r="DC192" s="143"/>
      <c r="DD192" s="143"/>
      <c r="DE192" s="143"/>
      <c r="DF192" s="143"/>
      <c r="DG192" s="143"/>
      <c r="DH192" s="143"/>
      <c r="DI192" s="143"/>
      <c r="DK192" s="143"/>
      <c r="DL192" s="143"/>
      <c r="DM192" s="58"/>
      <c r="DN192" s="143"/>
      <c r="DO192" s="143"/>
      <c r="DQ192" s="4"/>
      <c r="DR192" s="143"/>
      <c r="DS192" s="143"/>
      <c r="DT192" s="143"/>
      <c r="DV192" s="143"/>
      <c r="DW192" s="143"/>
      <c r="DX192" s="143"/>
      <c r="EA192" s="119"/>
      <c r="EB192" s="119"/>
      <c r="EC192" s="119"/>
      <c r="ED192" s="143"/>
      <c r="EE192" s="143"/>
      <c r="EF192" s="143"/>
      <c r="EJ192" s="119"/>
      <c r="EK192" s="119"/>
      <c r="EL192" s="143"/>
      <c r="EM192" s="143"/>
      <c r="EN192" s="143"/>
      <c r="EP192" s="119"/>
      <c r="EQ192" s="143"/>
      <c r="ER192" s="143"/>
      <c r="ES192" s="143"/>
      <c r="EV192" s="119"/>
      <c r="EW192" s="119"/>
      <c r="EX192" s="119"/>
      <c r="EY192" s="119"/>
      <c r="EZ192" s="143"/>
      <c r="FA192" s="143"/>
      <c r="FD192" s="119"/>
      <c r="FE192" s="119"/>
      <c r="FF192" s="119"/>
      <c r="FG192" s="143"/>
      <c r="FH192" s="143"/>
      <c r="FK192" s="143"/>
      <c r="FL192" s="143"/>
      <c r="FO192" s="119"/>
      <c r="FP192" s="119"/>
      <c r="FQ192" s="143"/>
      <c r="FR192" s="143"/>
      <c r="FU192" s="119"/>
      <c r="FV192" s="143"/>
      <c r="FW192" s="143"/>
      <c r="FX192" s="143"/>
      <c r="FY192" s="143"/>
      <c r="GA192" s="143"/>
      <c r="GB192" s="143"/>
      <c r="GC192" s="143"/>
      <c r="GF192" s="119"/>
      <c r="GG192" s="119"/>
      <c r="GH192" s="119"/>
      <c r="GI192" s="143"/>
      <c r="GJ192" s="143"/>
      <c r="GK192" s="143"/>
      <c r="GN192" s="119"/>
      <c r="GO192" s="119"/>
      <c r="GP192" s="143"/>
      <c r="GQ192" s="143"/>
      <c r="GR192" s="143"/>
      <c r="GV192" s="119"/>
      <c r="GW192" s="143"/>
      <c r="GX192" s="143"/>
      <c r="GY192" s="143"/>
      <c r="HC192" s="143"/>
      <c r="HD192" s="143"/>
      <c r="HE192" s="143"/>
      <c r="HF192" s="143"/>
      <c r="HI192" s="119"/>
      <c r="HJ192" s="119"/>
      <c r="HK192" s="119"/>
      <c r="HL192" s="119"/>
      <c r="HM192" s="143"/>
      <c r="HN192" s="143"/>
      <c r="HO192" s="143"/>
      <c r="HR192" s="119"/>
      <c r="HS192" s="119"/>
      <c r="HT192" s="119"/>
      <c r="HU192" s="143"/>
      <c r="HV192" s="143"/>
      <c r="HW192" s="143"/>
      <c r="HZ192" s="119"/>
      <c r="IA192" s="143"/>
      <c r="IB192" s="143"/>
      <c r="IC192" s="143"/>
      <c r="IE192" s="119"/>
      <c r="IF192" s="143"/>
      <c r="IG192" s="143"/>
      <c r="IH192" s="143"/>
      <c r="IK192" s="143"/>
      <c r="IL192" s="143"/>
      <c r="IO192" s="143"/>
      <c r="IP192" s="143"/>
      <c r="IS192" s="157"/>
      <c r="IT192" s="157"/>
      <c r="IU192" s="157"/>
      <c r="IX192" s="143"/>
      <c r="IY192" s="143"/>
      <c r="IZ192" s="143"/>
      <c r="JA192" s="143"/>
      <c r="JD192" s="143"/>
      <c r="JE192" s="143"/>
      <c r="JH192" s="143"/>
      <c r="JI192" s="143"/>
      <c r="JJ192" s="143"/>
      <c r="JM192" s="143"/>
      <c r="JN192" s="143"/>
      <c r="JQ192" s="143"/>
      <c r="JR192" s="143"/>
      <c r="JS192" s="143"/>
      <c r="JV192" s="143"/>
      <c r="JW192" s="143"/>
      <c r="JY192" s="143"/>
      <c r="JZ192" s="143"/>
      <c r="KB192" s="143"/>
      <c r="KC192" s="143"/>
      <c r="KD192" s="143"/>
    </row>
    <row r="193" spans="2:290" hidden="1" x14ac:dyDescent="0.25">
      <c r="B193" s="6" t="str">
        <f t="shared" ref="B193:B199" si="286">B170</f>
        <v>Plastics Piping Products</v>
      </c>
      <c r="C193" s="136"/>
      <c r="D193" s="136"/>
      <c r="E193" s="136"/>
      <c r="F193" s="136"/>
      <c r="G193" s="136"/>
      <c r="H193" s="132"/>
      <c r="I193" s="158"/>
      <c r="J193" s="158"/>
      <c r="K193" s="158"/>
      <c r="L193" s="158"/>
      <c r="M193" s="132"/>
      <c r="N193" s="158"/>
      <c r="O193" s="158"/>
      <c r="P193" s="158"/>
      <c r="Q193" s="158"/>
      <c r="R193" s="132"/>
      <c r="S193" s="158"/>
      <c r="T193" s="158"/>
      <c r="U193" s="158"/>
      <c r="V193" s="158"/>
      <c r="W193" s="132"/>
      <c r="X193" s="158"/>
      <c r="Y193" s="158"/>
      <c r="Z193" s="158"/>
      <c r="AA193" s="158"/>
      <c r="AB193" s="161"/>
      <c r="AC193" s="162"/>
      <c r="AD193" s="162"/>
      <c r="AE193" s="162"/>
      <c r="AF193" s="162"/>
      <c r="AG193" s="161"/>
      <c r="AH193" s="162">
        <v>0.63833992094861658</v>
      </c>
      <c r="AI193" s="162">
        <v>0.43151736442471261</v>
      </c>
      <c r="AJ193" s="162">
        <v>0.54632361619261183</v>
      </c>
      <c r="AK193" s="161">
        <v>0.52445781269765412</v>
      </c>
      <c r="AL193" s="162">
        <f t="shared" ref="AL193:CK197" si="287">AL170/AL$176</f>
        <v>0.56582920642589696</v>
      </c>
      <c r="AM193" s="162">
        <f t="shared" si="287"/>
        <v>0.63798008534850625</v>
      </c>
      <c r="AN193" s="162">
        <f t="shared" si="287"/>
        <v>0.50274781192753926</v>
      </c>
      <c r="AO193" s="162">
        <f t="shared" si="287"/>
        <v>0.51948433900299007</v>
      </c>
      <c r="AP193" s="161">
        <f t="shared" si="287"/>
        <v>0.54929738375414139</v>
      </c>
      <c r="AQ193" s="162">
        <f t="shared" si="287"/>
        <v>0.54975103384251833</v>
      </c>
      <c r="AR193" s="162">
        <f t="shared" si="287"/>
        <v>0.49537583628492721</v>
      </c>
      <c r="AS193" s="162">
        <f t="shared" si="287"/>
        <v>0.4360969962050556</v>
      </c>
      <c r="AT193" s="162">
        <f t="shared" si="287"/>
        <v>0.52322453731582963</v>
      </c>
      <c r="AU193" s="161">
        <f t="shared" si="287"/>
        <v>0.50204094699940771</v>
      </c>
      <c r="AV193" s="74">
        <f t="shared" si="287"/>
        <v>0.53871866295264614</v>
      </c>
      <c r="AW193" s="74">
        <f t="shared" si="287"/>
        <v>0.37199312714776633</v>
      </c>
      <c r="AX193" s="74">
        <f t="shared" si="287"/>
        <v>0.55222352252779394</v>
      </c>
      <c r="AY193" s="74">
        <f t="shared" si="287"/>
        <v>0.59979800530236083</v>
      </c>
      <c r="AZ193" s="161">
        <f t="shared" si="287"/>
        <v>0.55844549966082335</v>
      </c>
      <c r="BA193" s="74">
        <f t="shared" si="287"/>
        <v>0.63358963982193439</v>
      </c>
      <c r="BB193" s="74">
        <f t="shared" si="287"/>
        <v>0.89338863137350566</v>
      </c>
      <c r="BC193" s="74">
        <f t="shared" si="287"/>
        <v>0.6050017529508005</v>
      </c>
      <c r="BD193" s="74">
        <f t="shared" si="287"/>
        <v>0.70489749906058208</v>
      </c>
      <c r="BE193" s="161">
        <f t="shared" si="287"/>
        <v>0.70074714305278685</v>
      </c>
      <c r="BF193" s="74">
        <f t="shared" si="287"/>
        <v>0.91581702948470667</v>
      </c>
      <c r="BG193" s="74">
        <f t="shared" si="287"/>
        <v>0.70983882607649751</v>
      </c>
      <c r="BH193" s="74">
        <f t="shared" si="287"/>
        <v>0.72136392459791321</v>
      </c>
      <c r="BI193" s="74">
        <f t="shared" si="287"/>
        <v>0.76634611256600704</v>
      </c>
      <c r="BJ193" s="161">
        <f t="shared" si="287"/>
        <v>0.75125088041857613</v>
      </c>
      <c r="BK193" s="74">
        <f t="shared" si="287"/>
        <v>0.82802994852597112</v>
      </c>
      <c r="BL193" s="74">
        <f t="shared" si="287"/>
        <v>0.75096764204985289</v>
      </c>
      <c r="BM193" s="74">
        <f t="shared" si="287"/>
        <v>0.71909599360803567</v>
      </c>
      <c r="BN193" s="74">
        <f t="shared" si="287"/>
        <v>0.76246429307653807</v>
      </c>
      <c r="BO193" s="161">
        <f t="shared" si="287"/>
        <v>0.7591543430469605</v>
      </c>
      <c r="BP193" s="74">
        <f t="shared" si="287"/>
        <v>0.72424953095684796</v>
      </c>
      <c r="BQ193" s="74">
        <f t="shared" si="287"/>
        <v>0.28074351127734332</v>
      </c>
      <c r="BR193" s="74">
        <f t="shared" si="287"/>
        <v>0.69817869977131652</v>
      </c>
      <c r="BS193" s="74">
        <f t="shared" si="287"/>
        <v>0.79586013444890469</v>
      </c>
      <c r="BT193" s="161">
        <f t="shared" si="287"/>
        <v>0.70768349221232485</v>
      </c>
      <c r="BU193" s="74">
        <f t="shared" si="287"/>
        <v>0.75738421319598892</v>
      </c>
      <c r="BV193" s="74">
        <f t="shared" si="287"/>
        <v>0.68950462374093302</v>
      </c>
      <c r="BW193" s="74">
        <f t="shared" si="287"/>
        <v>0.69058586907156283</v>
      </c>
      <c r="BX193" s="74">
        <f t="shared" si="287"/>
        <v>0.69641582179066119</v>
      </c>
      <c r="BY193" s="161">
        <f t="shared" si="287"/>
        <v>0.70568037503331715</v>
      </c>
      <c r="BZ193" s="74">
        <f t="shared" si="287"/>
        <v>0.7490366244616431</v>
      </c>
      <c r="CA193" s="74">
        <f t="shared" si="287"/>
        <v>0.68267000478627438</v>
      </c>
      <c r="CB193" s="74">
        <f t="shared" si="287"/>
        <v>0.60846888260254606</v>
      </c>
      <c r="CC193" s="74">
        <f t="shared" si="287"/>
        <v>0.65132273536243246</v>
      </c>
      <c r="CD193" s="161">
        <f t="shared" si="287"/>
        <v>0.66682997196592364</v>
      </c>
      <c r="CE193" s="74">
        <f t="shared" si="287"/>
        <v>0.67125858318761467</v>
      </c>
      <c r="CF193" s="74">
        <f t="shared" si="287"/>
        <v>0.63288423153692608</v>
      </c>
      <c r="CG193" s="74">
        <f t="shared" si="287"/>
        <v>0.63483858841219865</v>
      </c>
      <c r="CH193" s="74">
        <f t="shared" si="287"/>
        <v>0.75298246997811213</v>
      </c>
      <c r="CI193" s="161">
        <f t="shared" si="287"/>
        <v>0.69381251353106732</v>
      </c>
      <c r="CJ193" s="161" t="e">
        <f t="shared" si="287"/>
        <v>#REF!</v>
      </c>
      <c r="CK193" s="161" t="e">
        <f t="shared" si="287"/>
        <v>#REF!</v>
      </c>
      <c r="CL193" s="161"/>
      <c r="CM193" s="161"/>
      <c r="CN193" s="161"/>
      <c r="CO193" s="74"/>
      <c r="CP193" s="74"/>
      <c r="CQ193" s="6"/>
      <c r="CR193" s="6"/>
      <c r="CS193" s="6"/>
      <c r="CT193" s="124"/>
      <c r="CU193" s="124"/>
      <c r="CV193" s="124"/>
      <c r="CW193" s="124"/>
      <c r="CX193" s="124"/>
      <c r="CY193" s="124"/>
      <c r="CZ193" s="124"/>
      <c r="DA193" s="124"/>
      <c r="DB193" s="124"/>
      <c r="DC193" s="124"/>
      <c r="DD193" s="124"/>
      <c r="DE193" s="124"/>
      <c r="DF193" s="124"/>
      <c r="DG193" s="124"/>
      <c r="DH193" s="124"/>
      <c r="DI193" s="124"/>
      <c r="DK193" s="124"/>
      <c r="DL193" s="124"/>
      <c r="DM193" s="6"/>
      <c r="DN193" s="124"/>
      <c r="DO193" s="124"/>
      <c r="DQ193" s="136"/>
      <c r="DR193" s="124"/>
      <c r="DS193" s="124"/>
      <c r="DT193" s="124"/>
      <c r="DV193" s="124"/>
      <c r="DW193" s="124"/>
      <c r="DX193" s="124"/>
      <c r="EA193" s="111"/>
      <c r="EB193" s="111"/>
      <c r="EC193" s="111"/>
      <c r="ED193" s="124"/>
      <c r="EE193" s="124"/>
      <c r="EF193" s="124"/>
      <c r="EJ193" s="111"/>
      <c r="EK193" s="111"/>
      <c r="EL193" s="124"/>
      <c r="EM193" s="124"/>
      <c r="EN193" s="124"/>
      <c r="EP193" s="111"/>
      <c r="EQ193" s="124"/>
      <c r="ER193" s="124"/>
      <c r="ES193" s="124"/>
      <c r="EV193" s="111"/>
      <c r="EW193" s="111"/>
      <c r="EX193" s="111"/>
      <c r="EY193" s="111"/>
      <c r="EZ193" s="124"/>
      <c r="FA193" s="124"/>
      <c r="FD193" s="111"/>
      <c r="FE193" s="111"/>
      <c r="FF193" s="111"/>
      <c r="FG193" s="124"/>
      <c r="FH193" s="124"/>
      <c r="FK193" s="124"/>
      <c r="FL193" s="124"/>
      <c r="FO193" s="111"/>
      <c r="FP193" s="111"/>
      <c r="FQ193" s="124"/>
      <c r="FR193" s="124"/>
      <c r="FU193" s="111"/>
      <c r="FV193" s="124"/>
      <c r="FW193" s="124"/>
      <c r="FX193" s="124"/>
      <c r="FY193" s="124"/>
      <c r="GA193" s="124"/>
      <c r="GB193" s="124"/>
      <c r="GC193" s="124"/>
      <c r="GF193" s="111"/>
      <c r="GG193" s="111"/>
      <c r="GH193" s="111"/>
      <c r="GI193" s="124"/>
      <c r="GJ193" s="124"/>
      <c r="GK193" s="124"/>
      <c r="GN193" s="111"/>
      <c r="GO193" s="111"/>
      <c r="GP193" s="124"/>
      <c r="GQ193" s="124"/>
      <c r="GR193" s="124"/>
      <c r="GV193" s="111"/>
      <c r="GW193" s="124"/>
      <c r="GX193" s="124"/>
      <c r="GY193" s="124"/>
      <c r="HC193" s="124"/>
      <c r="HD193" s="124"/>
      <c r="HE193" s="124"/>
      <c r="HF193" s="124"/>
      <c r="HI193" s="111"/>
      <c r="HJ193" s="111"/>
      <c r="HK193" s="111"/>
      <c r="HL193" s="111"/>
      <c r="HM193" s="124"/>
      <c r="HN193" s="124"/>
      <c r="HO193" s="124"/>
      <c r="HR193" s="111"/>
      <c r="HS193" s="111"/>
      <c r="HT193" s="111"/>
      <c r="HU193" s="124"/>
      <c r="HV193" s="124"/>
      <c r="HW193" s="124"/>
      <c r="HZ193" s="111"/>
      <c r="IA193" s="124"/>
      <c r="IB193" s="124"/>
      <c r="IC193" s="124"/>
      <c r="IE193" s="111"/>
      <c r="IF193" s="124"/>
      <c r="IG193" s="124"/>
      <c r="IH193" s="124"/>
      <c r="IK193" s="124"/>
      <c r="IL193" s="124"/>
      <c r="IO193" s="124"/>
      <c r="IP193" s="124"/>
      <c r="IS193" s="160"/>
      <c r="IT193" s="160"/>
      <c r="IU193" s="160"/>
      <c r="IX193" s="124"/>
      <c r="IY193" s="124"/>
      <c r="IZ193" s="124"/>
      <c r="JA193" s="124"/>
      <c r="JD193" s="124"/>
      <c r="JE193" s="124"/>
      <c r="JH193" s="124"/>
      <c r="JI193" s="124"/>
      <c r="JJ193" s="124"/>
      <c r="JM193" s="124"/>
      <c r="JN193" s="124"/>
      <c r="JQ193" s="124"/>
      <c r="JR193" s="124"/>
      <c r="JS193" s="124"/>
      <c r="JV193" s="124"/>
      <c r="JW193" s="124"/>
      <c r="JY193" s="124"/>
      <c r="JZ193" s="124"/>
      <c r="KB193" s="124"/>
      <c r="KC193" s="124"/>
      <c r="KD193" s="124"/>
    </row>
    <row r="194" spans="2:290" hidden="1" x14ac:dyDescent="0.25">
      <c r="B194" s="6" t="str">
        <f t="shared" si="286"/>
        <v>Industrial Products</v>
      </c>
      <c r="C194" s="136"/>
      <c r="D194" s="136"/>
      <c r="E194" s="136"/>
      <c r="F194" s="136"/>
      <c r="G194" s="136"/>
      <c r="H194" s="132"/>
      <c r="I194" s="158"/>
      <c r="J194" s="158"/>
      <c r="K194" s="158"/>
      <c r="L194" s="158"/>
      <c r="M194" s="132"/>
      <c r="N194" s="158"/>
      <c r="O194" s="158"/>
      <c r="P194" s="158"/>
      <c r="Q194" s="158"/>
      <c r="R194" s="132"/>
      <c r="S194" s="158"/>
      <c r="T194" s="158"/>
      <c r="U194" s="158"/>
      <c r="V194" s="158"/>
      <c r="W194" s="132"/>
      <c r="X194" s="158"/>
      <c r="Y194" s="158"/>
      <c r="Z194" s="158"/>
      <c r="AA194" s="158"/>
      <c r="AB194" s="161"/>
      <c r="AC194" s="162"/>
      <c r="AD194" s="162"/>
      <c r="AE194" s="162"/>
      <c r="AF194" s="162"/>
      <c r="AG194" s="161"/>
      <c r="AH194" s="162">
        <v>7.0538157494679232E-2</v>
      </c>
      <c r="AI194" s="162">
        <v>4.1948466868594658E-2</v>
      </c>
      <c r="AJ194" s="162">
        <v>9.8017231205004135E-2</v>
      </c>
      <c r="AK194" s="161">
        <v>7.3931437727521893E-2</v>
      </c>
      <c r="AL194" s="162">
        <f t="shared" si="287"/>
        <v>6.5285662519628002E-2</v>
      </c>
      <c r="AM194" s="162">
        <f t="shared" si="287"/>
        <v>0.11847185531396055</v>
      </c>
      <c r="AN194" s="162">
        <f t="shared" si="287"/>
        <v>6.5472555804328675E-2</v>
      </c>
      <c r="AO194" s="162">
        <f t="shared" si="287"/>
        <v>0.1159256899171609</v>
      </c>
      <c r="AP194" s="161">
        <f t="shared" si="287"/>
        <v>9.1038174666644905E-2</v>
      </c>
      <c r="AQ194" s="162">
        <f t="shared" si="287"/>
        <v>9.2159675922018736E-2</v>
      </c>
      <c r="AR194" s="162">
        <f t="shared" si="287"/>
        <v>0.15545060999606455</v>
      </c>
      <c r="AS194" s="162">
        <f t="shared" si="287"/>
        <v>0.11873673377500484</v>
      </c>
      <c r="AT194" s="162">
        <f t="shared" si="287"/>
        <v>0.13296398891966757</v>
      </c>
      <c r="AU194" s="161">
        <f t="shared" si="287"/>
        <v>0.12533815690480382</v>
      </c>
      <c r="AV194" s="74">
        <f t="shared" si="287"/>
        <v>0.13655988857938717</v>
      </c>
      <c r="AW194" s="74">
        <f t="shared" si="287"/>
        <v>0.10824742268041236</v>
      </c>
      <c r="AX194" s="74">
        <f t="shared" si="287"/>
        <v>8.2943241661790498E-2</v>
      </c>
      <c r="AY194" s="74">
        <f t="shared" si="287"/>
        <v>9.7588688296932222E-2</v>
      </c>
      <c r="AZ194" s="161">
        <f t="shared" si="287"/>
        <v>0.11348138098468351</v>
      </c>
      <c r="BA194" s="74">
        <f t="shared" si="287"/>
        <v>9.736948603804127E-2</v>
      </c>
      <c r="BB194" s="74">
        <f t="shared" si="287"/>
        <v>-1.593884687322111E-2</v>
      </c>
      <c r="BC194" s="74">
        <f t="shared" si="287"/>
        <v>4.9608507654551826E-2</v>
      </c>
      <c r="BD194" s="74">
        <f t="shared" si="287"/>
        <v>5.8494426119994988E-2</v>
      </c>
      <c r="BE194" s="161">
        <f t="shared" si="287"/>
        <v>4.9560996393627217E-2</v>
      </c>
      <c r="BF194" s="74">
        <f t="shared" si="287"/>
        <v>-0.10471204188481677</v>
      </c>
      <c r="BG194" s="74">
        <f t="shared" si="287"/>
        <v>5.7685831128217464E-2</v>
      </c>
      <c r="BH194" s="74">
        <f t="shared" si="287"/>
        <v>5.7790972502449994E-2</v>
      </c>
      <c r="BI194" s="74">
        <f t="shared" si="287"/>
        <v>8.3759069248272033E-2</v>
      </c>
      <c r="BJ194" s="161">
        <f t="shared" si="287"/>
        <v>5.8048169186721912E-2</v>
      </c>
      <c r="BK194" s="74">
        <f t="shared" si="287"/>
        <v>7.1361722040243339E-2</v>
      </c>
      <c r="BL194" s="74">
        <f t="shared" si="287"/>
        <v>7.4353615110698254E-2</v>
      </c>
      <c r="BM194" s="74">
        <f t="shared" si="287"/>
        <v>8.3704295552258112E-2</v>
      </c>
      <c r="BN194" s="74">
        <f t="shared" si="287"/>
        <v>9.2587684424419128E-2</v>
      </c>
      <c r="BO194" s="161">
        <f t="shared" si="287"/>
        <v>8.2570673174700029E-2</v>
      </c>
      <c r="BP194" s="74">
        <f t="shared" si="287"/>
        <v>0.1198405253283302</v>
      </c>
      <c r="BQ194" s="74">
        <f t="shared" si="287"/>
        <v>0.33809361895047035</v>
      </c>
      <c r="BR194" s="74">
        <f t="shared" si="287"/>
        <v>0.12908363279973864</v>
      </c>
      <c r="BS194" s="74">
        <f t="shared" si="287"/>
        <v>8.9302123131982408E-2</v>
      </c>
      <c r="BT194" s="161">
        <f t="shared" si="287"/>
        <v>0.12910350575610774</v>
      </c>
      <c r="BU194" s="74">
        <f t="shared" si="287"/>
        <v>7.3666549611767912E-2</v>
      </c>
      <c r="BV194" s="74">
        <f t="shared" si="287"/>
        <v>8.6768194162741924E-2</v>
      </c>
      <c r="BW194" s="74">
        <f t="shared" si="287"/>
        <v>9.624991889963018E-2</v>
      </c>
      <c r="BX194" s="74">
        <f t="shared" si="287"/>
        <v>9.4102527488219331E-2</v>
      </c>
      <c r="BY194" s="161">
        <f t="shared" si="287"/>
        <v>8.8843072388328823E-2</v>
      </c>
      <c r="BZ194" s="74">
        <f t="shared" si="287"/>
        <v>6.3275153006703153E-2</v>
      </c>
      <c r="CA194" s="74">
        <f t="shared" si="287"/>
        <v>0.10360443282647915</v>
      </c>
      <c r="CB194" s="74">
        <f t="shared" si="287"/>
        <v>0.12022630834512023</v>
      </c>
      <c r="CC194" s="74">
        <f t="shared" si="287"/>
        <v>0.10618080902536878</v>
      </c>
      <c r="CD194" s="161">
        <f t="shared" si="287"/>
        <v>9.9797682879253877E-2</v>
      </c>
      <c r="CE194" s="74">
        <f t="shared" si="287"/>
        <v>7.5233505352497135E-2</v>
      </c>
      <c r="CF194" s="74">
        <f t="shared" si="287"/>
        <v>5.8882235528942117E-2</v>
      </c>
      <c r="CG194" s="74">
        <f t="shared" si="287"/>
        <v>0.12668577604435882</v>
      </c>
      <c r="CH194" s="74">
        <f t="shared" si="287"/>
        <v>8.2109123893281802E-2</v>
      </c>
      <c r="CI194" s="161">
        <f t="shared" si="287"/>
        <v>8.4901493829833308E-2</v>
      </c>
      <c r="CJ194" s="161" t="e">
        <f t="shared" si="287"/>
        <v>#REF!</v>
      </c>
      <c r="CK194" s="161" t="e">
        <f t="shared" si="287"/>
        <v>#REF!</v>
      </c>
      <c r="CL194" s="161"/>
      <c r="CM194" s="161"/>
      <c r="CN194" s="161"/>
      <c r="CO194" s="74"/>
      <c r="CP194" s="74"/>
      <c r="CQ194" s="6"/>
      <c r="CR194" s="6"/>
      <c r="CS194" s="6"/>
      <c r="CT194" s="124"/>
      <c r="CU194" s="124"/>
      <c r="CV194" s="124"/>
      <c r="CW194" s="124"/>
      <c r="CX194" s="124"/>
      <c r="CY194" s="124"/>
      <c r="CZ194" s="124"/>
      <c r="DA194" s="124"/>
      <c r="DB194" s="124"/>
      <c r="DC194" s="124"/>
      <c r="DD194" s="124"/>
      <c r="DE194" s="124"/>
      <c r="DF194" s="124"/>
      <c r="DG194" s="124"/>
      <c r="DH194" s="124"/>
      <c r="DI194" s="124"/>
      <c r="DK194" s="124"/>
      <c r="DL194" s="124"/>
      <c r="DM194" s="6"/>
      <c r="DN194" s="124"/>
      <c r="DO194" s="124"/>
      <c r="DQ194" s="136"/>
      <c r="DR194" s="124"/>
      <c r="DS194" s="124"/>
      <c r="DT194" s="124"/>
      <c r="DV194" s="124"/>
      <c r="DW194" s="124"/>
      <c r="DX194" s="124"/>
      <c r="EA194" s="111"/>
      <c r="EB194" s="111"/>
      <c r="EC194" s="111"/>
      <c r="ED194" s="124"/>
      <c r="EE194" s="124"/>
      <c r="EF194" s="124"/>
      <c r="EJ194" s="111"/>
      <c r="EK194" s="111"/>
      <c r="EL194" s="124"/>
      <c r="EM194" s="124"/>
      <c r="EN194" s="124"/>
      <c r="EP194" s="111"/>
      <c r="EQ194" s="124"/>
      <c r="ER194" s="124"/>
      <c r="ES194" s="124"/>
      <c r="EV194" s="111"/>
      <c r="EW194" s="111"/>
      <c r="EX194" s="111"/>
      <c r="EY194" s="111"/>
      <c r="EZ194" s="124"/>
      <c r="FA194" s="124"/>
      <c r="FD194" s="111"/>
      <c r="FE194" s="111"/>
      <c r="FF194" s="111"/>
      <c r="FG194" s="124"/>
      <c r="FH194" s="124"/>
      <c r="FK194" s="124"/>
      <c r="FL194" s="124"/>
      <c r="FO194" s="111"/>
      <c r="FP194" s="111"/>
      <c r="FQ194" s="124"/>
      <c r="FR194" s="124"/>
      <c r="FU194" s="111"/>
      <c r="FV194" s="124"/>
      <c r="FW194" s="124"/>
      <c r="FX194" s="124"/>
      <c r="FY194" s="124"/>
      <c r="GA194" s="124"/>
      <c r="GB194" s="124"/>
      <c r="GC194" s="124"/>
      <c r="GF194" s="111"/>
      <c r="GG194" s="111"/>
      <c r="GH194" s="111"/>
      <c r="GI194" s="124"/>
      <c r="GJ194" s="124"/>
      <c r="GK194" s="124"/>
      <c r="GN194" s="111"/>
      <c r="GO194" s="111"/>
      <c r="GP194" s="124"/>
      <c r="GQ194" s="124"/>
      <c r="GR194" s="124"/>
      <c r="GV194" s="111"/>
      <c r="GW194" s="124"/>
      <c r="GX194" s="124"/>
      <c r="GY194" s="124"/>
      <c r="HC194" s="124"/>
      <c r="HD194" s="124"/>
      <c r="HE194" s="124"/>
      <c r="HF194" s="124"/>
      <c r="HI194" s="111"/>
      <c r="HJ194" s="111"/>
      <c r="HK194" s="111"/>
      <c r="HL194" s="111"/>
      <c r="HM194" s="124"/>
      <c r="HN194" s="124"/>
      <c r="HO194" s="124"/>
      <c r="HR194" s="111"/>
      <c r="HS194" s="111"/>
      <c r="HT194" s="111"/>
      <c r="HU194" s="124"/>
      <c r="HV194" s="124"/>
      <c r="HW194" s="124"/>
      <c r="HZ194" s="111"/>
      <c r="IA194" s="124"/>
      <c r="IB194" s="124"/>
      <c r="IC194" s="124"/>
      <c r="IE194" s="111"/>
      <c r="IF194" s="124"/>
      <c r="IG194" s="124"/>
      <c r="IH194" s="124"/>
      <c r="IK194" s="124"/>
      <c r="IL194" s="124"/>
      <c r="IO194" s="124"/>
      <c r="IP194" s="124"/>
      <c r="IS194" s="160"/>
      <c r="IT194" s="160"/>
      <c r="IU194" s="160"/>
      <c r="IX194" s="124"/>
      <c r="IY194" s="124"/>
      <c r="IZ194" s="124"/>
      <c r="JA194" s="124"/>
      <c r="JD194" s="124"/>
      <c r="JE194" s="124"/>
      <c r="JH194" s="124"/>
      <c r="JI194" s="124"/>
      <c r="JJ194" s="124"/>
      <c r="JM194" s="124"/>
      <c r="JN194" s="124"/>
      <c r="JQ194" s="124"/>
      <c r="JR194" s="124"/>
      <c r="JS194" s="124"/>
      <c r="JV194" s="124"/>
      <c r="JW194" s="124"/>
      <c r="JY194" s="124"/>
      <c r="JZ194" s="124"/>
      <c r="KB194" s="124"/>
      <c r="KC194" s="124"/>
      <c r="KD194" s="124"/>
    </row>
    <row r="195" spans="2:290" hidden="1" x14ac:dyDescent="0.25">
      <c r="B195" s="6" t="str">
        <f t="shared" si="286"/>
        <v>Packaging Products</v>
      </c>
      <c r="C195" s="136"/>
      <c r="D195" s="136"/>
      <c r="E195" s="136"/>
      <c r="F195" s="136"/>
      <c r="G195" s="136"/>
      <c r="H195" s="132"/>
      <c r="I195" s="158"/>
      <c r="J195" s="158"/>
      <c r="K195" s="158"/>
      <c r="L195" s="158"/>
      <c r="M195" s="132"/>
      <c r="N195" s="158"/>
      <c r="O195" s="158"/>
      <c r="P195" s="158"/>
      <c r="Q195" s="158"/>
      <c r="R195" s="132"/>
      <c r="S195" s="158"/>
      <c r="T195" s="158"/>
      <c r="U195" s="158"/>
      <c r="V195" s="158"/>
      <c r="W195" s="132"/>
      <c r="X195" s="158"/>
      <c r="Y195" s="158"/>
      <c r="Z195" s="158"/>
      <c r="AA195" s="158"/>
      <c r="AB195" s="161"/>
      <c r="AC195" s="162"/>
      <c r="AD195" s="162"/>
      <c r="AE195" s="162"/>
      <c r="AF195" s="162"/>
      <c r="AG195" s="161"/>
      <c r="AH195" s="162">
        <v>0.27698388567953786</v>
      </c>
      <c r="AI195" s="162">
        <v>0.48105887722501134</v>
      </c>
      <c r="AJ195" s="162">
        <v>0.29051103505251979</v>
      </c>
      <c r="AK195" s="161">
        <v>0.35256581444052454</v>
      </c>
      <c r="AL195" s="162">
        <f t="shared" si="287"/>
        <v>0.31755042879574835</v>
      </c>
      <c r="AM195" s="162">
        <f t="shared" si="287"/>
        <v>0.19874009347693553</v>
      </c>
      <c r="AN195" s="162">
        <f t="shared" si="287"/>
        <v>0.3821833231562522</v>
      </c>
      <c r="AO195" s="162">
        <f t="shared" si="287"/>
        <v>0.2605264447821185</v>
      </c>
      <c r="AP195" s="161">
        <f t="shared" si="287"/>
        <v>0.29642081898451145</v>
      </c>
      <c r="AQ195" s="162">
        <f t="shared" si="287"/>
        <v>0.30441387458857289</v>
      </c>
      <c r="AR195" s="162">
        <f t="shared" si="287"/>
        <v>0.27341597796143252</v>
      </c>
      <c r="AS195" s="162">
        <f t="shared" si="287"/>
        <v>0.39506014021997815</v>
      </c>
      <c r="AT195" s="162">
        <f t="shared" si="287"/>
        <v>0.19788028423461398</v>
      </c>
      <c r="AU195" s="161">
        <f t="shared" si="287"/>
        <v>0.27945766835811819</v>
      </c>
      <c r="AV195" s="74">
        <f t="shared" si="287"/>
        <v>0.26002785515320331</v>
      </c>
      <c r="AW195" s="74">
        <f t="shared" si="287"/>
        <v>0.13963344788087056</v>
      </c>
      <c r="AX195" s="74">
        <f t="shared" si="287"/>
        <v>0.264774722059684</v>
      </c>
      <c r="AY195" s="74">
        <f t="shared" si="287"/>
        <v>0.18880191894962758</v>
      </c>
      <c r="AZ195" s="161">
        <f t="shared" si="287"/>
        <v>0.22819450890785106</v>
      </c>
      <c r="BA195" s="74">
        <f t="shared" si="287"/>
        <v>0.16665317685147713</v>
      </c>
      <c r="BB195" s="74">
        <f t="shared" si="287"/>
        <v>3.1064487273318692E-2</v>
      </c>
      <c r="BC195" s="74">
        <f t="shared" si="287"/>
        <v>0.25558022671497022</v>
      </c>
      <c r="BD195" s="74">
        <f t="shared" si="287"/>
        <v>0.1392843722600309</v>
      </c>
      <c r="BE195" s="161">
        <f t="shared" si="287"/>
        <v>0.15446535903951791</v>
      </c>
      <c r="BF195" s="74">
        <f t="shared" si="287"/>
        <v>0.25254891154588044</v>
      </c>
      <c r="BG195" s="74">
        <f t="shared" si="287"/>
        <v>0.12311763290834737</v>
      </c>
      <c r="BH195" s="74">
        <f t="shared" si="287"/>
        <v>0.11491900616821352</v>
      </c>
      <c r="BI195" s="74">
        <f t="shared" si="287"/>
        <v>8.7579959644528402E-2</v>
      </c>
      <c r="BJ195" s="161">
        <f t="shared" si="287"/>
        <v>0.11396503937872177</v>
      </c>
      <c r="BK195" s="74">
        <f t="shared" si="287"/>
        <v>0.10025737014506318</v>
      </c>
      <c r="BL195" s="74">
        <f t="shared" si="287"/>
        <v>9.8622077721009435E-2</v>
      </c>
      <c r="BM195" s="74">
        <f t="shared" si="287"/>
        <v>9.5118517673020583E-2</v>
      </c>
      <c r="BN195" s="74">
        <f t="shared" si="287"/>
        <v>9.921371145860941E-2</v>
      </c>
      <c r="BO195" s="161">
        <f t="shared" si="287"/>
        <v>9.7727030612936652E-2</v>
      </c>
      <c r="BP195" s="74">
        <f t="shared" si="287"/>
        <v>0.10680112570356472</v>
      </c>
      <c r="BQ195" s="74">
        <f t="shared" si="287"/>
        <v>0.24152782500283351</v>
      </c>
      <c r="BR195" s="74">
        <f t="shared" si="287"/>
        <v>9.2167592290101283E-2</v>
      </c>
      <c r="BS195" s="74">
        <f t="shared" si="287"/>
        <v>6.0163466653769891E-2</v>
      </c>
      <c r="BT195" s="161">
        <f t="shared" si="287"/>
        <v>9.535864978902954E-2</v>
      </c>
      <c r="BU195" s="74">
        <f t="shared" si="287"/>
        <v>9.9574700534550697E-2</v>
      </c>
      <c r="BV195" s="74">
        <f t="shared" si="287"/>
        <v>0.1643920382275087</v>
      </c>
      <c r="BW195" s="74">
        <f t="shared" si="287"/>
        <v>0.15097644845260491</v>
      </c>
      <c r="BX195" s="74">
        <f t="shared" si="287"/>
        <v>0.16138321671664524</v>
      </c>
      <c r="BY195" s="161">
        <f t="shared" si="287"/>
        <v>0.14713629450776877</v>
      </c>
      <c r="BZ195" s="74">
        <f t="shared" si="287"/>
        <v>0.13642692917975455</v>
      </c>
      <c r="CA195" s="74">
        <f t="shared" si="287"/>
        <v>0.15201943963771583</v>
      </c>
      <c r="CB195" s="74">
        <f t="shared" si="287"/>
        <v>0.19505834512022632</v>
      </c>
      <c r="CC195" s="74">
        <f t="shared" si="287"/>
        <v>0.17194051461494375</v>
      </c>
      <c r="CD195" s="161">
        <f t="shared" si="287"/>
        <v>0.16693430590711558</v>
      </c>
      <c r="CE195" s="74">
        <f t="shared" si="287"/>
        <v>0.19503561223184204</v>
      </c>
      <c r="CF195" s="74">
        <f t="shared" si="287"/>
        <v>0.2374750499001996</v>
      </c>
      <c r="CG195" s="74">
        <f t="shared" si="287"/>
        <v>0.15713547295709787</v>
      </c>
      <c r="CH195" s="74">
        <f t="shared" si="287"/>
        <v>0.11547335002859228</v>
      </c>
      <c r="CI195" s="161">
        <f t="shared" si="287"/>
        <v>0.16048495345312838</v>
      </c>
      <c r="CJ195" s="161" t="e">
        <f t="shared" si="287"/>
        <v>#REF!</v>
      </c>
      <c r="CK195" s="161" t="e">
        <f t="shared" si="287"/>
        <v>#REF!</v>
      </c>
      <c r="CL195" s="161"/>
      <c r="CM195" s="161"/>
      <c r="CN195" s="161"/>
      <c r="CO195" s="74"/>
      <c r="CP195" s="74"/>
      <c r="CQ195" s="6"/>
      <c r="CR195" s="6"/>
      <c r="CS195" s="6"/>
      <c r="CT195" s="124"/>
      <c r="CU195" s="124"/>
      <c r="CV195" s="124"/>
      <c r="CW195" s="124"/>
      <c r="CX195" s="124"/>
      <c r="CY195" s="124"/>
      <c r="CZ195" s="124"/>
      <c r="DA195" s="124"/>
      <c r="DB195" s="124"/>
      <c r="DC195" s="124"/>
      <c r="DD195" s="124"/>
      <c r="DE195" s="124"/>
      <c r="DF195" s="124"/>
      <c r="DG195" s="124"/>
      <c r="DH195" s="124"/>
      <c r="DI195" s="124"/>
      <c r="DK195" s="124"/>
      <c r="DL195" s="124"/>
      <c r="DM195" s="6"/>
      <c r="DN195" s="124"/>
      <c r="DO195" s="124"/>
      <c r="DQ195" s="136"/>
      <c r="DR195" s="124"/>
      <c r="DS195" s="124"/>
      <c r="DT195" s="124"/>
      <c r="DV195" s="124"/>
      <c r="DW195" s="124"/>
      <c r="DX195" s="124"/>
      <c r="EA195" s="111"/>
      <c r="EB195" s="111"/>
      <c r="EC195" s="111"/>
      <c r="ED195" s="124"/>
      <c r="EE195" s="124"/>
      <c r="EF195" s="124"/>
      <c r="EJ195" s="111"/>
      <c r="EK195" s="111"/>
      <c r="EL195" s="124"/>
      <c r="EM195" s="124"/>
      <c r="EN195" s="124"/>
      <c r="EP195" s="111"/>
      <c r="EQ195" s="124"/>
      <c r="ER195" s="124"/>
      <c r="ES195" s="124"/>
      <c r="EV195" s="111"/>
      <c r="EW195" s="111"/>
      <c r="EX195" s="111"/>
      <c r="EY195" s="111"/>
      <c r="EZ195" s="124"/>
      <c r="FA195" s="124"/>
      <c r="FD195" s="111"/>
      <c r="FE195" s="111"/>
      <c r="FF195" s="111"/>
      <c r="FG195" s="124"/>
      <c r="FH195" s="124"/>
      <c r="FK195" s="124"/>
      <c r="FL195" s="124"/>
      <c r="FO195" s="111"/>
      <c r="FP195" s="111"/>
      <c r="FQ195" s="124"/>
      <c r="FR195" s="124"/>
      <c r="FU195" s="111"/>
      <c r="FV195" s="124"/>
      <c r="FW195" s="124"/>
      <c r="FX195" s="124"/>
      <c r="FY195" s="124"/>
      <c r="GA195" s="124"/>
      <c r="GB195" s="124"/>
      <c r="GC195" s="124"/>
      <c r="GF195" s="111"/>
      <c r="GG195" s="111"/>
      <c r="GH195" s="111"/>
      <c r="GI195" s="124"/>
      <c r="GJ195" s="124"/>
      <c r="GK195" s="124"/>
      <c r="GN195" s="111"/>
      <c r="GO195" s="111"/>
      <c r="GP195" s="124"/>
      <c r="GQ195" s="124"/>
      <c r="GR195" s="124"/>
      <c r="GV195" s="111"/>
      <c r="GW195" s="124"/>
      <c r="GX195" s="124"/>
      <c r="GY195" s="124"/>
      <c r="HC195" s="124"/>
      <c r="HD195" s="124"/>
      <c r="HE195" s="124"/>
      <c r="HF195" s="124"/>
      <c r="HI195" s="111"/>
      <c r="HJ195" s="111"/>
      <c r="HK195" s="111"/>
      <c r="HL195" s="111"/>
      <c r="HM195" s="124"/>
      <c r="HN195" s="124"/>
      <c r="HO195" s="124"/>
      <c r="HR195" s="111"/>
      <c r="HS195" s="111"/>
      <c r="HT195" s="111"/>
      <c r="HU195" s="124"/>
      <c r="HV195" s="124"/>
      <c r="HW195" s="124"/>
      <c r="HZ195" s="111"/>
      <c r="IA195" s="124"/>
      <c r="IB195" s="124"/>
      <c r="IC195" s="124"/>
      <c r="IE195" s="111"/>
      <c r="IF195" s="124"/>
      <c r="IG195" s="124"/>
      <c r="IH195" s="124"/>
      <c r="IK195" s="124"/>
      <c r="IL195" s="124"/>
      <c r="IO195" s="124"/>
      <c r="IP195" s="124"/>
      <c r="IS195" s="160"/>
      <c r="IT195" s="160"/>
      <c r="IU195" s="160"/>
      <c r="IX195" s="124"/>
      <c r="IY195" s="124"/>
      <c r="IZ195" s="124"/>
      <c r="JA195" s="124"/>
      <c r="JD195" s="124"/>
      <c r="JE195" s="124"/>
      <c r="JH195" s="124"/>
      <c r="JI195" s="124"/>
      <c r="JJ195" s="124"/>
      <c r="JM195" s="124"/>
      <c r="JN195" s="124"/>
      <c r="JQ195" s="124"/>
      <c r="JR195" s="124"/>
      <c r="JS195" s="124"/>
      <c r="JV195" s="124"/>
      <c r="JW195" s="124"/>
      <c r="JY195" s="124"/>
      <c r="JZ195" s="124"/>
      <c r="KB195" s="124"/>
      <c r="KC195" s="124"/>
      <c r="KD195" s="124"/>
    </row>
    <row r="196" spans="2:290" hidden="1" x14ac:dyDescent="0.25">
      <c r="B196" s="6" t="str">
        <f t="shared" si="286"/>
        <v>Consumer Products</v>
      </c>
      <c r="C196" s="136"/>
      <c r="D196" s="136"/>
      <c r="E196" s="136"/>
      <c r="F196" s="136"/>
      <c r="G196" s="136"/>
      <c r="H196" s="132"/>
      <c r="I196" s="158"/>
      <c r="J196" s="158"/>
      <c r="K196" s="158"/>
      <c r="L196" s="158"/>
      <c r="M196" s="132"/>
      <c r="N196" s="158"/>
      <c r="O196" s="158"/>
      <c r="P196" s="158"/>
      <c r="Q196" s="158"/>
      <c r="R196" s="132"/>
      <c r="S196" s="158"/>
      <c r="T196" s="158"/>
      <c r="U196" s="158"/>
      <c r="V196" s="158"/>
      <c r="W196" s="132"/>
      <c r="X196" s="158"/>
      <c r="Y196" s="158"/>
      <c r="Z196" s="158"/>
      <c r="AA196" s="158"/>
      <c r="AB196" s="161"/>
      <c r="AC196" s="162"/>
      <c r="AD196" s="162"/>
      <c r="AE196" s="162"/>
      <c r="AF196" s="162"/>
      <c r="AG196" s="161"/>
      <c r="AH196" s="162">
        <v>4.819093949528732E-2</v>
      </c>
      <c r="AI196" s="162">
        <v>7.12833492386208E-2</v>
      </c>
      <c r="AJ196" s="162">
        <v>9.0876903103977349E-2</v>
      </c>
      <c r="AK196" s="161">
        <v>7.6340534386551778E-2</v>
      </c>
      <c r="AL196" s="162">
        <f t="shared" si="287"/>
        <v>8.0867254499335697E-2</v>
      </c>
      <c r="AM196" s="162">
        <f t="shared" si="287"/>
        <v>8.6161349319244046E-2</v>
      </c>
      <c r="AN196" s="162">
        <f t="shared" si="287"/>
        <v>7.9177691837980888E-2</v>
      </c>
      <c r="AO196" s="162">
        <f t="shared" si="287"/>
        <v>9.5975687466300655E-2</v>
      </c>
      <c r="AP196" s="161">
        <f t="shared" si="287"/>
        <v>8.6729447862773576E-2</v>
      </c>
      <c r="AQ196" s="162">
        <f t="shared" si="287"/>
        <v>8.0006751624609684E-2</v>
      </c>
      <c r="AR196" s="162">
        <f t="shared" si="287"/>
        <v>0.11265249901613537</v>
      </c>
      <c r="AS196" s="162">
        <f t="shared" si="287"/>
        <v>7.7699877789927319E-2</v>
      </c>
      <c r="AT196" s="162">
        <f t="shared" si="287"/>
        <v>9.9361676502468979E-2</v>
      </c>
      <c r="AU196" s="161">
        <f t="shared" si="287"/>
        <v>9.2474908357477875E-2</v>
      </c>
      <c r="AV196" s="74">
        <f t="shared" si="287"/>
        <v>8.3983286908077978E-2</v>
      </c>
      <c r="AW196" s="74">
        <f t="shared" si="287"/>
        <v>6.8213058419243994E-2</v>
      </c>
      <c r="AX196" s="74">
        <f t="shared" si="287"/>
        <v>0.10013165593914568</v>
      </c>
      <c r="AY196" s="74">
        <f t="shared" si="287"/>
        <v>0.11538947102638557</v>
      </c>
      <c r="AZ196" s="161">
        <f t="shared" si="287"/>
        <v>9.987861044664216E-2</v>
      </c>
      <c r="BA196" s="74">
        <f t="shared" si="287"/>
        <v>0.10408741400242816</v>
      </c>
      <c r="BB196" s="74">
        <f t="shared" si="287"/>
        <v>8.912742945433845E-2</v>
      </c>
      <c r="BC196" s="74">
        <f t="shared" si="287"/>
        <v>8.9225195746172714E-2</v>
      </c>
      <c r="BD196" s="74">
        <f t="shared" si="287"/>
        <v>7.7324537597595097E-2</v>
      </c>
      <c r="BE196" s="161">
        <f t="shared" si="287"/>
        <v>8.7663770409483074E-2</v>
      </c>
      <c r="BF196" s="74">
        <f t="shared" si="287"/>
        <v>-6.2000551116009932E-2</v>
      </c>
      <c r="BG196" s="74">
        <f t="shared" si="287"/>
        <v>6.1053644455135912E-2</v>
      </c>
      <c r="BH196" s="74">
        <f t="shared" si="287"/>
        <v>6.5803885398051529E-2</v>
      </c>
      <c r="BI196" s="74">
        <f t="shared" si="287"/>
        <v>6.1477697162237589E-2</v>
      </c>
      <c r="BJ196" s="161">
        <f t="shared" si="287"/>
        <v>5.4572230912067907E-2</v>
      </c>
      <c r="BK196" s="74">
        <f t="shared" si="287"/>
        <v>3.6265793167992518E-3</v>
      </c>
      <c r="BL196" s="74">
        <f t="shared" si="287"/>
        <v>6.7734943489704283E-2</v>
      </c>
      <c r="BM196" s="74">
        <f t="shared" si="287"/>
        <v>7.9899554845337298E-2</v>
      </c>
      <c r="BN196" s="74">
        <f t="shared" si="287"/>
        <v>4.2701063109226375E-2</v>
      </c>
      <c r="BO196" s="161">
        <f t="shared" si="287"/>
        <v>5.2364488606099345E-2</v>
      </c>
      <c r="BP196" s="74">
        <f t="shared" si="287"/>
        <v>5.1641651031894928E-2</v>
      </c>
      <c r="BQ196" s="74">
        <f t="shared" si="287"/>
        <v>0.17590388756658734</v>
      </c>
      <c r="BR196" s="74">
        <f t="shared" si="287"/>
        <v>8.0733420450833066E-2</v>
      </c>
      <c r="BS196" s="74">
        <f t="shared" si="287"/>
        <v>5.2038496880591964E-2</v>
      </c>
      <c r="BT196" s="161">
        <f t="shared" si="287"/>
        <v>7.0656873469812989E-2</v>
      </c>
      <c r="BU196" s="74">
        <f t="shared" si="287"/>
        <v>6.9179445159779931E-2</v>
      </c>
      <c r="BV196" s="74">
        <f t="shared" si="287"/>
        <v>6.0228952525009455E-2</v>
      </c>
      <c r="BW196" s="74">
        <f t="shared" si="287"/>
        <v>6.3452929345357803E-2</v>
      </c>
      <c r="BX196" s="74">
        <f t="shared" si="287"/>
        <v>4.8836213051549338E-2</v>
      </c>
      <c r="BY196" s="161">
        <f t="shared" si="287"/>
        <v>5.9053636662956058E-2</v>
      </c>
      <c r="BZ196" s="74">
        <f t="shared" si="287"/>
        <v>5.20708526278294E-2</v>
      </c>
      <c r="CA196" s="74">
        <f t="shared" si="287"/>
        <v>6.1485217775486906E-2</v>
      </c>
      <c r="CB196" s="74">
        <f t="shared" si="287"/>
        <v>7.4787835926449803E-2</v>
      </c>
      <c r="CC196" s="74">
        <f t="shared" si="287"/>
        <v>6.8112575789568933E-2</v>
      </c>
      <c r="CD196" s="161">
        <f t="shared" si="287"/>
        <v>6.5576150168295183E-2</v>
      </c>
      <c r="CE196" s="74">
        <f t="shared" si="287"/>
        <v>5.9154689299270702E-2</v>
      </c>
      <c r="CF196" s="74">
        <f t="shared" si="287"/>
        <v>7.0459081836327334E-2</v>
      </c>
      <c r="CG196" s="74">
        <f t="shared" si="287"/>
        <v>8.058831821812884E-2</v>
      </c>
      <c r="CH196" s="74">
        <f t="shared" si="287"/>
        <v>6.2055094354504757E-2</v>
      </c>
      <c r="CI196" s="161">
        <f t="shared" si="287"/>
        <v>6.6291405066031608E-2</v>
      </c>
      <c r="CJ196" s="161" t="e">
        <f t="shared" si="287"/>
        <v>#REF!</v>
      </c>
      <c r="CK196" s="161" t="e">
        <f t="shared" si="287"/>
        <v>#REF!</v>
      </c>
      <c r="CL196" s="161"/>
      <c r="CM196" s="161"/>
      <c r="CN196" s="161"/>
      <c r="CO196" s="74"/>
      <c r="CP196" s="74"/>
      <c r="CQ196" s="6"/>
      <c r="CR196" s="6"/>
      <c r="CS196" s="6"/>
      <c r="CT196" s="124"/>
      <c r="CU196" s="124"/>
      <c r="CV196" s="124"/>
      <c r="CW196" s="124"/>
      <c r="CX196" s="124"/>
      <c r="CY196" s="124"/>
      <c r="CZ196" s="124"/>
      <c r="DA196" s="124"/>
      <c r="DB196" s="124"/>
      <c r="DC196" s="124"/>
      <c r="DD196" s="124"/>
      <c r="DE196" s="124"/>
      <c r="DF196" s="124"/>
      <c r="DG196" s="124"/>
      <c r="DH196" s="124"/>
      <c r="DI196" s="124"/>
      <c r="DK196" s="124"/>
      <c r="DL196" s="124"/>
      <c r="DM196" s="6"/>
      <c r="DN196" s="124"/>
      <c r="DO196" s="124"/>
      <c r="DQ196" s="136"/>
      <c r="DR196" s="124"/>
      <c r="DS196" s="124"/>
      <c r="DT196" s="124"/>
      <c r="DV196" s="124"/>
      <c r="DW196" s="124"/>
      <c r="DX196" s="124"/>
      <c r="EA196" s="111"/>
      <c r="EB196" s="111"/>
      <c r="EC196" s="111"/>
      <c r="ED196" s="124"/>
      <c r="EE196" s="124"/>
      <c r="EF196" s="124"/>
      <c r="EJ196" s="111"/>
      <c r="EK196" s="111"/>
      <c r="EL196" s="124"/>
      <c r="EM196" s="124"/>
      <c r="EN196" s="124"/>
      <c r="EP196" s="111"/>
      <c r="EQ196" s="124"/>
      <c r="ER196" s="124"/>
      <c r="ES196" s="124"/>
      <c r="EV196" s="111"/>
      <c r="EW196" s="111"/>
      <c r="EX196" s="111"/>
      <c r="EY196" s="111"/>
      <c r="EZ196" s="124"/>
      <c r="FA196" s="124"/>
      <c r="FD196" s="111"/>
      <c r="FE196" s="111"/>
      <c r="FF196" s="111"/>
      <c r="FG196" s="124"/>
      <c r="FH196" s="124"/>
      <c r="FK196" s="124"/>
      <c r="FL196" s="124"/>
      <c r="FO196" s="111"/>
      <c r="FP196" s="111"/>
      <c r="FQ196" s="124"/>
      <c r="FR196" s="124"/>
      <c r="FU196" s="111"/>
      <c r="FV196" s="124"/>
      <c r="FW196" s="124"/>
      <c r="FX196" s="124"/>
      <c r="FY196" s="124"/>
      <c r="GA196" s="124"/>
      <c r="GB196" s="124"/>
      <c r="GC196" s="124"/>
      <c r="GF196" s="111"/>
      <c r="GG196" s="111"/>
      <c r="GH196" s="111"/>
      <c r="GI196" s="124"/>
      <c r="GJ196" s="124"/>
      <c r="GK196" s="124"/>
      <c r="GN196" s="111"/>
      <c r="GO196" s="111"/>
      <c r="GP196" s="124"/>
      <c r="GQ196" s="124"/>
      <c r="GR196" s="124"/>
      <c r="GV196" s="111"/>
      <c r="GW196" s="124"/>
      <c r="GX196" s="124"/>
      <c r="GY196" s="124"/>
      <c r="HC196" s="124"/>
      <c r="HD196" s="124"/>
      <c r="HE196" s="124"/>
      <c r="HF196" s="124"/>
      <c r="HI196" s="111"/>
      <c r="HJ196" s="111"/>
      <c r="HK196" s="111"/>
      <c r="HL196" s="111"/>
      <c r="HM196" s="124"/>
      <c r="HN196" s="124"/>
      <c r="HO196" s="124"/>
      <c r="HR196" s="111"/>
      <c r="HS196" s="111"/>
      <c r="HT196" s="111"/>
      <c r="HU196" s="124"/>
      <c r="HV196" s="124"/>
      <c r="HW196" s="124"/>
      <c r="HZ196" s="111"/>
      <c r="IA196" s="124"/>
      <c r="IB196" s="124"/>
      <c r="IC196" s="124"/>
      <c r="IE196" s="111"/>
      <c r="IF196" s="124"/>
      <c r="IG196" s="124"/>
      <c r="IH196" s="124"/>
      <c r="IK196" s="124"/>
      <c r="IL196" s="124"/>
      <c r="IO196" s="124"/>
      <c r="IP196" s="124"/>
      <c r="IS196" s="160"/>
      <c r="IT196" s="160"/>
      <c r="IU196" s="160"/>
      <c r="IX196" s="124"/>
      <c r="IY196" s="124"/>
      <c r="IZ196" s="124"/>
      <c r="JA196" s="124"/>
      <c r="JD196" s="124"/>
      <c r="JE196" s="124"/>
      <c r="JH196" s="124"/>
      <c r="JI196" s="124"/>
      <c r="JJ196" s="124"/>
      <c r="JM196" s="124"/>
      <c r="JN196" s="124"/>
      <c r="JQ196" s="124"/>
      <c r="JR196" s="124"/>
      <c r="JS196" s="124"/>
      <c r="JV196" s="124"/>
      <c r="JW196" s="124"/>
      <c r="JY196" s="124"/>
      <c r="JZ196" s="124"/>
      <c r="KB196" s="124"/>
      <c r="KC196" s="124"/>
      <c r="KD196" s="124"/>
    </row>
    <row r="197" spans="2:290" hidden="1" x14ac:dyDescent="0.25">
      <c r="B197" s="6" t="str">
        <f t="shared" si="286"/>
        <v>Others</v>
      </c>
      <c r="C197" s="136"/>
      <c r="D197" s="136"/>
      <c r="E197" s="136"/>
      <c r="F197" s="136"/>
      <c r="G197" s="136"/>
      <c r="H197" s="132"/>
      <c r="I197" s="158"/>
      <c r="J197" s="158"/>
      <c r="K197" s="158"/>
      <c r="L197" s="158"/>
      <c r="M197" s="132"/>
      <c r="N197" s="158"/>
      <c r="O197" s="158"/>
      <c r="P197" s="158"/>
      <c r="Q197" s="158"/>
      <c r="R197" s="132"/>
      <c r="S197" s="158"/>
      <c r="T197" s="158"/>
      <c r="U197" s="158"/>
      <c r="V197" s="158"/>
      <c r="W197" s="132"/>
      <c r="X197" s="158"/>
      <c r="Y197" s="158"/>
      <c r="Z197" s="158"/>
      <c r="AA197" s="158"/>
      <c r="AB197" s="161"/>
      <c r="AC197" s="162"/>
      <c r="AD197" s="162"/>
      <c r="AE197" s="162"/>
      <c r="AF197" s="162"/>
      <c r="AG197" s="161"/>
      <c r="AH197" s="162">
        <v>-3.4052903618121015E-2</v>
      </c>
      <c r="AI197" s="162">
        <v>-2.5808057756939545E-2</v>
      </c>
      <c r="AJ197" s="162">
        <v>-2.5728785554113068E-2</v>
      </c>
      <c r="AK197" s="161">
        <v>-2.7295599252252379E-2</v>
      </c>
      <c r="AL197" s="162">
        <f t="shared" si="287"/>
        <v>-1.4313322865080328E-2</v>
      </c>
      <c r="AM197" s="162">
        <f t="shared" si="287"/>
        <v>-2.4791709002235315E-2</v>
      </c>
      <c r="AN197" s="162">
        <f t="shared" si="287"/>
        <v>-2.2457425876925171E-2</v>
      </c>
      <c r="AO197" s="162">
        <f t="shared" si="287"/>
        <v>3.921376403117494E-4</v>
      </c>
      <c r="AP197" s="161">
        <f t="shared" si="287"/>
        <v>-1.4003362112581809E-2</v>
      </c>
      <c r="AQ197" s="162">
        <f t="shared" si="287"/>
        <v>-2.6837707823445019E-2</v>
      </c>
      <c r="AR197" s="162">
        <f t="shared" si="287"/>
        <v>-2.5974025974025976E-2</v>
      </c>
      <c r="AS197" s="162">
        <f t="shared" si="287"/>
        <v>-2.206213417379559E-2</v>
      </c>
      <c r="AT197" s="162">
        <f t="shared" si="287"/>
        <v>4.8014773776546629E-2</v>
      </c>
      <c r="AU197" s="161">
        <f t="shared" si="287"/>
        <v>4.3220054105104766E-3</v>
      </c>
      <c r="AV197" s="74">
        <f t="shared" si="287"/>
        <v>-1.5738161559888577E-2</v>
      </c>
      <c r="AW197" s="74">
        <f t="shared" si="287"/>
        <v>0</v>
      </c>
      <c r="AX197" s="74">
        <f t="shared" si="287"/>
        <v>0</v>
      </c>
      <c r="AY197" s="74">
        <f t="shared" si="287"/>
        <v>-1.5780835753061483E-3</v>
      </c>
      <c r="AZ197" s="161">
        <f t="shared" si="287"/>
        <v>0</v>
      </c>
      <c r="BA197" s="74">
        <f t="shared" si="287"/>
        <v>-1.6997167138810196E-3</v>
      </c>
      <c r="BB197" s="74">
        <f t="shared" si="287"/>
        <v>2.3582987720582251E-3</v>
      </c>
      <c r="BC197" s="74">
        <f t="shared" si="287"/>
        <v>5.8431693350473291E-4</v>
      </c>
      <c r="BD197" s="74">
        <f t="shared" si="287"/>
        <v>1.9999164961797003E-2</v>
      </c>
      <c r="BE197" s="161">
        <f t="shared" si="287"/>
        <v>7.5627311045848092E-3</v>
      </c>
      <c r="BF197" s="74">
        <f t="shared" si="287"/>
        <v>-1.6533480297602648E-3</v>
      </c>
      <c r="BG197" s="74">
        <f t="shared" si="287"/>
        <v>4.8304065431801775E-2</v>
      </c>
      <c r="BH197" s="74">
        <f t="shared" si="287"/>
        <v>4.0122211333371766E-2</v>
      </c>
      <c r="BI197" s="74">
        <f t="shared" si="287"/>
        <v>8.3716137895505094E-4</v>
      </c>
      <c r="BJ197" s="161">
        <f t="shared" si="287"/>
        <v>2.2163680103912259E-2</v>
      </c>
      <c r="BK197" s="74">
        <f t="shared" si="287"/>
        <v>-3.275620028076744E-3</v>
      </c>
      <c r="BL197" s="74">
        <f t="shared" si="287"/>
        <v>8.3217216287350976E-3</v>
      </c>
      <c r="BM197" s="74">
        <f t="shared" si="287"/>
        <v>2.2181638321348403E-2</v>
      </c>
      <c r="BN197" s="74">
        <f t="shared" si="287"/>
        <v>3.0332479312071151E-3</v>
      </c>
      <c r="BO197" s="161">
        <f t="shared" si="287"/>
        <v>8.1834645593034851E-3</v>
      </c>
      <c r="BP197" s="74">
        <f t="shared" si="287"/>
        <v>-2.5328330206378985E-3</v>
      </c>
      <c r="BQ197" s="74">
        <f t="shared" si="287"/>
        <v>-3.626884279723451E-2</v>
      </c>
      <c r="BR197" s="74">
        <f t="shared" si="287"/>
        <v>-1.6334531198954589E-4</v>
      </c>
      <c r="BS197" s="74">
        <f t="shared" si="287"/>
        <v>2.635778884751173E-3</v>
      </c>
      <c r="BT197" s="161">
        <f t="shared" si="287"/>
        <v>-2.8025212272750951E-3</v>
      </c>
      <c r="BU197" s="74">
        <f t="shared" si="287"/>
        <v>1.9509149791252097E-4</v>
      </c>
      <c r="BV197" s="74">
        <f t="shared" si="287"/>
        <v>-8.9380865619306273E-4</v>
      </c>
      <c r="BW197" s="74">
        <f t="shared" si="287"/>
        <v>-1.2651657691559071E-3</v>
      </c>
      <c r="BX197" s="74">
        <f t="shared" si="287"/>
        <v>-7.3777904707506307E-4</v>
      </c>
      <c r="BY197" s="161">
        <f t="shared" si="287"/>
        <v>-7.1337859237076884E-4</v>
      </c>
      <c r="BZ197" s="74">
        <f t="shared" si="287"/>
        <v>-8.095592759301836E-4</v>
      </c>
      <c r="CA197" s="74">
        <f t="shared" si="287"/>
        <v>2.2090497404366553E-4</v>
      </c>
      <c r="CB197" s="74">
        <f t="shared" si="287"/>
        <v>1.4586280056577089E-3</v>
      </c>
      <c r="CC197" s="74">
        <f t="shared" si="287"/>
        <v>2.4433652076860427E-3</v>
      </c>
      <c r="CD197" s="161">
        <f t="shared" si="287"/>
        <v>8.6188907941173794E-4</v>
      </c>
      <c r="CE197" s="74">
        <f t="shared" si="287"/>
        <v>-6.8239007122446378E-4</v>
      </c>
      <c r="CF197" s="74">
        <f t="shared" si="287"/>
        <v>2.9940119760479042E-4</v>
      </c>
      <c r="CG197" s="74">
        <f t="shared" ref="CG197:CK197" si="288">CG174/CG$176</f>
        <v>7.5184436821577937E-4</v>
      </c>
      <c r="CH197" s="74">
        <f t="shared" si="288"/>
        <v>-1.262003825449096E-2</v>
      </c>
      <c r="CI197" s="161">
        <f t="shared" si="288"/>
        <v>-5.4903658800606187E-3</v>
      </c>
      <c r="CJ197" s="161" t="e">
        <f t="shared" si="288"/>
        <v>#REF!</v>
      </c>
      <c r="CK197" s="161" t="e">
        <f t="shared" si="288"/>
        <v>#REF!</v>
      </c>
      <c r="CL197" s="161"/>
      <c r="CM197" s="161"/>
      <c r="CN197" s="161"/>
      <c r="CO197" s="74"/>
      <c r="CP197" s="74"/>
      <c r="CQ197" s="6"/>
      <c r="CR197" s="6"/>
      <c r="CS197" s="6"/>
      <c r="CT197" s="124"/>
      <c r="CU197" s="124"/>
      <c r="CV197" s="124"/>
      <c r="CW197" s="124"/>
      <c r="CX197" s="124"/>
      <c r="CY197" s="124"/>
      <c r="CZ197" s="124"/>
      <c r="DA197" s="124"/>
      <c r="DB197" s="124"/>
      <c r="DC197" s="124"/>
      <c r="DD197" s="124"/>
      <c r="DE197" s="124"/>
      <c r="DF197" s="124"/>
      <c r="DG197" s="124"/>
      <c r="DH197" s="124"/>
      <c r="DI197" s="124"/>
      <c r="DK197" s="124"/>
      <c r="DL197" s="124"/>
      <c r="DM197" s="6"/>
      <c r="DN197" s="124"/>
      <c r="DO197" s="124"/>
      <c r="DQ197" s="136"/>
      <c r="DR197" s="124"/>
      <c r="DS197" s="124"/>
      <c r="DT197" s="124"/>
      <c r="DV197" s="124"/>
      <c r="DW197" s="124"/>
      <c r="DX197" s="124"/>
      <c r="EA197" s="111"/>
      <c r="EB197" s="111"/>
      <c r="EC197" s="111"/>
      <c r="ED197" s="124"/>
      <c r="EE197" s="124"/>
      <c r="EF197" s="124"/>
      <c r="EJ197" s="111"/>
      <c r="EK197" s="111"/>
      <c r="EL197" s="124"/>
      <c r="EM197" s="124"/>
      <c r="EN197" s="124"/>
      <c r="EP197" s="111"/>
      <c r="EQ197" s="124"/>
      <c r="ER197" s="124"/>
      <c r="ES197" s="124"/>
      <c r="EV197" s="111"/>
      <c r="EW197" s="111"/>
      <c r="EX197" s="111"/>
      <c r="EY197" s="111"/>
      <c r="EZ197" s="124"/>
      <c r="FA197" s="124"/>
      <c r="FD197" s="111"/>
      <c r="FE197" s="111"/>
      <c r="FF197" s="111"/>
      <c r="FG197" s="124"/>
      <c r="FH197" s="124"/>
      <c r="FK197" s="124"/>
      <c r="FL197" s="124"/>
      <c r="FO197" s="111"/>
      <c r="FP197" s="111"/>
      <c r="FQ197" s="124"/>
      <c r="FR197" s="124"/>
      <c r="FU197" s="111"/>
      <c r="FV197" s="124"/>
      <c r="FW197" s="124"/>
      <c r="FX197" s="124"/>
      <c r="FY197" s="124"/>
      <c r="GA197" s="124"/>
      <c r="GB197" s="124"/>
      <c r="GC197" s="124"/>
      <c r="GF197" s="111"/>
      <c r="GG197" s="111"/>
      <c r="GH197" s="111"/>
      <c r="GI197" s="124"/>
      <c r="GJ197" s="124"/>
      <c r="GK197" s="124"/>
      <c r="GN197" s="111"/>
      <c r="GO197" s="111"/>
      <c r="GP197" s="124"/>
      <c r="GQ197" s="124"/>
      <c r="GR197" s="124"/>
      <c r="GV197" s="111"/>
      <c r="GW197" s="124"/>
      <c r="GX197" s="124"/>
      <c r="GY197" s="124"/>
      <c r="HC197" s="124"/>
      <c r="HD197" s="124"/>
      <c r="HE197" s="124"/>
      <c r="HF197" s="124"/>
      <c r="HI197" s="111"/>
      <c r="HJ197" s="111"/>
      <c r="HK197" s="111"/>
      <c r="HL197" s="111"/>
      <c r="HM197" s="124"/>
      <c r="HN197" s="124"/>
      <c r="HO197" s="124"/>
      <c r="HR197" s="111"/>
      <c r="HS197" s="111"/>
      <c r="HT197" s="111"/>
      <c r="HU197" s="124"/>
      <c r="HV197" s="124"/>
      <c r="HW197" s="124"/>
      <c r="HZ197" s="111"/>
      <c r="IA197" s="124"/>
      <c r="IB197" s="124"/>
      <c r="IC197" s="124"/>
      <c r="IE197" s="111"/>
      <c r="IF197" s="124"/>
      <c r="IG197" s="124"/>
      <c r="IH197" s="124"/>
      <c r="IK197" s="124"/>
      <c r="IL197" s="124"/>
      <c r="IO197" s="124"/>
      <c r="IP197" s="124"/>
      <c r="IS197" s="160"/>
      <c r="IT197" s="160"/>
      <c r="IU197" s="160"/>
      <c r="IX197" s="124"/>
      <c r="IY197" s="124"/>
      <c r="IZ197" s="124"/>
      <c r="JA197" s="124"/>
      <c r="JD197" s="124"/>
      <c r="JE197" s="124"/>
      <c r="JH197" s="124"/>
      <c r="JI197" s="124"/>
      <c r="JJ197" s="124"/>
      <c r="JM197" s="124"/>
      <c r="JN197" s="124"/>
      <c r="JQ197" s="124"/>
      <c r="JR197" s="124"/>
      <c r="JS197" s="124"/>
      <c r="JV197" s="124"/>
      <c r="JW197" s="124"/>
      <c r="JY197" s="124"/>
      <c r="JZ197" s="124"/>
      <c r="KB197" s="124"/>
      <c r="KC197" s="124"/>
      <c r="KD197" s="124"/>
    </row>
    <row r="198" spans="2:290" hidden="1" x14ac:dyDescent="0.25">
      <c r="B198" s="6" t="str">
        <f t="shared" si="286"/>
        <v>Other Unallocable</v>
      </c>
      <c r="C198" s="136"/>
      <c r="D198" s="136"/>
      <c r="E198" s="136"/>
      <c r="F198" s="136"/>
      <c r="G198" s="136"/>
      <c r="H198" s="132"/>
      <c r="I198" s="158"/>
      <c r="J198" s="158"/>
      <c r="K198" s="158"/>
      <c r="L198" s="158"/>
      <c r="M198" s="132"/>
      <c r="N198" s="158"/>
      <c r="O198" s="158"/>
      <c r="P198" s="158"/>
      <c r="Q198" s="158"/>
      <c r="R198" s="132"/>
      <c r="S198" s="158"/>
      <c r="T198" s="158"/>
      <c r="U198" s="158"/>
      <c r="V198" s="158"/>
      <c r="W198" s="132"/>
      <c r="X198" s="158"/>
      <c r="Y198" s="158"/>
      <c r="Z198" s="158"/>
      <c r="AA198" s="158"/>
      <c r="AB198" s="161"/>
      <c r="AC198" s="162"/>
      <c r="AD198" s="162"/>
      <c r="AE198" s="162"/>
      <c r="AF198" s="162"/>
      <c r="AG198" s="161"/>
      <c r="AH198" s="162">
        <v>0</v>
      </c>
      <c r="AI198" s="162">
        <v>0</v>
      </c>
      <c r="AJ198" s="162">
        <v>0</v>
      </c>
      <c r="AK198" s="161">
        <v>0</v>
      </c>
      <c r="AL198" s="162">
        <f t="shared" ref="AL198:CK199" si="289">AL175/AL$176</f>
        <v>-1.5219229375528449E-2</v>
      </c>
      <c r="AM198" s="162">
        <f t="shared" si="289"/>
        <v>-1.6561674456411296E-2</v>
      </c>
      <c r="AN198" s="162">
        <f t="shared" si="289"/>
        <v>-7.1239568491756585E-3</v>
      </c>
      <c r="AO198" s="162">
        <f t="shared" si="289"/>
        <v>7.6957011911180824E-3</v>
      </c>
      <c r="AP198" s="161">
        <f t="shared" si="289"/>
        <v>-9.4824631554895449E-3</v>
      </c>
      <c r="AQ198" s="162">
        <f t="shared" si="289"/>
        <v>5.0637184572537768E-4</v>
      </c>
      <c r="AR198" s="162">
        <f t="shared" si="289"/>
        <v>-1.0920897284533649E-2</v>
      </c>
      <c r="AS198" s="162">
        <f t="shared" si="289"/>
        <v>-5.5316138161703226E-3</v>
      </c>
      <c r="AT198" s="162">
        <f t="shared" si="289"/>
        <v>-1.4452607491268216E-3</v>
      </c>
      <c r="AU198" s="161">
        <f t="shared" si="289"/>
        <v>-3.6336860303180672E-3</v>
      </c>
      <c r="AV198" s="74">
        <f t="shared" si="289"/>
        <v>-3.5515320334261833E-3</v>
      </c>
      <c r="AW198" s="74">
        <f t="shared" si="289"/>
        <v>0.31191294387170676</v>
      </c>
      <c r="AX198" s="74">
        <f t="shared" si="289"/>
        <v>-7.3142188414277343E-5</v>
      </c>
      <c r="AY198" s="74">
        <f t="shared" si="289"/>
        <v>0</v>
      </c>
      <c r="AZ198" s="161">
        <f t="shared" si="289"/>
        <v>0</v>
      </c>
      <c r="BA198" s="74">
        <f t="shared" si="289"/>
        <v>0</v>
      </c>
      <c r="BB198" s="74">
        <f t="shared" si="289"/>
        <v>0</v>
      </c>
      <c r="BC198" s="74">
        <f t="shared" si="289"/>
        <v>0</v>
      </c>
      <c r="BD198" s="74">
        <f t="shared" si="289"/>
        <v>0</v>
      </c>
      <c r="BE198" s="161">
        <f t="shared" si="289"/>
        <v>0</v>
      </c>
      <c r="BF198" s="74">
        <f t="shared" si="289"/>
        <v>0</v>
      </c>
      <c r="BG198" s="74">
        <f t="shared" si="289"/>
        <v>0</v>
      </c>
      <c r="BH198" s="74">
        <f t="shared" si="289"/>
        <v>0</v>
      </c>
      <c r="BI198" s="74">
        <f t="shared" si="289"/>
        <v>0</v>
      </c>
      <c r="BJ198" s="161">
        <f t="shared" si="289"/>
        <v>0</v>
      </c>
      <c r="BK198" s="74">
        <f t="shared" si="289"/>
        <v>0</v>
      </c>
      <c r="BL198" s="74">
        <f t="shared" si="289"/>
        <v>0</v>
      </c>
      <c r="BM198" s="74">
        <f t="shared" si="289"/>
        <v>0</v>
      </c>
      <c r="BN198" s="74">
        <f t="shared" si="289"/>
        <v>0</v>
      </c>
      <c r="BO198" s="161">
        <f t="shared" si="289"/>
        <v>0</v>
      </c>
      <c r="BP198" s="74">
        <f t="shared" si="289"/>
        <v>0</v>
      </c>
      <c r="BQ198" s="74">
        <f t="shared" si="289"/>
        <v>0</v>
      </c>
      <c r="BR198" s="74">
        <f t="shared" si="289"/>
        <v>0</v>
      </c>
      <c r="BS198" s="74">
        <f t="shared" si="289"/>
        <v>0</v>
      </c>
      <c r="BT198" s="161">
        <f t="shared" si="289"/>
        <v>0</v>
      </c>
      <c r="BU198" s="74">
        <f t="shared" si="289"/>
        <v>0</v>
      </c>
      <c r="BV198" s="74">
        <f t="shared" si="289"/>
        <v>0</v>
      </c>
      <c r="BW198" s="74">
        <f t="shared" si="289"/>
        <v>0</v>
      </c>
      <c r="BX198" s="74">
        <f t="shared" si="289"/>
        <v>0</v>
      </c>
      <c r="BY198" s="161">
        <f t="shared" si="289"/>
        <v>0</v>
      </c>
      <c r="BZ198" s="74">
        <f t="shared" si="289"/>
        <v>0</v>
      </c>
      <c r="CA198" s="74">
        <f t="shared" si="289"/>
        <v>0</v>
      </c>
      <c r="CB198" s="74">
        <f t="shared" si="289"/>
        <v>0</v>
      </c>
      <c r="CC198" s="74">
        <f t="shared" si="289"/>
        <v>0</v>
      </c>
      <c r="CD198" s="161">
        <f t="shared" si="289"/>
        <v>0</v>
      </c>
      <c r="CE198" s="74">
        <f t="shared" si="289"/>
        <v>0</v>
      </c>
      <c r="CF198" s="74">
        <f t="shared" si="289"/>
        <v>0</v>
      </c>
      <c r="CG198" s="74">
        <f t="shared" si="289"/>
        <v>0</v>
      </c>
      <c r="CH198" s="74">
        <f t="shared" si="289"/>
        <v>0</v>
      </c>
      <c r="CI198" s="161">
        <f t="shared" si="289"/>
        <v>0</v>
      </c>
      <c r="CJ198" s="161" t="e">
        <f t="shared" si="289"/>
        <v>#REF!</v>
      </c>
      <c r="CK198" s="161" t="e">
        <f t="shared" si="289"/>
        <v>#REF!</v>
      </c>
      <c r="CL198" s="161"/>
      <c r="CM198" s="161"/>
      <c r="CN198" s="161"/>
      <c r="CO198" s="74"/>
      <c r="CP198" s="74"/>
      <c r="CQ198" s="6"/>
      <c r="CR198" s="6"/>
      <c r="CS198" s="6"/>
      <c r="CT198" s="124"/>
      <c r="CU198" s="124"/>
      <c r="CV198" s="124"/>
      <c r="CW198" s="124"/>
      <c r="CX198" s="124"/>
      <c r="CY198" s="124"/>
      <c r="CZ198" s="124"/>
      <c r="DA198" s="124"/>
      <c r="DB198" s="124"/>
      <c r="DC198" s="124"/>
      <c r="DD198" s="124"/>
      <c r="DE198" s="124"/>
      <c r="DF198" s="124"/>
      <c r="DG198" s="124"/>
      <c r="DH198" s="124"/>
      <c r="DI198" s="124"/>
      <c r="DK198" s="124"/>
      <c r="DL198" s="124"/>
      <c r="DM198" s="6"/>
      <c r="DN198" s="124"/>
      <c r="DO198" s="124"/>
      <c r="DQ198" s="136"/>
      <c r="DR198" s="124"/>
      <c r="DS198" s="124"/>
      <c r="DT198" s="124"/>
      <c r="DV198" s="124"/>
      <c r="DW198" s="124"/>
      <c r="DX198" s="124"/>
      <c r="EA198" s="111"/>
      <c r="EB198" s="111"/>
      <c r="EC198" s="111"/>
      <c r="ED198" s="124"/>
      <c r="EE198" s="124"/>
      <c r="EF198" s="124"/>
      <c r="EJ198" s="111"/>
      <c r="EK198" s="111"/>
      <c r="EL198" s="124"/>
      <c r="EM198" s="124"/>
      <c r="EN198" s="124"/>
      <c r="EP198" s="111"/>
      <c r="EQ198" s="124"/>
      <c r="ER198" s="124"/>
      <c r="ES198" s="124"/>
      <c r="EV198" s="111"/>
      <c r="EW198" s="111"/>
      <c r="EX198" s="111"/>
      <c r="EY198" s="111"/>
      <c r="EZ198" s="124"/>
      <c r="FA198" s="124"/>
      <c r="FD198" s="111"/>
      <c r="FE198" s="111"/>
      <c r="FF198" s="111"/>
      <c r="FG198" s="124"/>
      <c r="FH198" s="124"/>
      <c r="FK198" s="124"/>
      <c r="FL198" s="124"/>
      <c r="FO198" s="111"/>
      <c r="FP198" s="111"/>
      <c r="FQ198" s="124"/>
      <c r="FR198" s="124"/>
      <c r="FU198" s="111"/>
      <c r="FV198" s="124"/>
      <c r="FW198" s="124"/>
      <c r="FX198" s="124"/>
      <c r="FY198" s="124"/>
      <c r="GA198" s="124"/>
      <c r="GB198" s="124"/>
      <c r="GC198" s="124"/>
      <c r="GF198" s="111"/>
      <c r="GG198" s="111"/>
      <c r="GH198" s="111"/>
      <c r="GI198" s="124"/>
      <c r="GJ198" s="124"/>
      <c r="GK198" s="124"/>
      <c r="GN198" s="111"/>
      <c r="GO198" s="111"/>
      <c r="GP198" s="124"/>
      <c r="GQ198" s="124"/>
      <c r="GR198" s="124"/>
      <c r="GV198" s="111"/>
      <c r="GW198" s="124"/>
      <c r="GX198" s="124"/>
      <c r="GY198" s="124"/>
      <c r="HC198" s="124"/>
      <c r="HD198" s="124"/>
      <c r="HE198" s="124"/>
      <c r="HF198" s="124"/>
      <c r="HI198" s="111"/>
      <c r="HJ198" s="111"/>
      <c r="HK198" s="111"/>
      <c r="HL198" s="111"/>
      <c r="HM198" s="124"/>
      <c r="HN198" s="124"/>
      <c r="HO198" s="124"/>
      <c r="HR198" s="111"/>
      <c r="HS198" s="111"/>
      <c r="HT198" s="111"/>
      <c r="HU198" s="124"/>
      <c r="HV198" s="124"/>
      <c r="HW198" s="124"/>
      <c r="HZ198" s="111"/>
      <c r="IA198" s="124"/>
      <c r="IB198" s="124"/>
      <c r="IC198" s="124"/>
      <c r="IE198" s="111"/>
      <c r="IF198" s="124"/>
      <c r="IG198" s="124"/>
      <c r="IH198" s="124"/>
      <c r="IK198" s="124"/>
      <c r="IL198" s="124"/>
      <c r="IO198" s="124"/>
      <c r="IP198" s="124"/>
      <c r="IS198" s="160"/>
      <c r="IT198" s="160"/>
      <c r="IU198" s="160"/>
      <c r="IX198" s="124"/>
      <c r="IY198" s="124"/>
      <c r="IZ198" s="124"/>
      <c r="JA198" s="124"/>
      <c r="JD198" s="124"/>
      <c r="JE198" s="124"/>
      <c r="JH198" s="124"/>
      <c r="JI198" s="124"/>
      <c r="JJ198" s="124"/>
      <c r="JM198" s="124"/>
      <c r="JN198" s="124"/>
      <c r="JQ198" s="124"/>
      <c r="JR198" s="124"/>
      <c r="JS198" s="124"/>
      <c r="JV198" s="124"/>
      <c r="JW198" s="124"/>
      <c r="JY198" s="124"/>
      <c r="JZ198" s="124"/>
      <c r="KB198" s="124"/>
      <c r="KC198" s="124"/>
      <c r="KD198" s="124"/>
    </row>
    <row r="199" spans="2:290" hidden="1" x14ac:dyDescent="0.25">
      <c r="B199" s="6" t="str">
        <f t="shared" si="286"/>
        <v>Total EBIT</v>
      </c>
      <c r="C199" s="136"/>
      <c r="D199" s="136"/>
      <c r="E199" s="136"/>
      <c r="F199" s="136"/>
      <c r="G199" s="136"/>
      <c r="H199" s="132"/>
      <c r="I199" s="158"/>
      <c r="J199" s="158"/>
      <c r="K199" s="158"/>
      <c r="L199" s="158"/>
      <c r="M199" s="132"/>
      <c r="N199" s="158"/>
      <c r="O199" s="158"/>
      <c r="P199" s="158"/>
      <c r="Q199" s="158"/>
      <c r="R199" s="132"/>
      <c r="S199" s="158"/>
      <c r="T199" s="158"/>
      <c r="U199" s="158"/>
      <c r="V199" s="158"/>
      <c r="W199" s="132"/>
      <c r="X199" s="158"/>
      <c r="Y199" s="158"/>
      <c r="Z199" s="158"/>
      <c r="AA199" s="158"/>
      <c r="AB199" s="161"/>
      <c r="AC199" s="162"/>
      <c r="AD199" s="162"/>
      <c r="AE199" s="162"/>
      <c r="AF199" s="162"/>
      <c r="AG199" s="161"/>
      <c r="AH199" s="162">
        <v>1</v>
      </c>
      <c r="AI199" s="162">
        <v>1</v>
      </c>
      <c r="AJ199" s="162">
        <v>1</v>
      </c>
      <c r="AK199" s="161">
        <v>1</v>
      </c>
      <c r="AL199" s="162">
        <f>AL176/AL$176</f>
        <v>1</v>
      </c>
      <c r="AM199" s="162">
        <f>AM176/AM$176</f>
        <v>1</v>
      </c>
      <c r="AN199" s="162"/>
      <c r="AO199" s="162">
        <f t="shared" si="289"/>
        <v>1</v>
      </c>
      <c r="AP199" s="161">
        <f t="shared" si="289"/>
        <v>1</v>
      </c>
      <c r="AQ199" s="162">
        <f t="shared" si="289"/>
        <v>1</v>
      </c>
      <c r="AR199" s="162">
        <f t="shared" si="289"/>
        <v>1</v>
      </c>
      <c r="AS199" s="162">
        <f t="shared" si="289"/>
        <v>1</v>
      </c>
      <c r="AT199" s="162">
        <f t="shared" si="289"/>
        <v>1</v>
      </c>
      <c r="AU199" s="161">
        <f t="shared" si="289"/>
        <v>1</v>
      </c>
      <c r="AV199" s="74">
        <f t="shared" si="289"/>
        <v>1</v>
      </c>
      <c r="AW199" s="74">
        <f t="shared" si="289"/>
        <v>1</v>
      </c>
      <c r="AX199" s="74">
        <f t="shared" si="289"/>
        <v>1</v>
      </c>
      <c r="AY199" s="74">
        <f t="shared" si="289"/>
        <v>1</v>
      </c>
      <c r="AZ199" s="161">
        <f t="shared" si="289"/>
        <v>1</v>
      </c>
      <c r="BA199" s="74">
        <f t="shared" si="289"/>
        <v>1</v>
      </c>
      <c r="BB199" s="74">
        <f t="shared" si="289"/>
        <v>1</v>
      </c>
      <c r="BC199" s="74">
        <f t="shared" si="289"/>
        <v>1</v>
      </c>
      <c r="BD199" s="74">
        <f t="shared" si="289"/>
        <v>1</v>
      </c>
      <c r="BE199" s="161">
        <f t="shared" si="289"/>
        <v>1</v>
      </c>
      <c r="BF199" s="74">
        <f t="shared" si="289"/>
        <v>1</v>
      </c>
      <c r="BG199" s="74">
        <f t="shared" si="289"/>
        <v>1</v>
      </c>
      <c r="BH199" s="74">
        <f t="shared" si="289"/>
        <v>1</v>
      </c>
      <c r="BI199" s="74">
        <f t="shared" si="289"/>
        <v>1</v>
      </c>
      <c r="BJ199" s="161">
        <f t="shared" si="289"/>
        <v>1</v>
      </c>
      <c r="BK199" s="74">
        <f t="shared" si="289"/>
        <v>1</v>
      </c>
      <c r="BL199" s="74">
        <f t="shared" si="289"/>
        <v>1</v>
      </c>
      <c r="BM199" s="74">
        <f t="shared" si="289"/>
        <v>1</v>
      </c>
      <c r="BN199" s="74">
        <f t="shared" si="289"/>
        <v>1</v>
      </c>
      <c r="BO199" s="161">
        <f t="shared" si="289"/>
        <v>1</v>
      </c>
      <c r="BP199" s="74">
        <f t="shared" si="289"/>
        <v>1</v>
      </c>
      <c r="BQ199" s="74">
        <f t="shared" si="289"/>
        <v>1</v>
      </c>
      <c r="BR199" s="74">
        <f t="shared" si="289"/>
        <v>1</v>
      </c>
      <c r="BS199" s="74">
        <f t="shared" si="289"/>
        <v>1</v>
      </c>
      <c r="BT199" s="161">
        <f t="shared" si="289"/>
        <v>1</v>
      </c>
      <c r="BU199" s="74">
        <f t="shared" si="289"/>
        <v>1</v>
      </c>
      <c r="BV199" s="74">
        <f t="shared" si="289"/>
        <v>1</v>
      </c>
      <c r="BW199" s="74">
        <f t="shared" si="289"/>
        <v>1</v>
      </c>
      <c r="BX199" s="74">
        <f t="shared" si="289"/>
        <v>1</v>
      </c>
      <c r="BY199" s="161">
        <f t="shared" si="289"/>
        <v>1</v>
      </c>
      <c r="BZ199" s="74">
        <f t="shared" si="289"/>
        <v>1</v>
      </c>
      <c r="CA199" s="74">
        <f t="shared" si="289"/>
        <v>1</v>
      </c>
      <c r="CB199" s="74">
        <f t="shared" si="289"/>
        <v>1</v>
      </c>
      <c r="CC199" s="74">
        <f t="shared" si="289"/>
        <v>1</v>
      </c>
      <c r="CD199" s="161">
        <f t="shared" si="289"/>
        <v>1</v>
      </c>
      <c r="CE199" s="74">
        <f t="shared" si="289"/>
        <v>1</v>
      </c>
      <c r="CF199" s="74">
        <f t="shared" si="289"/>
        <v>1</v>
      </c>
      <c r="CG199" s="74">
        <f t="shared" si="289"/>
        <v>1</v>
      </c>
      <c r="CH199" s="74">
        <f t="shared" si="289"/>
        <v>1</v>
      </c>
      <c r="CI199" s="161">
        <f t="shared" si="289"/>
        <v>1</v>
      </c>
      <c r="CJ199" s="161" t="e">
        <f t="shared" si="289"/>
        <v>#REF!</v>
      </c>
      <c r="CK199" s="161" t="e">
        <f t="shared" si="289"/>
        <v>#REF!</v>
      </c>
      <c r="CL199" s="161"/>
      <c r="CM199" s="161"/>
      <c r="CN199" s="161"/>
      <c r="CO199" s="74"/>
      <c r="CP199" s="74"/>
      <c r="CQ199" s="6"/>
      <c r="CR199" s="6"/>
      <c r="CS199" s="6"/>
      <c r="CT199" s="124"/>
      <c r="CU199" s="124"/>
      <c r="CV199" s="124"/>
      <c r="CW199" s="124"/>
      <c r="CX199" s="124"/>
      <c r="CY199" s="124"/>
      <c r="CZ199" s="124"/>
      <c r="DA199" s="124"/>
      <c r="DB199" s="124"/>
      <c r="DC199" s="124"/>
      <c r="DD199" s="124"/>
      <c r="DE199" s="124"/>
      <c r="DF199" s="124"/>
      <c r="DG199" s="124"/>
      <c r="DH199" s="124"/>
      <c r="DI199" s="124"/>
      <c r="DK199" s="124"/>
      <c r="DL199" s="124"/>
      <c r="DM199" s="6"/>
      <c r="DN199" s="124"/>
      <c r="DO199" s="124"/>
      <c r="DQ199" s="136"/>
      <c r="DR199" s="124"/>
      <c r="DS199" s="124"/>
      <c r="DT199" s="124"/>
      <c r="DV199" s="124"/>
      <c r="DW199" s="124"/>
      <c r="DX199" s="124"/>
      <c r="EA199" s="111"/>
      <c r="EB199" s="111"/>
      <c r="EC199" s="111"/>
      <c r="ED199" s="124"/>
      <c r="EE199" s="124"/>
      <c r="EF199" s="124"/>
      <c r="EJ199" s="111"/>
      <c r="EK199" s="111"/>
      <c r="EL199" s="124"/>
      <c r="EM199" s="124"/>
      <c r="EN199" s="124"/>
      <c r="EP199" s="111"/>
      <c r="EQ199" s="124"/>
      <c r="ER199" s="124"/>
      <c r="ES199" s="124"/>
      <c r="EV199" s="111"/>
      <c r="EW199" s="111"/>
      <c r="EX199" s="111"/>
      <c r="EY199" s="111"/>
      <c r="EZ199" s="124"/>
      <c r="FA199" s="124"/>
      <c r="FD199" s="111"/>
      <c r="FE199" s="111"/>
      <c r="FF199" s="111"/>
      <c r="FG199" s="124"/>
      <c r="FH199" s="124"/>
      <c r="FK199" s="124"/>
      <c r="FL199" s="124"/>
      <c r="FO199" s="111"/>
      <c r="FP199" s="111"/>
      <c r="FQ199" s="124"/>
      <c r="FR199" s="124"/>
      <c r="FU199" s="111"/>
      <c r="FV199" s="124"/>
      <c r="FW199" s="124"/>
      <c r="FX199" s="124"/>
      <c r="FY199" s="124"/>
      <c r="GA199" s="124"/>
      <c r="GB199" s="124"/>
      <c r="GC199" s="124"/>
      <c r="GF199" s="111"/>
      <c r="GG199" s="111"/>
      <c r="GH199" s="111"/>
      <c r="GI199" s="124"/>
      <c r="GJ199" s="124"/>
      <c r="GK199" s="124"/>
      <c r="GN199" s="111"/>
      <c r="GO199" s="111"/>
      <c r="GP199" s="124"/>
      <c r="GQ199" s="124"/>
      <c r="GR199" s="124"/>
      <c r="GV199" s="111"/>
      <c r="GW199" s="124"/>
      <c r="GX199" s="124"/>
      <c r="GY199" s="124"/>
      <c r="HC199" s="124"/>
      <c r="HD199" s="124"/>
      <c r="HE199" s="124"/>
      <c r="HF199" s="124"/>
      <c r="HI199" s="111"/>
      <c r="HJ199" s="111"/>
      <c r="HK199" s="111"/>
      <c r="HL199" s="111"/>
      <c r="HM199" s="124"/>
      <c r="HN199" s="124"/>
      <c r="HO199" s="124"/>
      <c r="HR199" s="111"/>
      <c r="HS199" s="111"/>
      <c r="HT199" s="111"/>
      <c r="HU199" s="124"/>
      <c r="HV199" s="124"/>
      <c r="HW199" s="124"/>
      <c r="HZ199" s="111"/>
      <c r="IA199" s="124"/>
      <c r="IB199" s="124"/>
      <c r="IC199" s="124"/>
      <c r="IE199" s="111"/>
      <c r="IF199" s="124"/>
      <c r="IG199" s="124"/>
      <c r="IH199" s="124"/>
      <c r="IK199" s="124"/>
      <c r="IL199" s="124"/>
      <c r="IO199" s="124"/>
      <c r="IP199" s="124"/>
      <c r="IS199" s="160"/>
      <c r="IT199" s="160"/>
      <c r="IU199" s="160"/>
      <c r="IX199" s="124"/>
      <c r="IY199" s="124"/>
      <c r="IZ199" s="124"/>
      <c r="JA199" s="124"/>
      <c r="JD199" s="124"/>
      <c r="JE199" s="124"/>
      <c r="JH199" s="124"/>
      <c r="JI199" s="124"/>
      <c r="JJ199" s="124"/>
      <c r="JM199" s="124"/>
      <c r="JN199" s="124"/>
      <c r="JQ199" s="124"/>
      <c r="JR199" s="124"/>
      <c r="JS199" s="124"/>
      <c r="JV199" s="124"/>
      <c r="JW199" s="124"/>
      <c r="JY199" s="124"/>
      <c r="JZ199" s="124"/>
      <c r="KB199" s="124"/>
      <c r="KC199" s="124"/>
      <c r="KD199" s="124"/>
    </row>
    <row r="200" spans="2:290" hidden="1" x14ac:dyDescent="0.25">
      <c r="B200" s="6"/>
      <c r="C200" s="6"/>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6"/>
      <c r="CR200" s="6"/>
      <c r="CS200" s="6"/>
      <c r="CT200" s="15"/>
      <c r="CU200" s="15"/>
      <c r="CV200" s="15"/>
      <c r="CW200" s="15"/>
      <c r="CX200" s="15"/>
      <c r="DK200" s="6"/>
      <c r="DL200" s="6"/>
      <c r="DM200" s="6"/>
      <c r="DN200" s="6"/>
      <c r="DO200" s="6"/>
      <c r="EA200" s="15"/>
      <c r="EB200" s="15"/>
      <c r="EC200" s="15"/>
      <c r="ED200" s="15"/>
      <c r="EE200" s="15"/>
      <c r="EF200" s="15"/>
      <c r="EJ200" s="15"/>
      <c r="EK200" s="15"/>
      <c r="EL200" s="15"/>
      <c r="EM200" s="15"/>
      <c r="EN200" s="15"/>
      <c r="EP200" s="15"/>
      <c r="EQ200" s="15"/>
      <c r="ER200" s="15"/>
      <c r="ES200" s="15"/>
      <c r="EV200" s="15"/>
      <c r="EW200" s="15"/>
      <c r="EX200" s="15"/>
      <c r="EY200" s="15"/>
      <c r="EZ200" s="15"/>
      <c r="FA200" s="15"/>
      <c r="FD200" s="15"/>
      <c r="FE200" s="15"/>
      <c r="FF200" s="15"/>
      <c r="FG200" s="15"/>
      <c r="FH200" s="15"/>
      <c r="FK200" s="15"/>
      <c r="FL200" s="15"/>
      <c r="FO200" s="15"/>
      <c r="FP200" s="15"/>
      <c r="FQ200" s="15"/>
      <c r="FR200" s="15"/>
      <c r="FU200" s="15"/>
      <c r="FV200" s="15"/>
      <c r="FW200" s="15"/>
      <c r="FX200" s="15"/>
      <c r="FY200" s="15"/>
      <c r="GA200" s="15"/>
      <c r="GB200" s="15"/>
      <c r="GC200" s="15"/>
      <c r="GF200" s="15"/>
      <c r="GG200" s="15"/>
      <c r="GH200" s="15"/>
      <c r="GI200" s="15"/>
      <c r="GJ200" s="15"/>
      <c r="GK200" s="15"/>
      <c r="GN200" s="15"/>
      <c r="GO200" s="15"/>
      <c r="GP200" s="15"/>
      <c r="GQ200" s="15"/>
      <c r="GR200" s="15"/>
      <c r="GV200" s="15"/>
      <c r="GW200" s="15"/>
      <c r="GX200" s="15"/>
      <c r="GY200" s="15"/>
      <c r="HC200" s="15"/>
      <c r="HD200" s="15"/>
      <c r="HE200" s="15"/>
      <c r="HF200" s="15"/>
      <c r="HI200" s="15"/>
      <c r="HJ200" s="15"/>
      <c r="HK200" s="15"/>
      <c r="HL200" s="15"/>
      <c r="HM200" s="15"/>
      <c r="HN200" s="15"/>
      <c r="HO200" s="15"/>
      <c r="HR200" s="15"/>
      <c r="HS200" s="15"/>
      <c r="HT200" s="15"/>
      <c r="HU200" s="15"/>
      <c r="HV200" s="15"/>
      <c r="HW200" s="15"/>
      <c r="HZ200" s="15"/>
      <c r="IA200" s="15"/>
      <c r="IB200" s="15"/>
      <c r="IC200" s="15"/>
      <c r="IE200" s="15"/>
      <c r="IF200" s="15"/>
      <c r="IG200" s="15"/>
      <c r="IH200" s="15"/>
      <c r="IK200" s="15"/>
      <c r="IL200" s="15"/>
      <c r="IO200" s="15"/>
      <c r="IP200" s="15"/>
      <c r="IS200" s="15"/>
      <c r="IT200" s="15"/>
      <c r="IU200" s="15"/>
      <c r="IX200" s="15"/>
      <c r="IY200" s="15"/>
      <c r="IZ200" s="15"/>
      <c r="JA200" s="15"/>
      <c r="JD200" s="15"/>
      <c r="JE200" s="15"/>
      <c r="JH200" s="15"/>
      <c r="JI200" s="15"/>
      <c r="JJ200" s="15"/>
      <c r="JM200" s="15"/>
      <c r="JN200" s="15"/>
      <c r="JQ200" s="15"/>
      <c r="JR200" s="15"/>
      <c r="JS200" s="15"/>
      <c r="JV200" s="15"/>
      <c r="JW200" s="15"/>
      <c r="JY200" s="15"/>
      <c r="JZ200" s="15"/>
      <c r="KB200" s="15"/>
      <c r="KC200" s="15"/>
      <c r="KD200" s="15"/>
    </row>
    <row r="201" spans="2:290" s="60" customFormat="1" hidden="1" x14ac:dyDescent="0.25">
      <c r="B201" s="58" t="s">
        <v>248</v>
      </c>
      <c r="C201" s="4"/>
      <c r="D201" s="4" t="str">
        <f>D192</f>
        <v>1QFY10</v>
      </c>
      <c r="E201" s="4" t="str">
        <f t="shared" ref="E201:BP201" si="290">E192</f>
        <v>2QFY10</v>
      </c>
      <c r="F201" s="4" t="str">
        <f t="shared" si="290"/>
        <v>3QFY10</v>
      </c>
      <c r="G201" s="4" t="str">
        <f t="shared" si="290"/>
        <v>4QFY10</v>
      </c>
      <c r="H201" s="145" t="str">
        <f t="shared" si="290"/>
        <v>CY10</v>
      </c>
      <c r="I201" s="156" t="str">
        <f t="shared" si="290"/>
        <v>1QFY11</v>
      </c>
      <c r="J201" s="156" t="str">
        <f t="shared" si="290"/>
        <v>2QFY11</v>
      </c>
      <c r="K201" s="156" t="str">
        <f t="shared" si="290"/>
        <v>3QFY11</v>
      </c>
      <c r="L201" s="156" t="str">
        <f t="shared" si="290"/>
        <v>4QFY11</v>
      </c>
      <c r="M201" s="145" t="str">
        <f t="shared" si="290"/>
        <v>CY11</v>
      </c>
      <c r="N201" s="156" t="str">
        <f t="shared" si="290"/>
        <v>1QFY12</v>
      </c>
      <c r="O201" s="156" t="str">
        <f t="shared" si="290"/>
        <v>2QFY12</v>
      </c>
      <c r="P201" s="156" t="str">
        <f t="shared" si="290"/>
        <v>3QFY12</v>
      </c>
      <c r="Q201" s="156" t="str">
        <f t="shared" si="290"/>
        <v>4QFY12</v>
      </c>
      <c r="R201" s="145" t="str">
        <f t="shared" si="290"/>
        <v>CY12</v>
      </c>
      <c r="S201" s="156" t="str">
        <f t="shared" si="290"/>
        <v>1QFY13</v>
      </c>
      <c r="T201" s="156" t="str">
        <f t="shared" si="290"/>
        <v>2QFY13</v>
      </c>
      <c r="U201" s="156" t="str">
        <f t="shared" si="290"/>
        <v>3QFY13</v>
      </c>
      <c r="V201" s="156" t="str">
        <f t="shared" si="290"/>
        <v>4QFY13</v>
      </c>
      <c r="W201" s="145" t="str">
        <f t="shared" si="290"/>
        <v>CY13</v>
      </c>
      <c r="X201" s="156" t="str">
        <f t="shared" si="290"/>
        <v>1QFY14</v>
      </c>
      <c r="Y201" s="156" t="str">
        <f t="shared" si="290"/>
        <v>2QFY14</v>
      </c>
      <c r="Z201" s="156" t="str">
        <f t="shared" si="290"/>
        <v>3QFY14</v>
      </c>
      <c r="AA201" s="156" t="str">
        <f t="shared" si="290"/>
        <v>4QFY14</v>
      </c>
      <c r="AB201" s="145" t="str">
        <f t="shared" si="290"/>
        <v>CY14</v>
      </c>
      <c r="AC201" s="156" t="str">
        <f t="shared" si="290"/>
        <v>1QFY15</v>
      </c>
      <c r="AD201" s="156" t="str">
        <f t="shared" si="290"/>
        <v>2QFY15</v>
      </c>
      <c r="AE201" s="156" t="str">
        <f t="shared" si="290"/>
        <v>3QFY15</v>
      </c>
      <c r="AF201" s="156" t="str">
        <f t="shared" si="290"/>
        <v>4QFY15</v>
      </c>
      <c r="AG201" s="145" t="str">
        <f t="shared" si="290"/>
        <v>CY15</v>
      </c>
      <c r="AH201" s="156" t="str">
        <f t="shared" si="290"/>
        <v>1QFY16</v>
      </c>
      <c r="AI201" s="156" t="str">
        <f t="shared" si="290"/>
        <v>2QFY16</v>
      </c>
      <c r="AJ201" s="156" t="str">
        <f t="shared" si="290"/>
        <v>3QFY16</v>
      </c>
      <c r="AK201" s="145" t="str">
        <f t="shared" si="290"/>
        <v>FY16</v>
      </c>
      <c r="AL201" s="156" t="str">
        <f t="shared" si="290"/>
        <v>1QFY17</v>
      </c>
      <c r="AM201" s="156" t="str">
        <f t="shared" si="290"/>
        <v>2QFY17</v>
      </c>
      <c r="AN201" s="156" t="str">
        <f t="shared" si="290"/>
        <v>3QFY17</v>
      </c>
      <c r="AO201" s="156" t="str">
        <f t="shared" si="290"/>
        <v>4QFY17</v>
      </c>
      <c r="AP201" s="145" t="str">
        <f t="shared" si="290"/>
        <v>FY17</v>
      </c>
      <c r="AQ201" s="156" t="str">
        <f t="shared" si="290"/>
        <v>1QFY18</v>
      </c>
      <c r="AR201" s="156" t="str">
        <f t="shared" si="290"/>
        <v>2QFY18</v>
      </c>
      <c r="AS201" s="156" t="str">
        <f t="shared" si="290"/>
        <v>3QFY18</v>
      </c>
      <c r="AT201" s="156" t="str">
        <f t="shared" si="290"/>
        <v>4QFY18</v>
      </c>
      <c r="AU201" s="145" t="str">
        <f t="shared" si="290"/>
        <v>FY18</v>
      </c>
      <c r="AV201" s="148" t="str">
        <f t="shared" si="290"/>
        <v>1QFY19</v>
      </c>
      <c r="AW201" s="148" t="str">
        <f t="shared" si="290"/>
        <v>2QFY19</v>
      </c>
      <c r="AX201" s="148" t="str">
        <f t="shared" si="290"/>
        <v>3QFY19</v>
      </c>
      <c r="AY201" s="148" t="str">
        <f t="shared" si="290"/>
        <v>4QFY19</v>
      </c>
      <c r="AZ201" s="145" t="str">
        <f t="shared" si="290"/>
        <v>FY19</v>
      </c>
      <c r="BA201" s="148" t="str">
        <f t="shared" si="290"/>
        <v>1QFY20</v>
      </c>
      <c r="BB201" s="148" t="str">
        <f t="shared" si="290"/>
        <v>2QFY20</v>
      </c>
      <c r="BC201" s="148" t="str">
        <f t="shared" si="290"/>
        <v>3QFY20</v>
      </c>
      <c r="BD201" s="148" t="str">
        <f t="shared" si="290"/>
        <v>4QFY20</v>
      </c>
      <c r="BE201" s="145" t="str">
        <f t="shared" si="290"/>
        <v>FY20</v>
      </c>
      <c r="BF201" s="148" t="str">
        <f t="shared" si="290"/>
        <v>1QFY21</v>
      </c>
      <c r="BG201" s="148" t="str">
        <f t="shared" si="290"/>
        <v>2QFY21</v>
      </c>
      <c r="BH201" s="148" t="str">
        <f t="shared" si="290"/>
        <v>3QFY21</v>
      </c>
      <c r="BI201" s="148" t="str">
        <f t="shared" si="290"/>
        <v>4QFY21</v>
      </c>
      <c r="BJ201" s="145" t="str">
        <f t="shared" si="290"/>
        <v>FY21</v>
      </c>
      <c r="BK201" s="148" t="str">
        <f t="shared" si="290"/>
        <v>1QFY22</v>
      </c>
      <c r="BL201" s="148" t="str">
        <f t="shared" si="290"/>
        <v>2QFY22</v>
      </c>
      <c r="BM201" s="148" t="str">
        <f t="shared" si="290"/>
        <v>3QFY22</v>
      </c>
      <c r="BN201" s="148" t="str">
        <f t="shared" si="290"/>
        <v>4QFY22</v>
      </c>
      <c r="BO201" s="145" t="str">
        <f t="shared" si="290"/>
        <v>FY22</v>
      </c>
      <c r="BP201" s="148" t="str">
        <f t="shared" si="290"/>
        <v>1QFY23</v>
      </c>
      <c r="BQ201" s="148" t="str">
        <f t="shared" ref="BQ201:CK201" si="291">BQ192</f>
        <v>2QFY23</v>
      </c>
      <c r="BR201" s="148" t="str">
        <f t="shared" si="291"/>
        <v>3QFY23</v>
      </c>
      <c r="BS201" s="148" t="str">
        <f t="shared" si="291"/>
        <v>4QFY23</v>
      </c>
      <c r="BT201" s="145" t="str">
        <f t="shared" si="291"/>
        <v>FY23</v>
      </c>
      <c r="BU201" s="148" t="str">
        <f t="shared" si="291"/>
        <v>1QFY24</v>
      </c>
      <c r="BV201" s="148" t="str">
        <f t="shared" si="291"/>
        <v>2QFY24</v>
      </c>
      <c r="BW201" s="148" t="str">
        <f t="shared" si="291"/>
        <v>3QFY24</v>
      </c>
      <c r="BX201" s="148" t="str">
        <f t="shared" si="291"/>
        <v>4QFY24</v>
      </c>
      <c r="BY201" s="145" t="str">
        <f t="shared" si="291"/>
        <v>FY24</v>
      </c>
      <c r="BZ201" s="148" t="str">
        <f t="shared" si="291"/>
        <v>1QFY25</v>
      </c>
      <c r="CA201" s="148" t="str">
        <f t="shared" si="291"/>
        <v>2QFY25</v>
      </c>
      <c r="CB201" s="148" t="str">
        <f t="shared" si="291"/>
        <v>3QFY25</v>
      </c>
      <c r="CC201" s="148" t="str">
        <f t="shared" si="291"/>
        <v>4QFY25</v>
      </c>
      <c r="CD201" s="145" t="str">
        <f t="shared" si="291"/>
        <v>FY25</v>
      </c>
      <c r="CE201" s="148" t="str">
        <f t="shared" si="291"/>
        <v>1QFY26</v>
      </c>
      <c r="CF201" s="148" t="str">
        <f t="shared" si="291"/>
        <v>2QFY26</v>
      </c>
      <c r="CG201" s="148" t="str">
        <f t="shared" si="291"/>
        <v>3QFY26</v>
      </c>
      <c r="CH201" s="148" t="str">
        <f t="shared" si="291"/>
        <v>4QFY26</v>
      </c>
      <c r="CI201" s="145" t="str">
        <f t="shared" si="291"/>
        <v>FY26</v>
      </c>
      <c r="CJ201" s="145" t="str">
        <f t="shared" si="291"/>
        <v>FY27E</v>
      </c>
      <c r="CK201" s="145" t="str">
        <f t="shared" si="291"/>
        <v>FY28E</v>
      </c>
      <c r="CL201" s="145"/>
      <c r="CM201" s="145"/>
      <c r="CN201" s="145"/>
      <c r="CO201" s="148"/>
      <c r="CP201" s="148"/>
      <c r="CQ201" s="58"/>
      <c r="CR201" s="58"/>
      <c r="CS201" s="58"/>
      <c r="CT201" s="143"/>
      <c r="CU201" s="143"/>
      <c r="CV201" s="143"/>
      <c r="CW201" s="143"/>
      <c r="CX201" s="143"/>
      <c r="CY201" s="143"/>
      <c r="CZ201" s="143"/>
      <c r="DA201" s="143"/>
      <c r="DB201" s="143"/>
      <c r="DC201" s="143"/>
      <c r="DD201" s="143"/>
      <c r="DE201" s="143"/>
      <c r="DF201" s="143"/>
      <c r="DG201" s="143"/>
      <c r="DH201" s="143"/>
      <c r="DI201" s="143"/>
      <c r="DK201" s="143"/>
      <c r="DL201" s="143"/>
      <c r="DM201" s="58"/>
      <c r="DN201" s="143"/>
      <c r="DO201" s="143"/>
      <c r="DQ201" s="4"/>
      <c r="DR201" s="143"/>
      <c r="DS201" s="143"/>
      <c r="DT201" s="143"/>
      <c r="DV201" s="143"/>
      <c r="DW201" s="143"/>
      <c r="DX201" s="143"/>
      <c r="EA201" s="119"/>
      <c r="EB201" s="119"/>
      <c r="EC201" s="119"/>
      <c r="ED201" s="143"/>
      <c r="EE201" s="143"/>
      <c r="EF201" s="143"/>
      <c r="EJ201" s="119"/>
      <c r="EK201" s="119"/>
      <c r="EL201" s="143"/>
      <c r="EM201" s="143"/>
      <c r="EN201" s="143"/>
      <c r="EP201" s="119"/>
      <c r="EQ201" s="143"/>
      <c r="ER201" s="143"/>
      <c r="ES201" s="143"/>
      <c r="EV201" s="119"/>
      <c r="EW201" s="119"/>
      <c r="EX201" s="119"/>
      <c r="EY201" s="119"/>
      <c r="EZ201" s="143"/>
      <c r="FA201" s="143"/>
      <c r="FD201" s="119"/>
      <c r="FE201" s="119"/>
      <c r="FF201" s="119"/>
      <c r="FG201" s="143"/>
      <c r="FH201" s="143"/>
      <c r="FK201" s="143"/>
      <c r="FL201" s="143"/>
      <c r="FO201" s="119"/>
      <c r="FP201" s="119"/>
      <c r="FQ201" s="143"/>
      <c r="FR201" s="143"/>
      <c r="FU201" s="119"/>
      <c r="FV201" s="143"/>
      <c r="FW201" s="143"/>
      <c r="FX201" s="143"/>
      <c r="FY201" s="143"/>
      <c r="GA201" s="143"/>
      <c r="GB201" s="143"/>
      <c r="GC201" s="143"/>
      <c r="GF201" s="119"/>
      <c r="GG201" s="119"/>
      <c r="GH201" s="119"/>
      <c r="GI201" s="143"/>
      <c r="GJ201" s="143"/>
      <c r="GK201" s="143"/>
      <c r="GN201" s="119"/>
      <c r="GO201" s="119"/>
      <c r="GP201" s="143"/>
      <c r="GQ201" s="143"/>
      <c r="GR201" s="143"/>
      <c r="GV201" s="119"/>
      <c r="GW201" s="143"/>
      <c r="GX201" s="143"/>
      <c r="GY201" s="143"/>
      <c r="HC201" s="143"/>
      <c r="HD201" s="143"/>
      <c r="HE201" s="143"/>
      <c r="HF201" s="143"/>
      <c r="HI201" s="119"/>
      <c r="HJ201" s="119"/>
      <c r="HK201" s="119"/>
      <c r="HL201" s="119"/>
      <c r="HM201" s="143"/>
      <c r="HN201" s="143"/>
      <c r="HO201" s="143"/>
      <c r="HR201" s="119"/>
      <c r="HS201" s="119"/>
      <c r="HT201" s="119"/>
      <c r="HU201" s="143"/>
      <c r="HV201" s="143"/>
      <c r="HW201" s="143"/>
      <c r="HZ201" s="119"/>
      <c r="IA201" s="143"/>
      <c r="IB201" s="143"/>
      <c r="IC201" s="143"/>
      <c r="IE201" s="119"/>
      <c r="IF201" s="143"/>
      <c r="IG201" s="143"/>
      <c r="IH201" s="143"/>
      <c r="IK201" s="143"/>
      <c r="IL201" s="143"/>
      <c r="IO201" s="143"/>
      <c r="IP201" s="143"/>
      <c r="IS201" s="157"/>
      <c r="IT201" s="157"/>
      <c r="IU201" s="157"/>
      <c r="IX201" s="143"/>
      <c r="IY201" s="143"/>
      <c r="IZ201" s="143"/>
      <c r="JA201" s="143"/>
      <c r="JD201" s="143"/>
      <c r="JE201" s="143"/>
      <c r="JH201" s="143"/>
      <c r="JI201" s="143"/>
      <c r="JJ201" s="143"/>
      <c r="JM201" s="143"/>
      <c r="JN201" s="143"/>
      <c r="JQ201" s="143"/>
      <c r="JR201" s="143"/>
      <c r="JS201" s="143"/>
      <c r="JV201" s="143"/>
      <c r="JW201" s="143"/>
      <c r="JY201" s="143"/>
      <c r="JZ201" s="143"/>
      <c r="KB201" s="143"/>
      <c r="KC201" s="143"/>
      <c r="KD201" s="143"/>
    </row>
    <row r="202" spans="2:290" hidden="1" x14ac:dyDescent="0.25">
      <c r="B202" s="6" t="str">
        <f t="shared" ref="B202:B208" si="292">B170</f>
        <v>Plastics Piping Products</v>
      </c>
      <c r="C202" s="136"/>
      <c r="D202" s="136"/>
      <c r="E202" s="136"/>
      <c r="F202" s="136"/>
      <c r="G202" s="136"/>
      <c r="H202" s="132"/>
      <c r="I202" s="158"/>
      <c r="J202" s="158"/>
      <c r="K202" s="158"/>
      <c r="L202" s="158"/>
      <c r="M202" s="132"/>
      <c r="N202" s="158"/>
      <c r="O202" s="158"/>
      <c r="P202" s="158"/>
      <c r="Q202" s="158"/>
      <c r="R202" s="132"/>
      <c r="S202" s="158"/>
      <c r="T202" s="158"/>
      <c r="U202" s="158"/>
      <c r="V202" s="158"/>
      <c r="W202" s="132"/>
      <c r="X202" s="158"/>
      <c r="Y202" s="158"/>
      <c r="Z202" s="158"/>
      <c r="AA202" s="158"/>
      <c r="AB202" s="161"/>
      <c r="AC202" s="162"/>
      <c r="AD202" s="162"/>
      <c r="AE202" s="162"/>
      <c r="AF202" s="162"/>
      <c r="AG202" s="161"/>
      <c r="AH202" s="162"/>
      <c r="AI202" s="162"/>
      <c r="AJ202" s="162"/>
      <c r="AK202" s="161"/>
      <c r="AL202" s="162"/>
      <c r="AM202" s="162"/>
      <c r="AN202" s="162"/>
      <c r="AO202" s="162"/>
      <c r="AP202" s="161"/>
      <c r="AQ202" s="162">
        <f t="shared" ref="AQ202:CI207" si="293">(AQ170/AL170-1)</f>
        <v>-0.30472835948340271</v>
      </c>
      <c r="AR202" s="162">
        <f t="shared" si="293"/>
        <v>-0.19812071985985025</v>
      </c>
      <c r="AS202" s="162">
        <f t="shared" si="293"/>
        <v>-8.5020242914979671E-2</v>
      </c>
      <c r="AT202" s="162">
        <f t="shared" si="293"/>
        <v>0.2297603321381394</v>
      </c>
      <c r="AU202" s="161">
        <f t="shared" si="293"/>
        <v>-6.8130496791062534E-2</v>
      </c>
      <c r="AV202" s="74">
        <f t="shared" si="293"/>
        <v>0.1875959471906663</v>
      </c>
      <c r="AW202" s="74">
        <f t="shared" si="293"/>
        <v>0.28997020854021849</v>
      </c>
      <c r="AX202" s="74">
        <f t="shared" si="293"/>
        <v>0.1135693215339233</v>
      </c>
      <c r="AY202" s="74">
        <f t="shared" si="293"/>
        <v>-0.27092764520831747</v>
      </c>
      <c r="AZ202" s="161">
        <f t="shared" si="293"/>
        <v>-2.5507763925645133E-3</v>
      </c>
      <c r="BA202" s="74">
        <f t="shared" si="293"/>
        <v>1.1892450879007255E-2</v>
      </c>
      <c r="BB202" s="74">
        <f t="shared" si="293"/>
        <v>0.69145496535796758</v>
      </c>
      <c r="BC202" s="74">
        <f t="shared" si="293"/>
        <v>0.3713907284768212</v>
      </c>
      <c r="BD202" s="74">
        <f t="shared" si="293"/>
        <v>0.77678383498210923</v>
      </c>
      <c r="BE202" s="161">
        <f t="shared" si="293"/>
        <v>0.47207748617459977</v>
      </c>
      <c r="BF202" s="74">
        <f t="shared" si="293"/>
        <v>-0.15086867654573333</v>
      </c>
      <c r="BG202" s="74">
        <f t="shared" si="293"/>
        <v>0.34298197706171485</v>
      </c>
      <c r="BH202" s="74">
        <f t="shared" si="293"/>
        <v>1.4171334749855129</v>
      </c>
      <c r="BI202" s="74">
        <f t="shared" si="293"/>
        <v>1.1146123319315286</v>
      </c>
      <c r="BJ202" s="161">
        <f t="shared" si="293"/>
        <v>0.78343575600964144</v>
      </c>
      <c r="BK202" s="74">
        <f t="shared" si="293"/>
        <v>1.1296825635625094</v>
      </c>
      <c r="BL202" s="74">
        <f t="shared" si="293"/>
        <v>0.31503321133252005</v>
      </c>
      <c r="BM202" s="74">
        <f t="shared" si="293"/>
        <v>-0.24481559915291484</v>
      </c>
      <c r="BN202" s="74">
        <f t="shared" si="293"/>
        <v>-0.27478221898546251</v>
      </c>
      <c r="BO202" s="161">
        <f t="shared" si="293"/>
        <v>-4.5550292832008177E-2</v>
      </c>
      <c r="BP202" s="74">
        <f t="shared" si="293"/>
        <v>9.0774230008476842E-2</v>
      </c>
      <c r="BQ202" s="74">
        <f t="shared" si="293"/>
        <v>-0.87233274920111326</v>
      </c>
      <c r="BR202" s="74">
        <f t="shared" si="293"/>
        <v>-9.5396825396825369E-2</v>
      </c>
      <c r="BS202" s="74">
        <f t="shared" si="293"/>
        <v>0.27117531188443844</v>
      </c>
      <c r="BT202" s="161">
        <f t="shared" si="293"/>
        <v>-0.13345154870643472</v>
      </c>
      <c r="BU202" s="74">
        <f t="shared" si="293"/>
        <v>0.2571077002784794</v>
      </c>
      <c r="BV202" s="74">
        <f t="shared" si="293"/>
        <v>7.0972951150585377</v>
      </c>
      <c r="BW202" s="74">
        <f t="shared" si="293"/>
        <v>0.24513072468854191</v>
      </c>
      <c r="BX202" s="74">
        <f t="shared" si="293"/>
        <v>-0.11090179873602335</v>
      </c>
      <c r="BY202" s="161">
        <f t="shared" si="293"/>
        <v>0.325216776833954</v>
      </c>
      <c r="BZ202" s="74">
        <f t="shared" si="293"/>
        <v>0.19164391324506713</v>
      </c>
      <c r="CA202" s="74">
        <f t="shared" si="293"/>
        <v>-7.5534726030812238E-2</v>
      </c>
      <c r="CB202" s="74">
        <f t="shared" si="293"/>
        <v>-0.35334460729049233</v>
      </c>
      <c r="CC202" s="74">
        <f t="shared" si="293"/>
        <v>-0.26211468799125148</v>
      </c>
      <c r="CD202" s="161">
        <f t="shared" si="293"/>
        <v>-0.18349663400653193</v>
      </c>
      <c r="CE202" s="74">
        <f t="shared" si="293"/>
        <v>-0.3195711382992521</v>
      </c>
      <c r="CF202" s="74">
        <f t="shared" si="293"/>
        <v>-0.31598533060079814</v>
      </c>
      <c r="CG202" s="74">
        <f t="shared" si="293"/>
        <v>-1.8596542205433719E-2</v>
      </c>
      <c r="CH202" s="74">
        <f t="shared" si="293"/>
        <v>0.76852537977028557</v>
      </c>
      <c r="CI202" s="161">
        <f t="shared" si="293"/>
        <v>9.0040816326530493E-2</v>
      </c>
      <c r="CJ202" s="161"/>
      <c r="CK202" s="161"/>
      <c r="CL202" s="161"/>
      <c r="CM202" s="161"/>
      <c r="CN202" s="161"/>
      <c r="CO202" s="74"/>
      <c r="CP202" s="74"/>
      <c r="CQ202" s="6"/>
      <c r="CR202" s="6"/>
      <c r="CS202" s="6"/>
      <c r="CT202" s="124"/>
      <c r="CU202" s="124"/>
      <c r="CV202" s="124"/>
      <c r="CW202" s="124"/>
      <c r="CX202" s="124"/>
      <c r="CY202" s="124"/>
      <c r="CZ202" s="124"/>
      <c r="DA202" s="124"/>
      <c r="DB202" s="124"/>
      <c r="DC202" s="124"/>
      <c r="DD202" s="124"/>
      <c r="DE202" s="124"/>
      <c r="DF202" s="124"/>
      <c r="DG202" s="124"/>
      <c r="DH202" s="124"/>
      <c r="DI202" s="124"/>
      <c r="DK202" s="124"/>
      <c r="DL202" s="124"/>
      <c r="DM202" s="6"/>
      <c r="DN202" s="124"/>
      <c r="DO202" s="124"/>
      <c r="DQ202" s="136"/>
      <c r="DR202" s="124"/>
      <c r="DS202" s="124"/>
      <c r="DT202" s="124"/>
      <c r="DV202" s="124"/>
      <c r="DW202" s="124"/>
      <c r="DX202" s="124"/>
      <c r="EA202" s="111"/>
      <c r="EB202" s="111"/>
      <c r="EC202" s="111"/>
      <c r="ED202" s="124"/>
      <c r="EE202" s="124"/>
      <c r="EF202" s="124"/>
      <c r="EJ202" s="111"/>
      <c r="EK202" s="111"/>
      <c r="EL202" s="124"/>
      <c r="EM202" s="124"/>
      <c r="EN202" s="124"/>
      <c r="EP202" s="111"/>
      <c r="EQ202" s="124"/>
      <c r="ER202" s="124"/>
      <c r="ES202" s="124"/>
      <c r="EV202" s="111"/>
      <c r="EW202" s="111"/>
      <c r="EX202" s="111"/>
      <c r="EY202" s="111"/>
      <c r="EZ202" s="124"/>
      <c r="FA202" s="124"/>
      <c r="FD202" s="111"/>
      <c r="FE202" s="111">
        <v>898</v>
      </c>
      <c r="FF202" s="111">
        <v>0.13139999999999999</v>
      </c>
      <c r="FG202" s="124"/>
      <c r="FH202" s="124"/>
      <c r="FK202" s="124"/>
      <c r="FL202" s="124"/>
      <c r="FO202" s="111">
        <v>898</v>
      </c>
      <c r="FP202" s="111">
        <v>0.13139999999999999</v>
      </c>
      <c r="FQ202" s="124"/>
      <c r="FR202" s="124"/>
      <c r="FU202" s="111">
        <v>0.13139999999999999</v>
      </c>
      <c r="FV202" s="124"/>
      <c r="FW202" s="124"/>
      <c r="FX202" s="124"/>
      <c r="FY202" s="124"/>
      <c r="GA202" s="124"/>
      <c r="GB202" s="124"/>
      <c r="GC202" s="124"/>
      <c r="GF202" s="111"/>
      <c r="GG202" s="111"/>
      <c r="GH202" s="111"/>
      <c r="GI202" s="124"/>
      <c r="GJ202" s="124"/>
      <c r="GK202" s="124"/>
      <c r="GN202" s="111"/>
      <c r="GO202" s="111"/>
      <c r="GP202" s="124"/>
      <c r="GQ202" s="124"/>
      <c r="GR202" s="124"/>
      <c r="GV202" s="111"/>
      <c r="GW202" s="124"/>
      <c r="GX202" s="124"/>
      <c r="GY202" s="124"/>
      <c r="HC202" s="124"/>
      <c r="HD202" s="124"/>
      <c r="HE202" s="124"/>
      <c r="HF202" s="124"/>
      <c r="HI202" s="111"/>
      <c r="HJ202" s="111"/>
      <c r="HK202" s="111"/>
      <c r="HL202" s="111"/>
      <c r="HM202" s="124"/>
      <c r="HN202" s="124"/>
      <c r="HO202" s="124"/>
      <c r="HR202" s="111"/>
      <c r="HS202" s="111"/>
      <c r="HT202" s="111"/>
      <c r="HU202" s="124"/>
      <c r="HV202" s="124"/>
      <c r="HW202" s="124"/>
      <c r="HZ202" s="111"/>
      <c r="IA202" s="124"/>
      <c r="IB202" s="124"/>
      <c r="IC202" s="124"/>
      <c r="IE202" s="111"/>
      <c r="IF202" s="124"/>
      <c r="IG202" s="124"/>
      <c r="IH202" s="124"/>
      <c r="IK202" s="124"/>
      <c r="IL202" s="124"/>
      <c r="IO202" s="124"/>
      <c r="IP202" s="124"/>
      <c r="IS202" s="160"/>
      <c r="IT202" s="160"/>
      <c r="IU202" s="160"/>
      <c r="IX202" s="124"/>
      <c r="IY202" s="124"/>
      <c r="IZ202" s="124"/>
      <c r="JA202" s="124"/>
      <c r="JD202" s="124"/>
      <c r="JE202" s="124"/>
      <c r="JH202" s="124"/>
      <c r="JI202" s="124"/>
      <c r="JJ202" s="124"/>
      <c r="JM202" s="124"/>
      <c r="JN202" s="124"/>
      <c r="JQ202" s="124"/>
      <c r="JR202" s="124"/>
      <c r="JS202" s="124"/>
      <c r="JV202" s="124"/>
      <c r="JW202" s="124"/>
      <c r="JY202" s="124"/>
      <c r="JZ202" s="124"/>
      <c r="KB202" s="124"/>
      <c r="KC202" s="124"/>
      <c r="KD202" s="124"/>
    </row>
    <row r="203" spans="2:290" hidden="1" x14ac:dyDescent="0.25">
      <c r="B203" s="6" t="str">
        <f t="shared" si="292"/>
        <v>Industrial Products</v>
      </c>
      <c r="C203" s="136"/>
      <c r="D203" s="136"/>
      <c r="E203" s="136"/>
      <c r="F203" s="136"/>
      <c r="G203" s="136"/>
      <c r="H203" s="132"/>
      <c r="I203" s="158"/>
      <c r="J203" s="158"/>
      <c r="K203" s="158"/>
      <c r="L203" s="158"/>
      <c r="M203" s="132"/>
      <c r="N203" s="158"/>
      <c r="O203" s="158"/>
      <c r="P203" s="158"/>
      <c r="Q203" s="158"/>
      <c r="R203" s="132"/>
      <c r="S203" s="158"/>
      <c r="T203" s="158"/>
      <c r="U203" s="158"/>
      <c r="V203" s="158"/>
      <c r="W203" s="132"/>
      <c r="X203" s="158"/>
      <c r="Y203" s="158"/>
      <c r="Z203" s="158"/>
      <c r="AA203" s="158"/>
      <c r="AB203" s="161"/>
      <c r="AC203" s="162"/>
      <c r="AD203" s="162"/>
      <c r="AE203" s="162"/>
      <c r="AF203" s="162"/>
      <c r="AG203" s="161"/>
      <c r="AH203" s="162"/>
      <c r="AI203" s="162"/>
      <c r="AJ203" s="162"/>
      <c r="AK203" s="161"/>
      <c r="AL203" s="162"/>
      <c r="AM203" s="162"/>
      <c r="AN203" s="162"/>
      <c r="AO203" s="162"/>
      <c r="AP203" s="161"/>
      <c r="AQ203" s="162">
        <f t="shared" si="293"/>
        <v>1.0175763182238562E-2</v>
      </c>
      <c r="AR203" s="162">
        <f t="shared" si="293"/>
        <v>0.35506003430531741</v>
      </c>
      <c r="AS203" s="162">
        <f t="shared" si="293"/>
        <v>0.91295336787564763</v>
      </c>
      <c r="AT203" s="162">
        <f t="shared" si="293"/>
        <v>0.40042283298097248</v>
      </c>
      <c r="AU203" s="161">
        <f t="shared" si="293"/>
        <v>0.4037289351021871</v>
      </c>
      <c r="AV203" s="74">
        <f t="shared" si="293"/>
        <v>0.79578754578754585</v>
      </c>
      <c r="AW203" s="74">
        <f t="shared" si="293"/>
        <v>0.19620253164556956</v>
      </c>
      <c r="AX203" s="74">
        <f t="shared" si="293"/>
        <v>-0.38569880823401959</v>
      </c>
      <c r="AY203" s="74">
        <f t="shared" si="293"/>
        <v>-0.53321256038647336</v>
      </c>
      <c r="AZ203" s="161">
        <f t="shared" si="293"/>
        <v>-0.18812260536398462</v>
      </c>
      <c r="BA203" s="74">
        <f t="shared" si="293"/>
        <v>-0.38653748087710349</v>
      </c>
      <c r="BB203" s="74">
        <f t="shared" si="293"/>
        <v>-1.1037037037037036</v>
      </c>
      <c r="BC203" s="74">
        <f t="shared" si="293"/>
        <v>-0.25132275132275128</v>
      </c>
      <c r="BD203" s="74">
        <f t="shared" si="293"/>
        <v>-9.3790426908150093E-2</v>
      </c>
      <c r="BE203" s="161">
        <f t="shared" si="293"/>
        <v>-0.48765140789680672</v>
      </c>
      <c r="BF203" s="74">
        <f t="shared" si="293"/>
        <v>-1.6317539484621779</v>
      </c>
      <c r="BG203" s="74">
        <f t="shared" si="293"/>
        <v>-7.1173469387755102</v>
      </c>
      <c r="BH203" s="74">
        <f t="shared" si="293"/>
        <v>1.3616018845700824</v>
      </c>
      <c r="BI203" s="74">
        <f t="shared" si="293"/>
        <v>1.7851534618129912</v>
      </c>
      <c r="BJ203" s="161">
        <f t="shared" si="293"/>
        <v>0.94841879029782006</v>
      </c>
      <c r="BK203" s="74">
        <f t="shared" si="293"/>
        <v>-2.6052631578947367</v>
      </c>
      <c r="BL203" s="74">
        <f t="shared" si="293"/>
        <v>0.60216847372810678</v>
      </c>
      <c r="BM203" s="74">
        <f t="shared" si="293"/>
        <v>9.7256857855361645E-2</v>
      </c>
      <c r="BN203" s="74">
        <f t="shared" si="293"/>
        <v>-0.19425935417734497</v>
      </c>
      <c r="BO203" s="161">
        <f t="shared" si="293"/>
        <v>0.34352347935707539</v>
      </c>
      <c r="BP203" s="74">
        <f t="shared" si="293"/>
        <v>1.0942622950819674</v>
      </c>
      <c r="BQ203" s="74">
        <f t="shared" si="293"/>
        <v>0.55283706402915134</v>
      </c>
      <c r="BR203" s="74">
        <f t="shared" si="293"/>
        <v>0.43681818181818177</v>
      </c>
      <c r="BS203" s="74">
        <f t="shared" si="293"/>
        <v>0.17461832061068705</v>
      </c>
      <c r="BT203" s="161">
        <f t="shared" si="293"/>
        <v>0.45343654703260605</v>
      </c>
      <c r="BU203" s="74">
        <f t="shared" si="293"/>
        <v>-0.26105675146771046</v>
      </c>
      <c r="BV203" s="74">
        <f t="shared" si="293"/>
        <v>-0.15387194099899426</v>
      </c>
      <c r="BW203" s="74">
        <f t="shared" si="293"/>
        <v>-6.1372983233153988E-2</v>
      </c>
      <c r="BX203" s="74">
        <f t="shared" si="293"/>
        <v>7.0674248578391552E-2</v>
      </c>
      <c r="BY203" s="161">
        <f t="shared" si="293"/>
        <v>-8.5458360232408048E-2</v>
      </c>
      <c r="BZ203" s="74">
        <f t="shared" si="293"/>
        <v>3.495762711864403E-2</v>
      </c>
      <c r="CA203" s="74">
        <f t="shared" si="293"/>
        <v>0.11489698890649769</v>
      </c>
      <c r="CB203" s="74">
        <f t="shared" si="293"/>
        <v>-8.3249073137849794E-2</v>
      </c>
      <c r="CC203" s="74">
        <f t="shared" si="293"/>
        <v>-0.10976226605968631</v>
      </c>
      <c r="CD203" s="161">
        <f t="shared" si="293"/>
        <v>-2.9383217153445718E-2</v>
      </c>
      <c r="CE203" s="74">
        <f t="shared" si="293"/>
        <v>-9.7236438075742004E-2</v>
      </c>
      <c r="CF203" s="74">
        <f t="shared" si="293"/>
        <v>-0.58066808813077464</v>
      </c>
      <c r="CG203" s="74">
        <f t="shared" si="293"/>
        <v>-8.8235294117646745E-3</v>
      </c>
      <c r="CH203" s="74">
        <f t="shared" si="293"/>
        <v>0.18295454545454537</v>
      </c>
      <c r="CI203" s="161">
        <f t="shared" si="293"/>
        <v>-0.10872727272727267</v>
      </c>
      <c r="CJ203" s="161"/>
      <c r="CK203" s="161"/>
      <c r="CL203" s="161"/>
      <c r="CM203" s="161"/>
      <c r="CN203" s="161"/>
      <c r="CO203" s="74"/>
      <c r="CP203" s="74"/>
      <c r="CQ203" s="6"/>
      <c r="CR203" s="6"/>
      <c r="CS203" s="6"/>
      <c r="CT203" s="124"/>
      <c r="CU203" s="124"/>
      <c r="CV203" s="124"/>
      <c r="CW203" s="124"/>
      <c r="CX203" s="124"/>
      <c r="CY203" s="124"/>
      <c r="CZ203" s="124"/>
      <c r="DA203" s="124"/>
      <c r="DB203" s="124"/>
      <c r="DC203" s="124"/>
      <c r="DD203" s="124"/>
      <c r="DE203" s="124"/>
      <c r="DF203" s="124"/>
      <c r="DG203" s="124"/>
      <c r="DH203" s="124"/>
      <c r="DI203" s="124"/>
      <c r="DK203" s="124"/>
      <c r="DL203" s="124"/>
      <c r="DM203" s="6"/>
      <c r="DN203" s="124"/>
      <c r="DO203" s="124"/>
      <c r="DQ203" s="136"/>
      <c r="DR203" s="124"/>
      <c r="DS203" s="124"/>
      <c r="DT203" s="124"/>
      <c r="DV203" s="124"/>
      <c r="DW203" s="124"/>
      <c r="DX203" s="124"/>
      <c r="EA203" s="111"/>
      <c r="EB203" s="111"/>
      <c r="EC203" s="111"/>
      <c r="ED203" s="124"/>
      <c r="EE203" s="124"/>
      <c r="EF203" s="124"/>
      <c r="EJ203" s="111"/>
      <c r="EK203" s="111"/>
      <c r="EL203" s="124"/>
      <c r="EM203" s="124"/>
      <c r="EN203" s="124"/>
      <c r="EP203" s="111"/>
      <c r="EQ203" s="124"/>
      <c r="ER203" s="124"/>
      <c r="ES203" s="124"/>
      <c r="EV203" s="111"/>
      <c r="EW203" s="111"/>
      <c r="EX203" s="111"/>
      <c r="EY203" s="111"/>
      <c r="EZ203" s="124"/>
      <c r="FA203" s="124"/>
      <c r="FD203" s="111"/>
      <c r="FE203" s="111">
        <v>1.88</v>
      </c>
      <c r="FF203" s="111"/>
      <c r="FG203" s="124"/>
      <c r="FH203" s="124"/>
      <c r="FK203" s="124"/>
      <c r="FL203" s="124"/>
      <c r="FO203" s="111">
        <v>1.88</v>
      </c>
      <c r="FP203" s="111"/>
      <c r="FQ203" s="124"/>
      <c r="FR203" s="124"/>
      <c r="FU203" s="111"/>
      <c r="FV203" s="124"/>
      <c r="FW203" s="124"/>
      <c r="FX203" s="124"/>
      <c r="FY203" s="124"/>
      <c r="GA203" s="124"/>
      <c r="GB203" s="124"/>
      <c r="GC203" s="124"/>
      <c r="GF203" s="111"/>
      <c r="GG203" s="111"/>
      <c r="GH203" s="111"/>
      <c r="GI203" s="124"/>
      <c r="GJ203" s="124"/>
      <c r="GK203" s="124"/>
      <c r="GN203" s="111"/>
      <c r="GO203" s="111"/>
      <c r="GP203" s="124"/>
      <c r="GQ203" s="124"/>
      <c r="GR203" s="124"/>
      <c r="GV203" s="111"/>
      <c r="GW203" s="124"/>
      <c r="GX203" s="124"/>
      <c r="GY203" s="124"/>
      <c r="HC203" s="124"/>
      <c r="HD203" s="124"/>
      <c r="HE203" s="124"/>
      <c r="HF203" s="124"/>
      <c r="HI203" s="111"/>
      <c r="HJ203" s="111"/>
      <c r="HK203" s="111"/>
      <c r="HL203" s="111"/>
      <c r="HM203" s="124"/>
      <c r="HN203" s="124"/>
      <c r="HO203" s="124"/>
      <c r="HR203" s="111"/>
      <c r="HS203" s="111"/>
      <c r="HT203" s="111"/>
      <c r="HU203" s="124"/>
      <c r="HV203" s="124"/>
      <c r="HW203" s="124"/>
      <c r="HZ203" s="111"/>
      <c r="IA203" s="124"/>
      <c r="IB203" s="124"/>
      <c r="IC203" s="124"/>
      <c r="IE203" s="111"/>
      <c r="IF203" s="124"/>
      <c r="IG203" s="124"/>
      <c r="IH203" s="124"/>
      <c r="IK203" s="124"/>
      <c r="IL203" s="124"/>
      <c r="IO203" s="124"/>
      <c r="IP203" s="124"/>
      <c r="IS203" s="160"/>
      <c r="IT203" s="160"/>
      <c r="IU203" s="160"/>
      <c r="IX203" s="124"/>
      <c r="IY203" s="124"/>
      <c r="IZ203" s="124"/>
      <c r="JA203" s="124"/>
      <c r="JD203" s="124"/>
      <c r="JE203" s="124"/>
      <c r="JH203" s="124"/>
      <c r="JI203" s="124"/>
      <c r="JJ203" s="124"/>
      <c r="JM203" s="124"/>
      <c r="JN203" s="124"/>
      <c r="JQ203" s="124"/>
      <c r="JR203" s="124"/>
      <c r="JS203" s="124"/>
      <c r="JV203" s="124"/>
      <c r="JW203" s="124"/>
      <c r="JY203" s="124"/>
      <c r="JZ203" s="124"/>
      <c r="KB203" s="124"/>
      <c r="KC203" s="124"/>
      <c r="KD203" s="124"/>
    </row>
    <row r="204" spans="2:290" hidden="1" x14ac:dyDescent="0.25">
      <c r="B204" s="6" t="str">
        <f t="shared" si="292"/>
        <v>Packaging Products</v>
      </c>
      <c r="C204" s="136"/>
      <c r="D204" s="136"/>
      <c r="E204" s="136"/>
      <c r="F204" s="136"/>
      <c r="G204" s="136"/>
      <c r="H204" s="132"/>
      <c r="I204" s="158"/>
      <c r="J204" s="158"/>
      <c r="K204" s="158"/>
      <c r="L204" s="158"/>
      <c r="M204" s="132"/>
      <c r="N204" s="158"/>
      <c r="O204" s="158"/>
      <c r="P204" s="158"/>
      <c r="Q204" s="158"/>
      <c r="R204" s="132"/>
      <c r="S204" s="158"/>
      <c r="T204" s="158"/>
      <c r="U204" s="158"/>
      <c r="V204" s="158"/>
      <c r="W204" s="132"/>
      <c r="X204" s="158"/>
      <c r="Y204" s="158"/>
      <c r="Z204" s="158"/>
      <c r="AA204" s="158"/>
      <c r="AB204" s="161"/>
      <c r="AC204" s="162"/>
      <c r="AD204" s="162"/>
      <c r="AE204" s="162"/>
      <c r="AF204" s="162"/>
      <c r="AG204" s="161"/>
      <c r="AH204" s="162"/>
      <c r="AI204" s="162"/>
      <c r="AJ204" s="162"/>
      <c r="AK204" s="161"/>
      <c r="AL204" s="162"/>
      <c r="AM204" s="162"/>
      <c r="AN204" s="162"/>
      <c r="AO204" s="162"/>
      <c r="AP204" s="161"/>
      <c r="AQ204" s="162">
        <f t="shared" si="293"/>
        <v>-0.31399771776340812</v>
      </c>
      <c r="AR204" s="162">
        <f t="shared" si="293"/>
        <v>0.42075664621676889</v>
      </c>
      <c r="AS204" s="162">
        <f t="shared" si="293"/>
        <v>9.0360376353630478E-2</v>
      </c>
      <c r="AT204" s="162">
        <f t="shared" si="293"/>
        <v>-7.2624647224835415E-2</v>
      </c>
      <c r="AU204" s="161">
        <f t="shared" si="293"/>
        <v>-3.8762250853430213E-2</v>
      </c>
      <c r="AV204" s="74">
        <f t="shared" si="293"/>
        <v>3.5209315220404935E-2</v>
      </c>
      <c r="AW204" s="74">
        <f t="shared" si="293"/>
        <v>-0.12270600935588338</v>
      </c>
      <c r="AX204" s="74">
        <f t="shared" si="293"/>
        <v>-0.41061543471182027</v>
      </c>
      <c r="AY204" s="74">
        <f t="shared" si="293"/>
        <v>-0.39318320146074248</v>
      </c>
      <c r="AZ204" s="161">
        <f t="shared" si="293"/>
        <v>-0.26778554244472452</v>
      </c>
      <c r="BA204" s="74">
        <f t="shared" si="293"/>
        <v>-0.44858061060524912</v>
      </c>
      <c r="BB204" s="74">
        <f t="shared" si="293"/>
        <v>-0.84331419196062352</v>
      </c>
      <c r="BC204" s="74">
        <f t="shared" si="293"/>
        <v>0.20828729281767955</v>
      </c>
      <c r="BD204" s="74">
        <f t="shared" si="293"/>
        <v>0.11534603811434296</v>
      </c>
      <c r="BE204" s="161">
        <f t="shared" si="293"/>
        <v>-0.20589845889071423</v>
      </c>
      <c r="BF204" s="74">
        <f t="shared" si="293"/>
        <v>-0.10976202039825167</v>
      </c>
      <c r="BG204" s="74">
        <f t="shared" si="293"/>
        <v>5.6989528795811522</v>
      </c>
      <c r="BH204" s="74">
        <f t="shared" si="293"/>
        <v>-8.847736625514413E-2</v>
      </c>
      <c r="BI204" s="74">
        <f t="shared" si="293"/>
        <v>0.2230215827338129</v>
      </c>
      <c r="BJ204" s="161">
        <f t="shared" si="293"/>
        <v>0.22736676189537963</v>
      </c>
      <c r="BK204" s="74">
        <f t="shared" si="293"/>
        <v>-6.4920894708128674E-2</v>
      </c>
      <c r="BL204" s="74">
        <f t="shared" si="293"/>
        <v>-4.2985541227041901E-3</v>
      </c>
      <c r="BM204" s="74">
        <f t="shared" si="293"/>
        <v>-0.37296212691246544</v>
      </c>
      <c r="BN204" s="74">
        <f t="shared" si="293"/>
        <v>-0.17426470588235299</v>
      </c>
      <c r="BO204" s="161">
        <f t="shared" si="293"/>
        <v>-0.19006340797816845</v>
      </c>
      <c r="BP204" s="74">
        <f t="shared" si="293"/>
        <v>0.32847141190198359</v>
      </c>
      <c r="BQ204" s="74">
        <f t="shared" si="293"/>
        <v>-0.16365777080062804</v>
      </c>
      <c r="BR204" s="74">
        <f t="shared" si="293"/>
        <v>-9.7199999999999953E-2</v>
      </c>
      <c r="BS204" s="74">
        <f t="shared" si="293"/>
        <v>-0.26150192935589189</v>
      </c>
      <c r="BT204" s="161">
        <f t="shared" si="293"/>
        <v>-9.2954117530472669E-2</v>
      </c>
      <c r="BU204" s="74">
        <f t="shared" si="293"/>
        <v>0.12077294685990347</v>
      </c>
      <c r="BV204" s="74">
        <f t="shared" si="293"/>
        <v>1.2440168934772409</v>
      </c>
      <c r="BW204" s="74">
        <f t="shared" si="293"/>
        <v>1.0620292423571112</v>
      </c>
      <c r="BX204" s="74">
        <f t="shared" si="293"/>
        <v>1.7254823151125405</v>
      </c>
      <c r="BY204" s="161">
        <f t="shared" si="293"/>
        <v>1.0505845078116463</v>
      </c>
      <c r="BZ204" s="74">
        <f t="shared" si="293"/>
        <v>0.65086206896551735</v>
      </c>
      <c r="CA204" s="74">
        <f t="shared" si="293"/>
        <v>-0.13655374320368052</v>
      </c>
      <c r="CB204" s="74">
        <f t="shared" si="293"/>
        <v>-5.1783412118607597E-2</v>
      </c>
      <c r="CC204" s="74">
        <f t="shared" si="293"/>
        <v>-0.15941601533697103</v>
      </c>
      <c r="CD204" s="161">
        <f t="shared" si="293"/>
        <v>-1.9660077787841623E-2</v>
      </c>
      <c r="CE204" s="74">
        <f t="shared" si="293"/>
        <v>8.5449798243531827E-2</v>
      </c>
      <c r="CF204" s="74">
        <f t="shared" si="293"/>
        <v>0.15257931702591443</v>
      </c>
      <c r="CG204" s="74">
        <f t="shared" si="293"/>
        <v>-0.24223883979152516</v>
      </c>
      <c r="CH204" s="74">
        <f t="shared" si="293"/>
        <v>2.7368421052631708E-2</v>
      </c>
      <c r="CI204" s="161">
        <f t="shared" si="293"/>
        <v>7.1739130434782528E-3</v>
      </c>
      <c r="CJ204" s="161"/>
      <c r="CK204" s="161"/>
      <c r="CL204" s="161"/>
      <c r="CM204" s="161"/>
      <c r="CN204" s="161"/>
      <c r="CO204" s="74"/>
      <c r="CP204" s="74"/>
      <c r="CQ204" s="6"/>
      <c r="CR204" s="6"/>
      <c r="CS204" s="6"/>
      <c r="CT204" s="124"/>
      <c r="CU204" s="124"/>
      <c r="CV204" s="124"/>
      <c r="CW204" s="124"/>
      <c r="CX204" s="124"/>
      <c r="CY204" s="124"/>
      <c r="CZ204" s="124"/>
      <c r="DA204" s="124"/>
      <c r="DB204" s="124"/>
      <c r="DC204" s="124"/>
      <c r="DD204" s="124"/>
      <c r="DE204" s="124"/>
      <c r="DF204" s="124"/>
      <c r="DG204" s="124"/>
      <c r="DH204" s="124"/>
      <c r="DI204" s="124"/>
      <c r="DK204" s="124"/>
      <c r="DL204" s="124"/>
      <c r="DM204" s="6"/>
      <c r="DN204" s="124"/>
      <c r="DO204" s="124"/>
      <c r="DQ204" s="136"/>
      <c r="DR204" s="124"/>
      <c r="DS204" s="124"/>
      <c r="DT204" s="124"/>
      <c r="DV204" s="124"/>
      <c r="DW204" s="124"/>
      <c r="DX204" s="124"/>
      <c r="EA204" s="111"/>
      <c r="EB204" s="111"/>
      <c r="EC204" s="111"/>
      <c r="ED204" s="124"/>
      <c r="EE204" s="124"/>
      <c r="EF204" s="124"/>
      <c r="EJ204" s="111"/>
      <c r="EK204" s="111"/>
      <c r="EL204" s="124"/>
      <c r="EM204" s="124"/>
      <c r="EN204" s="124"/>
      <c r="EP204" s="111"/>
      <c r="EQ204" s="124"/>
      <c r="ER204" s="124"/>
      <c r="ES204" s="124"/>
      <c r="EV204" s="111"/>
      <c r="EW204" s="111"/>
      <c r="EX204" s="111"/>
      <c r="EY204" s="111"/>
      <c r="EZ204" s="124"/>
      <c r="FA204" s="124"/>
      <c r="FD204" s="111"/>
      <c r="FE204" s="111"/>
      <c r="FF204" s="111"/>
      <c r="FG204" s="124"/>
      <c r="FH204" s="124"/>
      <c r="FK204" s="124"/>
      <c r="FL204" s="124"/>
      <c r="FO204" s="111"/>
      <c r="FP204" s="111"/>
      <c r="FQ204" s="124"/>
      <c r="FR204" s="124"/>
      <c r="FU204" s="111"/>
      <c r="FV204" s="124"/>
      <c r="FW204" s="124"/>
      <c r="FX204" s="124"/>
      <c r="FY204" s="124"/>
      <c r="GA204" s="124"/>
      <c r="GB204" s="124"/>
      <c r="GC204" s="124"/>
      <c r="GF204" s="111"/>
      <c r="GG204" s="111"/>
      <c r="GH204" s="111"/>
      <c r="GI204" s="124"/>
      <c r="GJ204" s="124"/>
      <c r="GK204" s="124"/>
      <c r="GN204" s="111"/>
      <c r="GO204" s="111"/>
      <c r="GP204" s="124"/>
      <c r="GQ204" s="124"/>
      <c r="GR204" s="124"/>
      <c r="GV204" s="111"/>
      <c r="GW204" s="124"/>
      <c r="GX204" s="124"/>
      <c r="GY204" s="124"/>
      <c r="HC204" s="124"/>
      <c r="HD204" s="124"/>
      <c r="HE204" s="124"/>
      <c r="HF204" s="124"/>
      <c r="HI204" s="111"/>
      <c r="HJ204" s="111"/>
      <c r="HK204" s="111"/>
      <c r="HL204" s="111"/>
      <c r="HM204" s="124"/>
      <c r="HN204" s="124"/>
      <c r="HO204" s="124"/>
      <c r="HR204" s="111"/>
      <c r="HS204" s="111"/>
      <c r="HT204" s="111"/>
      <c r="HU204" s="124"/>
      <c r="HV204" s="124"/>
      <c r="HW204" s="124"/>
      <c r="HZ204" s="111"/>
      <c r="IA204" s="124"/>
      <c r="IB204" s="124"/>
      <c r="IC204" s="124"/>
      <c r="IE204" s="111"/>
      <c r="IF204" s="124"/>
      <c r="IG204" s="124"/>
      <c r="IH204" s="124"/>
      <c r="IK204" s="124"/>
      <c r="IL204" s="124"/>
      <c r="IO204" s="124"/>
      <c r="IP204" s="124"/>
      <c r="IS204" s="160"/>
      <c r="IT204" s="160"/>
      <c r="IU204" s="160"/>
      <c r="IX204" s="124"/>
      <c r="IY204" s="124"/>
      <c r="IZ204" s="124"/>
      <c r="JA204" s="124"/>
      <c r="JD204" s="124"/>
      <c r="JE204" s="124"/>
      <c r="JH204" s="124"/>
      <c r="JI204" s="124"/>
      <c r="JJ204" s="124"/>
      <c r="JM204" s="124"/>
      <c r="JN204" s="124"/>
      <c r="JQ204" s="124"/>
      <c r="JR204" s="124"/>
      <c r="JS204" s="124"/>
      <c r="JV204" s="124"/>
      <c r="JW204" s="124"/>
      <c r="JY204" s="124"/>
      <c r="JZ204" s="124"/>
      <c r="KB204" s="124"/>
      <c r="KC204" s="124"/>
      <c r="KD204" s="124"/>
    </row>
    <row r="205" spans="2:290" hidden="1" x14ac:dyDescent="0.25">
      <c r="B205" s="6" t="str">
        <f t="shared" si="292"/>
        <v>Consumer Products</v>
      </c>
      <c r="C205" s="136"/>
      <c r="D205" s="136"/>
      <c r="E205" s="136"/>
      <c r="F205" s="136"/>
      <c r="G205" s="136"/>
      <c r="H205" s="132"/>
      <c r="I205" s="158"/>
      <c r="J205" s="158"/>
      <c r="K205" s="158"/>
      <c r="L205" s="158"/>
      <c r="M205" s="132"/>
      <c r="N205" s="158"/>
      <c r="O205" s="158"/>
      <c r="P205" s="158"/>
      <c r="Q205" s="158"/>
      <c r="R205" s="132"/>
      <c r="S205" s="158"/>
      <c r="T205" s="158"/>
      <c r="U205" s="158"/>
      <c r="V205" s="158"/>
      <c r="W205" s="132"/>
      <c r="X205" s="158"/>
      <c r="Y205" s="158"/>
      <c r="Z205" s="158"/>
      <c r="AA205" s="158"/>
      <c r="AB205" s="161"/>
      <c r="AC205" s="162"/>
      <c r="AD205" s="162"/>
      <c r="AE205" s="162"/>
      <c r="AF205" s="162"/>
      <c r="AG205" s="161"/>
      <c r="AH205" s="162"/>
      <c r="AI205" s="162"/>
      <c r="AJ205" s="162"/>
      <c r="AK205" s="161"/>
      <c r="AL205" s="162"/>
      <c r="AM205" s="162"/>
      <c r="AN205" s="162"/>
      <c r="AO205" s="162"/>
      <c r="AP205" s="161"/>
      <c r="AQ205" s="162">
        <f t="shared" si="293"/>
        <v>-0.29200896191187453</v>
      </c>
      <c r="AR205" s="162">
        <f t="shared" si="293"/>
        <v>0.35023584905660354</v>
      </c>
      <c r="AS205" s="162">
        <f t="shared" si="293"/>
        <v>3.5132819194515941E-2</v>
      </c>
      <c r="AT205" s="162">
        <f t="shared" si="293"/>
        <v>0.26404494382022481</v>
      </c>
      <c r="AU205" s="161">
        <f t="shared" si="293"/>
        <v>8.7128340233346036E-2</v>
      </c>
      <c r="AV205" s="74">
        <f t="shared" si="293"/>
        <v>0.27215189873417711</v>
      </c>
      <c r="AW205" s="74">
        <f t="shared" si="293"/>
        <v>4.0174672489083019E-2</v>
      </c>
      <c r="AX205" s="74">
        <f t="shared" si="293"/>
        <v>0.13327814569536423</v>
      </c>
      <c r="AY205" s="74">
        <f t="shared" si="293"/>
        <v>-0.26141414141414132</v>
      </c>
      <c r="AZ205" s="161">
        <f t="shared" si="293"/>
        <v>-3.1504240955513296E-2</v>
      </c>
      <c r="BA205" s="74">
        <f t="shared" si="293"/>
        <v>6.6334991708125957E-2</v>
      </c>
      <c r="BB205" s="74">
        <f t="shared" si="293"/>
        <v>-7.9764903442485213E-2</v>
      </c>
      <c r="BC205" s="74">
        <f t="shared" si="293"/>
        <v>0.11541271000730458</v>
      </c>
      <c r="BD205" s="74">
        <f t="shared" si="293"/>
        <v>1.3129102844638973E-2</v>
      </c>
      <c r="BE205" s="161">
        <f t="shared" si="293"/>
        <v>2.9669347631813947E-2</v>
      </c>
      <c r="BF205" s="74">
        <f t="shared" si="293"/>
        <v>-1.3499222395023329</v>
      </c>
      <c r="BG205" s="74">
        <f t="shared" si="293"/>
        <v>0.15784671532846706</v>
      </c>
      <c r="BH205" s="74">
        <f t="shared" si="293"/>
        <v>0.49508840864440073</v>
      </c>
      <c r="BI205" s="74">
        <f t="shared" si="293"/>
        <v>0.54643628509719222</v>
      </c>
      <c r="BJ205" s="161">
        <f t="shared" si="293"/>
        <v>3.5584099982641781E-2</v>
      </c>
      <c r="BK205" s="74">
        <f t="shared" si="293"/>
        <v>-1.1377777777777778</v>
      </c>
      <c r="BL205" s="74">
        <f t="shared" si="293"/>
        <v>0.37903861308116626</v>
      </c>
      <c r="BM205" s="74">
        <f t="shared" si="293"/>
        <v>-8.0157687253613608E-2</v>
      </c>
      <c r="BN205" s="74">
        <f t="shared" si="293"/>
        <v>-0.49371508379888274</v>
      </c>
      <c r="BO205" s="161">
        <f t="shared" si="293"/>
        <v>-9.3697619845792723E-2</v>
      </c>
      <c r="BP205" s="74">
        <f t="shared" si="293"/>
        <v>16.758064516129032</v>
      </c>
      <c r="BQ205" s="74">
        <f t="shared" si="293"/>
        <v>-0.11314285714285721</v>
      </c>
      <c r="BR205" s="74">
        <f t="shared" si="293"/>
        <v>-5.8571428571428608E-2</v>
      </c>
      <c r="BS205" s="74">
        <f t="shared" si="293"/>
        <v>0.48413793103448266</v>
      </c>
      <c r="BT205" s="161">
        <f t="shared" si="293"/>
        <v>0.25429998150545585</v>
      </c>
      <c r="BU205" s="74">
        <f t="shared" si="293"/>
        <v>0.61035422343324264</v>
      </c>
      <c r="BV205" s="74">
        <f t="shared" si="293"/>
        <v>0.12886597938144329</v>
      </c>
      <c r="BW205" s="74">
        <f t="shared" si="293"/>
        <v>-1.0622154779969639E-2</v>
      </c>
      <c r="BX205" s="74">
        <f t="shared" si="293"/>
        <v>-4.6468401486988831E-2</v>
      </c>
      <c r="BY205" s="161">
        <f t="shared" si="293"/>
        <v>0.11073429666764967</v>
      </c>
      <c r="BZ205" s="74">
        <f t="shared" si="293"/>
        <v>-9.3062605752961214E-2</v>
      </c>
      <c r="CA205" s="74">
        <f t="shared" si="293"/>
        <v>-4.6803652968036569E-2</v>
      </c>
      <c r="CB205" s="74">
        <f t="shared" si="293"/>
        <v>-0.13496932515337412</v>
      </c>
      <c r="CC205" s="74">
        <f t="shared" si="293"/>
        <v>0.10038986354775825</v>
      </c>
      <c r="CD205" s="161">
        <f t="shared" si="293"/>
        <v>-4.0488517191026085E-2</v>
      </c>
      <c r="CE205" s="74">
        <f t="shared" si="293"/>
        <v>-0.13743781094527363</v>
      </c>
      <c r="CF205" s="74">
        <f t="shared" si="293"/>
        <v>-0.15449101796407183</v>
      </c>
      <c r="CG205" s="74">
        <f t="shared" si="293"/>
        <v>1.3593380614657091E-2</v>
      </c>
      <c r="CH205" s="74">
        <f t="shared" si="293"/>
        <v>0.3937112488928256</v>
      </c>
      <c r="CI205" s="161">
        <f t="shared" si="293"/>
        <v>5.9075816270060866E-2</v>
      </c>
      <c r="CJ205" s="161"/>
      <c r="CK205" s="161"/>
      <c r="CL205" s="161"/>
      <c r="CM205" s="161"/>
      <c r="CN205" s="161"/>
      <c r="CO205" s="74"/>
      <c r="CP205" s="74"/>
      <c r="CQ205" s="6"/>
      <c r="CR205" s="6"/>
      <c r="CS205" s="6"/>
      <c r="CT205" s="124"/>
      <c r="CU205" s="124"/>
      <c r="CV205" s="124"/>
      <c r="CW205" s="124"/>
      <c r="CX205" s="124"/>
      <c r="CY205" s="124"/>
      <c r="CZ205" s="124"/>
      <c r="DA205" s="124"/>
      <c r="DB205" s="124"/>
      <c r="DC205" s="124"/>
      <c r="DD205" s="124"/>
      <c r="DE205" s="124"/>
      <c r="DF205" s="124"/>
      <c r="DG205" s="124"/>
      <c r="DH205" s="124"/>
      <c r="DI205" s="124"/>
      <c r="DK205" s="124"/>
      <c r="DL205" s="124"/>
      <c r="DM205" s="6"/>
      <c r="DN205" s="124"/>
      <c r="DO205" s="124"/>
      <c r="DQ205" s="136"/>
      <c r="DR205" s="124"/>
      <c r="DS205" s="124"/>
      <c r="DT205" s="124"/>
      <c r="DV205" s="124"/>
      <c r="DW205" s="124"/>
      <c r="DX205" s="124"/>
      <c r="EA205" s="111"/>
      <c r="EB205" s="111"/>
      <c r="EC205" s="111"/>
      <c r="ED205" s="124"/>
      <c r="EE205" s="124"/>
      <c r="EF205" s="124"/>
      <c r="EJ205" s="111"/>
      <c r="EK205" s="111"/>
      <c r="EL205" s="124"/>
      <c r="EM205" s="124"/>
      <c r="EN205" s="124"/>
      <c r="EP205" s="111"/>
      <c r="EQ205" s="124"/>
      <c r="ER205" s="124"/>
      <c r="ES205" s="124"/>
      <c r="EV205" s="111"/>
      <c r="EW205" s="111"/>
      <c r="EX205" s="111"/>
      <c r="EY205" s="111"/>
      <c r="EZ205" s="124"/>
      <c r="FA205" s="124"/>
      <c r="FD205" s="111"/>
      <c r="FE205" s="111"/>
      <c r="FF205" s="111"/>
      <c r="FG205" s="124"/>
      <c r="FH205" s="124"/>
      <c r="FK205" s="124"/>
      <c r="FL205" s="124"/>
      <c r="FO205" s="111"/>
      <c r="FP205" s="111"/>
      <c r="FQ205" s="124"/>
      <c r="FR205" s="124"/>
      <c r="FU205" s="111"/>
      <c r="FV205" s="124"/>
      <c r="FW205" s="124"/>
      <c r="FX205" s="124"/>
      <c r="FY205" s="124"/>
      <c r="GA205" s="124"/>
      <c r="GB205" s="124"/>
      <c r="GC205" s="124"/>
      <c r="GF205" s="111"/>
      <c r="GG205" s="111"/>
      <c r="GH205" s="111"/>
      <c r="GI205" s="124"/>
      <c r="GJ205" s="124"/>
      <c r="GK205" s="124"/>
      <c r="GN205" s="111"/>
      <c r="GO205" s="111"/>
      <c r="GP205" s="124"/>
      <c r="GQ205" s="124"/>
      <c r="GR205" s="124"/>
      <c r="GV205" s="111"/>
      <c r="GW205" s="124"/>
      <c r="GX205" s="124"/>
      <c r="GY205" s="124"/>
      <c r="HC205" s="124"/>
      <c r="HD205" s="124"/>
      <c r="HE205" s="124"/>
      <c r="HF205" s="124"/>
      <c r="HI205" s="111"/>
      <c r="HJ205" s="111"/>
      <c r="HK205" s="111"/>
      <c r="HL205" s="111"/>
      <c r="HM205" s="124"/>
      <c r="HN205" s="124"/>
      <c r="HO205" s="124"/>
      <c r="HR205" s="111"/>
      <c r="HS205" s="111"/>
      <c r="HT205" s="111"/>
      <c r="HU205" s="124"/>
      <c r="HV205" s="124"/>
      <c r="HW205" s="124"/>
      <c r="HZ205" s="111"/>
      <c r="IA205" s="124"/>
      <c r="IB205" s="124"/>
      <c r="IC205" s="124"/>
      <c r="IE205" s="111"/>
      <c r="IF205" s="124"/>
      <c r="IG205" s="124"/>
      <c r="IH205" s="124"/>
      <c r="IK205" s="124"/>
      <c r="IL205" s="124"/>
      <c r="IO205" s="124"/>
      <c r="IP205" s="124"/>
      <c r="IS205" s="160"/>
      <c r="IT205" s="160"/>
      <c r="IU205" s="160"/>
      <c r="IX205" s="124"/>
      <c r="IY205" s="124"/>
      <c r="IZ205" s="124"/>
      <c r="JA205" s="124"/>
      <c r="JD205" s="124"/>
      <c r="JE205" s="124"/>
      <c r="JH205" s="124"/>
      <c r="JI205" s="124"/>
      <c r="JJ205" s="124"/>
      <c r="JM205" s="124"/>
      <c r="JN205" s="124"/>
      <c r="JQ205" s="124"/>
      <c r="JR205" s="124"/>
      <c r="JS205" s="124"/>
      <c r="JV205" s="124"/>
      <c r="JW205" s="124"/>
      <c r="JY205" s="124"/>
      <c r="JZ205" s="124"/>
      <c r="KB205" s="124"/>
      <c r="KC205" s="124"/>
      <c r="KD205" s="124"/>
    </row>
    <row r="206" spans="2:290" hidden="1" x14ac:dyDescent="0.25">
      <c r="B206" s="6" t="str">
        <f t="shared" si="292"/>
        <v>Others</v>
      </c>
      <c r="C206" s="136"/>
      <c r="D206" s="136"/>
      <c r="E206" s="136"/>
      <c r="F206" s="136"/>
      <c r="G206" s="136"/>
      <c r="H206" s="132"/>
      <c r="I206" s="158"/>
      <c r="J206" s="158"/>
      <c r="K206" s="158"/>
      <c r="L206" s="158"/>
      <c r="M206" s="132"/>
      <c r="N206" s="158"/>
      <c r="O206" s="158"/>
      <c r="P206" s="158"/>
      <c r="Q206" s="158"/>
      <c r="R206" s="132"/>
      <c r="S206" s="158"/>
      <c r="T206" s="158"/>
      <c r="U206" s="158"/>
      <c r="V206" s="158"/>
      <c r="W206" s="132"/>
      <c r="X206" s="158"/>
      <c r="Y206" s="158"/>
      <c r="Z206" s="158"/>
      <c r="AA206" s="158"/>
      <c r="AB206" s="161"/>
      <c r="AC206" s="162"/>
      <c r="AD206" s="162"/>
      <c r="AE206" s="162"/>
      <c r="AF206" s="162"/>
      <c r="AG206" s="161"/>
      <c r="AH206" s="162"/>
      <c r="AI206" s="162"/>
      <c r="AJ206" s="162"/>
      <c r="AK206" s="161"/>
      <c r="AL206" s="162"/>
      <c r="AM206" s="162"/>
      <c r="AN206" s="162"/>
      <c r="AO206" s="162"/>
      <c r="AP206" s="161"/>
      <c r="AQ206" s="162">
        <f t="shared" si="293"/>
        <v>0.34177215189873422</v>
      </c>
      <c r="AR206" s="162">
        <f t="shared" si="293"/>
        <v>8.1967213114754189E-2</v>
      </c>
      <c r="AS206" s="162">
        <f t="shared" si="293"/>
        <v>3.6253776435045459E-2</v>
      </c>
      <c r="AT206" s="162">
        <f t="shared" si="293"/>
        <v>148.5</v>
      </c>
      <c r="AU206" s="161">
        <f t="shared" si="293"/>
        <v>-1.3146853146853146</v>
      </c>
      <c r="AV206" s="74">
        <f t="shared" si="293"/>
        <v>-0.28930817610062909</v>
      </c>
      <c r="AW206" s="74">
        <f t="shared" si="293"/>
        <v>-1</v>
      </c>
      <c r="AX206" s="74">
        <f t="shared" si="293"/>
        <v>-1</v>
      </c>
      <c r="AY206" s="74">
        <f t="shared" si="293"/>
        <v>-1.0209030100334449</v>
      </c>
      <c r="AZ206" s="161">
        <f t="shared" si="293"/>
        <v>-1</v>
      </c>
      <c r="BA206" s="74">
        <f t="shared" si="293"/>
        <v>-0.90707964601769908</v>
      </c>
      <c r="BB206" s="74" t="e">
        <f t="shared" si="293"/>
        <v>#DIV/0!</v>
      </c>
      <c r="BC206" s="74" t="e">
        <f t="shared" si="293"/>
        <v>#DIV/0!</v>
      </c>
      <c r="BD206" s="74">
        <f t="shared" si="293"/>
        <v>-20.16</v>
      </c>
      <c r="BE206" s="161" t="e">
        <f t="shared" si="293"/>
        <v>#DIV/0!</v>
      </c>
      <c r="BF206" s="74">
        <f t="shared" si="293"/>
        <v>-0.4285714285714286</v>
      </c>
      <c r="BG206" s="74">
        <f t="shared" si="293"/>
        <v>33.620689655172413</v>
      </c>
      <c r="BH206" s="74">
        <f t="shared" si="293"/>
        <v>138.19999999999999</v>
      </c>
      <c r="BI206" s="74">
        <f t="shared" si="293"/>
        <v>-0.91858037578288099</v>
      </c>
      <c r="BJ206" s="161">
        <f t="shared" si="293"/>
        <v>3.8752515090543262</v>
      </c>
      <c r="BK206" s="74">
        <f t="shared" si="293"/>
        <v>3.666666666666667</v>
      </c>
      <c r="BL206" s="74">
        <f t="shared" si="293"/>
        <v>-0.78585657370517925</v>
      </c>
      <c r="BM206" s="74">
        <f t="shared" si="293"/>
        <v>-0.58117816091954022</v>
      </c>
      <c r="BN206" s="74">
        <f t="shared" si="293"/>
        <v>1.641025641025641</v>
      </c>
      <c r="BO206" s="161">
        <f t="shared" si="293"/>
        <v>-0.65125877011968636</v>
      </c>
      <c r="BP206" s="74">
        <f t="shared" si="293"/>
        <v>-3.5714285714285698E-2</v>
      </c>
      <c r="BQ206" s="74">
        <f t="shared" si="293"/>
        <v>-2.4883720930232558</v>
      </c>
      <c r="BR206" s="74">
        <f t="shared" si="293"/>
        <v>-1.0068610634648369</v>
      </c>
      <c r="BS206" s="74">
        <f t="shared" si="293"/>
        <v>5.8252427184465994E-2</v>
      </c>
      <c r="BT206" s="161">
        <f t="shared" si="293"/>
        <v>-1.3183431952662721</v>
      </c>
      <c r="BU206" s="74">
        <f t="shared" si="293"/>
        <v>-1.0925925925925926</v>
      </c>
      <c r="BV206" s="74">
        <f t="shared" si="293"/>
        <v>-0.91874999999999996</v>
      </c>
      <c r="BW206" s="74">
        <f t="shared" si="293"/>
        <v>8.75</v>
      </c>
      <c r="BX206" s="74">
        <f t="shared" si="293"/>
        <v>-1.2844036697247705</v>
      </c>
      <c r="BY206" s="161">
        <f t="shared" si="293"/>
        <v>-0.6617100371747211</v>
      </c>
      <c r="BZ206" s="74">
        <f t="shared" si="293"/>
        <v>-6</v>
      </c>
      <c r="CA206" s="74">
        <f t="shared" si="293"/>
        <v>-1.2307692307692308</v>
      </c>
      <c r="CB206" s="74">
        <f t="shared" si="293"/>
        <v>-1.8461538461538463</v>
      </c>
      <c r="CC206" s="74">
        <f t="shared" si="293"/>
        <v>-3.612903225806452</v>
      </c>
      <c r="CD206" s="161">
        <f t="shared" si="293"/>
        <v>-2.0439560439560438</v>
      </c>
      <c r="CE206" s="74">
        <f t="shared" si="293"/>
        <v>-0.36</v>
      </c>
      <c r="CF206" s="74">
        <f t="shared" si="293"/>
        <v>0</v>
      </c>
      <c r="CG206" s="74">
        <f t="shared" si="293"/>
        <v>-0.51515151515151514</v>
      </c>
      <c r="CH206" s="74">
        <f t="shared" si="293"/>
        <v>-8.9012345679012341</v>
      </c>
      <c r="CI206" s="161">
        <f t="shared" si="293"/>
        <v>-7.6736842105263161</v>
      </c>
      <c r="CJ206" s="161"/>
      <c r="CK206" s="161"/>
      <c r="CL206" s="161"/>
      <c r="CM206" s="161"/>
      <c r="CN206" s="161"/>
      <c r="CO206" s="74"/>
      <c r="CP206" s="74"/>
      <c r="CQ206" s="6"/>
      <c r="CR206" s="6"/>
      <c r="CS206" s="6"/>
      <c r="CT206" s="124"/>
      <c r="CU206" s="124"/>
      <c r="CV206" s="124"/>
      <c r="CW206" s="124"/>
      <c r="CX206" s="124"/>
      <c r="CY206" s="124"/>
      <c r="CZ206" s="124"/>
      <c r="DA206" s="124"/>
      <c r="DB206" s="124"/>
      <c r="DC206" s="124"/>
      <c r="DD206" s="124"/>
      <c r="DE206" s="124"/>
      <c r="DF206" s="124"/>
      <c r="DG206" s="124"/>
      <c r="DH206" s="124"/>
      <c r="DI206" s="124"/>
      <c r="DK206" s="124"/>
      <c r="DL206" s="124"/>
      <c r="DM206" s="6"/>
      <c r="DN206" s="124"/>
      <c r="DO206" s="124"/>
      <c r="DQ206" s="136"/>
      <c r="DR206" s="124"/>
      <c r="DS206" s="124"/>
      <c r="DT206" s="124"/>
      <c r="DV206" s="124"/>
      <c r="DW206" s="124"/>
      <c r="DX206" s="124"/>
      <c r="EA206" s="111"/>
      <c r="EB206" s="111"/>
      <c r="EC206" s="111"/>
      <c r="ED206" s="124"/>
      <c r="EE206" s="124"/>
      <c r="EF206" s="124"/>
      <c r="EJ206" s="111"/>
      <c r="EK206" s="111"/>
      <c r="EL206" s="124"/>
      <c r="EM206" s="124"/>
      <c r="EN206" s="124"/>
      <c r="EP206" s="111"/>
      <c r="EQ206" s="124"/>
      <c r="ER206" s="124"/>
      <c r="ES206" s="124"/>
      <c r="EV206" s="111"/>
      <c r="EW206" s="111"/>
      <c r="EX206" s="111"/>
      <c r="EY206" s="111"/>
      <c r="EZ206" s="124"/>
      <c r="FA206" s="124"/>
      <c r="FD206" s="111"/>
      <c r="FE206" s="111"/>
      <c r="FF206" s="111"/>
      <c r="FG206" s="124"/>
      <c r="FH206" s="124"/>
      <c r="FK206" s="124"/>
      <c r="FL206" s="124"/>
      <c r="FO206" s="111"/>
      <c r="FP206" s="111"/>
      <c r="FQ206" s="124"/>
      <c r="FR206" s="124"/>
      <c r="FU206" s="111"/>
      <c r="FV206" s="124"/>
      <c r="FW206" s="124"/>
      <c r="FX206" s="124"/>
      <c r="FY206" s="124"/>
      <c r="GA206" s="124"/>
      <c r="GB206" s="124"/>
      <c r="GC206" s="124"/>
      <c r="GF206" s="111"/>
      <c r="GG206" s="111"/>
      <c r="GH206" s="111"/>
      <c r="GI206" s="124"/>
      <c r="GJ206" s="124"/>
      <c r="GK206" s="124"/>
      <c r="GN206" s="111"/>
      <c r="GO206" s="111"/>
      <c r="GP206" s="124"/>
      <c r="GQ206" s="124"/>
      <c r="GR206" s="124"/>
      <c r="GV206" s="111"/>
      <c r="GW206" s="124"/>
      <c r="GX206" s="124"/>
      <c r="GY206" s="124"/>
      <c r="HC206" s="124"/>
      <c r="HD206" s="124"/>
      <c r="HE206" s="124"/>
      <c r="HF206" s="124"/>
      <c r="HI206" s="111"/>
      <c r="HJ206" s="111"/>
      <c r="HK206" s="111"/>
      <c r="HL206" s="111"/>
      <c r="HM206" s="124"/>
      <c r="HN206" s="124"/>
      <c r="HO206" s="124"/>
      <c r="HR206" s="111"/>
      <c r="HS206" s="111"/>
      <c r="HT206" s="111"/>
      <c r="HU206" s="124"/>
      <c r="HV206" s="124"/>
      <c r="HW206" s="124"/>
      <c r="HZ206" s="111"/>
      <c r="IA206" s="124"/>
      <c r="IB206" s="124"/>
      <c r="IC206" s="124"/>
      <c r="IE206" s="111"/>
      <c r="IF206" s="124"/>
      <c r="IG206" s="124"/>
      <c r="IH206" s="124"/>
      <c r="IK206" s="124"/>
      <c r="IL206" s="124"/>
      <c r="IO206" s="124"/>
      <c r="IP206" s="124"/>
      <c r="IS206" s="160"/>
      <c r="IT206" s="160"/>
      <c r="IU206" s="160"/>
      <c r="IX206" s="124"/>
      <c r="IY206" s="124"/>
      <c r="IZ206" s="124"/>
      <c r="JA206" s="124"/>
      <c r="JD206" s="124"/>
      <c r="JE206" s="124"/>
      <c r="JH206" s="124"/>
      <c r="JI206" s="124"/>
      <c r="JJ206" s="124"/>
      <c r="JM206" s="124"/>
      <c r="JN206" s="124"/>
      <c r="JQ206" s="124"/>
      <c r="JR206" s="124"/>
      <c r="JS206" s="124"/>
      <c r="JV206" s="124"/>
      <c r="JW206" s="124"/>
      <c r="JY206" s="124"/>
      <c r="JZ206" s="124"/>
      <c r="KB206" s="124"/>
      <c r="KC206" s="124"/>
      <c r="KD206" s="124"/>
    </row>
    <row r="207" spans="2:290" hidden="1" x14ac:dyDescent="0.25">
      <c r="B207" s="6" t="str">
        <f t="shared" si="292"/>
        <v>Other Unallocable</v>
      </c>
      <c r="C207" s="136"/>
      <c r="D207" s="136"/>
      <c r="E207" s="136"/>
      <c r="F207" s="136"/>
      <c r="G207" s="136"/>
      <c r="H207" s="132"/>
      <c r="I207" s="158"/>
      <c r="J207" s="158"/>
      <c r="K207" s="158"/>
      <c r="L207" s="158"/>
      <c r="M207" s="132"/>
      <c r="N207" s="158"/>
      <c r="O207" s="158"/>
      <c r="P207" s="158"/>
      <c r="Q207" s="158"/>
      <c r="R207" s="132"/>
      <c r="S207" s="158"/>
      <c r="T207" s="158"/>
      <c r="U207" s="158"/>
      <c r="V207" s="158"/>
      <c r="W207" s="132"/>
      <c r="X207" s="158"/>
      <c r="Y207" s="158"/>
      <c r="Z207" s="158"/>
      <c r="AA207" s="158"/>
      <c r="AB207" s="161"/>
      <c r="AC207" s="162"/>
      <c r="AD207" s="162"/>
      <c r="AE207" s="162"/>
      <c r="AF207" s="162"/>
      <c r="AG207" s="161"/>
      <c r="AH207" s="162"/>
      <c r="AI207" s="162"/>
      <c r="AJ207" s="162"/>
      <c r="AK207" s="161"/>
      <c r="AL207" s="162"/>
      <c r="AM207" s="162"/>
      <c r="AN207" s="162"/>
      <c r="AO207" s="162"/>
      <c r="AP207" s="161"/>
      <c r="AQ207" s="162">
        <f t="shared" si="293"/>
        <v>-1.0238095238095237</v>
      </c>
      <c r="AR207" s="162">
        <f t="shared" si="293"/>
        <v>-0.31901840490797539</v>
      </c>
      <c r="AS207" s="162">
        <f t="shared" si="293"/>
        <v>-0.18095238095238098</v>
      </c>
      <c r="AT207" s="162">
        <f t="shared" si="293"/>
        <v>-1.2292993630573248</v>
      </c>
      <c r="AU207" s="161">
        <f t="shared" si="293"/>
        <v>-0.60929432013769358</v>
      </c>
      <c r="AV207" s="74">
        <f t="shared" si="293"/>
        <v>-9.5</v>
      </c>
      <c r="AW207" s="74">
        <f t="shared" si="293"/>
        <v>-50.063063063063062</v>
      </c>
      <c r="AX207" s="74">
        <f t="shared" si="293"/>
        <v>-0.98837209302325579</v>
      </c>
      <c r="AY207" s="74">
        <f t="shared" si="293"/>
        <v>-1</v>
      </c>
      <c r="AZ207" s="161">
        <f t="shared" si="293"/>
        <v>-1</v>
      </c>
      <c r="BA207" s="74">
        <f t="shared" si="293"/>
        <v>-1</v>
      </c>
      <c r="BB207" s="74">
        <f t="shared" si="293"/>
        <v>-1</v>
      </c>
      <c r="BC207" s="74">
        <f t="shared" si="293"/>
        <v>-1</v>
      </c>
      <c r="BD207" s="74" t="e">
        <f t="shared" si="293"/>
        <v>#DIV/0!</v>
      </c>
      <c r="BE207" s="161" t="e">
        <f t="shared" si="293"/>
        <v>#DIV/0!</v>
      </c>
      <c r="BF207" s="74" t="e">
        <f t="shared" si="293"/>
        <v>#DIV/0!</v>
      </c>
      <c r="BG207" s="74" t="e">
        <f t="shared" si="293"/>
        <v>#DIV/0!</v>
      </c>
      <c r="BH207" s="74" t="e">
        <f t="shared" si="293"/>
        <v>#DIV/0!</v>
      </c>
      <c r="BI207" s="74" t="e">
        <f t="shared" si="293"/>
        <v>#DIV/0!</v>
      </c>
      <c r="BJ207" s="161" t="e">
        <f t="shared" si="293"/>
        <v>#DIV/0!</v>
      </c>
      <c r="BK207" s="74" t="e">
        <f t="shared" si="293"/>
        <v>#DIV/0!</v>
      </c>
      <c r="BL207" s="74" t="e">
        <f t="shared" si="293"/>
        <v>#DIV/0!</v>
      </c>
      <c r="BM207" s="74" t="e">
        <f t="shared" si="293"/>
        <v>#DIV/0!</v>
      </c>
      <c r="BN207" s="74" t="e">
        <f t="shared" si="293"/>
        <v>#DIV/0!</v>
      </c>
      <c r="BO207" s="161" t="e">
        <f t="shared" si="293"/>
        <v>#DIV/0!</v>
      </c>
      <c r="BP207" s="74" t="e">
        <f t="shared" si="293"/>
        <v>#DIV/0!</v>
      </c>
      <c r="BQ207" s="74" t="e">
        <f t="shared" si="293"/>
        <v>#DIV/0!</v>
      </c>
      <c r="BR207" s="74" t="e">
        <f t="shared" si="293"/>
        <v>#DIV/0!</v>
      </c>
      <c r="BS207" s="74" t="e">
        <f t="shared" si="293"/>
        <v>#DIV/0!</v>
      </c>
      <c r="BT207" s="161" t="e">
        <f t="shared" si="293"/>
        <v>#DIV/0!</v>
      </c>
      <c r="BU207" s="74" t="e">
        <f t="shared" ref="BU207:CI208" si="294">(BU175/BP175-1)</f>
        <v>#DIV/0!</v>
      </c>
      <c r="BV207" s="74" t="e">
        <f t="shared" si="294"/>
        <v>#DIV/0!</v>
      </c>
      <c r="BW207" s="74" t="e">
        <f t="shared" si="294"/>
        <v>#DIV/0!</v>
      </c>
      <c r="BX207" s="74" t="e">
        <f t="shared" si="294"/>
        <v>#DIV/0!</v>
      </c>
      <c r="BY207" s="161" t="e">
        <f t="shared" si="294"/>
        <v>#DIV/0!</v>
      </c>
      <c r="BZ207" s="74" t="e">
        <f t="shared" si="294"/>
        <v>#DIV/0!</v>
      </c>
      <c r="CA207" s="74" t="e">
        <f t="shared" si="294"/>
        <v>#DIV/0!</v>
      </c>
      <c r="CB207" s="74" t="e">
        <f t="shared" si="294"/>
        <v>#DIV/0!</v>
      </c>
      <c r="CC207" s="74" t="e">
        <f t="shared" si="294"/>
        <v>#DIV/0!</v>
      </c>
      <c r="CD207" s="161" t="e">
        <f t="shared" si="294"/>
        <v>#DIV/0!</v>
      </c>
      <c r="CE207" s="74" t="e">
        <f t="shared" si="294"/>
        <v>#DIV/0!</v>
      </c>
      <c r="CF207" s="74" t="e">
        <f t="shared" si="294"/>
        <v>#DIV/0!</v>
      </c>
      <c r="CG207" s="74" t="e">
        <f t="shared" si="294"/>
        <v>#DIV/0!</v>
      </c>
      <c r="CH207" s="74" t="e">
        <f t="shared" si="294"/>
        <v>#DIV/0!</v>
      </c>
      <c r="CI207" s="161" t="e">
        <f t="shared" si="294"/>
        <v>#DIV/0!</v>
      </c>
      <c r="CJ207" s="161" t="e">
        <f>(CJ175/CI175-1)</f>
        <v>#DIV/0!</v>
      </c>
      <c r="CK207" s="161" t="e">
        <f>(CK175/CJ175-1)</f>
        <v>#DIV/0!</v>
      </c>
      <c r="CL207" s="161"/>
      <c r="CM207" s="161"/>
      <c r="CN207" s="161"/>
      <c r="CO207" s="74"/>
      <c r="CP207" s="74"/>
      <c r="CQ207" s="6"/>
      <c r="CR207" s="6"/>
      <c r="CS207" s="6"/>
      <c r="CT207" s="124"/>
      <c r="CU207" s="124"/>
      <c r="CV207" s="124"/>
      <c r="CW207" s="124"/>
      <c r="CX207" s="124"/>
      <c r="CY207" s="124"/>
      <c r="CZ207" s="124"/>
      <c r="DA207" s="124"/>
      <c r="DB207" s="124"/>
      <c r="DC207" s="124"/>
      <c r="DD207" s="124"/>
      <c r="DE207" s="124"/>
      <c r="DF207" s="124"/>
      <c r="DG207" s="124"/>
      <c r="DH207" s="124"/>
      <c r="DI207" s="124"/>
      <c r="DK207" s="124"/>
      <c r="DL207" s="124"/>
      <c r="DM207" s="6"/>
      <c r="DN207" s="124"/>
      <c r="DO207" s="124"/>
      <c r="DQ207" s="136"/>
      <c r="DR207" s="124"/>
      <c r="DS207" s="124"/>
      <c r="DT207" s="124"/>
      <c r="DV207" s="124"/>
      <c r="DW207" s="124"/>
      <c r="DX207" s="124"/>
      <c r="EA207" s="111"/>
      <c r="EB207" s="111"/>
      <c r="EC207" s="111"/>
      <c r="ED207" s="124"/>
      <c r="EE207" s="124"/>
      <c r="EF207" s="124"/>
      <c r="EJ207" s="111"/>
      <c r="EK207" s="111"/>
      <c r="EL207" s="124"/>
      <c r="EM207" s="124"/>
      <c r="EN207" s="124"/>
      <c r="EP207" s="111"/>
      <c r="EQ207" s="124"/>
      <c r="ER207" s="124"/>
      <c r="ES207" s="124"/>
      <c r="EV207" s="111"/>
      <c r="EW207" s="111"/>
      <c r="EX207" s="111"/>
      <c r="EY207" s="111"/>
      <c r="EZ207" s="124"/>
      <c r="FA207" s="124"/>
      <c r="FD207" s="111"/>
      <c r="FE207" s="111"/>
      <c r="FF207" s="111"/>
      <c r="FG207" s="124"/>
      <c r="FH207" s="124"/>
      <c r="FK207" s="124"/>
      <c r="FL207" s="124"/>
      <c r="FO207" s="111"/>
      <c r="FP207" s="111"/>
      <c r="FQ207" s="124"/>
      <c r="FR207" s="124"/>
      <c r="FU207" s="111"/>
      <c r="FV207" s="124"/>
      <c r="FW207" s="124"/>
      <c r="FX207" s="124"/>
      <c r="FY207" s="124"/>
      <c r="GA207" s="124"/>
      <c r="GB207" s="124"/>
      <c r="GC207" s="124"/>
      <c r="GF207" s="111"/>
      <c r="GG207" s="111"/>
      <c r="GH207" s="111"/>
      <c r="GI207" s="124"/>
      <c r="GJ207" s="124"/>
      <c r="GK207" s="124"/>
      <c r="GN207" s="111"/>
      <c r="GO207" s="111"/>
      <c r="GP207" s="124"/>
      <c r="GQ207" s="124"/>
      <c r="GR207" s="124"/>
      <c r="GV207" s="111"/>
      <c r="GW207" s="124"/>
      <c r="GX207" s="124"/>
      <c r="GY207" s="124"/>
      <c r="HC207" s="124"/>
      <c r="HD207" s="124"/>
      <c r="HE207" s="124"/>
      <c r="HF207" s="124"/>
      <c r="HI207" s="111"/>
      <c r="HJ207" s="111"/>
      <c r="HK207" s="111"/>
      <c r="HL207" s="111"/>
      <c r="HM207" s="124"/>
      <c r="HN207" s="124"/>
      <c r="HO207" s="124"/>
      <c r="HR207" s="111"/>
      <c r="HS207" s="111"/>
      <c r="HT207" s="111"/>
      <c r="HU207" s="124"/>
      <c r="HV207" s="124"/>
      <c r="HW207" s="124"/>
      <c r="HZ207" s="111"/>
      <c r="IA207" s="124"/>
      <c r="IB207" s="124"/>
      <c r="IC207" s="124"/>
      <c r="IE207" s="111"/>
      <c r="IF207" s="124"/>
      <c r="IG207" s="124"/>
      <c r="IH207" s="124"/>
      <c r="IK207" s="124"/>
      <c r="IL207" s="124"/>
      <c r="IO207" s="124"/>
      <c r="IP207" s="124"/>
      <c r="IS207" s="160"/>
      <c r="IT207" s="160"/>
      <c r="IU207" s="160"/>
      <c r="IX207" s="124"/>
      <c r="IY207" s="124"/>
      <c r="IZ207" s="124"/>
      <c r="JA207" s="124"/>
      <c r="JD207" s="124"/>
      <c r="JE207" s="124"/>
      <c r="JH207" s="124"/>
      <c r="JI207" s="124"/>
      <c r="JJ207" s="124"/>
      <c r="JM207" s="124"/>
      <c r="JN207" s="124"/>
      <c r="JQ207" s="124"/>
      <c r="JR207" s="124"/>
      <c r="JS207" s="124"/>
      <c r="JV207" s="124"/>
      <c r="JW207" s="124"/>
      <c r="JY207" s="124"/>
      <c r="JZ207" s="124"/>
      <c r="KB207" s="124"/>
      <c r="KC207" s="124"/>
      <c r="KD207" s="124"/>
    </row>
    <row r="208" spans="2:290" hidden="1" x14ac:dyDescent="0.25">
      <c r="B208" s="6" t="str">
        <f t="shared" si="292"/>
        <v>Total EBIT</v>
      </c>
      <c r="C208" s="136"/>
      <c r="D208" s="136"/>
      <c r="E208" s="136"/>
      <c r="F208" s="136"/>
      <c r="G208" s="136"/>
      <c r="H208" s="132"/>
      <c r="I208" s="158"/>
      <c r="J208" s="158"/>
      <c r="K208" s="158"/>
      <c r="L208" s="158"/>
      <c r="M208" s="132"/>
      <c r="N208" s="158"/>
      <c r="O208" s="158"/>
      <c r="P208" s="158"/>
      <c r="Q208" s="158"/>
      <c r="R208" s="132"/>
      <c r="S208" s="158"/>
      <c r="T208" s="158"/>
      <c r="U208" s="158"/>
      <c r="V208" s="158"/>
      <c r="W208" s="132"/>
      <c r="X208" s="158"/>
      <c r="Y208" s="158"/>
      <c r="Z208" s="158"/>
      <c r="AA208" s="158"/>
      <c r="AB208" s="161"/>
      <c r="AC208" s="162"/>
      <c r="AD208" s="162"/>
      <c r="AE208" s="162"/>
      <c r="AF208" s="162"/>
      <c r="AG208" s="161"/>
      <c r="AH208" s="162"/>
      <c r="AI208" s="162"/>
      <c r="AJ208" s="162"/>
      <c r="AK208" s="161"/>
      <c r="AL208" s="162"/>
      <c r="AM208" s="162"/>
      <c r="AN208" s="162"/>
      <c r="AO208" s="162"/>
      <c r="AP208" s="161"/>
      <c r="AQ208" s="162">
        <f t="shared" ref="AQ208:BT208" si="295">(AQ176/AL176-1)</f>
        <v>-0.28439425051334688</v>
      </c>
      <c r="AR208" s="162">
        <f t="shared" si="295"/>
        <v>3.2716927453769307E-2</v>
      </c>
      <c r="AS208" s="162">
        <f t="shared" si="295"/>
        <v>5.4820544134609239E-2</v>
      </c>
      <c r="AT208" s="162">
        <f t="shared" si="295"/>
        <v>0.22096956031567072</v>
      </c>
      <c r="AU208" s="161">
        <f t="shared" si="295"/>
        <v>1.9585121835778763E-2</v>
      </c>
      <c r="AV208" s="74">
        <f t="shared" si="295"/>
        <v>0.21191661743607071</v>
      </c>
      <c r="AW208" s="74">
        <f t="shared" si="295"/>
        <v>0.71782762691853597</v>
      </c>
      <c r="AX208" s="74">
        <f t="shared" si="295"/>
        <v>-0.12060204541068997</v>
      </c>
      <c r="AY208" s="74">
        <f t="shared" si="295"/>
        <v>-0.36400497812035815</v>
      </c>
      <c r="AZ208" s="161">
        <f t="shared" si="295"/>
        <v>-0.10329592931120057</v>
      </c>
      <c r="BA208" s="74">
        <f t="shared" si="295"/>
        <v>-0.13962395543175499</v>
      </c>
      <c r="BB208" s="74">
        <f t="shared" si="295"/>
        <v>-0.29570446735395184</v>
      </c>
      <c r="BC208" s="74">
        <f t="shared" si="295"/>
        <v>0.25175541252194256</v>
      </c>
      <c r="BD208" s="74">
        <f t="shared" si="295"/>
        <v>0.51186718848630219</v>
      </c>
      <c r="BE208" s="161">
        <f t="shared" si="295"/>
        <v>0.17314077617908552</v>
      </c>
      <c r="BF208" s="74">
        <f t="shared" si="295"/>
        <v>-0.41254552812626488</v>
      </c>
      <c r="BG208" s="74">
        <f t="shared" si="295"/>
        <v>0.69024965438724872</v>
      </c>
      <c r="BH208" s="74">
        <f t="shared" si="295"/>
        <v>1.0272291691013202</v>
      </c>
      <c r="BI208" s="74">
        <f t="shared" si="295"/>
        <v>0.94505448624274546</v>
      </c>
      <c r="BJ208" s="161">
        <f t="shared" si="295"/>
        <v>0.66354215804129812</v>
      </c>
      <c r="BK208" s="74">
        <f t="shared" si="295"/>
        <v>1.355469826398457</v>
      </c>
      <c r="BL208" s="74">
        <f t="shared" si="295"/>
        <v>0.24301178734664441</v>
      </c>
      <c r="BM208" s="74">
        <f t="shared" si="295"/>
        <v>-0.24243385023346975</v>
      </c>
      <c r="BN208" s="74">
        <f t="shared" si="295"/>
        <v>-0.27109002704675222</v>
      </c>
      <c r="BO208" s="161">
        <f t="shared" si="295"/>
        <v>-5.5486951510661187E-2</v>
      </c>
      <c r="BP208" s="74">
        <f t="shared" si="295"/>
        <v>0.24707533926064595</v>
      </c>
      <c r="BQ208" s="74">
        <f t="shared" si="295"/>
        <v>-0.65849976776590813</v>
      </c>
      <c r="BR208" s="74">
        <f t="shared" si="295"/>
        <v>-6.8295095689228758E-2</v>
      </c>
      <c r="BS208" s="74">
        <f t="shared" si="295"/>
        <v>0.21783431987513602</v>
      </c>
      <c r="BT208" s="161">
        <f t="shared" si="295"/>
        <v>-7.0426218077224823E-2</v>
      </c>
      <c r="BU208" s="74">
        <f t="shared" si="294"/>
        <v>0.20211069418386485</v>
      </c>
      <c r="BV208" s="74">
        <f t="shared" si="294"/>
        <v>2.2969511504023576</v>
      </c>
      <c r="BW208" s="74">
        <f t="shared" si="294"/>
        <v>0.25882064684743566</v>
      </c>
      <c r="BX208" s="74">
        <f t="shared" si="294"/>
        <v>1.6056487885089732E-2</v>
      </c>
      <c r="BY208" s="161">
        <f t="shared" si="294"/>
        <v>0.32897848622180548</v>
      </c>
      <c r="BZ208" s="74">
        <f t="shared" si="294"/>
        <v>0.20492410940731198</v>
      </c>
      <c r="CA208" s="74">
        <f t="shared" si="294"/>
        <v>-6.6279349582316294E-2</v>
      </c>
      <c r="CB208" s="74">
        <f t="shared" si="294"/>
        <v>-0.26607409329786558</v>
      </c>
      <c r="CC208" s="74">
        <f t="shared" si="294"/>
        <v>-0.2110286067875673</v>
      </c>
      <c r="CD208" s="161">
        <f t="shared" si="294"/>
        <v>-0.13592605948479941</v>
      </c>
      <c r="CE208" s="74">
        <f t="shared" si="294"/>
        <v>-0.24073054629059953</v>
      </c>
      <c r="CF208" s="74">
        <f t="shared" si="294"/>
        <v>-0.26217738669415713</v>
      </c>
      <c r="CG208" s="74">
        <f t="shared" si="294"/>
        <v>-5.9361739745403042E-2</v>
      </c>
      <c r="CH208" s="74">
        <f t="shared" si="294"/>
        <v>0.5297577750294109</v>
      </c>
      <c r="CI208" s="161">
        <f t="shared" si="294"/>
        <v>4.7648857316531013E-2</v>
      </c>
      <c r="CJ208" s="161" t="e">
        <f>(CJ176/CI176-1)</f>
        <v>#REF!</v>
      </c>
      <c r="CK208" s="161" t="e">
        <f>(CK176/CJ176-1)</f>
        <v>#REF!</v>
      </c>
      <c r="CL208" s="161"/>
      <c r="CM208" s="161"/>
      <c r="CN208" s="161"/>
      <c r="CO208" s="74"/>
      <c r="CP208" s="74"/>
      <c r="CQ208" s="6"/>
      <c r="CR208" s="6"/>
      <c r="CS208" s="6"/>
      <c r="CT208" s="124"/>
      <c r="CU208" s="124"/>
      <c r="CV208" s="124"/>
      <c r="CW208" s="124"/>
      <c r="CX208" s="124"/>
      <c r="CY208" s="124"/>
      <c r="CZ208" s="124"/>
      <c r="DA208" s="124"/>
      <c r="DB208" s="124"/>
      <c r="DC208" s="124"/>
      <c r="DD208" s="124"/>
      <c r="DE208" s="124"/>
      <c r="DF208" s="124"/>
      <c r="DG208" s="124"/>
      <c r="DH208" s="124"/>
      <c r="DI208" s="124"/>
      <c r="DK208" s="124"/>
      <c r="DL208" s="124"/>
      <c r="DM208" s="6"/>
      <c r="DN208" s="124"/>
      <c r="DO208" s="124"/>
      <c r="DQ208" s="136"/>
      <c r="DR208" s="124"/>
      <c r="DS208" s="124"/>
      <c r="DT208" s="124"/>
      <c r="DV208" s="124"/>
      <c r="DW208" s="124"/>
      <c r="DX208" s="124"/>
      <c r="EA208" s="111"/>
      <c r="EB208" s="111"/>
      <c r="EC208" s="111"/>
      <c r="ED208" s="124"/>
      <c r="EE208" s="124"/>
      <c r="EF208" s="124"/>
      <c r="EJ208" s="111"/>
      <c r="EK208" s="111"/>
      <c r="EL208" s="124"/>
      <c r="EM208" s="124"/>
      <c r="EN208" s="124"/>
      <c r="EP208" s="111"/>
      <c r="EQ208" s="124"/>
      <c r="ER208" s="124"/>
      <c r="ES208" s="124"/>
      <c r="EV208" s="111"/>
      <c r="EW208" s="111"/>
      <c r="EX208" s="111"/>
      <c r="EY208" s="111"/>
      <c r="EZ208" s="124"/>
      <c r="FA208" s="124"/>
      <c r="FD208" s="111"/>
      <c r="FE208" s="111"/>
      <c r="FF208" s="111"/>
      <c r="FG208" s="124"/>
      <c r="FH208" s="124"/>
      <c r="FK208" s="124"/>
      <c r="FL208" s="124"/>
      <c r="FO208" s="111"/>
      <c r="FP208" s="111"/>
      <c r="FQ208" s="124"/>
      <c r="FR208" s="124"/>
      <c r="FU208" s="111"/>
      <c r="FV208" s="124"/>
      <c r="FW208" s="124"/>
      <c r="FX208" s="124"/>
      <c r="FY208" s="124"/>
      <c r="GA208" s="124"/>
      <c r="GB208" s="124"/>
      <c r="GC208" s="124"/>
      <c r="GF208" s="111"/>
      <c r="GG208" s="111"/>
      <c r="GH208" s="111"/>
      <c r="GI208" s="124"/>
      <c r="GJ208" s="124"/>
      <c r="GK208" s="124"/>
      <c r="GN208" s="111"/>
      <c r="GO208" s="111"/>
      <c r="GP208" s="124"/>
      <c r="GQ208" s="124"/>
      <c r="GR208" s="124"/>
      <c r="GV208" s="111"/>
      <c r="GW208" s="124"/>
      <c r="GX208" s="124"/>
      <c r="GY208" s="124"/>
      <c r="HC208" s="124"/>
      <c r="HD208" s="124"/>
      <c r="HE208" s="124"/>
      <c r="HF208" s="124"/>
      <c r="HI208" s="111"/>
      <c r="HJ208" s="111"/>
      <c r="HK208" s="111"/>
      <c r="HL208" s="111"/>
      <c r="HM208" s="124"/>
      <c r="HN208" s="124"/>
      <c r="HO208" s="124"/>
      <c r="HR208" s="111"/>
      <c r="HS208" s="111"/>
      <c r="HT208" s="111"/>
      <c r="HU208" s="124"/>
      <c r="HV208" s="124"/>
      <c r="HW208" s="124"/>
      <c r="HZ208" s="111"/>
      <c r="IA208" s="124"/>
      <c r="IB208" s="124"/>
      <c r="IC208" s="124"/>
      <c r="IE208" s="111"/>
      <c r="IF208" s="124"/>
      <c r="IG208" s="124"/>
      <c r="IH208" s="124"/>
      <c r="IK208" s="124"/>
      <c r="IL208" s="124"/>
      <c r="IO208" s="124"/>
      <c r="IP208" s="124"/>
      <c r="IS208" s="160"/>
      <c r="IT208" s="160"/>
      <c r="IU208" s="160"/>
      <c r="IX208" s="124"/>
      <c r="IY208" s="124"/>
      <c r="IZ208" s="124"/>
      <c r="JA208" s="124"/>
      <c r="JD208" s="124"/>
      <c r="JE208" s="124"/>
      <c r="JH208" s="124"/>
      <c r="JI208" s="124"/>
      <c r="JJ208" s="124"/>
      <c r="JM208" s="124"/>
      <c r="JN208" s="124"/>
      <c r="JQ208" s="124"/>
      <c r="JR208" s="124"/>
      <c r="JS208" s="124"/>
      <c r="JV208" s="124"/>
      <c r="JW208" s="124"/>
      <c r="JY208" s="124"/>
      <c r="JZ208" s="124"/>
      <c r="KB208" s="124"/>
      <c r="KC208" s="124"/>
      <c r="KD208" s="124"/>
    </row>
    <row r="209" spans="2:290" hidden="1" x14ac:dyDescent="0.25">
      <c r="B209" s="6"/>
      <c r="C209" s="6"/>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6"/>
      <c r="CR209" s="6"/>
      <c r="CS209" s="6"/>
      <c r="CT209" s="15"/>
      <c r="CU209" s="15"/>
      <c r="CV209" s="15"/>
      <c r="CW209" s="15"/>
      <c r="CX209" s="15"/>
      <c r="DK209" s="6"/>
      <c r="DL209" s="6"/>
      <c r="DM209" s="6"/>
      <c r="DN209" s="6"/>
      <c r="DO209" s="6"/>
      <c r="EA209" s="15"/>
      <c r="EB209" s="15"/>
      <c r="EC209" s="15"/>
      <c r="ED209" s="15"/>
      <c r="EE209" s="15"/>
      <c r="EF209" s="15"/>
      <c r="EJ209" s="15"/>
      <c r="EK209" s="15"/>
      <c r="EL209" s="15"/>
      <c r="EM209" s="15"/>
      <c r="EN209" s="15"/>
      <c r="EP209" s="15"/>
      <c r="EQ209" s="15"/>
      <c r="ER209" s="15"/>
      <c r="ES209" s="15"/>
      <c r="EV209" s="15"/>
      <c r="EW209" s="15"/>
      <c r="EX209" s="15"/>
      <c r="EY209" s="15"/>
      <c r="EZ209" s="15"/>
      <c r="FA209" s="15"/>
      <c r="FD209" s="15"/>
      <c r="FE209" s="15"/>
      <c r="FF209" s="15"/>
      <c r="FG209" s="15"/>
      <c r="FH209" s="15"/>
      <c r="FK209" s="15"/>
      <c r="FL209" s="15"/>
      <c r="FO209" s="15"/>
      <c r="FP209" s="15"/>
      <c r="FQ209" s="15"/>
      <c r="FR209" s="15"/>
      <c r="FU209" s="15"/>
      <c r="FV209" s="15"/>
      <c r="FW209" s="15"/>
      <c r="FX209" s="15"/>
      <c r="FY209" s="15"/>
      <c r="GA209" s="15"/>
      <c r="GB209" s="15"/>
      <c r="GC209" s="15"/>
      <c r="GF209" s="15"/>
      <c r="GG209" s="15"/>
      <c r="GH209" s="15"/>
      <c r="GI209" s="15"/>
      <c r="GJ209" s="15"/>
      <c r="GK209" s="15"/>
      <c r="GN209" s="15"/>
      <c r="GO209" s="15"/>
      <c r="GP209" s="15"/>
      <c r="GQ209" s="15"/>
      <c r="GR209" s="15"/>
      <c r="GV209" s="15"/>
      <c r="GW209" s="15"/>
      <c r="GX209" s="15"/>
      <c r="GY209" s="15"/>
      <c r="HC209" s="15"/>
      <c r="HD209" s="15"/>
      <c r="HE209" s="15"/>
      <c r="HF209" s="15"/>
      <c r="HI209" s="15"/>
      <c r="HJ209" s="15"/>
      <c r="HK209" s="15"/>
      <c r="HL209" s="15"/>
      <c r="HM209" s="15"/>
      <c r="HN209" s="15"/>
      <c r="HO209" s="15"/>
      <c r="HR209" s="15"/>
      <c r="HS209" s="15"/>
      <c r="HT209" s="15"/>
      <c r="HU209" s="15"/>
      <c r="HV209" s="15"/>
      <c r="HW209" s="15"/>
      <c r="HZ209" s="15"/>
      <c r="IA209" s="15"/>
      <c r="IB209" s="15"/>
      <c r="IC209" s="15"/>
      <c r="IE209" s="15"/>
      <c r="IF209" s="15"/>
      <c r="IG209" s="15"/>
      <c r="IH209" s="15"/>
      <c r="IK209" s="15"/>
      <c r="IL209" s="15"/>
      <c r="IO209" s="15"/>
      <c r="IP209" s="15"/>
      <c r="IS209" s="15"/>
      <c r="IT209" s="15"/>
      <c r="IU209" s="15"/>
      <c r="IX209" s="15"/>
      <c r="IY209" s="15"/>
      <c r="IZ209" s="15"/>
      <c r="JA209" s="15"/>
      <c r="JD209" s="15"/>
      <c r="JE209" s="15"/>
      <c r="JH209" s="15"/>
      <c r="JI209" s="15"/>
      <c r="JJ209" s="15"/>
      <c r="JM209" s="15"/>
      <c r="JN209" s="15"/>
      <c r="JQ209" s="15"/>
      <c r="JR209" s="15"/>
      <c r="JS209" s="15"/>
      <c r="JV209" s="15"/>
      <c r="JW209" s="15"/>
      <c r="JY209" s="15"/>
      <c r="JZ209" s="15"/>
      <c r="KB209" s="15"/>
      <c r="KC209" s="15"/>
      <c r="KD209" s="15"/>
    </row>
    <row r="210" spans="2:290" s="60" customFormat="1" hidden="1" x14ac:dyDescent="0.25">
      <c r="B210" s="58" t="s">
        <v>249</v>
      </c>
      <c r="C210" s="4"/>
      <c r="D210" s="4" t="str">
        <f t="shared" ref="D210:BO210" si="296">D158</f>
        <v>1QFY10</v>
      </c>
      <c r="E210" s="4" t="str">
        <f t="shared" si="296"/>
        <v>2QFY10</v>
      </c>
      <c r="F210" s="4" t="str">
        <f t="shared" si="296"/>
        <v>3QFY10</v>
      </c>
      <c r="G210" s="4" t="str">
        <f t="shared" si="296"/>
        <v>4QFY10</v>
      </c>
      <c r="H210" s="145" t="str">
        <f t="shared" si="296"/>
        <v>CY10</v>
      </c>
      <c r="I210" s="145" t="str">
        <f t="shared" si="296"/>
        <v>1QFY11</v>
      </c>
      <c r="J210" s="145" t="str">
        <f t="shared" si="296"/>
        <v>2QFY11</v>
      </c>
      <c r="K210" s="145" t="str">
        <f t="shared" si="296"/>
        <v>3QFY11</v>
      </c>
      <c r="L210" s="145" t="str">
        <f t="shared" si="296"/>
        <v>4QFY11</v>
      </c>
      <c r="M210" s="145" t="str">
        <f t="shared" si="296"/>
        <v>CY11</v>
      </c>
      <c r="N210" s="145" t="str">
        <f t="shared" si="296"/>
        <v>1QFY12</v>
      </c>
      <c r="O210" s="145" t="str">
        <f t="shared" si="296"/>
        <v>2QFY12</v>
      </c>
      <c r="P210" s="145" t="str">
        <f t="shared" si="296"/>
        <v>3QFY12</v>
      </c>
      <c r="Q210" s="145" t="str">
        <f t="shared" si="296"/>
        <v>4QFY12</v>
      </c>
      <c r="R210" s="145" t="str">
        <f t="shared" si="296"/>
        <v>CY12</v>
      </c>
      <c r="S210" s="145" t="str">
        <f t="shared" si="296"/>
        <v>1QFY13</v>
      </c>
      <c r="T210" s="145" t="str">
        <f t="shared" si="296"/>
        <v>2QFY13</v>
      </c>
      <c r="U210" s="145" t="str">
        <f t="shared" si="296"/>
        <v>3QFY13</v>
      </c>
      <c r="V210" s="145" t="str">
        <f t="shared" si="296"/>
        <v>4QFY13</v>
      </c>
      <c r="W210" s="145" t="str">
        <f t="shared" si="296"/>
        <v>CY13</v>
      </c>
      <c r="X210" s="145" t="str">
        <f t="shared" si="296"/>
        <v>1QFY14</v>
      </c>
      <c r="Y210" s="145" t="str">
        <f t="shared" si="296"/>
        <v>2QFY14</v>
      </c>
      <c r="Z210" s="145" t="str">
        <f t="shared" si="296"/>
        <v>3QFY14</v>
      </c>
      <c r="AA210" s="145" t="str">
        <f t="shared" si="296"/>
        <v>4QFY14</v>
      </c>
      <c r="AB210" s="145" t="str">
        <f t="shared" si="296"/>
        <v>CY14</v>
      </c>
      <c r="AC210" s="145" t="str">
        <f t="shared" si="296"/>
        <v>1QFY15</v>
      </c>
      <c r="AD210" s="145" t="str">
        <f t="shared" si="296"/>
        <v>2QFY15</v>
      </c>
      <c r="AE210" s="145" t="str">
        <f t="shared" si="296"/>
        <v>3QFY15</v>
      </c>
      <c r="AF210" s="145" t="str">
        <f t="shared" si="296"/>
        <v>4QFY15</v>
      </c>
      <c r="AG210" s="145" t="str">
        <f t="shared" si="296"/>
        <v>CY15</v>
      </c>
      <c r="AH210" s="145" t="str">
        <f t="shared" si="296"/>
        <v>1QFY16</v>
      </c>
      <c r="AI210" s="145" t="str">
        <f t="shared" si="296"/>
        <v>2QFY16</v>
      </c>
      <c r="AJ210" s="145" t="str">
        <f t="shared" si="296"/>
        <v>3QFY16</v>
      </c>
      <c r="AK210" s="145" t="str">
        <f t="shared" si="296"/>
        <v>FY16</v>
      </c>
      <c r="AL210" s="145" t="str">
        <f t="shared" si="296"/>
        <v>1QFY17</v>
      </c>
      <c r="AM210" s="145" t="str">
        <f t="shared" si="296"/>
        <v>2QFY17</v>
      </c>
      <c r="AN210" s="145" t="str">
        <f t="shared" si="296"/>
        <v>3QFY17</v>
      </c>
      <c r="AO210" s="145" t="str">
        <f t="shared" si="296"/>
        <v>4QFY17</v>
      </c>
      <c r="AP210" s="145" t="str">
        <f t="shared" si="296"/>
        <v>FY17</v>
      </c>
      <c r="AQ210" s="145" t="str">
        <f t="shared" si="296"/>
        <v>1QFY18</v>
      </c>
      <c r="AR210" s="145" t="str">
        <f t="shared" si="296"/>
        <v>2QFY18</v>
      </c>
      <c r="AS210" s="145" t="str">
        <f t="shared" si="296"/>
        <v>3QFY18</v>
      </c>
      <c r="AT210" s="145" t="str">
        <f t="shared" si="296"/>
        <v>4QFY18</v>
      </c>
      <c r="AU210" s="145" t="str">
        <f t="shared" si="296"/>
        <v>FY18</v>
      </c>
      <c r="AV210" s="145" t="str">
        <f t="shared" si="296"/>
        <v>1QFY19</v>
      </c>
      <c r="AW210" s="145" t="str">
        <f t="shared" si="296"/>
        <v>2QFY19</v>
      </c>
      <c r="AX210" s="145" t="str">
        <f t="shared" si="296"/>
        <v>3QFY19</v>
      </c>
      <c r="AY210" s="145" t="str">
        <f t="shared" si="296"/>
        <v>4QFY19</v>
      </c>
      <c r="AZ210" s="145" t="str">
        <f t="shared" si="296"/>
        <v>FY19</v>
      </c>
      <c r="BA210" s="145" t="str">
        <f t="shared" si="296"/>
        <v>1QFY20</v>
      </c>
      <c r="BB210" s="145" t="str">
        <f t="shared" si="296"/>
        <v>2QFY20</v>
      </c>
      <c r="BC210" s="145" t="str">
        <f t="shared" si="296"/>
        <v>3QFY20</v>
      </c>
      <c r="BD210" s="145" t="str">
        <f t="shared" si="296"/>
        <v>4QFY20</v>
      </c>
      <c r="BE210" s="145" t="str">
        <f t="shared" si="296"/>
        <v>FY20</v>
      </c>
      <c r="BF210" s="145" t="str">
        <f t="shared" si="296"/>
        <v>1QFY21</v>
      </c>
      <c r="BG210" s="145" t="str">
        <f t="shared" si="296"/>
        <v>2QFY21</v>
      </c>
      <c r="BH210" s="145" t="str">
        <f t="shared" si="296"/>
        <v>3QFY21</v>
      </c>
      <c r="BI210" s="145" t="str">
        <f t="shared" si="296"/>
        <v>4QFY21</v>
      </c>
      <c r="BJ210" s="145" t="str">
        <f t="shared" si="296"/>
        <v>FY21</v>
      </c>
      <c r="BK210" s="145" t="str">
        <f t="shared" si="296"/>
        <v>1QFY22</v>
      </c>
      <c r="BL210" s="145" t="str">
        <f t="shared" si="296"/>
        <v>2QFY22</v>
      </c>
      <c r="BM210" s="145" t="str">
        <f t="shared" si="296"/>
        <v>3QFY22</v>
      </c>
      <c r="BN210" s="145" t="str">
        <f t="shared" si="296"/>
        <v>4QFY22</v>
      </c>
      <c r="BO210" s="145" t="str">
        <f t="shared" si="296"/>
        <v>FY22</v>
      </c>
      <c r="BP210" s="145" t="str">
        <f t="shared" ref="BP210:CK210" si="297">BP158</f>
        <v>1QFY23</v>
      </c>
      <c r="BQ210" s="145" t="str">
        <f t="shared" si="297"/>
        <v>2QFY23</v>
      </c>
      <c r="BR210" s="145" t="str">
        <f t="shared" si="297"/>
        <v>3QFY23</v>
      </c>
      <c r="BS210" s="145" t="str">
        <f t="shared" si="297"/>
        <v>4QFY23</v>
      </c>
      <c r="BT210" s="145" t="str">
        <f t="shared" si="297"/>
        <v>FY23</v>
      </c>
      <c r="BU210" s="145" t="str">
        <f t="shared" si="297"/>
        <v>1QFY24</v>
      </c>
      <c r="BV210" s="145" t="str">
        <f t="shared" si="297"/>
        <v>2QFY24</v>
      </c>
      <c r="BW210" s="145" t="str">
        <f t="shared" si="297"/>
        <v>3QFY24</v>
      </c>
      <c r="BX210" s="145" t="str">
        <f t="shared" si="297"/>
        <v>4QFY24</v>
      </c>
      <c r="BY210" s="145" t="str">
        <f t="shared" si="297"/>
        <v>FY24</v>
      </c>
      <c r="BZ210" s="145" t="str">
        <f t="shared" si="297"/>
        <v>1QFY25</v>
      </c>
      <c r="CA210" s="145" t="str">
        <f t="shared" si="297"/>
        <v>2QFY25</v>
      </c>
      <c r="CB210" s="145" t="str">
        <f t="shared" si="297"/>
        <v>3QFY25</v>
      </c>
      <c r="CC210" s="145" t="str">
        <f t="shared" si="297"/>
        <v>4QFY25</v>
      </c>
      <c r="CD210" s="145" t="str">
        <f t="shared" si="297"/>
        <v>FY25</v>
      </c>
      <c r="CE210" s="145" t="str">
        <f t="shared" si="297"/>
        <v>1QFY26</v>
      </c>
      <c r="CF210" s="145" t="str">
        <f t="shared" si="297"/>
        <v>2QFY26</v>
      </c>
      <c r="CG210" s="145" t="str">
        <f t="shared" si="297"/>
        <v>3QFY26</v>
      </c>
      <c r="CH210" s="145" t="str">
        <f t="shared" si="297"/>
        <v>4QFY26</v>
      </c>
      <c r="CI210" s="145" t="str">
        <f t="shared" si="297"/>
        <v>FY26</v>
      </c>
      <c r="CJ210" s="145" t="str">
        <f t="shared" si="297"/>
        <v>FY27E</v>
      </c>
      <c r="CK210" s="145" t="str">
        <f t="shared" si="297"/>
        <v>FY28E</v>
      </c>
      <c r="CL210" s="145"/>
      <c r="CM210" s="145"/>
      <c r="CN210" s="145"/>
      <c r="CO210" s="148"/>
      <c r="CP210" s="148"/>
      <c r="CQ210" s="58"/>
      <c r="CR210" s="58"/>
      <c r="CS210" s="58"/>
      <c r="CT210" s="143"/>
      <c r="CU210" s="143"/>
      <c r="CV210" s="143"/>
      <c r="CW210" s="143"/>
      <c r="CX210" s="143"/>
      <c r="CY210" s="143"/>
      <c r="CZ210" s="143"/>
      <c r="DA210" s="143"/>
      <c r="DB210" s="143"/>
      <c r="DC210" s="143"/>
      <c r="DD210" s="143"/>
      <c r="DE210" s="143"/>
      <c r="DF210" s="143"/>
      <c r="DG210" s="143"/>
      <c r="DH210" s="143"/>
      <c r="DI210" s="143"/>
      <c r="DK210" s="143"/>
      <c r="DL210" s="143"/>
      <c r="DM210" s="58"/>
      <c r="DN210" s="143"/>
      <c r="DO210" s="143"/>
      <c r="DQ210" s="4"/>
      <c r="DR210" s="143"/>
      <c r="DS210" s="143"/>
      <c r="DT210" s="143"/>
      <c r="DV210" s="143"/>
      <c r="DW210" s="143"/>
      <c r="DX210" s="143"/>
      <c r="EA210" s="119"/>
      <c r="EB210" s="119"/>
      <c r="EC210" s="119"/>
      <c r="ED210" s="143"/>
      <c r="EE210" s="143"/>
      <c r="EF210" s="143"/>
      <c r="EJ210" s="119"/>
      <c r="EK210" s="119"/>
      <c r="EL210" s="143"/>
      <c r="EM210" s="143"/>
      <c r="EN210" s="143"/>
      <c r="EP210" s="119"/>
      <c r="EQ210" s="143"/>
      <c r="ER210" s="143"/>
      <c r="ES210" s="143"/>
      <c r="EV210" s="119"/>
      <c r="EW210" s="119"/>
      <c r="EX210" s="119"/>
      <c r="EY210" s="119"/>
      <c r="EZ210" s="143"/>
      <c r="FA210" s="143"/>
      <c r="FD210" s="119"/>
      <c r="FE210" s="119"/>
      <c r="FF210" s="119"/>
      <c r="FG210" s="143"/>
      <c r="FH210" s="143"/>
      <c r="FK210" s="143"/>
      <c r="FL210" s="143"/>
      <c r="FO210" s="119"/>
      <c r="FP210" s="119"/>
      <c r="FQ210" s="143"/>
      <c r="FR210" s="143"/>
      <c r="FU210" s="119"/>
      <c r="FV210" s="143"/>
      <c r="FW210" s="143"/>
      <c r="FX210" s="143"/>
      <c r="FY210" s="143"/>
      <c r="GA210" s="143"/>
      <c r="GB210" s="143"/>
      <c r="GC210" s="143"/>
      <c r="GF210" s="119"/>
      <c r="GG210" s="119"/>
      <c r="GH210" s="119"/>
      <c r="GI210" s="143"/>
      <c r="GJ210" s="143"/>
      <c r="GK210" s="143"/>
      <c r="GN210" s="119"/>
      <c r="GO210" s="119"/>
      <c r="GP210" s="143"/>
      <c r="GQ210" s="143"/>
      <c r="GR210" s="143"/>
      <c r="GV210" s="119"/>
      <c r="GW210" s="143"/>
      <c r="GX210" s="143"/>
      <c r="GY210" s="143"/>
      <c r="HC210" s="143"/>
      <c r="HD210" s="143"/>
      <c r="HE210" s="143"/>
      <c r="HF210" s="143"/>
      <c r="HI210" s="119"/>
      <c r="HJ210" s="119"/>
      <c r="HK210" s="119"/>
      <c r="HL210" s="119"/>
      <c r="HM210" s="143"/>
      <c r="HN210" s="143"/>
      <c r="HO210" s="143"/>
      <c r="HR210" s="119"/>
      <c r="HS210" s="119"/>
      <c r="HT210" s="119"/>
      <c r="HU210" s="143"/>
      <c r="HV210" s="143"/>
      <c r="HW210" s="143"/>
      <c r="HZ210" s="119"/>
      <c r="IA210" s="143"/>
      <c r="IB210" s="143"/>
      <c r="IC210" s="143"/>
      <c r="IE210" s="119"/>
      <c r="IF210" s="143"/>
      <c r="IG210" s="143"/>
      <c r="IH210" s="143"/>
      <c r="IK210" s="143"/>
      <c r="IL210" s="143"/>
      <c r="IO210" s="143"/>
      <c r="IP210" s="143"/>
      <c r="IS210" s="157">
        <v>25.222882989683143</v>
      </c>
      <c r="IT210" s="157">
        <v>28.156450384563371</v>
      </c>
      <c r="IU210" s="157">
        <v>28.150143071093876</v>
      </c>
      <c r="IX210" s="143"/>
      <c r="IY210" s="143"/>
      <c r="IZ210" s="143"/>
      <c r="JA210" s="143"/>
      <c r="JD210" s="143"/>
      <c r="JE210" s="143"/>
      <c r="JH210" s="143"/>
      <c r="JI210" s="143"/>
      <c r="JJ210" s="143"/>
      <c r="JM210" s="143"/>
      <c r="JN210" s="143"/>
      <c r="JQ210" s="143"/>
      <c r="JR210" s="143"/>
      <c r="JS210" s="143"/>
      <c r="JV210" s="143"/>
      <c r="JW210" s="143"/>
      <c r="JY210" s="143"/>
      <c r="JZ210" s="143"/>
      <c r="KB210" s="143"/>
      <c r="KC210" s="143"/>
      <c r="KD210" s="143"/>
    </row>
    <row r="211" spans="2:290" hidden="1" x14ac:dyDescent="0.25">
      <c r="B211" s="6" t="s">
        <v>233</v>
      </c>
      <c r="C211" s="136"/>
      <c r="D211" s="136"/>
      <c r="E211" s="136"/>
      <c r="F211" s="136"/>
      <c r="G211" s="136"/>
      <c r="H211" s="132"/>
      <c r="I211" s="158"/>
      <c r="J211" s="158"/>
      <c r="K211" s="158"/>
      <c r="L211" s="158"/>
      <c r="M211" s="132"/>
      <c r="N211" s="158"/>
      <c r="O211" s="158"/>
      <c r="P211" s="158"/>
      <c r="Q211" s="158"/>
      <c r="R211" s="132"/>
      <c r="S211" s="158"/>
      <c r="T211" s="158"/>
      <c r="U211" s="158"/>
      <c r="V211" s="158"/>
      <c r="W211" s="132">
        <f t="shared" ref="W211:BK211" si="298">W219*10000/W119</f>
        <v>14.969072621247497</v>
      </c>
      <c r="X211" s="158">
        <f t="shared" si="298"/>
        <v>17.364319510158641</v>
      </c>
      <c r="Y211" s="158">
        <f t="shared" si="298"/>
        <v>14.554826837784281</v>
      </c>
      <c r="Z211" s="158">
        <f t="shared" si="298"/>
        <v>14.697650481977792</v>
      </c>
      <c r="AA211" s="158">
        <f t="shared" si="298"/>
        <v>18.815086516226778</v>
      </c>
      <c r="AB211" s="132">
        <f t="shared" si="298"/>
        <v>16.550058259865605</v>
      </c>
      <c r="AC211" s="158">
        <f t="shared" si="298"/>
        <v>14.731689157747789</v>
      </c>
      <c r="AD211" s="158">
        <f t="shared" si="298"/>
        <v>7.8431043523859456</v>
      </c>
      <c r="AE211" s="158">
        <f t="shared" si="298"/>
        <v>12.746089694209065</v>
      </c>
      <c r="AF211" s="158">
        <f t="shared" si="298"/>
        <v>18.814175987063738</v>
      </c>
      <c r="AG211" s="132">
        <f t="shared" si="298"/>
        <v>13.866557004660637</v>
      </c>
      <c r="AH211" s="158">
        <f t="shared" si="298"/>
        <v>14.313201468296935</v>
      </c>
      <c r="AI211" s="158">
        <f t="shared" si="298"/>
        <v>12.865591181558514</v>
      </c>
      <c r="AJ211" s="158">
        <f t="shared" si="298"/>
        <v>14.52927236580517</v>
      </c>
      <c r="AK211" s="132">
        <f t="shared" si="298"/>
        <v>13.971769786114297</v>
      </c>
      <c r="AL211" s="158">
        <f t="shared" si="298"/>
        <v>0</v>
      </c>
      <c r="AM211" s="158">
        <f t="shared" si="298"/>
        <v>0</v>
      </c>
      <c r="AN211" s="158">
        <f t="shared" si="298"/>
        <v>0</v>
      </c>
      <c r="AO211" s="158">
        <f t="shared" si="298"/>
        <v>0</v>
      </c>
      <c r="AP211" s="132">
        <f t="shared" si="298"/>
        <v>0</v>
      </c>
      <c r="AQ211" s="158">
        <f t="shared" si="298"/>
        <v>0</v>
      </c>
      <c r="AR211" s="158">
        <f t="shared" si="298"/>
        <v>0</v>
      </c>
      <c r="AS211" s="158">
        <f t="shared" si="298"/>
        <v>0</v>
      </c>
      <c r="AT211" s="158">
        <f t="shared" si="298"/>
        <v>0</v>
      </c>
      <c r="AU211" s="132">
        <f t="shared" si="298"/>
        <v>0</v>
      </c>
      <c r="AV211" s="137">
        <f t="shared" si="298"/>
        <v>0</v>
      </c>
      <c r="AW211" s="137">
        <f t="shared" si="298"/>
        <v>0</v>
      </c>
      <c r="AX211" s="137">
        <f t="shared" si="298"/>
        <v>0</v>
      </c>
      <c r="AY211" s="137">
        <f t="shared" si="298"/>
        <v>0</v>
      </c>
      <c r="AZ211" s="132">
        <f t="shared" si="298"/>
        <v>0</v>
      </c>
      <c r="BA211" s="137">
        <f t="shared" si="298"/>
        <v>0</v>
      </c>
      <c r="BB211" s="137">
        <f t="shared" si="298"/>
        <v>0</v>
      </c>
      <c r="BC211" s="137">
        <f t="shared" si="298"/>
        <v>0</v>
      </c>
      <c r="BD211" s="137">
        <f t="shared" si="298"/>
        <v>0</v>
      </c>
      <c r="BE211" s="132">
        <f t="shared" si="298"/>
        <v>0</v>
      </c>
      <c r="BF211" s="137">
        <f t="shared" si="298"/>
        <v>0</v>
      </c>
      <c r="BG211" s="137">
        <f t="shared" si="298"/>
        <v>0</v>
      </c>
      <c r="BH211" s="137">
        <f t="shared" si="298"/>
        <v>0</v>
      </c>
      <c r="BI211" s="137">
        <f t="shared" si="298"/>
        <v>0</v>
      </c>
      <c r="BJ211" s="132">
        <f t="shared" si="298"/>
        <v>0</v>
      </c>
      <c r="BK211" s="137">
        <f t="shared" si="298"/>
        <v>0</v>
      </c>
      <c r="BL211" s="137"/>
      <c r="BM211" s="137"/>
      <c r="BN211" s="137"/>
      <c r="BO211" s="132">
        <v>33.5</v>
      </c>
      <c r="BP211" s="137"/>
      <c r="BQ211" s="137"/>
      <c r="BR211" s="137"/>
      <c r="BS211" s="137"/>
      <c r="BT211" s="132">
        <v>18.5</v>
      </c>
      <c r="BU211" s="137"/>
      <c r="BV211" s="137"/>
      <c r="BW211" s="137"/>
      <c r="BX211" s="137"/>
      <c r="BY211" s="132">
        <v>23.2</v>
      </c>
      <c r="BZ211" s="137"/>
      <c r="CA211" s="137"/>
      <c r="CB211" s="137"/>
      <c r="CC211" s="137"/>
      <c r="CD211" s="132">
        <v>19.5</v>
      </c>
      <c r="CE211" s="137"/>
      <c r="CF211" s="137"/>
      <c r="CG211" s="137"/>
      <c r="CH211" s="137"/>
      <c r="CI211" s="132">
        <v>19</v>
      </c>
      <c r="CJ211" s="181">
        <v>20</v>
      </c>
      <c r="CK211" s="181">
        <v>20</v>
      </c>
      <c r="CL211" s="145"/>
      <c r="CM211" s="145"/>
      <c r="CN211" s="145"/>
      <c r="CO211" s="137"/>
      <c r="CP211" s="137"/>
      <c r="CQ211" s="6"/>
      <c r="CR211" s="6"/>
      <c r="CS211" s="6"/>
      <c r="CT211" s="124"/>
      <c r="CU211" s="124"/>
      <c r="CV211" s="124"/>
      <c r="CW211" s="124"/>
      <c r="CX211" s="124"/>
      <c r="CY211" s="124"/>
      <c r="CZ211" s="124"/>
      <c r="DA211" s="124"/>
      <c r="DB211" s="124"/>
      <c r="DC211" s="124"/>
      <c r="DD211" s="124"/>
      <c r="DE211" s="124"/>
      <c r="DF211" s="124"/>
      <c r="DG211" s="124"/>
      <c r="DH211" s="124"/>
      <c r="DI211" s="124"/>
      <c r="DK211" s="124"/>
      <c r="DL211" s="124"/>
      <c r="DM211" s="6"/>
      <c r="DN211" s="124"/>
      <c r="DO211" s="124"/>
      <c r="DQ211" s="136"/>
      <c r="DR211" s="124"/>
      <c r="DS211" s="124"/>
      <c r="DT211" s="124"/>
      <c r="DV211" s="124"/>
      <c r="DW211" s="124"/>
      <c r="DX211" s="124"/>
      <c r="EA211" s="111"/>
      <c r="EB211" s="111"/>
      <c r="EC211" s="111"/>
      <c r="ED211" s="124"/>
      <c r="EE211" s="124"/>
      <c r="EF211" s="124"/>
      <c r="EJ211" s="111"/>
      <c r="EK211" s="111"/>
      <c r="EL211" s="124"/>
      <c r="EM211" s="124"/>
      <c r="EN211" s="124"/>
      <c r="EP211" s="111"/>
      <c r="EQ211" s="124"/>
      <c r="ER211" s="124"/>
      <c r="ES211" s="124"/>
      <c r="EV211" s="111"/>
      <c r="EW211" s="111"/>
      <c r="EX211" s="111"/>
      <c r="EY211" s="111"/>
      <c r="EZ211" s="124"/>
      <c r="FA211" s="124"/>
      <c r="FD211" s="111">
        <v>-2.3511452883849788</v>
      </c>
      <c r="FE211" s="111"/>
      <c r="FF211" s="111"/>
      <c r="FG211" s="124">
        <v>2.3511452883849788</v>
      </c>
      <c r="FH211" s="124"/>
      <c r="FK211" s="124">
        <v>2.3511452883849788</v>
      </c>
      <c r="FL211" s="124"/>
      <c r="FO211" s="111">
        <v>18.674082463280833</v>
      </c>
      <c r="FP211" s="111">
        <v>21.829736661687082</v>
      </c>
      <c r="FQ211" s="124">
        <v>18</v>
      </c>
      <c r="FR211" s="124">
        <v>19</v>
      </c>
      <c r="FU211" s="111">
        <v>17.259082780862641</v>
      </c>
      <c r="FV211" s="124">
        <v>16.5</v>
      </c>
      <c r="FW211" s="124">
        <v>15</v>
      </c>
      <c r="FX211" s="124">
        <v>20</v>
      </c>
      <c r="FY211" s="124">
        <v>20</v>
      </c>
      <c r="GA211" s="124">
        <v>17</v>
      </c>
      <c r="GB211" s="124">
        <v>21</v>
      </c>
      <c r="GC211" s="124">
        <v>21</v>
      </c>
      <c r="GF211" s="111"/>
      <c r="GG211" s="111"/>
      <c r="GH211" s="111"/>
      <c r="GI211" s="124">
        <v>18.5</v>
      </c>
      <c r="GJ211" s="124">
        <v>21</v>
      </c>
      <c r="GK211" s="124">
        <v>21</v>
      </c>
      <c r="GN211" s="111"/>
      <c r="GO211" s="111"/>
      <c r="GP211" s="124">
        <v>23</v>
      </c>
      <c r="GQ211" s="124">
        <v>21</v>
      </c>
      <c r="GR211" s="124">
        <v>21</v>
      </c>
      <c r="GV211" s="111">
        <v>0</v>
      </c>
      <c r="GW211" s="124">
        <v>27</v>
      </c>
      <c r="GX211" s="124">
        <v>19</v>
      </c>
      <c r="GY211" s="124">
        <v>22</v>
      </c>
      <c r="HC211" s="124"/>
      <c r="HD211" s="124">
        <v>33.5</v>
      </c>
      <c r="HE211" s="124">
        <v>28</v>
      </c>
      <c r="HF211" s="124">
        <v>28</v>
      </c>
      <c r="HI211" s="111"/>
      <c r="HJ211" s="111"/>
      <c r="HK211" s="111"/>
      <c r="HL211" s="111"/>
      <c r="HM211" s="124"/>
      <c r="HN211" s="124"/>
      <c r="HO211" s="124"/>
      <c r="HR211" s="111"/>
      <c r="HS211" s="111"/>
      <c r="HT211" s="111"/>
      <c r="HU211" s="124">
        <v>18</v>
      </c>
      <c r="HV211" s="124">
        <v>22</v>
      </c>
      <c r="HW211" s="124">
        <v>22.5</v>
      </c>
      <c r="HZ211" s="111"/>
      <c r="IA211" s="124">
        <v>20</v>
      </c>
      <c r="IB211" s="124">
        <v>23</v>
      </c>
      <c r="IC211" s="124">
        <v>25</v>
      </c>
      <c r="IE211" s="111"/>
      <c r="IF211" s="124">
        <v>18.5</v>
      </c>
      <c r="IG211" s="124">
        <v>23</v>
      </c>
      <c r="IH211" s="124">
        <v>25</v>
      </c>
      <c r="IK211" s="124">
        <v>23</v>
      </c>
      <c r="IL211" s="124">
        <v>25</v>
      </c>
      <c r="IO211" s="124">
        <v>24</v>
      </c>
      <c r="IP211" s="124">
        <v>28</v>
      </c>
      <c r="IS211" s="160">
        <v>25</v>
      </c>
      <c r="IT211" s="160">
        <v>24</v>
      </c>
      <c r="IU211" s="160">
        <v>24</v>
      </c>
      <c r="IX211" s="124"/>
      <c r="IY211" s="124"/>
      <c r="IZ211" s="124"/>
      <c r="JA211" s="124"/>
      <c r="JD211" s="124">
        <v>27</v>
      </c>
      <c r="JE211" s="124">
        <v>27</v>
      </c>
      <c r="JH211" s="124">
        <v>24</v>
      </c>
      <c r="JI211" s="124">
        <v>24.5</v>
      </c>
      <c r="JJ211" s="124">
        <v>24.5</v>
      </c>
      <c r="JM211" s="124">
        <v>25.5</v>
      </c>
      <c r="JN211" s="124">
        <v>25.5</v>
      </c>
      <c r="JQ211" s="124">
        <v>19.5</v>
      </c>
      <c r="JR211" s="124">
        <v>22</v>
      </c>
      <c r="JS211" s="124">
        <v>23</v>
      </c>
      <c r="JV211" s="124">
        <v>22</v>
      </c>
      <c r="JW211" s="124">
        <v>23</v>
      </c>
      <c r="JY211" s="124">
        <v>22</v>
      </c>
      <c r="JZ211" s="124">
        <v>23</v>
      </c>
      <c r="KB211" s="124">
        <v>19</v>
      </c>
      <c r="KC211" s="124">
        <v>21</v>
      </c>
      <c r="KD211" s="124">
        <v>21</v>
      </c>
    </row>
    <row r="212" spans="2:290" hidden="1" x14ac:dyDescent="0.25">
      <c r="B212" s="6" t="s">
        <v>224</v>
      </c>
      <c r="C212" s="136"/>
      <c r="D212" s="136"/>
      <c r="E212" s="136"/>
      <c r="F212" s="136"/>
      <c r="G212" s="136"/>
      <c r="H212" s="132"/>
      <c r="I212" s="158"/>
      <c r="J212" s="158"/>
      <c r="K212" s="158"/>
      <c r="L212" s="158"/>
      <c r="M212" s="132"/>
      <c r="N212" s="158"/>
      <c r="O212" s="158"/>
      <c r="P212" s="158"/>
      <c r="Q212" s="158"/>
      <c r="R212" s="132"/>
      <c r="S212" s="158"/>
      <c r="T212" s="158"/>
      <c r="U212" s="158"/>
      <c r="V212" s="158"/>
      <c r="W212" s="132">
        <f t="shared" ref="W212:BK212" si="299">W220*10000/W121</f>
        <v>18.18000149876352</v>
      </c>
      <c r="X212" s="158">
        <f t="shared" si="299"/>
        <v>16.110072134651347</v>
      </c>
      <c r="Y212" s="158">
        <f t="shared" si="299"/>
        <v>15.567316380534399</v>
      </c>
      <c r="Z212" s="158">
        <f t="shared" si="299"/>
        <v>15.825262938665</v>
      </c>
      <c r="AA212" s="158">
        <f t="shared" si="299"/>
        <v>30.05464480874317</v>
      </c>
      <c r="AB212" s="132">
        <f t="shared" si="299"/>
        <v>19.452706722189173</v>
      </c>
      <c r="AC212" s="158">
        <f t="shared" si="299"/>
        <v>17.331470829909613</v>
      </c>
      <c r="AD212" s="158">
        <f t="shared" si="299"/>
        <v>20.798992673992679</v>
      </c>
      <c r="AE212" s="158">
        <f t="shared" si="299"/>
        <v>20.100741826174559</v>
      </c>
      <c r="AF212" s="158">
        <f t="shared" si="299"/>
        <v>26.506024096385541</v>
      </c>
      <c r="AG212" s="132">
        <f t="shared" si="299"/>
        <v>21.263538831064853</v>
      </c>
      <c r="AH212" s="158">
        <f t="shared" si="299"/>
        <v>16.288110047846889</v>
      </c>
      <c r="AI212" s="158">
        <f t="shared" si="299"/>
        <v>17.950391644908617</v>
      </c>
      <c r="AJ212" s="158">
        <f t="shared" si="299"/>
        <v>23.999201517117484</v>
      </c>
      <c r="AK212" s="132">
        <f t="shared" si="299"/>
        <v>19.744099235761745</v>
      </c>
      <c r="AL212" s="158">
        <f t="shared" si="299"/>
        <v>0</v>
      </c>
      <c r="AM212" s="158">
        <f t="shared" si="299"/>
        <v>0</v>
      </c>
      <c r="AN212" s="158">
        <f t="shared" si="299"/>
        <v>0</v>
      </c>
      <c r="AO212" s="158">
        <f t="shared" si="299"/>
        <v>0</v>
      </c>
      <c r="AP212" s="132">
        <f t="shared" si="299"/>
        <v>0</v>
      </c>
      <c r="AQ212" s="158">
        <f t="shared" si="299"/>
        <v>-23.118859401147127</v>
      </c>
      <c r="AR212" s="158">
        <f t="shared" si="299"/>
        <v>30.406030427649288</v>
      </c>
      <c r="AS212" s="158">
        <f t="shared" si="299"/>
        <v>37.081019656720812</v>
      </c>
      <c r="AT212" s="158">
        <f t="shared" si="299"/>
        <v>2.2321209575603906</v>
      </c>
      <c r="AU212" s="132">
        <f t="shared" si="299"/>
        <v>18.959570480063231</v>
      </c>
      <c r="AV212" s="137">
        <f t="shared" si="299"/>
        <v>22.932609131956958</v>
      </c>
      <c r="AW212" s="137">
        <f t="shared" si="299"/>
        <v>44.321979488309069</v>
      </c>
      <c r="AX212" s="137">
        <f t="shared" si="299"/>
        <v>40.250914475884464</v>
      </c>
      <c r="AY212" s="137">
        <f t="shared" si="299"/>
        <v>23.80405588672868</v>
      </c>
      <c r="AZ212" s="132">
        <f t="shared" si="299"/>
        <v>32.493258162128313</v>
      </c>
      <c r="BA212" s="137">
        <f t="shared" si="299"/>
        <v>36.691246420729691</v>
      </c>
      <c r="BB212" s="137">
        <f t="shared" si="299"/>
        <v>32.800755730705262</v>
      </c>
      <c r="BC212" s="137">
        <f t="shared" si="299"/>
        <v>-0.30029258109898466</v>
      </c>
      <c r="BD212" s="137">
        <f t="shared" si="299"/>
        <v>-13.426350726290929</v>
      </c>
      <c r="BE212" s="132">
        <f t="shared" si="299"/>
        <v>14.936551444249874</v>
      </c>
      <c r="BF212" s="137">
        <f t="shared" si="299"/>
        <v>-21.945661505468767</v>
      </c>
      <c r="BG212" s="137">
        <f t="shared" si="299"/>
        <v>7.0792817587135328</v>
      </c>
      <c r="BH212" s="137">
        <f t="shared" si="299"/>
        <v>79.324084201581343</v>
      </c>
      <c r="BI212" s="137">
        <f t="shared" si="299"/>
        <v>39.675313844897687</v>
      </c>
      <c r="BJ212" s="132">
        <f t="shared" si="299"/>
        <v>34.855386646090459</v>
      </c>
      <c r="BK212" s="137">
        <f t="shared" si="299"/>
        <v>18.177674911902457</v>
      </c>
      <c r="BL212" s="137"/>
      <c r="BM212" s="137"/>
      <c r="BN212" s="137"/>
      <c r="BO212" s="132">
        <v>24</v>
      </c>
      <c r="BP212" s="137"/>
      <c r="BQ212" s="137"/>
      <c r="BR212" s="137"/>
      <c r="BS212" s="137"/>
      <c r="BT212" s="132">
        <v>24</v>
      </c>
      <c r="BU212" s="137"/>
      <c r="BV212" s="137"/>
      <c r="BW212" s="137"/>
      <c r="BX212" s="137"/>
      <c r="BY212" s="132">
        <v>25</v>
      </c>
      <c r="BZ212" s="137"/>
      <c r="CA212" s="137"/>
      <c r="CB212" s="137"/>
      <c r="CC212" s="137"/>
      <c r="CD212" s="132">
        <v>23</v>
      </c>
      <c r="CE212" s="137"/>
      <c r="CF212" s="137"/>
      <c r="CG212" s="137"/>
      <c r="CH212" s="137"/>
      <c r="CI212" s="132">
        <v>20</v>
      </c>
      <c r="CJ212" s="181">
        <v>20</v>
      </c>
      <c r="CK212" s="181">
        <v>20</v>
      </c>
      <c r="CL212" s="145"/>
      <c r="CM212" s="145"/>
      <c r="CN212" s="145"/>
      <c r="CO212" s="137"/>
      <c r="CP212" s="137"/>
      <c r="CQ212" s="6"/>
      <c r="CR212" s="6"/>
      <c r="CS212" s="6"/>
      <c r="CT212" s="124"/>
      <c r="CU212" s="124"/>
      <c r="CV212" s="124"/>
      <c r="CW212" s="124"/>
      <c r="CX212" s="124"/>
      <c r="CY212" s="124"/>
      <c r="CZ212" s="124"/>
      <c r="DA212" s="124"/>
      <c r="DB212" s="124"/>
      <c r="DC212" s="124"/>
      <c r="DD212" s="124"/>
      <c r="DE212" s="124"/>
      <c r="DF212" s="124"/>
      <c r="DG212" s="124"/>
      <c r="DH212" s="124"/>
      <c r="DI212" s="124"/>
      <c r="DK212" s="124"/>
      <c r="DL212" s="124"/>
      <c r="DM212" s="6"/>
      <c r="DN212" s="124"/>
      <c r="DO212" s="124"/>
      <c r="DQ212" s="136"/>
      <c r="DR212" s="124"/>
      <c r="DS212" s="124"/>
      <c r="DT212" s="124"/>
      <c r="DV212" s="124"/>
      <c r="DW212" s="124"/>
      <c r="DX212" s="124"/>
      <c r="EA212" s="111"/>
      <c r="EB212" s="111"/>
      <c r="EC212" s="111"/>
      <c r="ED212" s="124"/>
      <c r="EE212" s="124"/>
      <c r="EF212" s="124"/>
      <c r="EJ212" s="111"/>
      <c r="EK212" s="111"/>
      <c r="EL212" s="124"/>
      <c r="EM212" s="124"/>
      <c r="EN212" s="124"/>
      <c r="EP212" s="111"/>
      <c r="EQ212" s="124"/>
      <c r="ER212" s="124"/>
      <c r="ES212" s="124"/>
      <c r="EV212" s="111"/>
      <c r="EW212" s="111"/>
      <c r="EX212" s="111"/>
      <c r="EY212" s="111"/>
      <c r="EZ212" s="124"/>
      <c r="FA212" s="124"/>
      <c r="FD212" s="111">
        <v>-2.7255826053290342</v>
      </c>
      <c r="FE212" s="111"/>
      <c r="FF212" s="111"/>
      <c r="FG212" s="124"/>
      <c r="FH212" s="124"/>
      <c r="FK212" s="124"/>
      <c r="FL212" s="124"/>
      <c r="FO212" s="111">
        <v>9.5241032854415746</v>
      </c>
      <c r="FP212" s="111">
        <v>19.295821496407008</v>
      </c>
      <c r="FQ212" s="124">
        <v>12</v>
      </c>
      <c r="FR212" s="124">
        <v>13.5</v>
      </c>
      <c r="FU212" s="111">
        <v>18.021111159721769</v>
      </c>
      <c r="FV212" s="124">
        <v>11.5</v>
      </c>
      <c r="FW212" s="124">
        <v>10</v>
      </c>
      <c r="FX212" s="124">
        <v>13.5</v>
      </c>
      <c r="FY212" s="124">
        <v>13.5</v>
      </c>
      <c r="GA212" s="124">
        <v>12</v>
      </c>
      <c r="GB212" s="124">
        <v>16</v>
      </c>
      <c r="GC212" s="124">
        <v>16</v>
      </c>
      <c r="GF212" s="111"/>
      <c r="GG212" s="111"/>
      <c r="GH212" s="111"/>
      <c r="GI212" s="124">
        <v>12</v>
      </c>
      <c r="GJ212" s="124">
        <v>16</v>
      </c>
      <c r="GK212" s="124">
        <v>16</v>
      </c>
      <c r="GN212" s="111"/>
      <c r="GO212" s="111"/>
      <c r="GP212" s="124">
        <v>16</v>
      </c>
      <c r="GQ212" s="124">
        <v>16</v>
      </c>
      <c r="GR212" s="124">
        <v>16</v>
      </c>
      <c r="GV212" s="111">
        <v>0</v>
      </c>
      <c r="GW212" s="124">
        <v>22</v>
      </c>
      <c r="GX212" s="124">
        <v>18</v>
      </c>
      <c r="GY212" s="124">
        <v>20</v>
      </c>
      <c r="HC212" s="124"/>
      <c r="HD212" s="124">
        <v>24</v>
      </c>
      <c r="HE212" s="124">
        <v>24</v>
      </c>
      <c r="HF212" s="124">
        <v>24</v>
      </c>
      <c r="HI212" s="111"/>
      <c r="HJ212" s="111"/>
      <c r="HK212" s="111"/>
      <c r="HL212" s="111"/>
      <c r="HM212" s="124"/>
      <c r="HN212" s="124"/>
      <c r="HO212" s="124"/>
      <c r="HR212" s="111"/>
      <c r="HS212" s="111"/>
      <c r="HT212" s="111"/>
      <c r="HU212" s="124">
        <v>24</v>
      </c>
      <c r="HV212" s="124">
        <v>24</v>
      </c>
      <c r="HW212" s="124">
        <v>24</v>
      </c>
      <c r="HZ212" s="111"/>
      <c r="IA212" s="124">
        <v>24</v>
      </c>
      <c r="IB212" s="124">
        <v>24</v>
      </c>
      <c r="IC212" s="124">
        <v>24</v>
      </c>
      <c r="IE212" s="111"/>
      <c r="IF212" s="124">
        <v>24</v>
      </c>
      <c r="IG212" s="124">
        <v>24</v>
      </c>
      <c r="IH212" s="124">
        <v>24</v>
      </c>
      <c r="IK212" s="124">
        <v>24</v>
      </c>
      <c r="IL212" s="124">
        <v>24</v>
      </c>
      <c r="IO212" s="124">
        <v>25</v>
      </c>
      <c r="IP212" s="124">
        <v>24</v>
      </c>
      <c r="IS212" s="160">
        <v>31</v>
      </c>
      <c r="IT212" s="160">
        <v>31</v>
      </c>
      <c r="IU212" s="160">
        <v>31</v>
      </c>
      <c r="IX212" s="124"/>
      <c r="IY212" s="124"/>
      <c r="IZ212" s="124"/>
      <c r="JA212" s="124"/>
      <c r="JD212" s="124">
        <v>23</v>
      </c>
      <c r="JE212" s="124">
        <v>23</v>
      </c>
      <c r="JH212" s="124">
        <v>23</v>
      </c>
      <c r="JI212" s="124">
        <v>23</v>
      </c>
      <c r="JJ212" s="124">
        <v>23</v>
      </c>
      <c r="JM212" s="124">
        <v>23</v>
      </c>
      <c r="JN212" s="124">
        <v>23</v>
      </c>
      <c r="JQ212" s="124">
        <v>23</v>
      </c>
      <c r="JR212" s="124">
        <v>23</v>
      </c>
      <c r="JS212" s="124">
        <v>23</v>
      </c>
      <c r="JV212" s="124">
        <v>23</v>
      </c>
      <c r="JW212" s="124">
        <v>23</v>
      </c>
      <c r="JY212" s="124">
        <v>23</v>
      </c>
      <c r="JZ212" s="124">
        <v>23</v>
      </c>
      <c r="KB212" s="124">
        <v>19</v>
      </c>
      <c r="KC212" s="124">
        <v>20</v>
      </c>
      <c r="KD212" s="124">
        <v>20</v>
      </c>
    </row>
    <row r="213" spans="2:290" hidden="1" x14ac:dyDescent="0.25">
      <c r="B213" s="6" t="s">
        <v>223</v>
      </c>
      <c r="C213" s="136"/>
      <c r="D213" s="136"/>
      <c r="E213" s="136"/>
      <c r="F213" s="136"/>
      <c r="G213" s="136"/>
      <c r="H213" s="132"/>
      <c r="I213" s="158"/>
      <c r="J213" s="158"/>
      <c r="K213" s="158"/>
      <c r="L213" s="158"/>
      <c r="M213" s="132"/>
      <c r="N213" s="158"/>
      <c r="O213" s="158"/>
      <c r="P213" s="158"/>
      <c r="Q213" s="158"/>
      <c r="R213" s="132"/>
      <c r="S213" s="158"/>
      <c r="T213" s="158"/>
      <c r="U213" s="158"/>
      <c r="V213" s="158"/>
      <c r="W213" s="132">
        <f t="shared" ref="W213:BK213" si="300">W221*10000/W120</f>
        <v>33.892560582952044</v>
      </c>
      <c r="X213" s="158">
        <f t="shared" si="300"/>
        <v>29.288503253796094</v>
      </c>
      <c r="Y213" s="158">
        <f t="shared" si="300"/>
        <v>35.708041237113399</v>
      </c>
      <c r="Z213" s="158">
        <f t="shared" si="300"/>
        <v>35.507246376811594</v>
      </c>
      <c r="AA213" s="158">
        <f t="shared" si="300"/>
        <v>49.43345323741007</v>
      </c>
      <c r="AB213" s="132">
        <f t="shared" si="300"/>
        <v>38.495712366980058</v>
      </c>
      <c r="AC213" s="158">
        <f t="shared" si="300"/>
        <v>27.90359529537557</v>
      </c>
      <c r="AD213" s="158">
        <f t="shared" si="300"/>
        <v>30.785291368027423</v>
      </c>
      <c r="AE213" s="158">
        <f t="shared" si="300"/>
        <v>33.014650638617589</v>
      </c>
      <c r="AF213" s="158">
        <f t="shared" si="300"/>
        <v>55.31185743660042</v>
      </c>
      <c r="AG213" s="132">
        <f t="shared" si="300"/>
        <v>38.069728099417198</v>
      </c>
      <c r="AH213" s="158">
        <f t="shared" si="300"/>
        <v>31.610346158795522</v>
      </c>
      <c r="AI213" s="158">
        <f t="shared" si="300"/>
        <v>44.307977481806951</v>
      </c>
      <c r="AJ213" s="158">
        <f t="shared" si="300"/>
        <v>52.925837320574161</v>
      </c>
      <c r="AK213" s="132">
        <f t="shared" si="300"/>
        <v>44.15696431260352</v>
      </c>
      <c r="AL213" s="158">
        <f t="shared" si="300"/>
        <v>0</v>
      </c>
      <c r="AM213" s="158">
        <f t="shared" si="300"/>
        <v>0</v>
      </c>
      <c r="AN213" s="158">
        <f t="shared" si="300"/>
        <v>0</v>
      </c>
      <c r="AO213" s="158">
        <f t="shared" si="300"/>
        <v>0</v>
      </c>
      <c r="AP213" s="132">
        <f t="shared" si="300"/>
        <v>0</v>
      </c>
      <c r="AQ213" s="158">
        <f t="shared" si="300"/>
        <v>-8.0156230321349362</v>
      </c>
      <c r="AR213" s="158">
        <f t="shared" si="300"/>
        <v>35.047918454927597</v>
      </c>
      <c r="AS213" s="158">
        <f t="shared" si="300"/>
        <v>52.234426656631101</v>
      </c>
      <c r="AT213" s="158">
        <f t="shared" si="300"/>
        <v>87.215473873107243</v>
      </c>
      <c r="AU213" s="132">
        <f t="shared" si="300"/>
        <v>57.502716255844042</v>
      </c>
      <c r="AV213" s="137">
        <f t="shared" si="300"/>
        <v>76.579797216803584</v>
      </c>
      <c r="AW213" s="137">
        <f t="shared" si="300"/>
        <v>74.32213627448732</v>
      </c>
      <c r="AX213" s="137">
        <f t="shared" si="300"/>
        <v>6.3433264539072356</v>
      </c>
      <c r="AY213" s="137">
        <f t="shared" si="300"/>
        <v>-54.27428975566621</v>
      </c>
      <c r="AZ213" s="132">
        <f t="shared" si="300"/>
        <v>21.227590516101561</v>
      </c>
      <c r="BA213" s="137">
        <f t="shared" si="300"/>
        <v>-33.520786961519157</v>
      </c>
      <c r="BB213" s="137">
        <f t="shared" si="300"/>
        <v>-60.009699281483698</v>
      </c>
      <c r="BC213" s="137">
        <f t="shared" si="300"/>
        <v>-40.114505736005754</v>
      </c>
      <c r="BD213" s="137">
        <f t="shared" si="300"/>
        <v>-49.068391838662762</v>
      </c>
      <c r="BE213" s="132">
        <f t="shared" si="300"/>
        <v>-44.707278380360762</v>
      </c>
      <c r="BF213" s="137">
        <f t="shared" si="300"/>
        <v>-115.2507555937791</v>
      </c>
      <c r="BG213" s="137">
        <f t="shared" si="300"/>
        <v>13.118498518734103</v>
      </c>
      <c r="BH213" s="137">
        <f t="shared" si="300"/>
        <v>71.928956935142168</v>
      </c>
      <c r="BI213" s="137">
        <f t="shared" si="300"/>
        <v>74.074471927829137</v>
      </c>
      <c r="BJ213" s="132">
        <f t="shared" si="300"/>
        <v>24.656017815685356</v>
      </c>
      <c r="BK213" s="137">
        <f t="shared" si="300"/>
        <v>385.78995800266381</v>
      </c>
      <c r="BL213" s="137"/>
      <c r="BM213" s="137"/>
      <c r="BN213" s="137"/>
      <c r="BO213" s="132">
        <v>33</v>
      </c>
      <c r="BP213" s="137"/>
      <c r="BQ213" s="137"/>
      <c r="BR213" s="137"/>
      <c r="BS213" s="137"/>
      <c r="BT213" s="132">
        <v>31</v>
      </c>
      <c r="BU213" s="137"/>
      <c r="BV213" s="137"/>
      <c r="BW213" s="137"/>
      <c r="BX213" s="137"/>
      <c r="BY213" s="132">
        <v>31</v>
      </c>
      <c r="BZ213" s="137"/>
      <c r="CA213" s="137"/>
      <c r="CB213" s="137"/>
      <c r="CC213" s="137"/>
      <c r="CD213" s="132">
        <v>31</v>
      </c>
      <c r="CE213" s="137"/>
      <c r="CF213" s="137"/>
      <c r="CG213" s="137"/>
      <c r="CH213" s="137"/>
      <c r="CI213" s="132">
        <v>32</v>
      </c>
      <c r="CJ213" s="181">
        <v>32</v>
      </c>
      <c r="CK213" s="181">
        <v>32</v>
      </c>
      <c r="CL213" s="145"/>
      <c r="CM213" s="145"/>
      <c r="CN213" s="145"/>
      <c r="CO213" s="137"/>
      <c r="CP213" s="137"/>
      <c r="CQ213" s="6"/>
      <c r="CR213" s="6"/>
      <c r="CS213" s="6"/>
      <c r="CT213" s="124"/>
      <c r="CU213" s="124"/>
      <c r="CV213" s="124"/>
      <c r="CW213" s="124"/>
      <c r="CX213" s="124"/>
      <c r="CY213" s="124"/>
      <c r="CZ213" s="124"/>
      <c r="DA213" s="124"/>
      <c r="DB213" s="124"/>
      <c r="DC213" s="124"/>
      <c r="DD213" s="124"/>
      <c r="DE213" s="124"/>
      <c r="DF213" s="124"/>
      <c r="DG213" s="124"/>
      <c r="DH213" s="124"/>
      <c r="DI213" s="124"/>
      <c r="DK213" s="124"/>
      <c r="DL213" s="124"/>
      <c r="DM213" s="6"/>
      <c r="DN213" s="124"/>
      <c r="DO213" s="124"/>
      <c r="DQ213" s="136"/>
      <c r="DR213" s="124"/>
      <c r="DS213" s="124"/>
      <c r="DT213" s="124"/>
      <c r="DV213" s="124"/>
      <c r="DW213" s="124"/>
      <c r="DX213" s="124"/>
      <c r="EA213" s="111"/>
      <c r="EB213" s="111"/>
      <c r="EC213" s="111"/>
      <c r="ED213" s="124"/>
      <c r="EE213" s="124"/>
      <c r="EF213" s="124"/>
      <c r="EJ213" s="111"/>
      <c r="EK213" s="111"/>
      <c r="EL213" s="124"/>
      <c r="EM213" s="124"/>
      <c r="EN213" s="124"/>
      <c r="EP213" s="111"/>
      <c r="EQ213" s="124"/>
      <c r="ER213" s="124"/>
      <c r="ES213" s="124"/>
      <c r="EV213" s="111"/>
      <c r="EW213" s="111"/>
      <c r="EX213" s="111"/>
      <c r="EY213" s="111"/>
      <c r="EZ213" s="124"/>
      <c r="FA213" s="124"/>
      <c r="FD213" s="111">
        <v>-6.3459308781417185</v>
      </c>
      <c r="FE213" s="111"/>
      <c r="FF213" s="111"/>
      <c r="FG213" s="124"/>
      <c r="FH213" s="124"/>
      <c r="FK213" s="124"/>
      <c r="FL213" s="124"/>
      <c r="FO213" s="111">
        <v>17.723056409329232</v>
      </c>
      <c r="FP213" s="111">
        <v>15.373786180022373</v>
      </c>
      <c r="FQ213" s="124">
        <v>20</v>
      </c>
      <c r="FR213" s="124">
        <v>20</v>
      </c>
      <c r="FU213" s="111">
        <v>25.381296477050569</v>
      </c>
      <c r="FV213" s="124">
        <v>34</v>
      </c>
      <c r="FW213" s="124">
        <v>26</v>
      </c>
      <c r="FX213" s="124">
        <v>26</v>
      </c>
      <c r="FY213" s="124">
        <v>26</v>
      </c>
      <c r="GA213" s="124">
        <v>32</v>
      </c>
      <c r="GB213" s="124">
        <v>30</v>
      </c>
      <c r="GC213" s="124">
        <v>32</v>
      </c>
      <c r="GF213" s="111"/>
      <c r="GG213" s="111"/>
      <c r="GH213" s="111"/>
      <c r="GI213" s="124">
        <v>32</v>
      </c>
      <c r="GJ213" s="124">
        <v>30</v>
      </c>
      <c r="GK213" s="124">
        <v>32</v>
      </c>
      <c r="GN213" s="111"/>
      <c r="GO213" s="111"/>
      <c r="GP213" s="124">
        <v>32</v>
      </c>
      <c r="GQ213" s="124">
        <v>30</v>
      </c>
      <c r="GR213" s="124">
        <v>32</v>
      </c>
      <c r="GV213" s="111">
        <v>0</v>
      </c>
      <c r="GW213" s="124">
        <v>34</v>
      </c>
      <c r="GX213" s="124">
        <v>33</v>
      </c>
      <c r="GY213" s="124">
        <v>34</v>
      </c>
      <c r="HC213" s="124"/>
      <c r="HD213" s="124">
        <v>33</v>
      </c>
      <c r="HE213" s="124">
        <v>31</v>
      </c>
      <c r="HF213" s="124">
        <v>31</v>
      </c>
      <c r="HI213" s="111"/>
      <c r="HJ213" s="111"/>
      <c r="HK213" s="111"/>
      <c r="HL213" s="111"/>
      <c r="HM213" s="124"/>
      <c r="HN213" s="124"/>
      <c r="HO213" s="124"/>
      <c r="HR213" s="111"/>
      <c r="HS213" s="111"/>
      <c r="HT213" s="111"/>
      <c r="HU213" s="124">
        <v>31</v>
      </c>
      <c r="HV213" s="124">
        <v>31</v>
      </c>
      <c r="HW213" s="124">
        <v>31</v>
      </c>
      <c r="HZ213" s="111"/>
      <c r="IA213" s="124">
        <v>31</v>
      </c>
      <c r="IB213" s="124">
        <v>31</v>
      </c>
      <c r="IC213" s="124">
        <v>31</v>
      </c>
      <c r="IE213" s="111"/>
      <c r="IF213" s="124">
        <v>31</v>
      </c>
      <c r="IG213" s="124">
        <v>31</v>
      </c>
      <c r="IH213" s="124">
        <v>31</v>
      </c>
      <c r="IK213" s="124">
        <v>31</v>
      </c>
      <c r="IL213" s="124">
        <v>31</v>
      </c>
      <c r="IO213" s="124">
        <v>31</v>
      </c>
      <c r="IP213" s="124">
        <v>31</v>
      </c>
      <c r="IS213" s="160">
        <v>36</v>
      </c>
      <c r="IT213" s="160">
        <v>36</v>
      </c>
      <c r="IU213" s="160">
        <v>36</v>
      </c>
      <c r="IX213" s="124"/>
      <c r="IY213" s="124"/>
      <c r="IZ213" s="124"/>
      <c r="JA213" s="124"/>
      <c r="JD213" s="124">
        <v>31</v>
      </c>
      <c r="JE213" s="124">
        <v>31</v>
      </c>
      <c r="JH213" s="124">
        <v>31</v>
      </c>
      <c r="JI213" s="124">
        <v>31</v>
      </c>
      <c r="JJ213" s="124">
        <v>31</v>
      </c>
      <c r="JM213" s="124">
        <v>31</v>
      </c>
      <c r="JN213" s="124">
        <v>31</v>
      </c>
      <c r="JQ213" s="124">
        <v>31</v>
      </c>
      <c r="JR213" s="124">
        <v>31</v>
      </c>
      <c r="JS213" s="124">
        <v>31</v>
      </c>
      <c r="JV213" s="124">
        <v>31</v>
      </c>
      <c r="JW213" s="124">
        <v>31</v>
      </c>
      <c r="JY213" s="124">
        <v>31</v>
      </c>
      <c r="JZ213" s="124">
        <v>31</v>
      </c>
      <c r="KB213" s="124">
        <v>25</v>
      </c>
      <c r="KC213" s="124">
        <v>28</v>
      </c>
      <c r="KD213" s="124">
        <v>28</v>
      </c>
    </row>
    <row r="214" spans="2:290" hidden="1" x14ac:dyDescent="0.25">
      <c r="B214" s="6" t="s">
        <v>225</v>
      </c>
      <c r="C214" s="136"/>
      <c r="D214" s="136"/>
      <c r="E214" s="136"/>
      <c r="F214" s="136"/>
      <c r="G214" s="136"/>
      <c r="H214" s="132"/>
      <c r="I214" s="158"/>
      <c r="J214" s="158"/>
      <c r="K214" s="158"/>
      <c r="L214" s="158"/>
      <c r="M214" s="132"/>
      <c r="N214" s="158"/>
      <c r="O214" s="158"/>
      <c r="P214" s="158"/>
      <c r="Q214" s="158"/>
      <c r="R214" s="132"/>
      <c r="S214" s="158"/>
      <c r="T214" s="158"/>
      <c r="U214" s="158"/>
      <c r="V214" s="158"/>
      <c r="W214" s="132">
        <f t="shared" ref="W214:BK214" si="301">W222*10000/W122</f>
        <v>17.685014974697921</v>
      </c>
      <c r="X214" s="158">
        <f t="shared" si="301"/>
        <v>6.2222222222222223</v>
      </c>
      <c r="Y214" s="158">
        <f t="shared" si="301"/>
        <v>11.729916214884181</v>
      </c>
      <c r="Z214" s="158">
        <f t="shared" si="301"/>
        <v>15.110384300899426</v>
      </c>
      <c r="AA214" s="158">
        <f t="shared" si="301"/>
        <v>29.094796863863149</v>
      </c>
      <c r="AB214" s="132">
        <f t="shared" si="301"/>
        <v>16.238139167105956</v>
      </c>
      <c r="AC214" s="158">
        <f t="shared" si="301"/>
        <v>13.807245386192754</v>
      </c>
      <c r="AD214" s="158">
        <f t="shared" si="301"/>
        <v>15.991572293916249</v>
      </c>
      <c r="AE214" s="158">
        <f t="shared" si="301"/>
        <v>28.33032490974729</v>
      </c>
      <c r="AF214" s="158">
        <f t="shared" si="301"/>
        <v>37.406793703396851</v>
      </c>
      <c r="AG214" s="132">
        <f t="shared" si="301"/>
        <v>25.338484639929927</v>
      </c>
      <c r="AH214" s="158">
        <f t="shared" si="301"/>
        <v>20.162081784386618</v>
      </c>
      <c r="AI214" s="158">
        <f t="shared" si="301"/>
        <v>25.845296764516824</v>
      </c>
      <c r="AJ214" s="158">
        <f t="shared" si="301"/>
        <v>34.90584795321638</v>
      </c>
      <c r="AK214" s="132">
        <f t="shared" si="301"/>
        <v>28.005389635316707</v>
      </c>
      <c r="AL214" s="158">
        <f t="shared" si="301"/>
        <v>0</v>
      </c>
      <c r="AM214" s="158">
        <f t="shared" si="301"/>
        <v>0</v>
      </c>
      <c r="AN214" s="158">
        <f t="shared" si="301"/>
        <v>0</v>
      </c>
      <c r="AO214" s="158">
        <f t="shared" si="301"/>
        <v>0</v>
      </c>
      <c r="AP214" s="132">
        <f t="shared" si="301"/>
        <v>0</v>
      </c>
      <c r="AQ214" s="158">
        <f t="shared" si="301"/>
        <v>-26.868698785129258</v>
      </c>
      <c r="AR214" s="158">
        <f t="shared" si="301"/>
        <v>57.142037661620698</v>
      </c>
      <c r="AS214" s="158">
        <f t="shared" si="301"/>
        <v>4.9176256510591836</v>
      </c>
      <c r="AT214" s="158">
        <f t="shared" si="301"/>
        <v>-22.051467187173976</v>
      </c>
      <c r="AU214" s="132">
        <f t="shared" si="301"/>
        <v>6.7390989557853622</v>
      </c>
      <c r="AV214" s="137">
        <f t="shared" si="301"/>
        <v>17.68905879100982</v>
      </c>
      <c r="AW214" s="137">
        <f t="shared" si="301"/>
        <v>-7.0408901877037131</v>
      </c>
      <c r="AX214" s="137">
        <f t="shared" si="301"/>
        <v>-7.681476490883461</v>
      </c>
      <c r="AY214" s="137">
        <f t="shared" si="301"/>
        <v>11.260689503227795</v>
      </c>
      <c r="AZ214" s="132">
        <f t="shared" si="301"/>
        <v>4.0945441512603447</v>
      </c>
      <c r="BA214" s="137">
        <f t="shared" si="301"/>
        <v>-10.933931372549013</v>
      </c>
      <c r="BB214" s="137">
        <f t="shared" si="301"/>
        <v>-8.6353788360737713</v>
      </c>
      <c r="BC214" s="137">
        <f t="shared" si="301"/>
        <v>0.99309873163417695</v>
      </c>
      <c r="BD214" s="137">
        <f t="shared" si="301"/>
        <v>-40.779787830550994</v>
      </c>
      <c r="BE214" s="132">
        <f t="shared" si="301"/>
        <v>-14.641857057255208</v>
      </c>
      <c r="BF214" s="137">
        <f t="shared" si="301"/>
        <v>-43.616780592016227</v>
      </c>
      <c r="BG214" s="137">
        <f t="shared" si="301"/>
        <v>20.096895797273991</v>
      </c>
      <c r="BH214" s="137">
        <f t="shared" si="301"/>
        <v>5.5606096151471087</v>
      </c>
      <c r="BI214" s="137">
        <f t="shared" si="301"/>
        <v>36.72024440123478</v>
      </c>
      <c r="BJ214" s="132">
        <f t="shared" si="301"/>
        <v>15.153466614642571</v>
      </c>
      <c r="BK214" s="137">
        <f t="shared" si="301"/>
        <v>69.287174672111703</v>
      </c>
      <c r="BL214" s="137"/>
      <c r="BM214" s="137"/>
      <c r="BN214" s="137"/>
      <c r="BO214" s="132">
        <v>32</v>
      </c>
      <c r="BP214" s="137"/>
      <c r="BQ214" s="137"/>
      <c r="BR214" s="137"/>
      <c r="BS214" s="137"/>
      <c r="BT214" s="132">
        <v>36</v>
      </c>
      <c r="BU214" s="137"/>
      <c r="BV214" s="137"/>
      <c r="BW214" s="137"/>
      <c r="BX214" s="137"/>
      <c r="BY214" s="132">
        <v>36</v>
      </c>
      <c r="BZ214" s="137"/>
      <c r="CA214" s="137"/>
      <c r="CB214" s="137"/>
      <c r="CC214" s="137"/>
      <c r="CD214" s="132">
        <v>35</v>
      </c>
      <c r="CE214" s="137"/>
      <c r="CF214" s="137"/>
      <c r="CG214" s="137"/>
      <c r="CH214" s="137"/>
      <c r="CI214" s="132">
        <v>35</v>
      </c>
      <c r="CJ214" s="181">
        <v>35</v>
      </c>
      <c r="CK214" s="181">
        <v>35</v>
      </c>
      <c r="CL214" s="145"/>
      <c r="CM214" s="145"/>
      <c r="CN214" s="145"/>
      <c r="CO214" s="137"/>
      <c r="CP214" s="137"/>
      <c r="CQ214" s="6"/>
      <c r="CR214" s="6"/>
      <c r="CS214" s="6"/>
      <c r="CT214" s="124"/>
      <c r="CU214" s="124"/>
      <c r="CV214" s="124"/>
      <c r="CW214" s="124"/>
      <c r="CX214" s="124"/>
      <c r="CY214" s="124"/>
      <c r="CZ214" s="124"/>
      <c r="DA214" s="124"/>
      <c r="DB214" s="124"/>
      <c r="DC214" s="124"/>
      <c r="DD214" s="124"/>
      <c r="DE214" s="124"/>
      <c r="DF214" s="124"/>
      <c r="DG214" s="124"/>
      <c r="DH214" s="124"/>
      <c r="DI214" s="124"/>
      <c r="DK214" s="124"/>
      <c r="DL214" s="124"/>
      <c r="DM214" s="6"/>
      <c r="DN214" s="124"/>
      <c r="DO214" s="124"/>
      <c r="DQ214" s="136"/>
      <c r="DR214" s="124"/>
      <c r="DS214" s="124"/>
      <c r="DT214" s="124"/>
      <c r="DV214" s="124"/>
      <c r="DW214" s="124"/>
      <c r="DX214" s="124"/>
      <c r="EA214" s="111"/>
      <c r="EB214" s="111"/>
      <c r="EC214" s="111"/>
      <c r="ED214" s="124"/>
      <c r="EE214" s="124"/>
      <c r="EF214" s="124"/>
      <c r="EJ214" s="111"/>
      <c r="EK214" s="111"/>
      <c r="EL214" s="124"/>
      <c r="EM214" s="124"/>
      <c r="EN214" s="124"/>
      <c r="EP214" s="111"/>
      <c r="EQ214" s="124"/>
      <c r="ER214" s="124"/>
      <c r="ES214" s="124"/>
      <c r="EV214" s="111"/>
      <c r="EW214" s="111"/>
      <c r="EX214" s="111"/>
      <c r="EY214" s="111"/>
      <c r="EZ214" s="124"/>
      <c r="FA214" s="124"/>
      <c r="FD214" s="111">
        <v>-3.9735450556021803</v>
      </c>
      <c r="FE214" s="111"/>
      <c r="FF214" s="111"/>
      <c r="FG214" s="124"/>
      <c r="FH214" s="124"/>
      <c r="FK214" s="124"/>
      <c r="FL214" s="124"/>
      <c r="FO214" s="111">
        <v>32.895249304515303</v>
      </c>
      <c r="FP214" s="111">
        <v>28.380490057645332</v>
      </c>
      <c r="FQ214" s="124">
        <v>31</v>
      </c>
      <c r="FR214" s="124">
        <v>31</v>
      </c>
      <c r="FU214" s="111">
        <v>23.265157633291185</v>
      </c>
      <c r="FV214" s="124">
        <v>30</v>
      </c>
      <c r="FW214" s="124">
        <v>26</v>
      </c>
      <c r="FX214" s="124">
        <v>31</v>
      </c>
      <c r="FY214" s="124">
        <v>31</v>
      </c>
      <c r="GA214" s="124">
        <v>20</v>
      </c>
      <c r="GB214" s="124">
        <v>34</v>
      </c>
      <c r="GC214" s="124">
        <v>31</v>
      </c>
      <c r="GF214" s="111"/>
      <c r="GG214" s="111"/>
      <c r="GH214" s="111"/>
      <c r="GI214" s="124">
        <v>20</v>
      </c>
      <c r="GJ214" s="124">
        <v>34</v>
      </c>
      <c r="GK214" s="124">
        <v>31</v>
      </c>
      <c r="GN214" s="111"/>
      <c r="GO214" s="111"/>
      <c r="GP214" s="124">
        <v>25</v>
      </c>
      <c r="GQ214" s="124">
        <v>34</v>
      </c>
      <c r="GR214" s="124">
        <v>31</v>
      </c>
      <c r="GV214" s="111">
        <v>0</v>
      </c>
      <c r="GW214" s="124">
        <v>30</v>
      </c>
      <c r="GX214" s="124">
        <v>32</v>
      </c>
      <c r="GY214" s="124">
        <v>33</v>
      </c>
      <c r="HC214" s="124"/>
      <c r="HD214" s="124">
        <v>32</v>
      </c>
      <c r="HE214" s="124">
        <v>36</v>
      </c>
      <c r="HF214" s="124">
        <v>36</v>
      </c>
      <c r="HI214" s="111"/>
      <c r="HJ214" s="111"/>
      <c r="HK214" s="111"/>
      <c r="HL214" s="111"/>
      <c r="HM214" s="124"/>
      <c r="HN214" s="124"/>
      <c r="HO214" s="124"/>
      <c r="HR214" s="111"/>
      <c r="HS214" s="111"/>
      <c r="HT214" s="111"/>
      <c r="HU214" s="124">
        <v>36</v>
      </c>
      <c r="HV214" s="124">
        <v>36</v>
      </c>
      <c r="HW214" s="124">
        <v>36</v>
      </c>
      <c r="HZ214" s="111"/>
      <c r="IA214" s="124">
        <v>36</v>
      </c>
      <c r="IB214" s="124">
        <v>36</v>
      </c>
      <c r="IC214" s="124">
        <v>36</v>
      </c>
      <c r="IE214" s="111"/>
      <c r="IF214" s="124">
        <v>36</v>
      </c>
      <c r="IG214" s="124">
        <v>36</v>
      </c>
      <c r="IH214" s="124">
        <v>36</v>
      </c>
      <c r="IK214" s="124">
        <v>36</v>
      </c>
      <c r="IL214" s="124">
        <v>36</v>
      </c>
      <c r="IO214" s="124">
        <v>36</v>
      </c>
      <c r="IP214" s="124">
        <v>36</v>
      </c>
      <c r="IS214" s="160"/>
      <c r="IT214" s="160"/>
      <c r="IU214" s="160"/>
      <c r="IX214" s="124"/>
      <c r="IY214" s="124"/>
      <c r="IZ214" s="124"/>
      <c r="JA214" s="124"/>
      <c r="JD214" s="124">
        <v>35</v>
      </c>
      <c r="JE214" s="124">
        <v>36</v>
      </c>
      <c r="JH214" s="124">
        <v>35</v>
      </c>
      <c r="JI214" s="124">
        <v>36</v>
      </c>
      <c r="JJ214" s="124">
        <v>36</v>
      </c>
      <c r="JM214" s="124">
        <v>36</v>
      </c>
      <c r="JN214" s="124">
        <v>36</v>
      </c>
      <c r="JQ214" s="124">
        <v>35</v>
      </c>
      <c r="JR214" s="124">
        <v>36</v>
      </c>
      <c r="JS214" s="124">
        <v>36</v>
      </c>
      <c r="JV214" s="124">
        <v>36</v>
      </c>
      <c r="JW214" s="124">
        <v>36</v>
      </c>
      <c r="JY214" s="124">
        <v>36</v>
      </c>
      <c r="JZ214" s="124">
        <v>36</v>
      </c>
      <c r="KB214" s="124">
        <v>25</v>
      </c>
      <c r="KC214" s="124">
        <v>30</v>
      </c>
      <c r="KD214" s="124">
        <v>30</v>
      </c>
    </row>
    <row r="215" spans="2:290" s="60" customFormat="1" hidden="1" x14ac:dyDescent="0.25">
      <c r="B215" s="58" t="s">
        <v>250</v>
      </c>
      <c r="C215" s="4"/>
      <c r="D215" s="4"/>
      <c r="E215" s="4"/>
      <c r="F215" s="4"/>
      <c r="G215" s="4"/>
      <c r="H215" s="145"/>
      <c r="I215" s="156"/>
      <c r="J215" s="156"/>
      <c r="K215" s="156"/>
      <c r="L215" s="156"/>
      <c r="M215" s="145"/>
      <c r="N215" s="156"/>
      <c r="O215" s="156"/>
      <c r="P215" s="156"/>
      <c r="Q215" s="156"/>
      <c r="R215" s="145"/>
      <c r="S215" s="156"/>
      <c r="T215" s="156"/>
      <c r="U215" s="156"/>
      <c r="V215" s="156"/>
      <c r="W215" s="145">
        <f t="shared" ref="W215:BB215" si="302">W28*10000/W123</f>
        <v>18.70984395207708</v>
      </c>
      <c r="X215" s="156">
        <f t="shared" si="302"/>
        <v>18.407499299691878</v>
      </c>
      <c r="Y215" s="156">
        <f t="shared" si="302"/>
        <v>18.713456376850907</v>
      </c>
      <c r="Z215" s="156">
        <f t="shared" si="302"/>
        <v>17.773625067381726</v>
      </c>
      <c r="AA215" s="156">
        <f t="shared" si="302"/>
        <v>24.010792692759583</v>
      </c>
      <c r="AB215" s="145">
        <f t="shared" si="302"/>
        <v>20.080671451338297</v>
      </c>
      <c r="AC215" s="156">
        <f t="shared" si="302"/>
        <v>16.576359193646905</v>
      </c>
      <c r="AD215" s="156">
        <f t="shared" si="302"/>
        <v>13.555514484420319</v>
      </c>
      <c r="AE215" s="156">
        <f t="shared" si="302"/>
        <v>16.835055755143934</v>
      </c>
      <c r="AF215" s="156">
        <f t="shared" si="302"/>
        <v>25.465537408021767</v>
      </c>
      <c r="AG215" s="145">
        <f t="shared" si="302"/>
        <v>18.687768688106477</v>
      </c>
      <c r="AH215" s="156">
        <f t="shared" si="302"/>
        <v>15.86417013245728</v>
      </c>
      <c r="AI215" s="156">
        <f t="shared" si="302"/>
        <v>20.244697375119113</v>
      </c>
      <c r="AJ215" s="156">
        <f t="shared" si="302"/>
        <v>21.212128081050974</v>
      </c>
      <c r="AK215" s="145">
        <f t="shared" si="302"/>
        <v>19.596529625253893</v>
      </c>
      <c r="AL215" s="156">
        <f t="shared" si="302"/>
        <v>20.728765344299809</v>
      </c>
      <c r="AM215" s="156">
        <f t="shared" si="302"/>
        <v>19.958678923256549</v>
      </c>
      <c r="AN215" s="156">
        <f t="shared" si="302"/>
        <v>22.764647908145655</v>
      </c>
      <c r="AO215" s="156">
        <f t="shared" si="302"/>
        <v>25.362462760675282</v>
      </c>
      <c r="AP215" s="145">
        <f t="shared" si="302"/>
        <v>22.36492159199658</v>
      </c>
      <c r="AQ215" s="156">
        <f t="shared" si="302"/>
        <v>17.210705025981504</v>
      </c>
      <c r="AR215" s="156">
        <f t="shared" si="302"/>
        <v>18.21678941107989</v>
      </c>
      <c r="AS215" s="156">
        <f t="shared" si="302"/>
        <v>20.439955756329017</v>
      </c>
      <c r="AT215" s="156">
        <f t="shared" si="302"/>
        <v>27.78951448783797</v>
      </c>
      <c r="AU215" s="145">
        <f t="shared" si="302"/>
        <v>21.208242844902369</v>
      </c>
      <c r="AV215" s="148">
        <f t="shared" si="302"/>
        <v>18.602670834209924</v>
      </c>
      <c r="AW215" s="148">
        <f t="shared" si="302"/>
        <v>19.16006396306495</v>
      </c>
      <c r="AX215" s="148">
        <f t="shared" si="302"/>
        <v>17.803172842684855</v>
      </c>
      <c r="AY215" s="148">
        <f t="shared" si="302"/>
        <v>17.709128226718953</v>
      </c>
      <c r="AZ215" s="145">
        <f t="shared" si="302"/>
        <v>18.309576037167407</v>
      </c>
      <c r="BA215" s="148">
        <f t="shared" si="302"/>
        <v>14.754998765736859</v>
      </c>
      <c r="BB215" s="148">
        <f t="shared" si="302"/>
        <v>19.947593582887723</v>
      </c>
      <c r="BC215" s="148">
        <f t="shared" ref="BC215:CH215" si="303">BC28*10000/BC123</f>
        <v>21.789472646040657</v>
      </c>
      <c r="BD215" s="148">
        <f t="shared" si="303"/>
        <v>26.495155038759695</v>
      </c>
      <c r="BE215" s="145">
        <f t="shared" si="303"/>
        <v>20.28280452273394</v>
      </c>
      <c r="BF215" s="148">
        <f t="shared" si="303"/>
        <v>12.806858317568985</v>
      </c>
      <c r="BG215" s="148">
        <f t="shared" si="303"/>
        <v>26.978151756716873</v>
      </c>
      <c r="BH215" s="148">
        <f t="shared" si="303"/>
        <v>35.987238313736732</v>
      </c>
      <c r="BI215" s="148">
        <f t="shared" si="303"/>
        <v>45.826965605278772</v>
      </c>
      <c r="BJ215" s="145">
        <f t="shared" si="303"/>
        <v>26.502716879853537</v>
      </c>
      <c r="BK215" s="148">
        <f t="shared" si="303"/>
        <v>31.153176919622812</v>
      </c>
      <c r="BL215" s="148">
        <f t="shared" si="303"/>
        <v>30.269885948594077</v>
      </c>
      <c r="BM215" s="148">
        <f t="shared" si="303"/>
        <v>34.79307816074342</v>
      </c>
      <c r="BN215" s="148">
        <f t="shared" si="303"/>
        <v>30.436134891568873</v>
      </c>
      <c r="BO215" s="145">
        <f t="shared" si="303"/>
        <v>31.533077604612245</v>
      </c>
      <c r="BP215" s="148">
        <f t="shared" si="303"/>
        <v>24.68830906520261</v>
      </c>
      <c r="BQ215" s="148">
        <f t="shared" si="303"/>
        <v>13.159754210531013</v>
      </c>
      <c r="BR215" s="148">
        <f t="shared" si="303"/>
        <v>21.925095040545809</v>
      </c>
      <c r="BS215" s="148">
        <f t="shared" si="303"/>
        <v>32.580351934008959</v>
      </c>
      <c r="BT215" s="145">
        <f t="shared" si="303"/>
        <v>23.683664987828259</v>
      </c>
      <c r="BU215" s="148">
        <f t="shared" si="303"/>
        <v>21.649477595863846</v>
      </c>
      <c r="BV215" s="148">
        <f t="shared" si="303"/>
        <v>25.858176723793761</v>
      </c>
      <c r="BW215" s="148">
        <f t="shared" si="303"/>
        <v>23.973421926910309</v>
      </c>
      <c r="BX215" s="148">
        <f t="shared" si="303"/>
        <v>25.115038721598598</v>
      </c>
      <c r="BY215" s="145">
        <f t="shared" si="303"/>
        <v>24.192083489005043</v>
      </c>
      <c r="BZ215" s="148">
        <f t="shared" si="303"/>
        <v>22.281473811372848</v>
      </c>
      <c r="CA215" s="148">
        <f t="shared" si="303"/>
        <v>25.654526097757049</v>
      </c>
      <c r="CB215" s="148">
        <f t="shared" si="303"/>
        <v>18.851178122329397</v>
      </c>
      <c r="CC215" s="148">
        <f t="shared" si="303"/>
        <v>20.889660486106255</v>
      </c>
      <c r="CD215" s="145">
        <f t="shared" si="303"/>
        <v>21.241197313605401</v>
      </c>
      <c r="CE215" s="148">
        <f t="shared" si="303"/>
        <v>17.34995348027401</v>
      </c>
      <c r="CF215" s="148">
        <f t="shared" si="303"/>
        <v>19.257791505591499</v>
      </c>
      <c r="CG215" s="148">
        <f t="shared" si="303"/>
        <v>17.910269105629119</v>
      </c>
      <c r="CH215" s="148">
        <f t="shared" si="303"/>
        <v>23.379059628180951</v>
      </c>
      <c r="CI215" s="145">
        <f t="shared" ref="CI215:CN215" si="304">CI28*10000/CI123</f>
        <v>20.602197889654519</v>
      </c>
      <c r="CJ215" s="145">
        <f t="shared" si="304"/>
        <v>21.784889724812075</v>
      </c>
      <c r="CK215" s="145">
        <f t="shared" si="304"/>
        <v>21.912653612645183</v>
      </c>
      <c r="CL215" s="145">
        <f t="shared" si="304"/>
        <v>22.346142787901986</v>
      </c>
      <c r="CM215" s="145">
        <f t="shared" si="304"/>
        <v>23.156035570109996</v>
      </c>
      <c r="CN215" s="145">
        <f t="shared" si="304"/>
        <v>23.055597279595514</v>
      </c>
      <c r="CO215" s="148"/>
      <c r="CP215" s="148"/>
      <c r="CQ215" s="58"/>
      <c r="CR215" s="58"/>
      <c r="CS215" s="58"/>
      <c r="CT215" s="143"/>
      <c r="CU215" s="143"/>
      <c r="CV215" s="143"/>
      <c r="CW215" s="143"/>
      <c r="CX215" s="143"/>
      <c r="CY215" s="143"/>
      <c r="CZ215" s="143"/>
      <c r="DA215" s="143"/>
      <c r="DB215" s="143"/>
      <c r="DC215" s="143"/>
      <c r="DD215" s="143"/>
      <c r="DE215" s="143"/>
      <c r="DF215" s="143"/>
      <c r="DG215" s="143"/>
      <c r="DH215" s="143"/>
      <c r="DI215" s="143"/>
      <c r="DK215" s="143"/>
      <c r="DL215" s="143"/>
      <c r="DM215" s="58"/>
      <c r="DN215" s="143"/>
      <c r="DO215" s="143"/>
      <c r="DQ215" s="4"/>
      <c r="DR215" s="143"/>
      <c r="DS215" s="143"/>
      <c r="DT215" s="143"/>
      <c r="DV215" s="143"/>
      <c r="DW215" s="143"/>
      <c r="DX215" s="143"/>
      <c r="EA215" s="119"/>
      <c r="EB215" s="119"/>
      <c r="EC215" s="119"/>
      <c r="ED215" s="143"/>
      <c r="EE215" s="143"/>
      <c r="EF215" s="143"/>
      <c r="EJ215" s="119"/>
      <c r="EK215" s="119"/>
      <c r="EL215" s="143"/>
      <c r="EM215" s="143"/>
      <c r="EN215" s="143"/>
      <c r="EP215" s="119">
        <v>20.910184997740032</v>
      </c>
      <c r="EQ215" s="143">
        <v>19.056295225498737</v>
      </c>
      <c r="ER215" s="143">
        <v>21.842900301132172</v>
      </c>
      <c r="ES215" s="143">
        <v>22.936898653184034</v>
      </c>
      <c r="EV215" s="119">
        <v>18.150166625524559</v>
      </c>
      <c r="EW215" s="119">
        <v>22.27862407271591</v>
      </c>
      <c r="EX215" s="119">
        <v>21.966999969391477</v>
      </c>
      <c r="EY215" s="119">
        <v>21.287260814337621</v>
      </c>
      <c r="EZ215" s="143">
        <v>21.243483903949297</v>
      </c>
      <c r="FA215" s="143">
        <v>21.919412937256773</v>
      </c>
      <c r="FD215" s="119">
        <v>20.05076166544432</v>
      </c>
      <c r="FE215" s="119">
        <v>21.966999969391477</v>
      </c>
      <c r="FF215" s="119">
        <v>21.261270043274088</v>
      </c>
      <c r="FG215" s="143">
        <v>18.411019383422726</v>
      </c>
      <c r="FH215" s="143">
        <v>20.458118741439655</v>
      </c>
      <c r="FK215" s="143">
        <v>18.810762360109944</v>
      </c>
      <c r="FL215" s="143">
        <v>20.128149084319659</v>
      </c>
      <c r="FO215" s="119">
        <v>20.345941158949309</v>
      </c>
      <c r="FP215" s="119">
        <v>17.781761680681765</v>
      </c>
      <c r="FQ215" s="143">
        <v>18.095527673620584</v>
      </c>
      <c r="FR215" s="143">
        <v>18.998321361560059</v>
      </c>
      <c r="FU215" s="119">
        <v>16.836890507351622</v>
      </c>
      <c r="FV215" s="143">
        <v>18.175678242278511</v>
      </c>
      <c r="FW215" s="143">
        <v>15.88603571768166</v>
      </c>
      <c r="FX215" s="143">
        <v>20.209249223644505</v>
      </c>
      <c r="FY215" s="143">
        <v>20.18390909282839</v>
      </c>
      <c r="GA215" s="143">
        <v>17.63105630740429</v>
      </c>
      <c r="GB215" s="143">
        <v>21.512201958720343</v>
      </c>
      <c r="GC215" s="143">
        <v>21.513009506678323</v>
      </c>
      <c r="GF215" s="119">
        <v>21</v>
      </c>
      <c r="GG215" s="119">
        <v>20</v>
      </c>
      <c r="GH215" s="119">
        <v>20.97833197260768</v>
      </c>
      <c r="GI215" s="143">
        <v>18.805254996737197</v>
      </c>
      <c r="GJ215" s="143">
        <v>21.622311155383485</v>
      </c>
      <c r="GK215" s="143">
        <v>21.590413348451637</v>
      </c>
      <c r="GN215" s="119">
        <v>30</v>
      </c>
      <c r="GO215" s="119">
        <v>21.272475665567278</v>
      </c>
      <c r="GP215" s="143">
        <v>23.008735032663967</v>
      </c>
      <c r="GQ215" s="143">
        <v>21.69296191676515</v>
      </c>
      <c r="GR215" s="143">
        <v>21.676007342394634</v>
      </c>
      <c r="GV215" s="119">
        <v>30.26123296764726</v>
      </c>
      <c r="GW215" s="143">
        <v>27.18468140625038</v>
      </c>
      <c r="GX215" s="143">
        <v>20.821807608577526</v>
      </c>
      <c r="GY215" s="143">
        <v>23.385004348884962</v>
      </c>
      <c r="HC215" s="143">
        <v>31.693928634754354</v>
      </c>
      <c r="HD215" s="143">
        <v>31.948367011893538</v>
      </c>
      <c r="HE215" s="143">
        <v>28.134207351860905</v>
      </c>
      <c r="HF215" s="143">
        <v>28.133382939272302</v>
      </c>
      <c r="HI215" s="119">
        <v>20</v>
      </c>
      <c r="HJ215" s="119">
        <v>28</v>
      </c>
      <c r="HK215" s="119">
        <v>30</v>
      </c>
      <c r="HL215" s="119">
        <v>8.6119919311374886</v>
      </c>
      <c r="HM215" s="143">
        <v>21.020926826953087</v>
      </c>
      <c r="HN215" s="143">
        <v>21.001513673832733</v>
      </c>
      <c r="HO215" s="143">
        <v>21.040952667403396</v>
      </c>
      <c r="HR215" s="119">
        <v>15</v>
      </c>
      <c r="HS215" s="119">
        <v>22</v>
      </c>
      <c r="HT215" s="119">
        <v>22.104505845826893</v>
      </c>
      <c r="HU215" s="143">
        <v>21.020926826953087</v>
      </c>
      <c r="HV215" s="143">
        <v>23.854757224300812</v>
      </c>
      <c r="HW215" s="143">
        <v>24.233900119625122</v>
      </c>
      <c r="HZ215" s="119">
        <v>22</v>
      </c>
      <c r="IA215" s="143">
        <v>22.435218829051049</v>
      </c>
      <c r="IB215" s="143">
        <v>24.5594340215955</v>
      </c>
      <c r="IC215" s="143">
        <v>25.998965445203428</v>
      </c>
      <c r="IE215" s="119">
        <v>23.968009823422378</v>
      </c>
      <c r="IF215" s="143">
        <v>21.175416333638637</v>
      </c>
      <c r="IG215" s="143">
        <v>24.484087186379316</v>
      </c>
      <c r="IH215" s="143">
        <v>25.975639304571907</v>
      </c>
      <c r="IK215" s="143">
        <v>24.484087186379316</v>
      </c>
      <c r="IL215" s="143">
        <v>25.975639304571907</v>
      </c>
      <c r="IO215" s="143">
        <v>25.244654759347096</v>
      </c>
      <c r="IP215" s="143">
        <v>28.152980716914428</v>
      </c>
      <c r="IS215" s="157">
        <v>24</v>
      </c>
      <c r="IT215" s="157">
        <v>28</v>
      </c>
      <c r="IU215" s="157">
        <v>28</v>
      </c>
      <c r="IX215" s="143">
        <v>26.391556462475886</v>
      </c>
      <c r="IY215" s="143">
        <v>24.559941865207502</v>
      </c>
      <c r="IZ215" s="143">
        <v>28.1503557590943</v>
      </c>
      <c r="JA215" s="143">
        <v>28.144226553711768</v>
      </c>
      <c r="JD215" s="143">
        <v>27.225660509391599</v>
      </c>
      <c r="JE215" s="143">
        <v>27.231883459599935</v>
      </c>
      <c r="JH215" s="143">
        <v>24.795423593762553</v>
      </c>
      <c r="JI215" s="143">
        <v>25.182302977118518</v>
      </c>
      <c r="JJ215" s="143">
        <v>25.167677906055577</v>
      </c>
      <c r="JM215" s="143">
        <v>26.0172864192992</v>
      </c>
      <c r="JN215" s="143">
        <v>26.006467323797615</v>
      </c>
      <c r="JQ215" s="143">
        <v>21.317446016893964</v>
      </c>
      <c r="JR215" s="143">
        <v>23.278657609363343</v>
      </c>
      <c r="JS215" s="143">
        <v>24.040179829702396</v>
      </c>
      <c r="JV215" s="143">
        <v>23.28839991226041</v>
      </c>
      <c r="JW215" s="143">
        <v>24.051770627039531</v>
      </c>
      <c r="JY215" s="143">
        <v>23.253114782398814</v>
      </c>
      <c r="JZ215" s="143">
        <v>24.022887441524325</v>
      </c>
      <c r="KB215" s="143">
        <v>19.652386430059995</v>
      </c>
      <c r="KC215" s="143">
        <v>21.683789434907982</v>
      </c>
      <c r="KD215" s="143">
        <v>21.645583828915068</v>
      </c>
    </row>
    <row r="216" spans="2:290" hidden="1" x14ac:dyDescent="0.25">
      <c r="B216" s="6"/>
      <c r="C216" s="136"/>
      <c r="D216" s="136"/>
      <c r="E216" s="136"/>
      <c r="F216" s="136"/>
      <c r="G216" s="136"/>
      <c r="H216" s="132"/>
      <c r="I216" s="158"/>
      <c r="J216" s="158"/>
      <c r="K216" s="158"/>
      <c r="L216" s="158"/>
      <c r="M216" s="132"/>
      <c r="N216" s="158"/>
      <c r="O216" s="158"/>
      <c r="P216" s="158"/>
      <c r="Q216" s="158"/>
      <c r="R216" s="132"/>
      <c r="S216" s="158"/>
      <c r="T216" s="158"/>
      <c r="U216" s="158"/>
      <c r="V216" s="158"/>
      <c r="W216" s="74" t="e">
        <f t="shared" ref="W216:CH216" si="305">W215/W165</f>
        <v>#DIV/0!</v>
      </c>
      <c r="X216" s="74">
        <f t="shared" si="305"/>
        <v>0.25667214149829715</v>
      </c>
      <c r="Y216" s="74">
        <f t="shared" si="305"/>
        <v>0.25377619171210886</v>
      </c>
      <c r="Z216" s="74">
        <f t="shared" si="305"/>
        <v>0.2334948117102171</v>
      </c>
      <c r="AA216" s="74">
        <f t="shared" si="305"/>
        <v>0.31548316461816867</v>
      </c>
      <c r="AB216" s="74">
        <f t="shared" si="305"/>
        <v>0.26982533762430361</v>
      </c>
      <c r="AC216" s="74">
        <f t="shared" si="305"/>
        <v>0.21600113619200573</v>
      </c>
      <c r="AD216" s="74">
        <f t="shared" si="305"/>
        <v>0.20576694016849811</v>
      </c>
      <c r="AE216" s="74">
        <f t="shared" si="305"/>
        <v>0.25558001753672283</v>
      </c>
      <c r="AF216" s="74">
        <f t="shared" si="305"/>
        <v>0.37839399408641683</v>
      </c>
      <c r="AG216" s="74">
        <f t="shared" si="305"/>
        <v>0.27104443887329049</v>
      </c>
      <c r="AH216" s="74">
        <f t="shared" si="305"/>
        <v>0.2468747297301164</v>
      </c>
      <c r="AI216" s="74">
        <f t="shared" si="305"/>
        <v>0.32518467898867759</v>
      </c>
      <c r="AJ216" s="74">
        <f t="shared" si="305"/>
        <v>0.33536431172710274</v>
      </c>
      <c r="AK216" s="74">
        <f t="shared" si="305"/>
        <v>0.30979879997977355</v>
      </c>
      <c r="AL216" s="74">
        <f t="shared" si="305"/>
        <v>0.3082298455680928</v>
      </c>
      <c r="AM216" s="74">
        <f t="shared" si="305"/>
        <v>0.28915564040415725</v>
      </c>
      <c r="AN216" s="74">
        <f t="shared" si="305"/>
        <v>0.30999302669189027</v>
      </c>
      <c r="AO216" s="74">
        <f t="shared" si="305"/>
        <v>0.33257884553731026</v>
      </c>
      <c r="AP216" s="74">
        <f t="shared" si="305"/>
        <v>0.31282782648585461</v>
      </c>
      <c r="AQ216" s="74">
        <f t="shared" si="305"/>
        <v>0.23872921124077931</v>
      </c>
      <c r="AR216" s="74">
        <f t="shared" si="305"/>
        <v>0.25385715455796948</v>
      </c>
      <c r="AS216" s="74">
        <f t="shared" si="305"/>
        <v>0.29494885651268421</v>
      </c>
      <c r="AT216" s="74">
        <f t="shared" si="305"/>
        <v>0.38912168824686305</v>
      </c>
      <c r="AU216" s="74">
        <f t="shared" si="305"/>
        <v>0.29811037526789452</v>
      </c>
      <c r="AV216" s="74">
        <f t="shared" si="305"/>
        <v>0.24770533733967942</v>
      </c>
      <c r="AW216" s="74">
        <f t="shared" si="305"/>
        <v>0.24307090343247637</v>
      </c>
      <c r="AX216" s="74">
        <f t="shared" si="305"/>
        <v>0.2356038966000325</v>
      </c>
      <c r="AY216" s="74">
        <f t="shared" si="305"/>
        <v>0.23487530473910387</v>
      </c>
      <c r="AZ216" s="74">
        <f t="shared" si="305"/>
        <v>0.24021458490742351</v>
      </c>
      <c r="BA216" s="74">
        <f t="shared" si="305"/>
        <v>0.21043697252748103</v>
      </c>
      <c r="BB216" s="74">
        <f t="shared" si="305"/>
        <v>0.26265150147981781</v>
      </c>
      <c r="BC216" s="74">
        <f t="shared" si="305"/>
        <v>0.29494656784396361</v>
      </c>
      <c r="BD216" s="74">
        <f t="shared" si="305"/>
        <v>0.35384904628603836</v>
      </c>
      <c r="BE216" s="74">
        <f t="shared" si="305"/>
        <v>0.27519272390554028</v>
      </c>
      <c r="BF216" s="74">
        <f t="shared" si="305"/>
        <v>0.18699692376026086</v>
      </c>
      <c r="BG216" s="74">
        <f t="shared" si="305"/>
        <v>0.33439291698749191</v>
      </c>
      <c r="BH216" s="74">
        <f t="shared" si="305"/>
        <v>0.35173671296645326</v>
      </c>
      <c r="BI216" s="74">
        <f t="shared" si="305"/>
        <v>0.36668026056809017</v>
      </c>
      <c r="BJ216" s="74">
        <f t="shared" si="305"/>
        <v>0.2816022789367526</v>
      </c>
      <c r="BK216" s="74">
        <f t="shared" si="305"/>
        <v>0.23823059685111006</v>
      </c>
      <c r="BL216" s="74">
        <f t="shared" si="305"/>
        <v>0.23835681960245425</v>
      </c>
      <c r="BM216" s="74">
        <f t="shared" si="305"/>
        <v>0.2303719668989169</v>
      </c>
      <c r="BN216" s="74">
        <f t="shared" si="305"/>
        <v>0.22273873827486459</v>
      </c>
      <c r="BO216" s="74">
        <f t="shared" si="305"/>
        <v>0.2312495836711945</v>
      </c>
      <c r="BP216" s="74">
        <f t="shared" si="305"/>
        <v>0.19227655035204524</v>
      </c>
      <c r="BQ216" s="74">
        <f t="shared" si="305"/>
        <v>0.1317292713766868</v>
      </c>
      <c r="BR216" s="74">
        <f t="shared" si="305"/>
        <v>0.26588119425366602</v>
      </c>
      <c r="BS216" s="74">
        <f t="shared" si="305"/>
        <v>0.3584197132454231</v>
      </c>
      <c r="BT216" s="74">
        <f t="shared" si="305"/>
        <v>0.23585666543340675</v>
      </c>
      <c r="BU216" s="74">
        <f t="shared" si="305"/>
        <v>0.26678345774323897</v>
      </c>
      <c r="BV216" s="74">
        <f t="shared" si="305"/>
        <v>0.30943418045369842</v>
      </c>
      <c r="BW216" s="74">
        <f t="shared" si="305"/>
        <v>0.30907126739693047</v>
      </c>
      <c r="BX216" s="74">
        <f t="shared" si="305"/>
        <v>0.32873087331935336</v>
      </c>
      <c r="BY216" s="74">
        <f t="shared" si="305"/>
        <v>0.30365170908937489</v>
      </c>
      <c r="BZ216" s="74">
        <f t="shared" si="305"/>
        <v>0.28097475664754029</v>
      </c>
      <c r="CA216" s="74">
        <f t="shared" si="305"/>
        <v>0.32791924061751443</v>
      </c>
      <c r="CB216" s="74">
        <f t="shared" si="305"/>
        <v>0.24044455543985888</v>
      </c>
      <c r="CC216" s="74">
        <f t="shared" si="305"/>
        <v>0.26475555378971538</v>
      </c>
      <c r="CD216" s="74">
        <f t="shared" si="305"/>
        <v>0.26986832429935081</v>
      </c>
      <c r="CE216" s="74">
        <f t="shared" si="305"/>
        <v>0.24108542200864314</v>
      </c>
      <c r="CF216" s="74">
        <f t="shared" si="305"/>
        <v>0.25389309829388923</v>
      </c>
      <c r="CG216" s="74">
        <f t="shared" si="305"/>
        <v>0.25166890236389738</v>
      </c>
      <c r="CH216" s="74">
        <f t="shared" si="305"/>
        <v>0.27654435330235333</v>
      </c>
      <c r="CI216" s="74">
        <f t="shared" ref="CI216:CK216" si="306">CI215/CI165</f>
        <v>0.27150846251216743</v>
      </c>
      <c r="CJ216" s="74">
        <f t="shared" si="306"/>
        <v>0.27231112156015091</v>
      </c>
      <c r="CK216" s="74">
        <f t="shared" si="306"/>
        <v>0.27390817015806479</v>
      </c>
      <c r="CL216" s="74"/>
      <c r="CM216" s="74"/>
      <c r="CN216" s="74"/>
      <c r="CO216" s="74"/>
      <c r="CP216" s="74"/>
      <c r="CQ216" s="6"/>
      <c r="CR216" s="6"/>
      <c r="CS216" s="6"/>
      <c r="CT216" s="124"/>
      <c r="CU216" s="124"/>
      <c r="CV216" s="124"/>
      <c r="CW216" s="124"/>
      <c r="CX216" s="124"/>
      <c r="CY216" s="124"/>
      <c r="CZ216" s="124"/>
      <c r="DA216" s="124"/>
      <c r="DB216" s="124"/>
      <c r="DC216" s="124"/>
      <c r="DD216" s="124"/>
      <c r="DE216" s="124"/>
      <c r="DF216" s="124"/>
      <c r="DG216" s="124"/>
      <c r="DH216" s="124"/>
      <c r="DI216" s="124"/>
      <c r="DK216" s="124"/>
      <c r="DL216" s="124"/>
      <c r="DM216" s="6"/>
      <c r="DN216" s="124"/>
      <c r="DO216" s="124"/>
      <c r="DQ216" s="136"/>
      <c r="DR216" s="124"/>
      <c r="DS216" s="124"/>
      <c r="DT216" s="124"/>
      <c r="DV216" s="124"/>
      <c r="DW216" s="124"/>
      <c r="DX216" s="124"/>
      <c r="EA216" s="111"/>
      <c r="EB216" s="111"/>
      <c r="EC216" s="111"/>
      <c r="ED216" s="124"/>
      <c r="EE216" s="124"/>
      <c r="EF216" s="124"/>
      <c r="EJ216" s="111"/>
      <c r="EK216" s="111"/>
      <c r="EL216" s="124"/>
      <c r="EM216" s="124"/>
      <c r="EN216" s="124"/>
      <c r="EP216" s="111"/>
      <c r="EQ216" s="124"/>
      <c r="ER216" s="124"/>
      <c r="ES216" s="124"/>
      <c r="EV216" s="111"/>
      <c r="EW216" s="111"/>
      <c r="EX216" s="111"/>
      <c r="EY216" s="111"/>
      <c r="EZ216" s="124"/>
      <c r="FA216" s="124"/>
      <c r="FD216" s="111"/>
      <c r="FE216" s="111"/>
      <c r="FF216" s="111"/>
      <c r="FG216" s="124"/>
      <c r="FH216" s="124"/>
      <c r="FK216" s="124"/>
      <c r="FL216" s="124"/>
      <c r="FO216" s="111"/>
      <c r="FP216" s="111"/>
      <c r="FQ216" s="124"/>
      <c r="FR216" s="124"/>
      <c r="FU216" s="111"/>
      <c r="FV216" s="124"/>
      <c r="FW216" s="124"/>
      <c r="FX216" s="124"/>
      <c r="FY216" s="124"/>
      <c r="GA216" s="124"/>
      <c r="GB216" s="124"/>
      <c r="GC216" s="124"/>
      <c r="GF216" s="111"/>
      <c r="GG216" s="111"/>
      <c r="GH216" s="111"/>
      <c r="GI216" s="124"/>
      <c r="GJ216" s="124"/>
      <c r="GK216" s="124"/>
      <c r="GN216" s="111"/>
      <c r="GO216" s="111"/>
      <c r="GP216" s="124"/>
      <c r="GQ216" s="124"/>
      <c r="GR216" s="124"/>
      <c r="GV216" s="111"/>
      <c r="GW216" s="124"/>
      <c r="GX216" s="124"/>
      <c r="GY216" s="124"/>
      <c r="HC216" s="124"/>
      <c r="HD216" s="124"/>
      <c r="HE216" s="124"/>
      <c r="HF216" s="124"/>
      <c r="HI216" s="111"/>
      <c r="HJ216" s="111"/>
      <c r="HK216" s="111"/>
      <c r="HL216" s="111"/>
      <c r="HM216" s="124"/>
      <c r="HN216" s="124"/>
      <c r="HO216" s="124"/>
      <c r="HR216" s="111"/>
      <c r="HS216" s="111"/>
      <c r="HT216" s="111"/>
      <c r="HU216" s="124"/>
      <c r="HV216" s="124"/>
      <c r="HW216" s="124"/>
      <c r="HZ216" s="111"/>
      <c r="IA216" s="124"/>
      <c r="IB216" s="124"/>
      <c r="IC216" s="124"/>
      <c r="IE216" s="111"/>
      <c r="IF216" s="124"/>
      <c r="IG216" s="124"/>
      <c r="IH216" s="124"/>
      <c r="IK216" s="124"/>
      <c r="IL216" s="124"/>
      <c r="IO216" s="124"/>
      <c r="IP216" s="124"/>
      <c r="IS216" s="160"/>
      <c r="IT216" s="160"/>
      <c r="IU216" s="160"/>
      <c r="IX216" s="124"/>
      <c r="IY216" s="124"/>
      <c r="IZ216" s="124"/>
      <c r="JA216" s="124"/>
      <c r="JD216" s="124"/>
      <c r="JE216" s="124"/>
      <c r="JH216" s="124"/>
      <c r="JI216" s="124"/>
      <c r="JJ216" s="124"/>
      <c r="JM216" s="124"/>
      <c r="JN216" s="124"/>
      <c r="JQ216" s="124"/>
      <c r="JR216" s="124"/>
      <c r="JS216" s="124"/>
      <c r="JV216" s="124"/>
      <c r="JW216" s="124"/>
      <c r="JY216" s="124"/>
      <c r="JZ216" s="124"/>
      <c r="KB216" s="124"/>
      <c r="KC216" s="124"/>
      <c r="KD216" s="124"/>
    </row>
    <row r="217" spans="2:290" ht="15" hidden="1" x14ac:dyDescent="0.25">
      <c r="CJ217" s="186"/>
      <c r="CK217" s="187"/>
      <c r="CL217" s="187"/>
      <c r="CM217" s="187"/>
      <c r="CN217" s="187"/>
      <c r="CO217" s="188"/>
      <c r="CP217" s="188"/>
    </row>
    <row r="218" spans="2:290" s="60" customFormat="1" hidden="1" x14ac:dyDescent="0.25">
      <c r="B218" s="58" t="s">
        <v>251</v>
      </c>
      <c r="C218" s="4"/>
      <c r="D218" s="4" t="str">
        <f t="shared" ref="D218:BO218" si="307">D210</f>
        <v>1QFY10</v>
      </c>
      <c r="E218" s="4" t="str">
        <f t="shared" si="307"/>
        <v>2QFY10</v>
      </c>
      <c r="F218" s="4" t="str">
        <f t="shared" si="307"/>
        <v>3QFY10</v>
      </c>
      <c r="G218" s="4" t="str">
        <f t="shared" si="307"/>
        <v>4QFY10</v>
      </c>
      <c r="H218" s="145" t="str">
        <f t="shared" si="307"/>
        <v>CY10</v>
      </c>
      <c r="I218" s="156" t="str">
        <f t="shared" si="307"/>
        <v>1QFY11</v>
      </c>
      <c r="J218" s="156" t="str">
        <f t="shared" si="307"/>
        <v>2QFY11</v>
      </c>
      <c r="K218" s="156" t="str">
        <f t="shared" si="307"/>
        <v>3QFY11</v>
      </c>
      <c r="L218" s="156" t="str">
        <f t="shared" si="307"/>
        <v>4QFY11</v>
      </c>
      <c r="M218" s="145" t="str">
        <f t="shared" si="307"/>
        <v>CY11</v>
      </c>
      <c r="N218" s="156" t="str">
        <f t="shared" si="307"/>
        <v>1QFY12</v>
      </c>
      <c r="O218" s="156" t="str">
        <f t="shared" si="307"/>
        <v>2QFY12</v>
      </c>
      <c r="P218" s="156" t="str">
        <f t="shared" si="307"/>
        <v>3QFY12</v>
      </c>
      <c r="Q218" s="156" t="str">
        <f t="shared" si="307"/>
        <v>4QFY12</v>
      </c>
      <c r="R218" s="145" t="str">
        <f t="shared" si="307"/>
        <v>CY12</v>
      </c>
      <c r="S218" s="156" t="str">
        <f t="shared" si="307"/>
        <v>1QFY13</v>
      </c>
      <c r="T218" s="156" t="str">
        <f t="shared" si="307"/>
        <v>2QFY13</v>
      </c>
      <c r="U218" s="156" t="str">
        <f t="shared" si="307"/>
        <v>3QFY13</v>
      </c>
      <c r="V218" s="156" t="str">
        <f t="shared" si="307"/>
        <v>4QFY13</v>
      </c>
      <c r="W218" s="145" t="str">
        <f t="shared" si="307"/>
        <v>CY13</v>
      </c>
      <c r="X218" s="156" t="str">
        <f t="shared" si="307"/>
        <v>1QFY14</v>
      </c>
      <c r="Y218" s="156" t="str">
        <f t="shared" si="307"/>
        <v>2QFY14</v>
      </c>
      <c r="Z218" s="156" t="str">
        <f t="shared" si="307"/>
        <v>3QFY14</v>
      </c>
      <c r="AA218" s="156" t="str">
        <f t="shared" si="307"/>
        <v>4QFY14</v>
      </c>
      <c r="AB218" s="145" t="str">
        <f t="shared" si="307"/>
        <v>CY14</v>
      </c>
      <c r="AC218" s="156" t="str">
        <f t="shared" si="307"/>
        <v>1QFY15</v>
      </c>
      <c r="AD218" s="156" t="str">
        <f t="shared" si="307"/>
        <v>2QFY15</v>
      </c>
      <c r="AE218" s="156" t="str">
        <f t="shared" si="307"/>
        <v>3QFY15</v>
      </c>
      <c r="AF218" s="156" t="str">
        <f t="shared" si="307"/>
        <v>4QFY15</v>
      </c>
      <c r="AG218" s="145" t="str">
        <f t="shared" si="307"/>
        <v>CY15</v>
      </c>
      <c r="AH218" s="156" t="str">
        <f t="shared" si="307"/>
        <v>1QFY16</v>
      </c>
      <c r="AI218" s="156" t="str">
        <f t="shared" si="307"/>
        <v>2QFY16</v>
      </c>
      <c r="AJ218" s="156" t="str">
        <f t="shared" si="307"/>
        <v>3QFY16</v>
      </c>
      <c r="AK218" s="145" t="str">
        <f t="shared" si="307"/>
        <v>FY16</v>
      </c>
      <c r="AL218" s="156" t="str">
        <f t="shared" si="307"/>
        <v>1QFY17</v>
      </c>
      <c r="AM218" s="156" t="str">
        <f t="shared" si="307"/>
        <v>2QFY17</v>
      </c>
      <c r="AN218" s="156" t="str">
        <f t="shared" si="307"/>
        <v>3QFY17</v>
      </c>
      <c r="AO218" s="156" t="str">
        <f t="shared" si="307"/>
        <v>4QFY17</v>
      </c>
      <c r="AP218" s="145" t="str">
        <f t="shared" si="307"/>
        <v>FY17</v>
      </c>
      <c r="AQ218" s="156" t="str">
        <f t="shared" si="307"/>
        <v>1QFY18</v>
      </c>
      <c r="AR218" s="156" t="str">
        <f t="shared" si="307"/>
        <v>2QFY18</v>
      </c>
      <c r="AS218" s="156" t="str">
        <f t="shared" si="307"/>
        <v>3QFY18</v>
      </c>
      <c r="AT218" s="156" t="str">
        <f t="shared" si="307"/>
        <v>4QFY18</v>
      </c>
      <c r="AU218" s="145" t="str">
        <f t="shared" si="307"/>
        <v>FY18</v>
      </c>
      <c r="AV218" s="148" t="str">
        <f t="shared" si="307"/>
        <v>1QFY19</v>
      </c>
      <c r="AW218" s="148" t="str">
        <f t="shared" si="307"/>
        <v>2QFY19</v>
      </c>
      <c r="AX218" s="148" t="str">
        <f t="shared" si="307"/>
        <v>3QFY19</v>
      </c>
      <c r="AY218" s="148" t="str">
        <f t="shared" si="307"/>
        <v>4QFY19</v>
      </c>
      <c r="AZ218" s="145" t="str">
        <f t="shared" si="307"/>
        <v>FY19</v>
      </c>
      <c r="BA218" s="148" t="str">
        <f t="shared" si="307"/>
        <v>1QFY20</v>
      </c>
      <c r="BB218" s="148" t="str">
        <f t="shared" si="307"/>
        <v>2QFY20</v>
      </c>
      <c r="BC218" s="148" t="str">
        <f t="shared" si="307"/>
        <v>3QFY20</v>
      </c>
      <c r="BD218" s="148" t="str">
        <f t="shared" si="307"/>
        <v>4QFY20</v>
      </c>
      <c r="BE218" s="145" t="str">
        <f t="shared" si="307"/>
        <v>FY20</v>
      </c>
      <c r="BF218" s="148" t="str">
        <f t="shared" si="307"/>
        <v>1QFY21</v>
      </c>
      <c r="BG218" s="148" t="str">
        <f t="shared" si="307"/>
        <v>2QFY21</v>
      </c>
      <c r="BH218" s="148" t="str">
        <f t="shared" si="307"/>
        <v>3QFY21</v>
      </c>
      <c r="BI218" s="148" t="str">
        <f t="shared" si="307"/>
        <v>4QFY21</v>
      </c>
      <c r="BJ218" s="145" t="str">
        <f t="shared" si="307"/>
        <v>FY21</v>
      </c>
      <c r="BK218" s="148" t="str">
        <f t="shared" si="307"/>
        <v>1QFY22</v>
      </c>
      <c r="BL218" s="148" t="str">
        <f t="shared" si="307"/>
        <v>2QFY22</v>
      </c>
      <c r="BM218" s="148" t="str">
        <f t="shared" si="307"/>
        <v>3QFY22</v>
      </c>
      <c r="BN218" s="148" t="str">
        <f t="shared" si="307"/>
        <v>4QFY22</v>
      </c>
      <c r="BO218" s="145" t="str">
        <f t="shared" si="307"/>
        <v>FY22</v>
      </c>
      <c r="BP218" s="148" t="str">
        <f t="shared" ref="BP218:CK218" si="308">BP210</f>
        <v>1QFY23</v>
      </c>
      <c r="BQ218" s="148" t="str">
        <f t="shared" si="308"/>
        <v>2QFY23</v>
      </c>
      <c r="BR218" s="148" t="str">
        <f t="shared" si="308"/>
        <v>3QFY23</v>
      </c>
      <c r="BS218" s="148" t="str">
        <f t="shared" si="308"/>
        <v>4QFY23</v>
      </c>
      <c r="BT218" s="145" t="str">
        <f t="shared" si="308"/>
        <v>FY23</v>
      </c>
      <c r="BU218" s="148" t="str">
        <f t="shared" si="308"/>
        <v>1QFY24</v>
      </c>
      <c r="BV218" s="148" t="str">
        <f t="shared" si="308"/>
        <v>2QFY24</v>
      </c>
      <c r="BW218" s="148" t="str">
        <f t="shared" si="308"/>
        <v>3QFY24</v>
      </c>
      <c r="BX218" s="148" t="str">
        <f t="shared" si="308"/>
        <v>4QFY24</v>
      </c>
      <c r="BY218" s="145" t="str">
        <f t="shared" si="308"/>
        <v>FY24</v>
      </c>
      <c r="BZ218" s="148" t="str">
        <f t="shared" si="308"/>
        <v>1QFY25</v>
      </c>
      <c r="CA218" s="148" t="str">
        <f t="shared" si="308"/>
        <v>2QFY25</v>
      </c>
      <c r="CB218" s="148" t="str">
        <f t="shared" si="308"/>
        <v>3QFY25</v>
      </c>
      <c r="CC218" s="148" t="str">
        <f t="shared" si="308"/>
        <v>4QFY25</v>
      </c>
      <c r="CD218" s="145" t="str">
        <f t="shared" si="308"/>
        <v>FY25</v>
      </c>
      <c r="CE218" s="148" t="str">
        <f t="shared" si="308"/>
        <v>1QFY26</v>
      </c>
      <c r="CF218" s="148" t="str">
        <f t="shared" si="308"/>
        <v>2QFY26</v>
      </c>
      <c r="CG218" s="148" t="str">
        <f t="shared" si="308"/>
        <v>3QFY26</v>
      </c>
      <c r="CH218" s="148" t="str">
        <f t="shared" si="308"/>
        <v>4QFY26</v>
      </c>
      <c r="CI218" s="145" t="str">
        <f t="shared" si="308"/>
        <v>FY26</v>
      </c>
      <c r="CJ218" s="145" t="str">
        <f t="shared" si="308"/>
        <v>FY27E</v>
      </c>
      <c r="CK218" s="145" t="str">
        <f t="shared" si="308"/>
        <v>FY28E</v>
      </c>
      <c r="CL218" s="145"/>
      <c r="CM218" s="145"/>
      <c r="CN218" s="145"/>
      <c r="CO218" s="148"/>
      <c r="CP218" s="148"/>
      <c r="CQ218" s="58"/>
      <c r="CR218" s="58"/>
      <c r="CS218" s="58"/>
      <c r="CT218" s="143"/>
      <c r="CU218" s="143"/>
      <c r="CV218" s="143"/>
      <c r="CW218" s="143"/>
      <c r="CX218" s="143"/>
      <c r="CY218" s="143"/>
      <c r="CZ218" s="143"/>
      <c r="DA218" s="143"/>
      <c r="DB218" s="143"/>
      <c r="DC218" s="143"/>
      <c r="DD218" s="143"/>
      <c r="DE218" s="143"/>
      <c r="DF218" s="143"/>
      <c r="DG218" s="143"/>
      <c r="DH218" s="143"/>
      <c r="DI218" s="143"/>
      <c r="DK218" s="143"/>
      <c r="DL218" s="143"/>
      <c r="DM218" s="58"/>
      <c r="DN218" s="143"/>
      <c r="DO218" s="143"/>
      <c r="DQ218" s="4"/>
      <c r="DR218" s="143"/>
      <c r="DS218" s="143"/>
      <c r="DT218" s="143"/>
      <c r="DV218" s="143"/>
      <c r="DW218" s="143"/>
      <c r="DX218" s="143"/>
      <c r="EA218" s="119"/>
      <c r="EB218" s="119"/>
      <c r="EC218" s="119"/>
      <c r="ED218" s="143"/>
      <c r="EE218" s="143"/>
      <c r="EF218" s="143"/>
      <c r="EJ218" s="119"/>
      <c r="EK218" s="119"/>
      <c r="EL218" s="143"/>
      <c r="EM218" s="143"/>
      <c r="EN218" s="143"/>
      <c r="EP218" s="119"/>
      <c r="EQ218" s="143"/>
      <c r="ER218" s="143"/>
      <c r="ES218" s="143"/>
      <c r="EV218" s="119"/>
      <c r="EW218" s="119"/>
      <c r="EX218" s="119"/>
      <c r="EY218" s="119"/>
      <c r="EZ218" s="143"/>
      <c r="FA218" s="143"/>
      <c r="FD218" s="119"/>
      <c r="FE218" s="119"/>
      <c r="FF218" s="119"/>
      <c r="FG218" s="143"/>
      <c r="FH218" s="143"/>
      <c r="FK218" s="143"/>
      <c r="FL218" s="143"/>
      <c r="FO218" s="119" t="s">
        <v>85</v>
      </c>
      <c r="FP218" s="119" t="s">
        <v>86</v>
      </c>
      <c r="FQ218" s="143" t="s">
        <v>87</v>
      </c>
      <c r="FR218" s="143" t="s">
        <v>92</v>
      </c>
      <c r="FU218" s="119" t="s">
        <v>86</v>
      </c>
      <c r="FV218" s="143" t="s">
        <v>87</v>
      </c>
      <c r="FW218" s="143" t="s">
        <v>92</v>
      </c>
      <c r="FX218" s="143" t="s">
        <v>92</v>
      </c>
      <c r="FY218" s="143" t="s">
        <v>92</v>
      </c>
      <c r="GA218" s="143" t="s">
        <v>92</v>
      </c>
      <c r="GB218" s="143" t="s">
        <v>92</v>
      </c>
      <c r="GC218" s="143" t="s">
        <v>92</v>
      </c>
      <c r="GF218" s="119"/>
      <c r="GG218" s="119"/>
      <c r="GH218" s="119"/>
      <c r="GI218" s="143" t="s">
        <v>92</v>
      </c>
      <c r="GJ218" s="143" t="s">
        <v>92</v>
      </c>
      <c r="GK218" s="143" t="s">
        <v>92</v>
      </c>
      <c r="GN218" s="119"/>
      <c r="GO218" s="119"/>
      <c r="GP218" s="143" t="s">
        <v>92</v>
      </c>
      <c r="GQ218" s="143" t="s">
        <v>92</v>
      </c>
      <c r="GR218" s="143" t="s">
        <v>92</v>
      </c>
      <c r="GV218" s="119"/>
      <c r="GW218" s="143" t="s">
        <v>92</v>
      </c>
      <c r="GX218" s="143" t="s">
        <v>97</v>
      </c>
      <c r="GY218" s="143" t="s">
        <v>102</v>
      </c>
      <c r="HC218" s="143"/>
      <c r="HD218" s="143" t="s">
        <v>97</v>
      </c>
      <c r="HE218" s="143" t="s">
        <v>102</v>
      </c>
      <c r="HF218" s="143" t="s">
        <v>107</v>
      </c>
      <c r="HI218" s="119"/>
      <c r="HJ218" s="119"/>
      <c r="HK218" s="119"/>
      <c r="HL218" s="119"/>
      <c r="HM218" s="143" t="s">
        <v>102</v>
      </c>
      <c r="HN218" s="143" t="s">
        <v>107</v>
      </c>
      <c r="HO218" s="143" t="s">
        <v>107</v>
      </c>
      <c r="HR218" s="119"/>
      <c r="HS218" s="119"/>
      <c r="HT218" s="119"/>
      <c r="HU218" s="143" t="s">
        <v>102</v>
      </c>
      <c r="HV218" s="143" t="s">
        <v>107</v>
      </c>
      <c r="HW218" s="143" t="s">
        <v>107</v>
      </c>
      <c r="HZ218" s="119"/>
      <c r="IA218" s="143" t="s">
        <v>102</v>
      </c>
      <c r="IB218" s="143" t="s">
        <v>107</v>
      </c>
      <c r="IC218" s="143" t="s">
        <v>107</v>
      </c>
      <c r="IE218" s="119"/>
      <c r="IF218" s="143" t="s">
        <v>102</v>
      </c>
      <c r="IG218" s="143" t="s">
        <v>107</v>
      </c>
      <c r="IH218" s="143" t="s">
        <v>107</v>
      </c>
      <c r="IK218" s="143" t="s">
        <v>107</v>
      </c>
      <c r="IL218" s="143" t="s">
        <v>107</v>
      </c>
      <c r="IO218" s="143" t="s">
        <v>107</v>
      </c>
      <c r="IP218" s="143" t="s">
        <v>107</v>
      </c>
      <c r="IS218" s="157">
        <v>1111.6363439999998</v>
      </c>
      <c r="IT218" s="157">
        <v>1504.4145188799996</v>
      </c>
      <c r="IU218" s="157">
        <v>1745.1208419007994</v>
      </c>
      <c r="IX218" s="143"/>
      <c r="IY218" s="143" t="s">
        <v>107</v>
      </c>
      <c r="IZ218" s="143" t="s">
        <v>107</v>
      </c>
      <c r="JA218" s="143" t="s">
        <v>107</v>
      </c>
      <c r="JD218" s="143" t="s">
        <v>107</v>
      </c>
      <c r="JE218" s="143" t="s">
        <v>107</v>
      </c>
      <c r="JH218" s="143" t="s">
        <v>107</v>
      </c>
      <c r="JI218" s="143" t="s">
        <v>107</v>
      </c>
      <c r="JJ218" s="143" t="s">
        <v>107</v>
      </c>
      <c r="JM218" s="143" t="s">
        <v>107</v>
      </c>
      <c r="JN218" s="143" t="s">
        <v>107</v>
      </c>
      <c r="JQ218" s="143" t="s">
        <v>107</v>
      </c>
      <c r="JR218" s="143" t="s">
        <v>107</v>
      </c>
      <c r="JS218" s="143" t="s">
        <v>107</v>
      </c>
      <c r="JV218" s="143" t="s">
        <v>107</v>
      </c>
      <c r="JW218" s="143" t="s">
        <v>107</v>
      </c>
      <c r="JY218" s="143" t="s">
        <v>107</v>
      </c>
      <c r="JZ218" s="143" t="s">
        <v>107</v>
      </c>
      <c r="KB218" s="143" t="s">
        <v>107</v>
      </c>
      <c r="KC218" s="143" t="s">
        <v>107</v>
      </c>
      <c r="KD218" s="143" t="s">
        <v>107</v>
      </c>
    </row>
    <row r="219" spans="2:290" hidden="1" x14ac:dyDescent="0.25">
      <c r="B219" s="6" t="str">
        <f>B281</f>
        <v>Revenue Growth (%)</v>
      </c>
      <c r="C219" s="136"/>
      <c r="D219" s="136"/>
      <c r="E219" s="136"/>
      <c r="F219" s="136"/>
      <c r="G219" s="136"/>
      <c r="H219" s="132"/>
      <c r="I219" s="158"/>
      <c r="J219" s="158"/>
      <c r="K219" s="158"/>
      <c r="L219" s="158"/>
      <c r="M219" s="132"/>
      <c r="N219" s="158"/>
      <c r="O219" s="158"/>
      <c r="P219" s="158"/>
      <c r="Q219" s="158"/>
      <c r="R219" s="132"/>
      <c r="S219" s="158"/>
      <c r="T219" s="158"/>
      <c r="U219" s="158"/>
      <c r="V219" s="158"/>
      <c r="W219" s="132">
        <v>270.56</v>
      </c>
      <c r="X219" s="158">
        <v>56.150999999999996</v>
      </c>
      <c r="Y219" s="158">
        <v>61.695000000000007</v>
      </c>
      <c r="Z219" s="158">
        <v>74.254000000000005</v>
      </c>
      <c r="AA219" s="158">
        <v>117.98</v>
      </c>
      <c r="AB219" s="132">
        <v>311.06</v>
      </c>
      <c r="AC219" s="158">
        <v>44.321759999999998</v>
      </c>
      <c r="AD219" s="158">
        <v>37.391999999999996</v>
      </c>
      <c r="AE219" s="158">
        <v>76.112000000000009</v>
      </c>
      <c r="AF219" s="158">
        <v>125.658</v>
      </c>
      <c r="AG219" s="132">
        <v>283.24384000000003</v>
      </c>
      <c r="AH219" s="158">
        <v>54.199800000000003</v>
      </c>
      <c r="AI219" s="158">
        <v>63.96</v>
      </c>
      <c r="AJ219" s="158">
        <v>109.62336000000002</v>
      </c>
      <c r="AK219" s="132">
        <v>227.78316000000001</v>
      </c>
      <c r="AL219" s="158">
        <f t="shared" ref="AL219:AX219" si="309">AL281*AL141</f>
        <v>0</v>
      </c>
      <c r="AM219" s="158">
        <f t="shared" si="309"/>
        <v>0</v>
      </c>
      <c r="AN219" s="158">
        <f t="shared" si="309"/>
        <v>0</v>
      </c>
      <c r="AO219" s="158">
        <f t="shared" si="309"/>
        <v>0</v>
      </c>
      <c r="AP219" s="132">
        <f t="shared" si="309"/>
        <v>0</v>
      </c>
      <c r="AQ219" s="158">
        <f t="shared" si="309"/>
        <v>0</v>
      </c>
      <c r="AR219" s="158">
        <f t="shared" si="309"/>
        <v>0</v>
      </c>
      <c r="AS219" s="158">
        <f t="shared" si="309"/>
        <v>0</v>
      </c>
      <c r="AT219" s="158">
        <f t="shared" si="309"/>
        <v>0</v>
      </c>
      <c r="AU219" s="132">
        <f t="shared" si="309"/>
        <v>0</v>
      </c>
      <c r="AV219" s="137">
        <f t="shared" si="309"/>
        <v>0</v>
      </c>
      <c r="AW219" s="137">
        <f t="shared" si="309"/>
        <v>0</v>
      </c>
      <c r="AX219" s="137">
        <f t="shared" si="309"/>
        <v>0</v>
      </c>
      <c r="AY219" s="137">
        <f>AZ219-AV219-AW219-AX219</f>
        <v>0</v>
      </c>
      <c r="AZ219" s="132">
        <f t="shared" ref="AZ219:BC222" si="310">AZ281*AZ141</f>
        <v>0</v>
      </c>
      <c r="BA219" s="137">
        <f t="shared" si="310"/>
        <v>0</v>
      </c>
      <c r="BB219" s="137">
        <f t="shared" si="310"/>
        <v>0</v>
      </c>
      <c r="BC219" s="137">
        <f t="shared" si="310"/>
        <v>0</v>
      </c>
      <c r="BD219" s="137">
        <f>BE219-BA219-BB219-BC219</f>
        <v>0</v>
      </c>
      <c r="BE219" s="132">
        <f t="shared" ref="BE219:BH222" si="311">BE281*BE141</f>
        <v>0</v>
      </c>
      <c r="BF219" s="137">
        <f t="shared" si="311"/>
        <v>0</v>
      </c>
      <c r="BG219" s="137">
        <f t="shared" si="311"/>
        <v>0</v>
      </c>
      <c r="BH219" s="137">
        <f t="shared" si="311"/>
        <v>0</v>
      </c>
      <c r="BI219" s="137">
        <f>BJ219-BF219-BG219-BH219</f>
        <v>0</v>
      </c>
      <c r="BJ219" s="132">
        <f t="shared" ref="BJ219:BK222" si="312">BJ281*BJ141</f>
        <v>0</v>
      </c>
      <c r="BK219" s="137">
        <f t="shared" si="312"/>
        <v>0</v>
      </c>
      <c r="BL219" s="137"/>
      <c r="BM219" s="137"/>
      <c r="BN219" s="137"/>
      <c r="BO219" s="132">
        <f>BO211*BO119/10000</f>
        <v>918.88824999999997</v>
      </c>
      <c r="BP219" s="137"/>
      <c r="BQ219" s="137"/>
      <c r="BR219" s="137"/>
      <c r="BS219" s="137"/>
      <c r="BT219" s="132">
        <f>BT211*BT119/10000</f>
        <v>693.83510000000001</v>
      </c>
      <c r="BU219" s="137"/>
      <c r="BV219" s="137"/>
      <c r="BW219" s="137"/>
      <c r="BX219" s="137"/>
      <c r="BY219" s="132">
        <f>BY211*BY119/10000</f>
        <v>1162.32232</v>
      </c>
      <c r="BZ219" s="137"/>
      <c r="CA219" s="137"/>
      <c r="CB219" s="137"/>
      <c r="CC219" s="137"/>
      <c r="CD219" s="132">
        <f>CD211*CD119/10000</f>
        <v>1035.7093500000001</v>
      </c>
      <c r="CE219" s="137"/>
      <c r="CF219" s="137"/>
      <c r="CG219" s="137"/>
      <c r="CH219" s="137"/>
      <c r="CI219" s="132">
        <f t="shared" ref="CI219:CK222" si="313">CI211*CI119/10000</f>
        <v>1154.2253000000001</v>
      </c>
      <c r="CJ219" s="132">
        <f t="shared" si="313"/>
        <v>1385.0703600000002</v>
      </c>
      <c r="CK219" s="132">
        <f t="shared" si="313"/>
        <v>1606.6816176</v>
      </c>
      <c r="CL219" s="132"/>
      <c r="CM219" s="132"/>
      <c r="CN219" s="132"/>
      <c r="CO219" s="137"/>
      <c r="CP219" s="137"/>
      <c r="CQ219" s="6"/>
      <c r="CR219" s="6"/>
      <c r="CS219" s="6"/>
      <c r="CT219" s="124"/>
      <c r="CU219" s="124"/>
      <c r="CV219" s="124"/>
      <c r="CW219" s="124"/>
      <c r="CX219" s="124"/>
      <c r="CY219" s="124"/>
      <c r="CZ219" s="124"/>
      <c r="DA219" s="124"/>
      <c r="DB219" s="124"/>
      <c r="DC219" s="124"/>
      <c r="DD219" s="124"/>
      <c r="DE219" s="124"/>
      <c r="DF219" s="124"/>
      <c r="DG219" s="124"/>
      <c r="DH219" s="124"/>
      <c r="DI219" s="124"/>
      <c r="DK219" s="124"/>
      <c r="DL219" s="124"/>
      <c r="DM219" s="6"/>
      <c r="DN219" s="124"/>
      <c r="DO219" s="124"/>
      <c r="DQ219" s="136"/>
      <c r="DR219" s="124"/>
      <c r="DS219" s="124"/>
      <c r="DT219" s="124"/>
      <c r="DV219" s="124"/>
      <c r="DW219" s="124"/>
      <c r="DX219" s="124"/>
      <c r="EA219" s="111"/>
      <c r="EB219" s="111"/>
      <c r="EC219" s="111"/>
      <c r="ED219" s="124"/>
      <c r="EE219" s="124"/>
      <c r="EF219" s="124"/>
      <c r="EJ219" s="111">
        <v>0.49373604070587357</v>
      </c>
      <c r="EK219" s="111"/>
      <c r="EL219" s="124"/>
      <c r="EM219" s="124"/>
      <c r="EN219" s="124"/>
      <c r="EP219" s="111"/>
      <c r="EQ219" s="124"/>
      <c r="ER219" s="124"/>
      <c r="ES219" s="124"/>
      <c r="EV219" s="111"/>
      <c r="EW219" s="111"/>
      <c r="EX219" s="111"/>
      <c r="EY219" s="111"/>
      <c r="EZ219" s="124"/>
      <c r="FA219" s="124"/>
      <c r="FD219" s="111"/>
      <c r="FE219" s="111"/>
      <c r="FF219" s="111"/>
      <c r="FG219" s="124"/>
      <c r="FH219" s="124"/>
      <c r="FK219" s="124"/>
      <c r="FL219" s="124"/>
      <c r="FO219" s="111">
        <v>143.84384284310741</v>
      </c>
      <c r="FP219" s="111">
        <v>200.08176115689255</v>
      </c>
      <c r="FQ219" s="124">
        <v>579.07835999999998</v>
      </c>
      <c r="FR219" s="124">
        <v>702.93678699999987</v>
      </c>
      <c r="FU219" s="111">
        <v>135.77865400000002</v>
      </c>
      <c r="FV219" s="124">
        <v>498.51093600000002</v>
      </c>
      <c r="FW219" s="124">
        <v>398.80874880000005</v>
      </c>
      <c r="FX219" s="124">
        <v>595.55439820800018</v>
      </c>
      <c r="FY219" s="124">
        <v>667.0209259929602</v>
      </c>
      <c r="GA219" s="124">
        <v>470.40740800000003</v>
      </c>
      <c r="GB219" s="124">
        <v>668.25522959999989</v>
      </c>
      <c r="GC219" s="124">
        <v>748.44585715200003</v>
      </c>
      <c r="GF219" s="111"/>
      <c r="GG219" s="111"/>
      <c r="GH219" s="111"/>
      <c r="GI219" s="124">
        <v>545.29963600000008</v>
      </c>
      <c r="GJ219" s="124">
        <v>755.16630671999997</v>
      </c>
      <c r="GK219" s="124">
        <v>845.78626352640003</v>
      </c>
      <c r="GN219" s="111"/>
      <c r="GO219" s="111"/>
      <c r="GP219" s="124">
        <v>705.61111200000005</v>
      </c>
      <c r="GQ219" s="124">
        <v>785.98942127999999</v>
      </c>
      <c r="GR219" s="124">
        <v>880.30815183360016</v>
      </c>
      <c r="GV219" s="111"/>
      <c r="GW219" s="124">
        <v>803.96355599999993</v>
      </c>
      <c r="GX219" s="124">
        <v>656.27247311999986</v>
      </c>
      <c r="GY219" s="124">
        <v>873.87860894399978</v>
      </c>
      <c r="HC219" s="124"/>
      <c r="HD219" s="124">
        <v>877.62539549999997</v>
      </c>
      <c r="HE219" s="124">
        <v>854.57135526000025</v>
      </c>
      <c r="HF219" s="124">
        <v>948.57420433860034</v>
      </c>
      <c r="HI219" s="111"/>
      <c r="HJ219" s="111"/>
      <c r="HK219" s="111"/>
      <c r="HL219" s="111"/>
      <c r="HM219" s="124">
        <v>612.22643999999991</v>
      </c>
      <c r="HN219" s="124">
        <v>679.57134840000015</v>
      </c>
      <c r="HO219" s="124">
        <v>733.93705627200018</v>
      </c>
      <c r="HR219" s="111"/>
      <c r="HS219" s="111"/>
      <c r="HT219" s="111"/>
      <c r="HU219" s="124">
        <v>612.22643999999991</v>
      </c>
      <c r="HV219" s="124">
        <v>830.58720360000007</v>
      </c>
      <c r="HW219" s="124">
        <v>917.42132034000008</v>
      </c>
      <c r="HZ219" s="111"/>
      <c r="IA219" s="124">
        <v>680.25160000000005</v>
      </c>
      <c r="IB219" s="124">
        <v>868.34116740000002</v>
      </c>
      <c r="IC219" s="124">
        <v>1019.3570226000002</v>
      </c>
      <c r="IE219" s="111"/>
      <c r="IF219" s="124">
        <v>690.12621999999988</v>
      </c>
      <c r="IG219" s="124">
        <v>952.37418359999992</v>
      </c>
      <c r="IH219" s="124">
        <v>1118.0044763999999</v>
      </c>
      <c r="IK219" s="124">
        <v>952.37418359999992</v>
      </c>
      <c r="IL219" s="124">
        <v>1118.0044763999999</v>
      </c>
      <c r="IO219" s="124">
        <v>1098.1346879999999</v>
      </c>
      <c r="IP219" s="124">
        <v>1434.8959923200002</v>
      </c>
      <c r="IS219" s="160">
        <v>155.94575</v>
      </c>
      <c r="IT219" s="160">
        <v>164.67871200000002</v>
      </c>
      <c r="IU219" s="160">
        <v>181.14658320000004</v>
      </c>
      <c r="IX219" s="124"/>
      <c r="IY219" s="124">
        <v>1131.1387359999999</v>
      </c>
      <c r="IZ219" s="124">
        <v>1583.5942303999998</v>
      </c>
      <c r="JA219" s="124">
        <v>1836.9693072639993</v>
      </c>
      <c r="JD219" s="124">
        <v>1690.878375</v>
      </c>
      <c r="JE219" s="124">
        <v>2029.05405</v>
      </c>
      <c r="JH219" s="124">
        <v>1503.0029999999999</v>
      </c>
      <c r="JI219" s="124">
        <v>1841.1786750000001</v>
      </c>
      <c r="JJ219" s="124">
        <v>2117.3554762499998</v>
      </c>
      <c r="JM219" s="124">
        <v>1718.5636902599997</v>
      </c>
      <c r="JN219" s="124">
        <v>1976.3482437989994</v>
      </c>
      <c r="JQ219" s="124">
        <v>1045.3385865000002</v>
      </c>
      <c r="JR219" s="124">
        <v>1320.8791164800002</v>
      </c>
      <c r="JS219" s="124">
        <v>1546.6293654784006</v>
      </c>
      <c r="JV219" s="124">
        <v>1308.711712</v>
      </c>
      <c r="JW219" s="124">
        <v>1532.3824409600002</v>
      </c>
      <c r="JY219" s="124">
        <v>1355.4514159999999</v>
      </c>
      <c r="JZ219" s="124">
        <v>1587.1103852799999</v>
      </c>
      <c r="KB219" s="124">
        <v>1160.5256049999998</v>
      </c>
      <c r="KC219" s="124">
        <v>1462.2622623</v>
      </c>
      <c r="KD219" s="124">
        <v>1666.9789790220002</v>
      </c>
    </row>
    <row r="220" spans="2:290" hidden="1" x14ac:dyDescent="0.25">
      <c r="B220" s="6" t="str">
        <f>B282</f>
        <v>Plastics Piping Products</v>
      </c>
      <c r="C220" s="136"/>
      <c r="D220" s="136"/>
      <c r="E220" s="136"/>
      <c r="F220" s="136"/>
      <c r="G220" s="136"/>
      <c r="H220" s="132"/>
      <c r="I220" s="158"/>
      <c r="J220" s="158"/>
      <c r="K220" s="158"/>
      <c r="L220" s="158"/>
      <c r="M220" s="132"/>
      <c r="N220" s="158"/>
      <c r="O220" s="158"/>
      <c r="P220" s="158"/>
      <c r="Q220" s="158"/>
      <c r="R220" s="132"/>
      <c r="S220" s="158"/>
      <c r="T220" s="158"/>
      <c r="U220" s="158"/>
      <c r="V220" s="158"/>
      <c r="W220" s="132">
        <v>72.78</v>
      </c>
      <c r="X220" s="158">
        <v>12.059999999999999</v>
      </c>
      <c r="Y220" s="158">
        <v>12.059999999999999</v>
      </c>
      <c r="Z220" s="158">
        <v>15.196999999999999</v>
      </c>
      <c r="AA220" s="158">
        <v>26.400000000000002</v>
      </c>
      <c r="AB220" s="132">
        <v>65.400000000000006</v>
      </c>
      <c r="AC220" s="158">
        <v>14.764679999999998</v>
      </c>
      <c r="AD220" s="158">
        <v>18.170000000000002</v>
      </c>
      <c r="AE220" s="158">
        <v>21.948</v>
      </c>
      <c r="AF220" s="158">
        <v>24.64</v>
      </c>
      <c r="AG220" s="132">
        <v>79.674480000000003</v>
      </c>
      <c r="AH220" s="158">
        <v>13.616859999999999</v>
      </c>
      <c r="AI220" s="158">
        <v>13.75</v>
      </c>
      <c r="AJ220" s="158">
        <v>24.044800000000006</v>
      </c>
      <c r="AK220" s="132">
        <v>51.411660000000005</v>
      </c>
      <c r="AL220" s="158">
        <f t="shared" ref="AL220:AX220" si="314">AL282*AL142</f>
        <v>0</v>
      </c>
      <c r="AM220" s="158">
        <f t="shared" si="314"/>
        <v>0</v>
      </c>
      <c r="AN220" s="158">
        <f t="shared" si="314"/>
        <v>0</v>
      </c>
      <c r="AO220" s="158">
        <f t="shared" si="314"/>
        <v>0</v>
      </c>
      <c r="AP220" s="132">
        <f t="shared" si="314"/>
        <v>0</v>
      </c>
      <c r="AQ220" s="158">
        <f t="shared" si="314"/>
        <v>-23.070309796404718</v>
      </c>
      <c r="AR220" s="158">
        <f t="shared" si="314"/>
        <v>32.10572752855488</v>
      </c>
      <c r="AS220" s="158">
        <f t="shared" si="314"/>
        <v>35.868470313946041</v>
      </c>
      <c r="AT220" s="158">
        <f t="shared" si="314"/>
        <v>3.1867990911089694</v>
      </c>
      <c r="AU220" s="132">
        <f t="shared" si="314"/>
        <v>84.347337151705304</v>
      </c>
      <c r="AV220" s="137">
        <f t="shared" si="314"/>
        <v>28.156657492216752</v>
      </c>
      <c r="AW220" s="137">
        <f t="shared" si="314"/>
        <v>50.761963107960376</v>
      </c>
      <c r="AX220" s="137">
        <f t="shared" si="314"/>
        <v>39.788028959411797</v>
      </c>
      <c r="AY220" s="137">
        <f>AZ220-AV220-AW220-AX220</f>
        <v>25.963083755654971</v>
      </c>
      <c r="AZ220" s="132">
        <f t="shared" si="310"/>
        <v>144.66973331524389</v>
      </c>
      <c r="BA220" s="137">
        <f t="shared" si="310"/>
        <v>38.045153413654617</v>
      </c>
      <c r="BB220" s="137">
        <f t="shared" si="310"/>
        <v>32.646592178770945</v>
      </c>
      <c r="BC220" s="137">
        <f t="shared" si="310"/>
        <v>-0.26428750062521639</v>
      </c>
      <c r="BD220" s="137">
        <f>BE220-BA220-BB220-BC220</f>
        <v>-12.746977379540608</v>
      </c>
      <c r="BE220" s="132">
        <f t="shared" si="311"/>
        <v>57.680480712259737</v>
      </c>
      <c r="BF220" s="137">
        <f t="shared" si="311"/>
        <v>-10.468080538108602</v>
      </c>
      <c r="BG220" s="137">
        <f t="shared" si="311"/>
        <v>7.9889694647082212</v>
      </c>
      <c r="BH220" s="137">
        <f t="shared" si="311"/>
        <v>92.428422911682574</v>
      </c>
      <c r="BI220" s="137">
        <f>BJ220-BF220-BG220-BH220</f>
        <v>54.529751348427382</v>
      </c>
      <c r="BJ220" s="132">
        <f t="shared" si="312"/>
        <v>144.47906318670957</v>
      </c>
      <c r="BK220" s="137">
        <f t="shared" si="312"/>
        <v>17.290604376201617</v>
      </c>
      <c r="BL220" s="137"/>
      <c r="BM220" s="137"/>
      <c r="BN220" s="137"/>
      <c r="BO220" s="132">
        <f>BO212*BO120/10000</f>
        <v>129.9888</v>
      </c>
      <c r="BP220" s="137"/>
      <c r="BQ220" s="137"/>
      <c r="BR220" s="137"/>
      <c r="BS220" s="137"/>
      <c r="BT220" s="132">
        <f>BT212*BT120/10000</f>
        <v>130.1808</v>
      </c>
      <c r="BU220" s="137"/>
      <c r="BV220" s="137"/>
      <c r="BW220" s="137"/>
      <c r="BX220" s="137"/>
      <c r="BY220" s="132">
        <f>BY212*BY120/10000</f>
        <v>146.26750000000001</v>
      </c>
      <c r="BZ220" s="137"/>
      <c r="CA220" s="137"/>
      <c r="CB220" s="137"/>
      <c r="CC220" s="137"/>
      <c r="CD220" s="132">
        <f>CD212*CD120/10000</f>
        <v>141.12110000000001</v>
      </c>
      <c r="CE220" s="137"/>
      <c r="CF220" s="137"/>
      <c r="CG220" s="137"/>
      <c r="CH220" s="137"/>
      <c r="CI220" s="132">
        <f t="shared" si="313"/>
        <v>121.116</v>
      </c>
      <c r="CJ220" s="132">
        <f t="shared" si="313"/>
        <v>133.2276</v>
      </c>
      <c r="CK220" s="132">
        <f t="shared" si="313"/>
        <v>146.55036000000001</v>
      </c>
      <c r="CL220" s="132"/>
      <c r="CM220" s="132"/>
      <c r="CN220" s="132"/>
      <c r="CO220" s="137"/>
      <c r="CP220" s="137"/>
      <c r="CQ220" s="6"/>
      <c r="CR220" s="6"/>
      <c r="CS220" s="6"/>
      <c r="CT220" s="124"/>
      <c r="CU220" s="124"/>
      <c r="CV220" s="124"/>
      <c r="CW220" s="124"/>
      <c r="CX220" s="124"/>
      <c r="CY220" s="124"/>
      <c r="CZ220" s="124"/>
      <c r="DA220" s="124"/>
      <c r="DB220" s="124"/>
      <c r="DC220" s="124"/>
      <c r="DD220" s="124"/>
      <c r="DE220" s="124"/>
      <c r="DF220" s="124"/>
      <c r="DG220" s="124"/>
      <c r="DH220" s="124"/>
      <c r="DI220" s="124"/>
      <c r="DK220" s="124"/>
      <c r="DL220" s="124"/>
      <c r="DM220" s="6"/>
      <c r="DN220" s="124"/>
      <c r="DO220" s="124"/>
      <c r="DQ220" s="136"/>
      <c r="DR220" s="124"/>
      <c r="DS220" s="124"/>
      <c r="DT220" s="124"/>
      <c r="DV220" s="124"/>
      <c r="DW220" s="124"/>
      <c r="DX220" s="124"/>
      <c r="EA220" s="111"/>
      <c r="EB220" s="111"/>
      <c r="EC220" s="111"/>
      <c r="ED220" s="124"/>
      <c r="EE220" s="124"/>
      <c r="EF220" s="124"/>
      <c r="EJ220" s="111">
        <v>0.13870242405762859</v>
      </c>
      <c r="EK220" s="111"/>
      <c r="EL220" s="124"/>
      <c r="EM220" s="124"/>
      <c r="EN220" s="124"/>
      <c r="EP220" s="111"/>
      <c r="EQ220" s="124"/>
      <c r="ER220" s="124"/>
      <c r="ES220" s="124"/>
      <c r="EV220" s="111"/>
      <c r="EW220" s="111"/>
      <c r="EX220" s="111"/>
      <c r="EY220" s="111"/>
      <c r="EZ220" s="124"/>
      <c r="FA220" s="124"/>
      <c r="FD220" s="111"/>
      <c r="FE220" s="111"/>
      <c r="FF220" s="111"/>
      <c r="FG220" s="124"/>
      <c r="FH220" s="124"/>
      <c r="FK220" s="124"/>
      <c r="FL220" s="124"/>
      <c r="FO220" s="111">
        <v>15.667483248166382</v>
      </c>
      <c r="FP220" s="111">
        <v>23.328358751833626</v>
      </c>
      <c r="FQ220" s="124">
        <v>65.877840000000006</v>
      </c>
      <c r="FR220" s="124">
        <v>81.523827000000011</v>
      </c>
      <c r="FU220" s="111">
        <v>18.124264000000014</v>
      </c>
      <c r="FV220" s="124">
        <v>61.930398000000011</v>
      </c>
      <c r="FW220" s="124">
        <v>45.774642</v>
      </c>
      <c r="FX220" s="124">
        <v>67.975343370000004</v>
      </c>
      <c r="FY220" s="124">
        <v>74.772877707000006</v>
      </c>
      <c r="GA220" s="124">
        <v>52.38006</v>
      </c>
      <c r="GB220" s="124">
        <v>76.824088000000003</v>
      </c>
      <c r="GC220" s="124">
        <v>84.506496800000008</v>
      </c>
      <c r="GF220" s="111"/>
      <c r="GG220" s="111"/>
      <c r="GH220" s="111"/>
      <c r="GI220" s="124">
        <v>55.461240000000004</v>
      </c>
      <c r="GJ220" s="124">
        <v>81.343152000000018</v>
      </c>
      <c r="GK220" s="124">
        <v>89.477467200000021</v>
      </c>
      <c r="GN220" s="111"/>
      <c r="GO220" s="111"/>
      <c r="GP220" s="124">
        <v>79.699855999999997</v>
      </c>
      <c r="GQ220" s="124">
        <v>87.669841599999998</v>
      </c>
      <c r="GR220" s="124">
        <v>96.436825760000005</v>
      </c>
      <c r="GV220" s="111"/>
      <c r="GW220" s="124">
        <v>118.62543000000001</v>
      </c>
      <c r="GX220" s="124">
        <v>106.76288700000001</v>
      </c>
      <c r="GY220" s="124">
        <v>136.41924450000002</v>
      </c>
      <c r="HC220" s="124"/>
      <c r="HD220" s="124">
        <v>138.17916</v>
      </c>
      <c r="HE220" s="124">
        <v>163.05140879999999</v>
      </c>
      <c r="HF220" s="124">
        <v>179.35654968000003</v>
      </c>
      <c r="HI220" s="111"/>
      <c r="HJ220" s="111"/>
      <c r="HK220" s="111"/>
      <c r="HL220" s="111"/>
      <c r="HM220" s="124">
        <v>151.928304</v>
      </c>
      <c r="HN220" s="124">
        <v>167.12113440000002</v>
      </c>
      <c r="HO220" s="124">
        <v>183.83324784000004</v>
      </c>
      <c r="HR220" s="111"/>
      <c r="HS220" s="111"/>
      <c r="HT220" s="111"/>
      <c r="HU220" s="124">
        <v>151.928304</v>
      </c>
      <c r="HV220" s="124">
        <v>167.12113440000002</v>
      </c>
      <c r="HW220" s="124">
        <v>183.83324784000004</v>
      </c>
      <c r="HZ220" s="111"/>
      <c r="IA220" s="124">
        <v>153.38678399999998</v>
      </c>
      <c r="IB220" s="124">
        <v>168.72546239999997</v>
      </c>
      <c r="IC220" s="124">
        <v>185.59800864000005</v>
      </c>
      <c r="IE220" s="111"/>
      <c r="IF220" s="124">
        <v>136.48824000000002</v>
      </c>
      <c r="IG220" s="124">
        <v>150.13706400000001</v>
      </c>
      <c r="IH220" s="124">
        <v>165.15077040000003</v>
      </c>
      <c r="IK220" s="124">
        <v>150.13706400000001</v>
      </c>
      <c r="IL220" s="124">
        <v>165.15077040000003</v>
      </c>
      <c r="IO220" s="124">
        <v>161.36994999999999</v>
      </c>
      <c r="IP220" s="124">
        <v>170.40666720000002</v>
      </c>
      <c r="IS220" s="160">
        <v>197.39807999999999</v>
      </c>
      <c r="IT220" s="160">
        <v>217.13788800000003</v>
      </c>
      <c r="IU220" s="160">
        <v>238.85167680000006</v>
      </c>
      <c r="IX220" s="124"/>
      <c r="IY220" s="124">
        <v>155.94575</v>
      </c>
      <c r="IZ220" s="124">
        <v>164.67871200000002</v>
      </c>
      <c r="JA220" s="124">
        <v>181.14658320000004</v>
      </c>
      <c r="JD220" s="124">
        <v>148.02271000000002</v>
      </c>
      <c r="JE220" s="124">
        <v>168.74588940000007</v>
      </c>
      <c r="JH220" s="124">
        <v>143.985727</v>
      </c>
      <c r="JI220" s="124">
        <v>164.14372878000006</v>
      </c>
      <c r="JJ220" s="124">
        <v>183.84097623360009</v>
      </c>
      <c r="JM220" s="124">
        <v>174.88210356000005</v>
      </c>
      <c r="JN220" s="124">
        <v>195.86795598720011</v>
      </c>
      <c r="JQ220" s="124">
        <v>148.02271000000002</v>
      </c>
      <c r="JR220" s="124">
        <v>168.74588940000007</v>
      </c>
      <c r="JS220" s="124">
        <v>188.99539612800007</v>
      </c>
      <c r="JV220" s="124">
        <v>160.87805400000002</v>
      </c>
      <c r="JW220" s="124">
        <v>180.18342048000002</v>
      </c>
      <c r="JY220" s="124">
        <v>160.87805400000002</v>
      </c>
      <c r="JZ220" s="124">
        <v>180.18342048000002</v>
      </c>
      <c r="KB220" s="124">
        <v>122.40721500000001</v>
      </c>
      <c r="KC220" s="124">
        <v>141.73467000000002</v>
      </c>
      <c r="KD220" s="124">
        <v>155.90813700000001</v>
      </c>
    </row>
    <row r="221" spans="2:290" hidden="1" x14ac:dyDescent="0.25">
      <c r="B221" s="6" t="str">
        <f>B283</f>
        <v>Industrial Products</v>
      </c>
      <c r="C221" s="136"/>
      <c r="D221" s="136"/>
      <c r="E221" s="136"/>
      <c r="F221" s="136"/>
      <c r="G221" s="136"/>
      <c r="H221" s="132"/>
      <c r="I221" s="158"/>
      <c r="J221" s="158"/>
      <c r="K221" s="158"/>
      <c r="L221" s="158"/>
      <c r="M221" s="132"/>
      <c r="N221" s="158"/>
      <c r="O221" s="158"/>
      <c r="P221" s="158"/>
      <c r="Q221" s="158"/>
      <c r="R221" s="132"/>
      <c r="S221" s="158"/>
      <c r="T221" s="158"/>
      <c r="U221" s="158"/>
      <c r="V221" s="158"/>
      <c r="W221" s="132">
        <v>140</v>
      </c>
      <c r="X221" s="158">
        <v>20.253</v>
      </c>
      <c r="Y221" s="158">
        <v>43.295999999999999</v>
      </c>
      <c r="Z221" s="158">
        <v>30.38</v>
      </c>
      <c r="AA221" s="158">
        <v>54.97</v>
      </c>
      <c r="AB221" s="132">
        <v>149.04</v>
      </c>
      <c r="AC221" s="158">
        <v>20.877470000000002</v>
      </c>
      <c r="AD221" s="158">
        <v>39.515999999999998</v>
      </c>
      <c r="AE221" s="158">
        <v>35.154000000000003</v>
      </c>
      <c r="AF221" s="158">
        <v>72.63000000000001</v>
      </c>
      <c r="AG221" s="132">
        <v>167.87608</v>
      </c>
      <c r="AH221" s="158">
        <v>24.564399999999999</v>
      </c>
      <c r="AI221" s="158">
        <v>64.539000000000001</v>
      </c>
      <c r="AJ221" s="158">
        <v>57.519800000000004</v>
      </c>
      <c r="AK221" s="132">
        <v>146.6232</v>
      </c>
      <c r="AL221" s="158">
        <f t="shared" ref="AL221:AX221" si="315">AL283*AL143</f>
        <v>0</v>
      </c>
      <c r="AM221" s="158">
        <f t="shared" si="315"/>
        <v>0</v>
      </c>
      <c r="AN221" s="158">
        <f t="shared" si="315"/>
        <v>0</v>
      </c>
      <c r="AO221" s="158">
        <f t="shared" si="315"/>
        <v>0</v>
      </c>
      <c r="AP221" s="132">
        <f t="shared" si="315"/>
        <v>0</v>
      </c>
      <c r="AQ221" s="158">
        <f t="shared" si="315"/>
        <v>-9.1931180555555585</v>
      </c>
      <c r="AR221" s="158">
        <f t="shared" si="315"/>
        <v>37.680017130892658</v>
      </c>
      <c r="AS221" s="158">
        <f t="shared" si="315"/>
        <v>91.337118451785145</v>
      </c>
      <c r="AT221" s="158">
        <f t="shared" si="315"/>
        <v>89.177822035252149</v>
      </c>
      <c r="AU221" s="132">
        <f t="shared" si="315"/>
        <v>287.1168125370549</v>
      </c>
      <c r="AV221" s="137">
        <f t="shared" si="315"/>
        <v>96.850469540091495</v>
      </c>
      <c r="AW221" s="137">
        <f t="shared" si="315"/>
        <v>77.614606911447112</v>
      </c>
      <c r="AX221" s="137">
        <f t="shared" si="315"/>
        <v>9.9380895553364663</v>
      </c>
      <c r="AY221" s="137">
        <f>AZ221-AV221-AW221-AX221</f>
        <v>-73.416831752489685</v>
      </c>
      <c r="AZ221" s="132">
        <f t="shared" si="310"/>
        <v>110.98633425438538</v>
      </c>
      <c r="BA221" s="137">
        <f t="shared" si="310"/>
        <v>-42.722242982456166</v>
      </c>
      <c r="BB221" s="137">
        <f t="shared" si="310"/>
        <v>-66.382729345177268</v>
      </c>
      <c r="BC221" s="137">
        <f t="shared" si="310"/>
        <v>-65.783777956475831</v>
      </c>
      <c r="BD221" s="137">
        <f>BE221-BA221-BB221-BC221</f>
        <v>-54.696536382557383</v>
      </c>
      <c r="BE221" s="132">
        <f t="shared" si="311"/>
        <v>-229.58528666666663</v>
      </c>
      <c r="BF221" s="137">
        <f t="shared" si="311"/>
        <v>-117.34831934558588</v>
      </c>
      <c r="BG221" s="137">
        <f t="shared" si="311"/>
        <v>16.055730337078668</v>
      </c>
      <c r="BH221" s="137">
        <f t="shared" si="311"/>
        <v>120.73275421563613</v>
      </c>
      <c r="BI221" s="137">
        <f>BJ221-BF221-BG221-BH221</f>
        <v>115.75617728161859</v>
      </c>
      <c r="BJ221" s="132">
        <f t="shared" si="312"/>
        <v>135.19634248874752</v>
      </c>
      <c r="BK221" s="137">
        <f t="shared" si="312"/>
        <v>444.89297956867193</v>
      </c>
      <c r="BL221" s="137"/>
      <c r="BM221" s="137"/>
      <c r="BN221" s="137"/>
      <c r="BO221" s="132">
        <f>BO213*BO121/10000</f>
        <v>158.499</v>
      </c>
      <c r="BP221" s="137"/>
      <c r="BQ221" s="137"/>
      <c r="BR221" s="137"/>
      <c r="BS221" s="137"/>
      <c r="BT221" s="132">
        <f>BT213*BT121/10000</f>
        <v>182.77600000000001</v>
      </c>
      <c r="BU221" s="137"/>
      <c r="BV221" s="137"/>
      <c r="BW221" s="137"/>
      <c r="BX221" s="137"/>
      <c r="BY221" s="132">
        <f>BY213*BY121/10000</f>
        <v>192.0016</v>
      </c>
      <c r="BZ221" s="137"/>
      <c r="CA221" s="137"/>
      <c r="CB221" s="137"/>
      <c r="CC221" s="137"/>
      <c r="CD221" s="132">
        <f>CD213*CD121/10000</f>
        <v>199.2432</v>
      </c>
      <c r="CE221" s="137"/>
      <c r="CF221" s="137"/>
      <c r="CG221" s="137"/>
      <c r="CH221" s="137"/>
      <c r="CI221" s="132">
        <f t="shared" si="313"/>
        <v>215.5104</v>
      </c>
      <c r="CJ221" s="132">
        <f t="shared" si="313"/>
        <v>230.59612800000002</v>
      </c>
      <c r="CK221" s="132">
        <f t="shared" si="313"/>
        <v>246.73785696000004</v>
      </c>
      <c r="CL221" s="132"/>
      <c r="CM221" s="132"/>
      <c r="CN221" s="132"/>
      <c r="CO221" s="137"/>
      <c r="CP221" s="137"/>
      <c r="CQ221" s="6"/>
      <c r="CR221" s="6"/>
      <c r="CS221" s="6"/>
      <c r="CT221" s="124"/>
      <c r="CU221" s="124"/>
      <c r="CV221" s="124"/>
      <c r="CW221" s="124"/>
      <c r="CX221" s="124"/>
      <c r="CY221" s="124"/>
      <c r="CZ221" s="124"/>
      <c r="DA221" s="124"/>
      <c r="DB221" s="124"/>
      <c r="DC221" s="124"/>
      <c r="DD221" s="124"/>
      <c r="DE221" s="124"/>
      <c r="DF221" s="124"/>
      <c r="DG221" s="124"/>
      <c r="DH221" s="124"/>
      <c r="DI221" s="124"/>
      <c r="DK221" s="124"/>
      <c r="DL221" s="124"/>
      <c r="DM221" s="6"/>
      <c r="DN221" s="124"/>
      <c r="DO221" s="124"/>
      <c r="DQ221" s="136"/>
      <c r="DR221" s="124"/>
      <c r="DS221" s="124"/>
      <c r="DT221" s="124"/>
      <c r="DV221" s="124"/>
      <c r="DW221" s="124"/>
      <c r="DX221" s="124"/>
      <c r="EA221" s="111"/>
      <c r="EB221" s="111"/>
      <c r="EC221" s="111"/>
      <c r="ED221" s="124"/>
      <c r="EE221" s="124"/>
      <c r="EF221" s="124"/>
      <c r="EJ221" s="111">
        <v>0.26438017303807615</v>
      </c>
      <c r="EK221" s="111"/>
      <c r="EL221" s="124"/>
      <c r="EM221" s="124"/>
      <c r="EN221" s="124"/>
      <c r="EP221" s="111">
        <v>0.24776801402269535</v>
      </c>
      <c r="EQ221" s="124"/>
      <c r="ER221" s="124"/>
      <c r="ES221" s="124"/>
      <c r="EV221" s="111">
        <v>0.24849984707701717</v>
      </c>
      <c r="EW221" s="111">
        <v>0.1858276629909508</v>
      </c>
      <c r="EX221" s="111">
        <v>0.24704286498020556</v>
      </c>
      <c r="EY221" s="111">
        <v>0.19400370168859873</v>
      </c>
      <c r="EZ221" s="124">
        <v>0.21823493251452225</v>
      </c>
      <c r="FA221" s="124"/>
      <c r="FD221" s="111">
        <v>0.1858276629909508</v>
      </c>
      <c r="FE221" s="111">
        <v>0.24704286498020556</v>
      </c>
      <c r="FF221" s="111">
        <v>0.19400370168859873</v>
      </c>
      <c r="FG221" s="124">
        <v>0.21823493251452225</v>
      </c>
      <c r="FH221" s="124"/>
      <c r="FK221" s="124">
        <v>0.21823493251452225</v>
      </c>
      <c r="FL221" s="124"/>
      <c r="FO221" s="111">
        <v>17.519241260621943</v>
      </c>
      <c r="FP221" s="111">
        <v>22.508529739378059</v>
      </c>
      <c r="FQ221" s="124">
        <v>84.593699999999998</v>
      </c>
      <c r="FR221" s="124">
        <v>90.515259000000015</v>
      </c>
      <c r="FU221" s="111">
        <v>34.636637000000022</v>
      </c>
      <c r="FV221" s="124">
        <v>133.212816</v>
      </c>
      <c r="FW221" s="124">
        <v>86.588330400000004</v>
      </c>
      <c r="FX221" s="124">
        <v>92.649513528</v>
      </c>
      <c r="FY221" s="124">
        <v>99.134979474960005</v>
      </c>
      <c r="GA221" s="124">
        <v>86.502079999999992</v>
      </c>
      <c r="GB221" s="124">
        <v>86.772398999999993</v>
      </c>
      <c r="GC221" s="124">
        <v>99.036231392000005</v>
      </c>
      <c r="GF221" s="111"/>
      <c r="GG221" s="111"/>
      <c r="GH221" s="111"/>
      <c r="GI221" s="124">
        <v>92.680800000000005</v>
      </c>
      <c r="GJ221" s="124">
        <v>92.9704275</v>
      </c>
      <c r="GK221" s="124">
        <v>106.11024792000002</v>
      </c>
      <c r="GN221" s="111"/>
      <c r="GO221" s="111"/>
      <c r="GP221" s="124">
        <v>111.21696000000001</v>
      </c>
      <c r="GQ221" s="124">
        <v>111.56451300000001</v>
      </c>
      <c r="GR221" s="124">
        <v>127.33229750400001</v>
      </c>
      <c r="GV221" s="111"/>
      <c r="GW221" s="124">
        <v>139.17566800000003</v>
      </c>
      <c r="GX221" s="124">
        <v>151.29213792000004</v>
      </c>
      <c r="GY221" s="124">
        <v>179.25826038400001</v>
      </c>
      <c r="HC221" s="124"/>
      <c r="HD221" s="124">
        <v>157.30654499999997</v>
      </c>
      <c r="HE221" s="124">
        <v>169.93873724999995</v>
      </c>
      <c r="HF221" s="124">
        <v>186.93261097499999</v>
      </c>
      <c r="HI221" s="111"/>
      <c r="HJ221" s="111"/>
      <c r="HK221" s="111"/>
      <c r="HL221" s="111"/>
      <c r="HM221" s="124">
        <v>173.06292499999998</v>
      </c>
      <c r="HN221" s="124">
        <v>190.36921749999999</v>
      </c>
      <c r="HO221" s="124">
        <v>209.40613925000002</v>
      </c>
      <c r="HR221" s="111"/>
      <c r="HS221" s="111"/>
      <c r="HT221" s="111"/>
      <c r="HU221" s="124">
        <v>173.06292499999998</v>
      </c>
      <c r="HV221" s="124">
        <v>190.36921749999999</v>
      </c>
      <c r="HW221" s="124">
        <v>209.40613925000002</v>
      </c>
      <c r="HZ221" s="111"/>
      <c r="IA221" s="124">
        <v>171.22694999999999</v>
      </c>
      <c r="IB221" s="124">
        <v>188.34964500000001</v>
      </c>
      <c r="IC221" s="124">
        <v>207.18460949999997</v>
      </c>
      <c r="IE221" s="111"/>
      <c r="IF221" s="124">
        <v>178.67160000000001</v>
      </c>
      <c r="IG221" s="124">
        <v>196.53876</v>
      </c>
      <c r="IH221" s="124">
        <v>216.19263600000002</v>
      </c>
      <c r="IK221" s="124">
        <v>196.53876</v>
      </c>
      <c r="IL221" s="124">
        <v>216.19263600000002</v>
      </c>
      <c r="IO221" s="124">
        <v>201.05360000000002</v>
      </c>
      <c r="IP221" s="124">
        <v>221.15896000000006</v>
      </c>
      <c r="IS221" s="160">
        <v>70.967663999999999</v>
      </c>
      <c r="IT221" s="160">
        <v>78.064430400000006</v>
      </c>
      <c r="IU221" s="160">
        <v>85.870873440000025</v>
      </c>
      <c r="IX221" s="124"/>
      <c r="IY221" s="124">
        <v>197.39807999999999</v>
      </c>
      <c r="IZ221" s="124">
        <v>217.13788800000003</v>
      </c>
      <c r="JA221" s="124">
        <v>238.85167680000006</v>
      </c>
      <c r="JD221" s="124">
        <v>211.20176000000001</v>
      </c>
      <c r="JE221" s="124">
        <v>236.54597120000003</v>
      </c>
      <c r="JH221" s="124">
        <v>205.44171200000002</v>
      </c>
      <c r="JI221" s="124">
        <v>230.09471744000004</v>
      </c>
      <c r="JJ221" s="124">
        <v>257.70608353280011</v>
      </c>
      <c r="JM221" s="124">
        <v>230.09471744000004</v>
      </c>
      <c r="JN221" s="124">
        <v>257.70608353280011</v>
      </c>
      <c r="JQ221" s="124">
        <v>199.68166400000001</v>
      </c>
      <c r="JR221" s="124">
        <v>219.64983040000004</v>
      </c>
      <c r="JS221" s="124">
        <v>241.61481344000009</v>
      </c>
      <c r="JV221" s="124">
        <v>219.16752000000002</v>
      </c>
      <c r="JW221" s="124">
        <v>241.08427200000006</v>
      </c>
      <c r="JY221" s="124">
        <v>219.16752000000002</v>
      </c>
      <c r="JZ221" s="124">
        <v>241.08427200000006</v>
      </c>
      <c r="KB221" s="124">
        <v>160.68</v>
      </c>
      <c r="KC221" s="124">
        <v>192.55891200000002</v>
      </c>
      <c r="KD221" s="124">
        <v>206.03803584000002</v>
      </c>
    </row>
    <row r="222" spans="2:290" hidden="1" x14ac:dyDescent="0.25">
      <c r="B222" s="6" t="str">
        <f>B284</f>
        <v>Packaging Products</v>
      </c>
      <c r="C222" s="136"/>
      <c r="D222" s="136"/>
      <c r="E222" s="136"/>
      <c r="F222" s="136"/>
      <c r="G222" s="136"/>
      <c r="H222" s="132"/>
      <c r="I222" s="158"/>
      <c r="J222" s="158"/>
      <c r="K222" s="158"/>
      <c r="L222" s="158"/>
      <c r="M222" s="132"/>
      <c r="N222" s="158"/>
      <c r="O222" s="158"/>
      <c r="P222" s="158"/>
      <c r="Q222" s="158"/>
      <c r="R222" s="132"/>
      <c r="S222" s="158"/>
      <c r="T222" s="158"/>
      <c r="U222" s="158"/>
      <c r="V222" s="158"/>
      <c r="W222" s="132">
        <v>34.248799999999996</v>
      </c>
      <c r="X222" s="158">
        <v>2.016</v>
      </c>
      <c r="Y222" s="158">
        <v>4.7600000000000007</v>
      </c>
      <c r="Z222" s="158">
        <v>5.5439999999999996</v>
      </c>
      <c r="AA222" s="158">
        <v>12.246</v>
      </c>
      <c r="AB222" s="132">
        <v>24.642999999999997</v>
      </c>
      <c r="AC222" s="158">
        <v>4.04</v>
      </c>
      <c r="AD222" s="158">
        <v>6.0720000000000001</v>
      </c>
      <c r="AE222" s="158">
        <v>12.555999999999999</v>
      </c>
      <c r="AF222" s="158">
        <v>18.059999999999999</v>
      </c>
      <c r="AG222" s="132">
        <v>40.4985</v>
      </c>
      <c r="AH222" s="158">
        <v>6.5083200000000003</v>
      </c>
      <c r="AI222" s="158">
        <v>12.062000000000001</v>
      </c>
      <c r="AJ222" s="158">
        <v>17.906700000000004</v>
      </c>
      <c r="AK222" s="132">
        <v>36.47702000000001</v>
      </c>
      <c r="AL222" s="158">
        <f t="shared" ref="AL222:AX222" si="316">AL284*AL144</f>
        <v>0</v>
      </c>
      <c r="AM222" s="158">
        <f t="shared" si="316"/>
        <v>0</v>
      </c>
      <c r="AN222" s="158">
        <f t="shared" si="316"/>
        <v>0</v>
      </c>
      <c r="AO222" s="158">
        <f t="shared" si="316"/>
        <v>0</v>
      </c>
      <c r="AP222" s="132">
        <f t="shared" si="316"/>
        <v>0</v>
      </c>
      <c r="AQ222" s="158">
        <f t="shared" si="316"/>
        <v>-12.316611523103251</v>
      </c>
      <c r="AR222" s="158">
        <f t="shared" si="316"/>
        <v>27.13675368550367</v>
      </c>
      <c r="AS222" s="158">
        <f t="shared" si="316"/>
        <v>2.5291348723397378</v>
      </c>
      <c r="AT222" s="158">
        <f t="shared" si="316"/>
        <v>-13.030211960901102</v>
      </c>
      <c r="AU222" s="132">
        <f t="shared" si="316"/>
        <v>13.737653221368459</v>
      </c>
      <c r="AV222" s="137">
        <f t="shared" si="316"/>
        <v>9.3309785122576816</v>
      </c>
      <c r="AW222" s="137">
        <f t="shared" si="316"/>
        <v>-3.2740139372822266</v>
      </c>
      <c r="AX222" s="137">
        <f t="shared" si="316"/>
        <v>-4.1510698956734222</v>
      </c>
      <c r="AY222" s="137">
        <f>AZ222-AV222-AW222-AX222</f>
        <v>6.867894528018633</v>
      </c>
      <c r="AZ222" s="132">
        <f t="shared" si="310"/>
        <v>8.7737892073206663</v>
      </c>
      <c r="BA222" s="137">
        <f t="shared" si="310"/>
        <v>-5.576304999999997</v>
      </c>
      <c r="BB222" s="137">
        <f t="shared" si="310"/>
        <v>-4.035312530097273</v>
      </c>
      <c r="BC222" s="137">
        <f t="shared" si="310"/>
        <v>0.57222348916761279</v>
      </c>
      <c r="BD222" s="137">
        <f>BE222-BA222-BB222-BC222</f>
        <v>-21.384920738340941</v>
      </c>
      <c r="BE222" s="132">
        <f t="shared" si="311"/>
        <v>-30.424314779270599</v>
      </c>
      <c r="BF222" s="137">
        <f t="shared" si="311"/>
        <v>-6.573048835216845</v>
      </c>
      <c r="BG222" s="137">
        <f t="shared" si="311"/>
        <v>9.4515700934579581</v>
      </c>
      <c r="BH222" s="137">
        <f t="shared" si="311"/>
        <v>3.5521174221559733</v>
      </c>
      <c r="BI222" s="137">
        <f>BJ222-BF222-BG222-BH222</f>
        <v>21.554783463524814</v>
      </c>
      <c r="BJ222" s="132">
        <f t="shared" si="312"/>
        <v>27.985422143921902</v>
      </c>
      <c r="BK222" s="137">
        <f t="shared" si="312"/>
        <v>14.612665138348357</v>
      </c>
      <c r="BL222" s="137"/>
      <c r="BM222" s="137"/>
      <c r="BN222" s="137"/>
      <c r="BO222" s="132">
        <f>BO214*BO122/10000</f>
        <v>55.744</v>
      </c>
      <c r="BP222" s="137"/>
      <c r="BQ222" s="137"/>
      <c r="BR222" s="137"/>
      <c r="BS222" s="137"/>
      <c r="BT222" s="132">
        <f>BT214*BT122/10000</f>
        <v>65.710800000000006</v>
      </c>
      <c r="BU222" s="137"/>
      <c r="BV222" s="137"/>
      <c r="BW222" s="137"/>
      <c r="BX222" s="137"/>
      <c r="BY222" s="132">
        <f>BY214*BY122/10000</f>
        <v>65.725200000000001</v>
      </c>
      <c r="BZ222" s="137"/>
      <c r="CA222" s="137"/>
      <c r="CB222" s="137"/>
      <c r="CC222" s="137"/>
      <c r="CD222" s="132">
        <f>CD214*CD122/10000</f>
        <v>62.118000000000002</v>
      </c>
      <c r="CE222" s="137"/>
      <c r="CF222" s="137"/>
      <c r="CG222" s="137"/>
      <c r="CH222" s="137"/>
      <c r="CI222" s="132">
        <f t="shared" si="313"/>
        <v>64.795500000000004</v>
      </c>
      <c r="CJ222" s="132">
        <f t="shared" si="313"/>
        <v>69.331184999999991</v>
      </c>
      <c r="CK222" s="132">
        <f t="shared" si="313"/>
        <v>74.184367949999995</v>
      </c>
      <c r="CL222" s="132"/>
      <c r="CM222" s="132"/>
      <c r="CN222" s="132"/>
      <c r="CO222" s="137"/>
      <c r="CP222" s="137"/>
      <c r="CQ222" s="6"/>
      <c r="CR222" s="6"/>
      <c r="CS222" s="6"/>
      <c r="CT222" s="124"/>
      <c r="CU222" s="124"/>
      <c r="CV222" s="124"/>
      <c r="CW222" s="124"/>
      <c r="CX222" s="124"/>
      <c r="CY222" s="124"/>
      <c r="CZ222" s="124"/>
      <c r="DA222" s="124"/>
      <c r="DB222" s="124"/>
      <c r="DC222" s="124"/>
      <c r="DD222" s="124"/>
      <c r="DE222" s="124"/>
      <c r="DF222" s="124"/>
      <c r="DG222" s="124"/>
      <c r="DH222" s="124"/>
      <c r="DI222" s="124"/>
      <c r="DK222" s="124"/>
      <c r="DL222" s="124"/>
      <c r="DM222" s="6"/>
      <c r="DN222" s="124"/>
      <c r="DO222" s="124"/>
      <c r="DQ222" s="136"/>
      <c r="DR222" s="124"/>
      <c r="DS222" s="124"/>
      <c r="DT222" s="124"/>
      <c r="DV222" s="124"/>
      <c r="DW222" s="124"/>
      <c r="DX222" s="124"/>
      <c r="EA222" s="111"/>
      <c r="EB222" s="111"/>
      <c r="EC222" s="111"/>
      <c r="ED222" s="124"/>
      <c r="EE222" s="124"/>
      <c r="EF222" s="124"/>
      <c r="EJ222" s="111">
        <v>9.184331287875902E-2</v>
      </c>
      <c r="EK222" s="111"/>
      <c r="EL222" s="124"/>
      <c r="EM222" s="124"/>
      <c r="EN222" s="124"/>
      <c r="EP222" s="111">
        <v>9.4141928620216794E-2</v>
      </c>
      <c r="EQ222" s="124"/>
      <c r="ER222" s="124"/>
      <c r="ES222" s="124"/>
      <c r="EV222" s="111"/>
      <c r="EW222" s="111"/>
      <c r="EX222" s="111"/>
      <c r="EY222" s="111"/>
      <c r="EZ222" s="124"/>
      <c r="FA222" s="124"/>
      <c r="FD222" s="111"/>
      <c r="FE222" s="111"/>
      <c r="FF222" s="111"/>
      <c r="FG222" s="124"/>
      <c r="FH222" s="124"/>
      <c r="FK222" s="124"/>
      <c r="FL222" s="124"/>
      <c r="FO222" s="111">
        <v>18.132124578643271</v>
      </c>
      <c r="FP222" s="111">
        <v>19.258319421356738</v>
      </c>
      <c r="FQ222" s="124">
        <v>68.419604000000007</v>
      </c>
      <c r="FR222" s="124">
        <v>73.893172320000005</v>
      </c>
      <c r="FU222" s="111">
        <v>12.214580000000005</v>
      </c>
      <c r="FV222" s="124">
        <v>62.355480000000007</v>
      </c>
      <c r="FW222" s="124">
        <v>43.233132800000007</v>
      </c>
      <c r="FX222" s="124">
        <v>55.670972544000008</v>
      </c>
      <c r="FY222" s="124">
        <v>60.124650347520003</v>
      </c>
      <c r="GA222" s="124">
        <v>27.012699999999999</v>
      </c>
      <c r="GB222" s="124">
        <v>49.595317200000011</v>
      </c>
      <c r="GC222" s="124">
        <v>48.836800584000002</v>
      </c>
      <c r="GF222" s="111"/>
      <c r="GG222" s="111"/>
      <c r="GH222" s="111"/>
      <c r="GI222" s="124">
        <v>37.402200000000008</v>
      </c>
      <c r="GJ222" s="124">
        <v>68.670439200000004</v>
      </c>
      <c r="GK222" s="124">
        <v>67.620185423999999</v>
      </c>
      <c r="GN222" s="111"/>
      <c r="GO222" s="111"/>
      <c r="GP222" s="124">
        <v>49.350124999999998</v>
      </c>
      <c r="GQ222" s="124">
        <v>72.485463600000003</v>
      </c>
      <c r="GR222" s="124">
        <v>71.376862392000007</v>
      </c>
      <c r="GV222" s="111"/>
      <c r="GW222" s="124">
        <v>59.220149999999997</v>
      </c>
      <c r="GX222" s="124">
        <v>68.221612800000003</v>
      </c>
      <c r="GY222" s="124">
        <v>75.981821256000003</v>
      </c>
      <c r="HC222" s="124"/>
      <c r="HD222" s="124">
        <v>62.052480000000003</v>
      </c>
      <c r="HE222" s="124">
        <v>75.393763200000009</v>
      </c>
      <c r="HF222" s="124">
        <v>82.933139520000026</v>
      </c>
      <c r="HI222" s="111"/>
      <c r="HJ222" s="111"/>
      <c r="HK222" s="111"/>
      <c r="HL222" s="111"/>
      <c r="HM222" s="124">
        <v>67.728960000000015</v>
      </c>
      <c r="HN222" s="124">
        <v>74.501856000000004</v>
      </c>
      <c r="HO222" s="124">
        <v>81.952041600000015</v>
      </c>
      <c r="HR222" s="111"/>
      <c r="HS222" s="111"/>
      <c r="HT222" s="111"/>
      <c r="HU222" s="124">
        <v>67.728960000000015</v>
      </c>
      <c r="HV222" s="124">
        <v>74.501856000000004</v>
      </c>
      <c r="HW222" s="124">
        <v>81.952041600000015</v>
      </c>
      <c r="HZ222" s="111"/>
      <c r="IA222" s="124">
        <v>67.728960000000015</v>
      </c>
      <c r="IB222" s="124">
        <v>74.501856000000004</v>
      </c>
      <c r="IC222" s="124">
        <v>81.952041600000015</v>
      </c>
      <c r="IE222" s="111"/>
      <c r="IF222" s="124">
        <v>65.8476</v>
      </c>
      <c r="IG222" s="124">
        <v>72.432360000000003</v>
      </c>
      <c r="IH222" s="124">
        <v>79.675596000000013</v>
      </c>
      <c r="IK222" s="124">
        <v>72.432360000000003</v>
      </c>
      <c r="IL222" s="124">
        <v>79.675596000000013</v>
      </c>
      <c r="IO222" s="124">
        <v>70.967663999999999</v>
      </c>
      <c r="IP222" s="124">
        <v>78.064430400000006</v>
      </c>
      <c r="IS222" s="160">
        <v>1535.9478379999998</v>
      </c>
      <c r="IT222" s="160">
        <v>1964.2955492799997</v>
      </c>
      <c r="IU222" s="160">
        <v>2250.9899753407999</v>
      </c>
      <c r="IX222" s="124"/>
      <c r="IY222" s="124">
        <v>70.967663999999999</v>
      </c>
      <c r="IZ222" s="124">
        <v>78.064430400000006</v>
      </c>
      <c r="JA222" s="124">
        <v>85.870873440000025</v>
      </c>
      <c r="JD222" s="124">
        <v>70.289450000000002</v>
      </c>
      <c r="JE222" s="124">
        <v>80.973446400000014</v>
      </c>
      <c r="JH222" s="124">
        <v>68.372465000000005</v>
      </c>
      <c r="JI222" s="124">
        <v>78.765079680000014</v>
      </c>
      <c r="JJ222" s="124">
        <v>88.216889241600029</v>
      </c>
      <c r="JM222" s="124">
        <v>75.084468479999998</v>
      </c>
      <c r="JN222" s="124">
        <v>84.094604697600005</v>
      </c>
      <c r="JQ222" s="124">
        <v>61.982514999999999</v>
      </c>
      <c r="JR222" s="124">
        <v>68.216185080000017</v>
      </c>
      <c r="JS222" s="124">
        <v>72.991318035600003</v>
      </c>
      <c r="JV222" s="124">
        <v>68.365296000000001</v>
      </c>
      <c r="JW222" s="124">
        <v>73.15086672000001</v>
      </c>
      <c r="JY222" s="124">
        <v>68.365296000000001</v>
      </c>
      <c r="JZ222" s="124">
        <v>73.15086672000001</v>
      </c>
      <c r="KB222" s="124">
        <v>45.257399999999997</v>
      </c>
      <c r="KC222" s="124">
        <v>58.110501599999992</v>
      </c>
      <c r="KD222" s="124">
        <v>62.178236712000007</v>
      </c>
    </row>
    <row r="223" spans="2:290" s="60" customFormat="1" hidden="1" x14ac:dyDescent="0.25">
      <c r="B223" s="58" t="str">
        <f>B285</f>
        <v>Consumer Products</v>
      </c>
      <c r="C223" s="4"/>
      <c r="D223" s="4"/>
      <c r="E223" s="4"/>
      <c r="F223" s="4"/>
      <c r="G223" s="4"/>
      <c r="H223" s="145"/>
      <c r="I223" s="156"/>
      <c r="J223" s="156"/>
      <c r="K223" s="156"/>
      <c r="L223" s="156"/>
      <c r="M223" s="145"/>
      <c r="N223" s="156"/>
      <c r="O223" s="156"/>
      <c r="P223" s="156"/>
      <c r="Q223" s="156"/>
      <c r="R223" s="145"/>
      <c r="S223" s="156"/>
      <c r="T223" s="156"/>
      <c r="U223" s="156"/>
      <c r="V223" s="156"/>
      <c r="W223" s="145">
        <v>517.58879999999999</v>
      </c>
      <c r="X223" s="156">
        <v>90.48</v>
      </c>
      <c r="Y223" s="156">
        <v>121.81100000000002</v>
      </c>
      <c r="Z223" s="156">
        <v>125.375</v>
      </c>
      <c r="AA223" s="156">
        <v>211.596</v>
      </c>
      <c r="AB223" s="145">
        <v>550.14300000000003</v>
      </c>
      <c r="AC223" s="156">
        <v>84.003910000000005</v>
      </c>
      <c r="AD223" s="156">
        <v>101.15</v>
      </c>
      <c r="AE223" s="156">
        <v>145.77000000000001</v>
      </c>
      <c r="AF223" s="156">
        <v>240.988</v>
      </c>
      <c r="AG223" s="145">
        <v>571.29290000000003</v>
      </c>
      <c r="AH223" s="156">
        <v>98.889379999999989</v>
      </c>
      <c r="AI223" s="156">
        <v>154.31100000000004</v>
      </c>
      <c r="AJ223" s="156">
        <v>209.09466000000003</v>
      </c>
      <c r="AK223" s="145">
        <v>462.29503999999997</v>
      </c>
      <c r="AL223" s="156">
        <f t="shared" ref="AL223:AX223" si="317">AL285*AL147</f>
        <v>0</v>
      </c>
      <c r="AM223" s="156">
        <f t="shared" si="317"/>
        <v>0</v>
      </c>
      <c r="AN223" s="156">
        <f t="shared" si="317"/>
        <v>0</v>
      </c>
      <c r="AO223" s="156">
        <f t="shared" si="317"/>
        <v>0</v>
      </c>
      <c r="AP223" s="145">
        <f t="shared" si="317"/>
        <v>0</v>
      </c>
      <c r="AQ223" s="156">
        <f t="shared" si="317"/>
        <v>-144.38557213930346</v>
      </c>
      <c r="AR223" s="156">
        <f t="shared" si="317"/>
        <v>162.3058054794522</v>
      </c>
      <c r="AS223" s="156">
        <f t="shared" si="317"/>
        <v>215.17559478127384</v>
      </c>
      <c r="AT223" s="156">
        <f t="shared" si="317"/>
        <v>32.97493297587144</v>
      </c>
      <c r="AU223" s="145">
        <f t="shared" si="317"/>
        <v>584.45504734066105</v>
      </c>
      <c r="AV223" s="148">
        <f t="shared" si="317"/>
        <v>314.6679841897236</v>
      </c>
      <c r="AW223" s="148">
        <f t="shared" si="317"/>
        <v>134.69530333610325</v>
      </c>
      <c r="AX223" s="148">
        <f t="shared" si="317"/>
        <v>261.87913838405956</v>
      </c>
      <c r="AY223" s="148">
        <f>AZ223-AV223-AW223-AX223</f>
        <v>42.068121591392753</v>
      </c>
      <c r="AZ223" s="145">
        <f>AZ285*AZ147</f>
        <v>753.31054750127919</v>
      </c>
      <c r="BA223" s="148">
        <f>BA285*BA147</f>
        <v>-37.788628999999986</v>
      </c>
      <c r="BB223" s="148">
        <f>BB285*BB147</f>
        <v>-89.654227248249782</v>
      </c>
      <c r="BC223" s="148">
        <f>BC285*BC147</f>
        <v>-46.940267898383468</v>
      </c>
      <c r="BD223" s="148">
        <f>SUM(BD219:BD222)</f>
        <v>-88.828434500438931</v>
      </c>
      <c r="BE223" s="145">
        <f>BE285*BE147</f>
        <v>-218.2514586466157</v>
      </c>
      <c r="BF223" s="148">
        <f>BF285*BF147</f>
        <v>-750.83033069734017</v>
      </c>
      <c r="BG223" s="148">
        <f>BG285*BG147</f>
        <v>-13.222101969872572</v>
      </c>
      <c r="BH223" s="148">
        <f>BH285*BH6</f>
        <v>219.56298421807756</v>
      </c>
      <c r="BI223" s="148">
        <f>BJ223-BF223-BG223-BH223</f>
        <v>63.56259719652482</v>
      </c>
      <c r="BJ223" s="145">
        <f>BJ285*BJ6</f>
        <v>-480.92685125261039</v>
      </c>
      <c r="BK223" s="148">
        <f>BK285*BK6</f>
        <v>980.67702857142842</v>
      </c>
      <c r="BL223" s="148"/>
      <c r="BM223" s="148"/>
      <c r="BN223" s="148"/>
      <c r="BO223" s="145">
        <f>SUM(BO219:BO222)</f>
        <v>1263.12005</v>
      </c>
      <c r="BP223" s="148"/>
      <c r="BQ223" s="148"/>
      <c r="BR223" s="148"/>
      <c r="BS223" s="148"/>
      <c r="BT223" s="145">
        <f>SUM(BT219:BT222)</f>
        <v>1072.5027</v>
      </c>
      <c r="BU223" s="148"/>
      <c r="BV223" s="148"/>
      <c r="BW223" s="148"/>
      <c r="BX223" s="148"/>
      <c r="BY223" s="145">
        <f>SUM(BY219:BY222)</f>
        <v>1566.3166200000001</v>
      </c>
      <c r="BZ223" s="148"/>
      <c r="CA223" s="148"/>
      <c r="CB223" s="148"/>
      <c r="CC223" s="148"/>
      <c r="CD223" s="145">
        <f>SUM(CD219:CD222)</f>
        <v>1438.1916500000002</v>
      </c>
      <c r="CE223" s="148"/>
      <c r="CF223" s="148"/>
      <c r="CG223" s="148"/>
      <c r="CH223" s="148"/>
      <c r="CI223" s="145">
        <f>SUM(CI219:CI222)</f>
        <v>1555.6472000000001</v>
      </c>
      <c r="CJ223" s="145">
        <f>SUM(CJ219:CJ222)</f>
        <v>1818.225273</v>
      </c>
      <c r="CK223" s="145">
        <f>SUM(CK219:CK222)</f>
        <v>2074.1542025099998</v>
      </c>
      <c r="CL223" s="145">
        <f>CL28</f>
        <v>2505.3482303367</v>
      </c>
      <c r="CM223" s="145">
        <f>CM28</f>
        <v>2855.7647114586916</v>
      </c>
      <c r="CN223" s="145">
        <f>CN28</f>
        <v>3127.7157527528811</v>
      </c>
      <c r="CO223" s="148"/>
      <c r="CP223" s="148"/>
      <c r="CQ223" s="58"/>
      <c r="CR223" s="58"/>
      <c r="CS223" s="58"/>
      <c r="CT223" s="143"/>
      <c r="CU223" s="143"/>
      <c r="CV223" s="143"/>
      <c r="CW223" s="143"/>
      <c r="CX223" s="143"/>
      <c r="CY223" s="143"/>
      <c r="CZ223" s="143"/>
      <c r="DA223" s="143"/>
      <c r="DB223" s="143"/>
      <c r="DC223" s="143"/>
      <c r="DD223" s="143"/>
      <c r="DE223" s="143"/>
      <c r="DF223" s="143"/>
      <c r="DG223" s="143"/>
      <c r="DH223" s="143"/>
      <c r="DI223" s="143"/>
      <c r="DK223" s="143"/>
      <c r="DL223" s="143"/>
      <c r="DM223" s="58"/>
      <c r="DN223" s="143"/>
      <c r="DO223" s="143"/>
      <c r="DQ223" s="4"/>
      <c r="DR223" s="143"/>
      <c r="DS223" s="143"/>
      <c r="DT223" s="143"/>
      <c r="DV223" s="143"/>
      <c r="DW223" s="143"/>
      <c r="DX223" s="143"/>
      <c r="EA223" s="119"/>
      <c r="EB223" s="119"/>
      <c r="EC223" s="119"/>
      <c r="ED223" s="143"/>
      <c r="EE223" s="143"/>
      <c r="EF223" s="143"/>
      <c r="EJ223" s="119"/>
      <c r="EK223" s="119"/>
      <c r="EL223" s="143"/>
      <c r="EM223" s="143"/>
      <c r="EN223" s="143"/>
      <c r="EP223" s="119"/>
      <c r="EQ223" s="143"/>
      <c r="ER223" s="143"/>
      <c r="ES223" s="143"/>
      <c r="EV223" s="119"/>
      <c r="EW223" s="119"/>
      <c r="EX223" s="119"/>
      <c r="EY223" s="119"/>
      <c r="EZ223" s="143"/>
      <c r="FA223" s="143"/>
      <c r="FD223" s="119"/>
      <c r="FE223" s="119"/>
      <c r="FF223" s="119"/>
      <c r="FG223" s="143"/>
      <c r="FH223" s="143"/>
      <c r="FK223" s="143"/>
      <c r="FL223" s="143"/>
      <c r="FO223" s="119">
        <v>195.16269193053901</v>
      </c>
      <c r="FP223" s="119">
        <v>265.17696906946099</v>
      </c>
      <c r="FQ223" s="143">
        <v>797.96950400000003</v>
      </c>
      <c r="FR223" s="143">
        <v>948.86904531999983</v>
      </c>
      <c r="FU223" s="119">
        <v>200.75413500000008</v>
      </c>
      <c r="FV223" s="143">
        <v>756.00963000000002</v>
      </c>
      <c r="FW223" s="143">
        <v>574.40485400000011</v>
      </c>
      <c r="FX223" s="143">
        <v>811.85022765000031</v>
      </c>
      <c r="FY223" s="143">
        <v>901.05343352244017</v>
      </c>
      <c r="GA223" s="143">
        <v>636.30224799999996</v>
      </c>
      <c r="GB223" s="143">
        <v>881.44703379999987</v>
      </c>
      <c r="GC223" s="143">
        <v>980.82538592800006</v>
      </c>
      <c r="GF223" s="119"/>
      <c r="GG223" s="119"/>
      <c r="GH223" s="119"/>
      <c r="GI223" s="143">
        <v>730.84387600000002</v>
      </c>
      <c r="GJ223" s="143">
        <v>998.15032542000006</v>
      </c>
      <c r="GK223" s="143">
        <v>1108.9941640704001</v>
      </c>
      <c r="GN223" s="119"/>
      <c r="GO223" s="119"/>
      <c r="GP223" s="143">
        <v>945.87805300000002</v>
      </c>
      <c r="GQ223" s="143">
        <v>1057.7092394800002</v>
      </c>
      <c r="GR223" s="143">
        <v>1175.4541374896003</v>
      </c>
      <c r="GV223" s="119"/>
      <c r="GW223" s="143">
        <v>1120.9848040000002</v>
      </c>
      <c r="GX223" s="143">
        <v>982.54911083999991</v>
      </c>
      <c r="GY223" s="143">
        <v>1265.5379350839999</v>
      </c>
      <c r="HC223" s="143"/>
      <c r="HD223" s="143">
        <v>1235.1635805000001</v>
      </c>
      <c r="HE223" s="143">
        <v>1262.9552645100002</v>
      </c>
      <c r="HF223" s="143">
        <v>1397.7965045136002</v>
      </c>
      <c r="HI223" s="119"/>
      <c r="HJ223" s="119"/>
      <c r="HK223" s="119"/>
      <c r="HL223" s="119"/>
      <c r="HM223" s="143">
        <v>1004.9466289999999</v>
      </c>
      <c r="HN223" s="143">
        <v>1111.5635563000003</v>
      </c>
      <c r="HO223" s="143">
        <v>1209.1284849620001</v>
      </c>
      <c r="HR223" s="119"/>
      <c r="HS223" s="119"/>
      <c r="HT223" s="119"/>
      <c r="HU223" s="143">
        <v>1004.9466289999999</v>
      </c>
      <c r="HV223" s="143">
        <v>1262.5794115000001</v>
      </c>
      <c r="HW223" s="143">
        <v>1392.6127490300003</v>
      </c>
      <c r="HZ223" s="119"/>
      <c r="IA223" s="143">
        <v>1072.594294</v>
      </c>
      <c r="IB223" s="143">
        <v>1299.9181308000002</v>
      </c>
      <c r="IC223" s="143">
        <v>1494.0916823400003</v>
      </c>
      <c r="IE223" s="119"/>
      <c r="IF223" s="143">
        <v>1071.13366</v>
      </c>
      <c r="IG223" s="143">
        <v>1371.4823675999999</v>
      </c>
      <c r="IH223" s="143">
        <v>1579.0234788</v>
      </c>
      <c r="IK223" s="143">
        <v>1371.4823675999999</v>
      </c>
      <c r="IL223" s="143">
        <v>1579.0234788</v>
      </c>
      <c r="IO223" s="143">
        <v>1531.5259019999999</v>
      </c>
      <c r="IP223" s="143">
        <v>1904.5260499200003</v>
      </c>
      <c r="IS223" s="157"/>
      <c r="IT223" s="157"/>
      <c r="IU223" s="157"/>
      <c r="IX223" s="143"/>
      <c r="IY223" s="143">
        <v>1555.4502299999999</v>
      </c>
      <c r="IZ223" s="143">
        <v>2043.4752607999999</v>
      </c>
      <c r="JA223" s="143">
        <v>2342.8384407039998</v>
      </c>
      <c r="JD223" s="143">
        <v>2120.3922950000001</v>
      </c>
      <c r="JE223" s="143">
        <v>2515.3193569999999</v>
      </c>
      <c r="JH223" s="143">
        <v>1920.8029039999999</v>
      </c>
      <c r="JI223" s="143">
        <v>2314.1822008999998</v>
      </c>
      <c r="JJ223" s="143">
        <v>2647.1194252579999</v>
      </c>
      <c r="JM223" s="143">
        <v>2198.6249797399996</v>
      </c>
      <c r="JN223" s="143">
        <v>2514.0168880165998</v>
      </c>
      <c r="JQ223" s="143">
        <v>1455.0254755000001</v>
      </c>
      <c r="JR223" s="143">
        <v>1777.4910213600003</v>
      </c>
      <c r="JS223" s="143">
        <v>2050.2308930820009</v>
      </c>
      <c r="JV223" s="143">
        <v>1757.122582</v>
      </c>
      <c r="JW223" s="143">
        <v>2026.8010001600003</v>
      </c>
      <c r="JY223" s="143">
        <v>1803.8622859999998</v>
      </c>
      <c r="JZ223" s="143">
        <v>2081.5289444800001</v>
      </c>
      <c r="KB223" s="143">
        <v>1488.8702199999998</v>
      </c>
      <c r="KC223" s="143">
        <v>1854.6663458999999</v>
      </c>
      <c r="KD223" s="143">
        <v>2091.1033885740003</v>
      </c>
    </row>
    <row r="224" spans="2:290" s="194" customFormat="1" hidden="1" x14ac:dyDescent="0.25">
      <c r="B224" s="189"/>
      <c r="C224" s="189"/>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c r="AA224" s="190"/>
      <c r="AB224" s="190"/>
      <c r="AC224" s="190"/>
      <c r="AD224" s="190"/>
      <c r="AE224" s="190"/>
      <c r="AF224" s="190"/>
      <c r="AG224" s="190"/>
      <c r="AH224" s="190"/>
      <c r="AI224" s="190"/>
      <c r="AJ224" s="190"/>
      <c r="AK224" s="190"/>
      <c r="AL224" s="190"/>
      <c r="AM224" s="190"/>
      <c r="AN224" s="190"/>
      <c r="AO224" s="190"/>
      <c r="AP224" s="190"/>
      <c r="AQ224" s="190"/>
      <c r="AR224" s="190"/>
      <c r="AS224" s="190"/>
      <c r="AT224" s="190"/>
      <c r="AU224" s="190"/>
      <c r="AV224" s="190"/>
      <c r="AW224" s="190"/>
      <c r="AX224" s="190"/>
      <c r="AY224" s="190"/>
      <c r="AZ224" s="191"/>
      <c r="BA224" s="190"/>
      <c r="BB224" s="190"/>
      <c r="BC224" s="190"/>
      <c r="BD224" s="190"/>
      <c r="BE224" s="190"/>
      <c r="BF224" s="190"/>
      <c r="BG224" s="190"/>
      <c r="BH224" s="190"/>
      <c r="BI224" s="190"/>
      <c r="BJ224" s="190"/>
      <c r="BK224" s="190"/>
      <c r="BL224" s="190"/>
      <c r="BM224" s="190"/>
      <c r="BN224" s="190"/>
      <c r="BO224" s="190"/>
      <c r="BP224" s="190"/>
      <c r="BQ224" s="190"/>
      <c r="BR224" s="190"/>
      <c r="BS224" s="190"/>
      <c r="BT224" s="190"/>
      <c r="BU224" s="190"/>
      <c r="BV224" s="190"/>
      <c r="BW224" s="190"/>
      <c r="BX224" s="190"/>
      <c r="BY224" s="190"/>
      <c r="BZ224" s="190"/>
      <c r="CA224" s="190"/>
      <c r="CB224" s="190"/>
      <c r="CC224" s="190"/>
      <c r="CD224" s="192"/>
      <c r="CE224" s="192"/>
      <c r="CF224" s="192"/>
      <c r="CG224" s="192"/>
      <c r="CH224" s="192"/>
      <c r="CI224" s="192"/>
      <c r="CJ224" s="192"/>
      <c r="CK224" s="192"/>
      <c r="CL224" s="192"/>
      <c r="CM224" s="192"/>
      <c r="CN224" s="192"/>
      <c r="CO224" s="193"/>
      <c r="CP224" s="193"/>
      <c r="CQ224" s="189"/>
      <c r="CR224" s="189"/>
      <c r="CS224" s="189"/>
      <c r="CT224" s="190"/>
      <c r="CU224" s="190"/>
      <c r="CV224" s="190"/>
      <c r="CW224" s="190"/>
      <c r="CX224" s="190"/>
      <c r="DK224" s="189"/>
      <c r="DL224" s="189"/>
      <c r="DM224" s="189"/>
      <c r="DN224" s="189"/>
      <c r="DO224" s="189"/>
      <c r="EA224" s="190"/>
      <c r="EB224" s="190"/>
      <c r="EC224" s="190"/>
      <c r="ED224" s="190"/>
      <c r="EE224" s="190"/>
      <c r="EF224" s="190"/>
      <c r="EJ224" s="190"/>
      <c r="EK224" s="190"/>
      <c r="EL224" s="190"/>
      <c r="EM224" s="190"/>
      <c r="EN224" s="190"/>
      <c r="EP224" s="190"/>
      <c r="EQ224" s="190"/>
      <c r="ER224" s="190"/>
      <c r="ES224" s="190"/>
      <c r="EV224" s="190"/>
      <c r="EW224" s="190"/>
      <c r="EX224" s="190"/>
      <c r="EY224" s="190"/>
      <c r="EZ224" s="190"/>
      <c r="FA224" s="190"/>
      <c r="FD224" s="190"/>
      <c r="FE224" s="190"/>
      <c r="FF224" s="190"/>
      <c r="FG224" s="190"/>
      <c r="FH224" s="190"/>
      <c r="FK224" s="190"/>
      <c r="FL224" s="190"/>
      <c r="FO224" s="190"/>
      <c r="FP224" s="190"/>
      <c r="FQ224" s="190"/>
      <c r="FR224" s="190"/>
      <c r="FU224" s="190"/>
      <c r="FV224" s="190"/>
      <c r="FW224" s="190"/>
      <c r="FX224" s="190"/>
      <c r="FY224" s="190"/>
      <c r="GA224" s="190"/>
      <c r="GB224" s="190"/>
      <c r="GC224" s="190"/>
      <c r="GF224" s="190"/>
      <c r="GG224" s="190"/>
      <c r="GH224" s="190"/>
      <c r="GI224" s="190"/>
      <c r="GJ224" s="190"/>
      <c r="GK224" s="190"/>
      <c r="GN224" s="190"/>
      <c r="GO224" s="190"/>
      <c r="GP224" s="190"/>
      <c r="GQ224" s="190"/>
      <c r="GR224" s="190"/>
      <c r="GV224" s="190"/>
      <c r="GW224" s="190"/>
      <c r="GX224" s="190"/>
      <c r="GY224" s="190"/>
      <c r="HC224" s="190"/>
      <c r="HD224" s="190"/>
      <c r="HE224" s="190"/>
      <c r="HF224" s="190"/>
      <c r="HI224" s="190"/>
      <c r="HJ224" s="190"/>
      <c r="HK224" s="190"/>
      <c r="HL224" s="190"/>
      <c r="HM224" s="190"/>
      <c r="HN224" s="190"/>
      <c r="HO224" s="190"/>
      <c r="HR224" s="190"/>
      <c r="HS224" s="190"/>
      <c r="HT224" s="190"/>
      <c r="HU224" s="190"/>
      <c r="HV224" s="190"/>
      <c r="HW224" s="190"/>
      <c r="HZ224" s="190"/>
      <c r="IA224" s="190"/>
      <c r="IB224" s="190"/>
      <c r="IC224" s="190"/>
      <c r="IE224" s="190"/>
      <c r="IF224" s="190"/>
      <c r="IG224" s="190"/>
      <c r="IH224" s="190"/>
      <c r="IK224" s="190"/>
      <c r="IL224" s="190"/>
      <c r="IO224" s="190"/>
      <c r="IP224" s="190"/>
      <c r="IS224" s="190"/>
      <c r="IT224" s="190"/>
      <c r="IU224" s="190"/>
      <c r="IX224" s="190"/>
      <c r="IY224" s="190"/>
      <c r="IZ224" s="190"/>
      <c r="JA224" s="190"/>
      <c r="JD224" s="190"/>
      <c r="JE224" s="190"/>
      <c r="JH224" s="190"/>
      <c r="JI224" s="190"/>
      <c r="JJ224" s="190"/>
      <c r="JM224" s="190"/>
      <c r="JN224" s="190"/>
      <c r="JQ224" s="190"/>
      <c r="JR224" s="190"/>
      <c r="JS224" s="190"/>
      <c r="JV224" s="190"/>
      <c r="JW224" s="190"/>
      <c r="JY224" s="190"/>
      <c r="JZ224" s="190"/>
      <c r="KB224" s="190"/>
      <c r="KC224" s="190"/>
      <c r="KD224" s="190"/>
    </row>
    <row r="226" spans="2:290" s="195" customFormat="1" x14ac:dyDescent="0.25"/>
    <row r="229" spans="2:290" s="60" customFormat="1" x14ac:dyDescent="0.25">
      <c r="B229" s="34" t="s">
        <v>221</v>
      </c>
      <c r="C229" s="99"/>
      <c r="D229" s="99"/>
      <c r="E229" s="99"/>
      <c r="F229" s="99"/>
      <c r="G229" s="99"/>
      <c r="H229" s="196"/>
      <c r="I229" s="196"/>
      <c r="J229" s="196"/>
      <c r="K229" s="196"/>
      <c r="L229" s="196"/>
      <c r="M229" s="196"/>
      <c r="N229" s="196"/>
      <c r="O229" s="196"/>
      <c r="P229" s="196"/>
      <c r="Q229" s="196"/>
      <c r="R229" s="196"/>
      <c r="S229" s="196"/>
      <c r="T229" s="196"/>
      <c r="U229" s="196"/>
      <c r="V229" s="196"/>
      <c r="W229" s="196"/>
      <c r="X229" s="196"/>
      <c r="Y229" s="196"/>
      <c r="Z229" s="196"/>
      <c r="AA229" s="196"/>
      <c r="AB229" s="196"/>
      <c r="AC229" s="196"/>
      <c r="AD229" s="196"/>
      <c r="AE229" s="196"/>
      <c r="AF229" s="196"/>
      <c r="AG229" s="196"/>
      <c r="AH229" s="196"/>
      <c r="AI229" s="196"/>
      <c r="AJ229" s="196"/>
      <c r="AK229" s="196"/>
      <c r="AL229" s="196"/>
      <c r="AM229" s="196"/>
      <c r="AN229" s="196"/>
      <c r="AO229" s="196"/>
      <c r="AP229" s="196"/>
      <c r="AQ229" s="196"/>
      <c r="AR229" s="196"/>
      <c r="AS229" s="196"/>
      <c r="AT229" s="196"/>
      <c r="AU229" s="196"/>
      <c r="AV229" s="196"/>
      <c r="AW229" s="196"/>
      <c r="AX229" s="196"/>
      <c r="AY229" s="196"/>
      <c r="AZ229" s="196"/>
      <c r="BA229" s="196"/>
      <c r="BB229" s="196"/>
      <c r="BC229" s="196"/>
      <c r="BD229" s="196"/>
      <c r="BE229" s="196"/>
      <c r="BF229" s="196"/>
      <c r="BG229" s="196"/>
      <c r="BH229" s="196"/>
      <c r="BI229" s="196"/>
      <c r="BJ229" s="196"/>
      <c r="BK229" s="196"/>
      <c r="BL229" s="196"/>
      <c r="BM229" s="196"/>
      <c r="BN229" s="196"/>
      <c r="BO229" s="196"/>
      <c r="BP229" s="196"/>
      <c r="BQ229" s="196"/>
      <c r="BR229" s="196"/>
      <c r="BS229" s="196"/>
      <c r="BT229" s="196"/>
      <c r="BU229" s="196"/>
      <c r="BV229" s="196"/>
      <c r="BW229" s="196"/>
      <c r="BX229" s="196"/>
      <c r="BY229" s="196"/>
      <c r="BZ229" s="196"/>
      <c r="CA229" s="196"/>
      <c r="CB229" s="196"/>
      <c r="CC229" s="196"/>
      <c r="CD229" s="196"/>
      <c r="CE229" s="196"/>
      <c r="CF229" s="196"/>
      <c r="CG229" s="196"/>
      <c r="CH229" s="196"/>
      <c r="CI229" s="196"/>
      <c r="CJ229" s="196"/>
      <c r="CK229" s="196"/>
      <c r="CL229" s="196"/>
      <c r="CM229" s="196"/>
      <c r="CN229" s="196"/>
      <c r="CO229" s="148"/>
      <c r="CP229" s="148"/>
      <c r="CQ229" s="58"/>
      <c r="CR229" s="58"/>
      <c r="CS229" s="58"/>
      <c r="CT229" s="143"/>
      <c r="CU229" s="143"/>
      <c r="CV229" s="143"/>
      <c r="CW229" s="143"/>
      <c r="CX229" s="143"/>
      <c r="CY229" s="143"/>
      <c r="CZ229" s="143"/>
      <c r="DA229" s="143"/>
      <c r="DB229" s="143"/>
      <c r="DC229" s="143"/>
      <c r="DD229" s="143"/>
      <c r="DE229" s="143"/>
      <c r="DF229" s="143"/>
      <c r="DG229" s="143"/>
      <c r="DH229" s="143"/>
      <c r="DI229" s="143"/>
      <c r="DK229" s="143"/>
      <c r="DL229" s="143"/>
      <c r="DM229" s="58"/>
      <c r="DN229" s="143"/>
      <c r="DO229" s="143"/>
      <c r="DQ229" s="4"/>
      <c r="DR229" s="143"/>
      <c r="DS229" s="143"/>
      <c r="DT229" s="143"/>
      <c r="DV229" s="143"/>
      <c r="DW229" s="143"/>
      <c r="DX229" s="143"/>
      <c r="EA229" s="119"/>
      <c r="EB229" s="119"/>
      <c r="EC229" s="119"/>
      <c r="ED229" s="143"/>
      <c r="EE229" s="143"/>
      <c r="EF229" s="143"/>
      <c r="EJ229" s="119"/>
      <c r="EK229" s="119"/>
      <c r="EL229" s="143"/>
      <c r="EM229" s="143"/>
      <c r="EN229" s="143"/>
      <c r="EP229" s="119"/>
      <c r="EQ229" s="143"/>
      <c r="ER229" s="143"/>
      <c r="ES229" s="143"/>
      <c r="EV229" s="119"/>
      <c r="EW229" s="119"/>
      <c r="EX229" s="119"/>
      <c r="EY229" s="119"/>
      <c r="EZ229" s="143"/>
      <c r="FA229" s="143"/>
      <c r="FD229" s="119"/>
      <c r="FE229" s="119"/>
      <c r="FF229" s="119"/>
      <c r="FG229" s="143"/>
      <c r="FH229" s="143"/>
      <c r="FK229" s="143"/>
      <c r="FL229" s="143"/>
      <c r="FO229" s="119"/>
      <c r="FP229" s="119"/>
      <c r="FQ229" s="143"/>
      <c r="FR229" s="143"/>
      <c r="FU229" s="119"/>
      <c r="FV229" s="143"/>
      <c r="FW229" s="143"/>
      <c r="FX229" s="143"/>
      <c r="FY229" s="143"/>
      <c r="GA229" s="143"/>
      <c r="GB229" s="143"/>
      <c r="GC229" s="143"/>
      <c r="GF229" s="119"/>
      <c r="GG229" s="119"/>
      <c r="GH229" s="119"/>
      <c r="GI229" s="143"/>
      <c r="GJ229" s="143"/>
      <c r="GK229" s="143"/>
      <c r="GN229" s="119"/>
      <c r="GO229" s="119"/>
      <c r="GP229" s="143"/>
      <c r="GQ229" s="143"/>
      <c r="GR229" s="143"/>
      <c r="GV229" s="119"/>
      <c r="GW229" s="143"/>
      <c r="GX229" s="143"/>
      <c r="GY229" s="143"/>
      <c r="HC229" s="143"/>
      <c r="HD229" s="143"/>
      <c r="HE229" s="143"/>
      <c r="HF229" s="143"/>
      <c r="HI229" s="119"/>
      <c r="HJ229" s="119"/>
      <c r="HK229" s="119"/>
      <c r="HL229" s="119"/>
      <c r="HM229" s="143"/>
      <c r="HN229" s="143"/>
      <c r="HO229" s="143"/>
      <c r="HR229" s="119"/>
      <c r="HS229" s="119"/>
      <c r="HT229" s="119"/>
      <c r="HU229" s="143"/>
      <c r="HV229" s="143"/>
      <c r="HW229" s="143"/>
      <c r="HZ229" s="119"/>
      <c r="IA229" s="143"/>
      <c r="IB229" s="143"/>
      <c r="IC229" s="143"/>
      <c r="IE229" s="119"/>
      <c r="IF229" s="143"/>
      <c r="IG229" s="143"/>
      <c r="IH229" s="143"/>
      <c r="IK229" s="143"/>
      <c r="IL229" s="143"/>
      <c r="IO229" s="143"/>
      <c r="IP229" s="143"/>
      <c r="IS229" s="157"/>
      <c r="IT229" s="157"/>
      <c r="IU229" s="157"/>
      <c r="IX229" s="143"/>
      <c r="IY229" s="143"/>
      <c r="IZ229" s="143"/>
      <c r="JA229" s="143"/>
      <c r="JD229" s="143"/>
      <c r="JE229" s="143"/>
      <c r="JH229" s="143"/>
      <c r="JI229" s="143"/>
      <c r="JJ229" s="143"/>
      <c r="JM229" s="143"/>
      <c r="JN229" s="143"/>
      <c r="JQ229" s="143"/>
      <c r="JR229" s="143"/>
      <c r="JS229" s="143"/>
      <c r="JV229" s="143"/>
      <c r="JW229" s="143"/>
      <c r="JY229" s="143"/>
      <c r="JZ229" s="143"/>
      <c r="KB229" s="143"/>
      <c r="KC229" s="143"/>
      <c r="KD229" s="143"/>
    </row>
    <row r="230" spans="2:290" x14ac:dyDescent="0.25">
      <c r="B230" s="11" t="s">
        <v>222</v>
      </c>
      <c r="C230" s="23"/>
      <c r="D230" s="23"/>
      <c r="E230" s="23"/>
      <c r="F230" s="23"/>
      <c r="G230" s="23"/>
      <c r="H230" s="197"/>
      <c r="I230" s="198"/>
      <c r="J230" s="198"/>
      <c r="K230" s="198"/>
      <c r="L230" s="198"/>
      <c r="M230" s="197"/>
      <c r="N230" s="198"/>
      <c r="O230" s="198"/>
      <c r="P230" s="198"/>
      <c r="Q230" s="198"/>
      <c r="R230" s="197"/>
      <c r="S230" s="198"/>
      <c r="T230" s="198"/>
      <c r="U230" s="198"/>
      <c r="V230" s="198"/>
      <c r="W230" s="197"/>
      <c r="X230" s="198"/>
      <c r="Y230" s="198"/>
      <c r="Z230" s="198"/>
      <c r="AA230" s="198"/>
      <c r="AB230" s="197"/>
      <c r="AC230" s="198"/>
      <c r="AD230" s="198"/>
      <c r="AE230" s="198"/>
      <c r="AF230" s="198"/>
      <c r="AG230" s="197"/>
      <c r="AH230" s="198"/>
      <c r="AI230" s="198"/>
      <c r="AJ230" s="198"/>
      <c r="AK230" s="197"/>
      <c r="AL230" s="198"/>
      <c r="AM230" s="198"/>
      <c r="AN230" s="198"/>
      <c r="AO230" s="198"/>
      <c r="AP230" s="197"/>
      <c r="AQ230" s="198"/>
      <c r="AR230" s="198"/>
      <c r="AS230" s="198"/>
      <c r="AT230" s="198"/>
      <c r="AU230" s="197"/>
      <c r="AV230" s="199"/>
      <c r="AW230" s="199"/>
      <c r="AX230" s="199"/>
      <c r="AY230" s="199"/>
      <c r="AZ230" s="197"/>
      <c r="BA230" s="199"/>
      <c r="BB230" s="199"/>
      <c r="BC230" s="199"/>
      <c r="BD230" s="199"/>
      <c r="BE230" s="197"/>
      <c r="BF230" s="199"/>
      <c r="BG230" s="199"/>
      <c r="BH230" s="199"/>
      <c r="BI230" s="199"/>
      <c r="BJ230" s="197">
        <v>509496</v>
      </c>
      <c r="BK230" s="199"/>
      <c r="BL230" s="199"/>
      <c r="BM230" s="199"/>
      <c r="BN230" s="199"/>
      <c r="BO230" s="197">
        <v>528150</v>
      </c>
      <c r="BP230" s="199"/>
      <c r="BQ230" s="199"/>
      <c r="BR230" s="199"/>
      <c r="BS230" s="199"/>
      <c r="BT230" s="197">
        <v>602634</v>
      </c>
      <c r="BU230" s="199"/>
      <c r="BV230" s="199"/>
      <c r="BW230" s="199"/>
      <c r="BX230" s="199"/>
      <c r="BY230" s="197">
        <v>739428</v>
      </c>
      <c r="BZ230" s="199"/>
      <c r="CA230" s="199"/>
      <c r="CB230" s="199"/>
      <c r="CC230" s="199"/>
      <c r="CD230" s="197">
        <v>872532</v>
      </c>
      <c r="CE230" s="199"/>
      <c r="CF230" s="199"/>
      <c r="CG230" s="199"/>
      <c r="CH230" s="199"/>
      <c r="CI230" s="197">
        <v>1000056</v>
      </c>
      <c r="CJ230" s="197">
        <f>CI230+CJ238</f>
        <v>1100056</v>
      </c>
      <c r="CK230" s="197">
        <f>CJ230+CK238</f>
        <v>1250056</v>
      </c>
      <c r="CL230" s="197">
        <f t="shared" ref="CL230:CN230" si="318">CK230+CL238</f>
        <v>1400056</v>
      </c>
      <c r="CM230" s="197">
        <f t="shared" si="318"/>
        <v>1580056</v>
      </c>
      <c r="CN230" s="197">
        <f t="shared" si="318"/>
        <v>1730056</v>
      </c>
      <c r="CO230" s="200"/>
      <c r="CP230" s="137"/>
      <c r="CQ230" s="6"/>
      <c r="CR230" s="6"/>
      <c r="CS230" s="6"/>
      <c r="CT230" s="124"/>
      <c r="CU230" s="124"/>
      <c r="CV230" s="124"/>
      <c r="CW230" s="124"/>
      <c r="CX230" s="124"/>
      <c r="CY230" s="124"/>
      <c r="CZ230" s="124"/>
      <c r="DA230" s="124"/>
      <c r="DB230" s="124"/>
      <c r="DC230" s="124"/>
      <c r="DD230" s="124"/>
      <c r="DE230" s="124"/>
      <c r="DF230" s="124"/>
      <c r="DG230" s="124"/>
      <c r="DH230" s="124"/>
      <c r="DI230" s="124"/>
      <c r="DK230" s="124"/>
      <c r="DL230" s="124"/>
      <c r="DM230" s="6"/>
      <c r="DN230" s="124"/>
      <c r="DO230" s="124"/>
      <c r="DQ230" s="136"/>
      <c r="DR230" s="124"/>
      <c r="DS230" s="124"/>
      <c r="DT230" s="124"/>
      <c r="DV230" s="124"/>
      <c r="DW230" s="124"/>
      <c r="DX230" s="124"/>
      <c r="EA230" s="111"/>
      <c r="EB230" s="111"/>
      <c r="EC230" s="111"/>
      <c r="ED230" s="124"/>
      <c r="EE230" s="124"/>
      <c r="EF230" s="124"/>
      <c r="EJ230" s="111"/>
      <c r="EK230" s="111"/>
      <c r="EL230" s="124"/>
      <c r="EM230" s="124"/>
      <c r="EN230" s="124"/>
      <c r="EP230" s="111"/>
      <c r="EQ230" s="124"/>
      <c r="ER230" s="124"/>
      <c r="ES230" s="124"/>
      <c r="EV230" s="111"/>
      <c r="EW230" s="111"/>
      <c r="EX230" s="111"/>
      <c r="EY230" s="111"/>
      <c r="EZ230" s="124"/>
      <c r="FA230" s="124"/>
      <c r="FD230" s="111"/>
      <c r="FE230" s="111"/>
      <c r="FF230" s="111"/>
      <c r="FG230" s="124"/>
      <c r="FH230" s="124"/>
      <c r="FK230" s="124"/>
      <c r="FL230" s="124"/>
      <c r="FO230" s="111">
        <v>77028.600000000006</v>
      </c>
      <c r="FP230" s="111">
        <v>91655.599999999948</v>
      </c>
      <c r="FQ230" s="124">
        <v>321710.19999999995</v>
      </c>
      <c r="FR230" s="124">
        <v>369966.72999999992</v>
      </c>
      <c r="FU230" s="111">
        <v>78670.840000000026</v>
      </c>
      <c r="FV230" s="124">
        <v>302127.84000000003</v>
      </c>
      <c r="FW230" s="124">
        <v>265872.49920000002</v>
      </c>
      <c r="FX230" s="124">
        <v>297777.19910400006</v>
      </c>
      <c r="FY230" s="124">
        <v>333510.46299648011</v>
      </c>
      <c r="GA230" s="124">
        <v>276710.24</v>
      </c>
      <c r="GB230" s="124">
        <v>318216.77599999995</v>
      </c>
      <c r="GC230" s="124">
        <v>356402.78911999997</v>
      </c>
      <c r="GF230" s="111"/>
      <c r="GG230" s="111"/>
      <c r="GH230" s="111"/>
      <c r="GI230" s="124">
        <v>294756.56</v>
      </c>
      <c r="GJ230" s="124">
        <v>359603.00319999998</v>
      </c>
      <c r="GK230" s="124">
        <v>402755.36358400004</v>
      </c>
      <c r="GN230" s="111"/>
      <c r="GO230" s="111"/>
      <c r="GP230" s="124">
        <v>306787.44</v>
      </c>
      <c r="GQ230" s="124">
        <v>374280.67680000002</v>
      </c>
      <c r="GR230" s="124">
        <v>419194.35801600007</v>
      </c>
      <c r="GV230" s="111">
        <v>79404.27999999997</v>
      </c>
      <c r="GW230" s="124">
        <v>297764.27999999997</v>
      </c>
      <c r="GX230" s="124">
        <v>345406.56479999993</v>
      </c>
      <c r="GY230" s="124">
        <v>397217.54951999988</v>
      </c>
      <c r="HC230" s="124">
        <v>84189.73000000001</v>
      </c>
      <c r="HD230" s="124">
        <v>261977.73</v>
      </c>
      <c r="HE230" s="124">
        <v>305204.05545000004</v>
      </c>
      <c r="HF230" s="124">
        <v>338776.5015495001</v>
      </c>
      <c r="HI230" s="111">
        <v>91681.65</v>
      </c>
      <c r="HJ230" s="111">
        <v>76104</v>
      </c>
      <c r="HK230" s="111">
        <v>74356.100000000006</v>
      </c>
      <c r="HL230" s="111">
        <v>97984.049999999988</v>
      </c>
      <c r="HM230" s="124">
        <v>340125.8</v>
      </c>
      <c r="HN230" s="124">
        <v>377539.63800000004</v>
      </c>
      <c r="HO230" s="124">
        <v>407742.80904000008</v>
      </c>
      <c r="HR230" s="111">
        <v>76104</v>
      </c>
      <c r="HS230" s="111">
        <v>74356.100000000006</v>
      </c>
      <c r="HT230" s="111">
        <v>110241.69999999998</v>
      </c>
      <c r="HU230" s="124">
        <v>340125.8</v>
      </c>
      <c r="HV230" s="124">
        <v>377539.63800000004</v>
      </c>
      <c r="HW230" s="124">
        <v>407742.80904000008</v>
      </c>
      <c r="HZ230" s="111">
        <v>74356.100000000006</v>
      </c>
      <c r="IA230" s="124">
        <v>340125.8</v>
      </c>
      <c r="IB230" s="124">
        <v>377539.63800000004</v>
      </c>
      <c r="IC230" s="124">
        <v>407742.80904000008</v>
      </c>
      <c r="IE230" s="111">
        <v>110288.19999999995</v>
      </c>
      <c r="IF230" s="124">
        <v>373041.19999999995</v>
      </c>
      <c r="IG230" s="124">
        <v>414075.73199999996</v>
      </c>
      <c r="IH230" s="124">
        <v>447201.79055999999</v>
      </c>
      <c r="IK230" s="124">
        <v>414075.73199999996</v>
      </c>
      <c r="IL230" s="124">
        <v>447201.79055999999</v>
      </c>
      <c r="IO230" s="124">
        <v>457556.12</v>
      </c>
      <c r="IP230" s="124">
        <v>512462.85440000007</v>
      </c>
      <c r="IS230" s="160">
        <v>62378.299999999996</v>
      </c>
      <c r="IT230" s="160">
        <v>68616.13</v>
      </c>
      <c r="IU230" s="160">
        <v>75477.743000000017</v>
      </c>
      <c r="IX230" s="124">
        <v>145353.79999999999</v>
      </c>
      <c r="IY230" s="124">
        <v>487559.8</v>
      </c>
      <c r="IZ230" s="124">
        <v>565569.3679999999</v>
      </c>
      <c r="JA230" s="124">
        <v>656060.46687999985</v>
      </c>
      <c r="JD230" s="124">
        <v>626251.25</v>
      </c>
      <c r="JE230" s="124">
        <v>751501.5</v>
      </c>
      <c r="JH230" s="124">
        <v>626251.25</v>
      </c>
      <c r="JI230" s="124">
        <v>751501.5</v>
      </c>
      <c r="JJ230" s="124">
        <v>864226.72499999998</v>
      </c>
      <c r="JM230" s="124">
        <v>673946.54519999993</v>
      </c>
      <c r="JN230" s="124">
        <v>775038.52697999985</v>
      </c>
      <c r="JQ230" s="124">
        <v>536071.07000000007</v>
      </c>
      <c r="JR230" s="124">
        <v>600399.59840000013</v>
      </c>
      <c r="JS230" s="124">
        <v>672447.55020800023</v>
      </c>
      <c r="JV230" s="124">
        <v>594868.96000000008</v>
      </c>
      <c r="JW230" s="124">
        <v>666253.23520000011</v>
      </c>
      <c r="JY230" s="124">
        <v>616114.27999999991</v>
      </c>
      <c r="JZ230" s="124">
        <v>690047.99359999993</v>
      </c>
      <c r="KB230" s="124">
        <v>610802.94999999995</v>
      </c>
      <c r="KC230" s="124">
        <v>696315.36300000001</v>
      </c>
      <c r="KD230" s="124">
        <v>793799.51382000011</v>
      </c>
    </row>
    <row r="231" spans="2:290" x14ac:dyDescent="0.25">
      <c r="B231" s="11" t="s">
        <v>223</v>
      </c>
      <c r="C231" s="23"/>
      <c r="D231" s="23"/>
      <c r="E231" s="23"/>
      <c r="F231" s="23"/>
      <c r="G231" s="23"/>
      <c r="H231" s="197"/>
      <c r="I231" s="198"/>
      <c r="J231" s="198"/>
      <c r="K231" s="198"/>
      <c r="L231" s="198"/>
      <c r="M231" s="197"/>
      <c r="N231" s="198"/>
      <c r="O231" s="198"/>
      <c r="P231" s="198"/>
      <c r="Q231" s="198"/>
      <c r="R231" s="197"/>
      <c r="S231" s="198"/>
      <c r="T231" s="198"/>
      <c r="U231" s="198"/>
      <c r="V231" s="198"/>
      <c r="W231" s="197"/>
      <c r="X231" s="198"/>
      <c r="Y231" s="198"/>
      <c r="Z231" s="198"/>
      <c r="AA231" s="198"/>
      <c r="AB231" s="197"/>
      <c r="AC231" s="198"/>
      <c r="AD231" s="198"/>
      <c r="AE231" s="198"/>
      <c r="AF231" s="198"/>
      <c r="AG231" s="197"/>
      <c r="AH231" s="198"/>
      <c r="AI231" s="198"/>
      <c r="AJ231" s="198"/>
      <c r="AK231" s="197"/>
      <c r="AL231" s="198"/>
      <c r="AM231" s="198"/>
      <c r="AN231" s="198"/>
      <c r="AO231" s="198"/>
      <c r="AP231" s="197"/>
      <c r="AQ231" s="198"/>
      <c r="AR231" s="198"/>
      <c r="AS231" s="198"/>
      <c r="AT231" s="198"/>
      <c r="AU231" s="197"/>
      <c r="AV231" s="199"/>
      <c r="AW231" s="199"/>
      <c r="AX231" s="199"/>
      <c r="AY231" s="199"/>
      <c r="AZ231" s="197"/>
      <c r="BA231" s="199"/>
      <c r="BB231" s="199"/>
      <c r="BC231" s="199"/>
      <c r="BD231" s="199"/>
      <c r="BE231" s="197"/>
      <c r="BF231" s="199"/>
      <c r="BG231" s="199"/>
      <c r="BH231" s="199"/>
      <c r="BI231" s="199"/>
      <c r="BJ231" s="197">
        <v>86345</v>
      </c>
      <c r="BK231" s="199"/>
      <c r="BL231" s="199"/>
      <c r="BM231" s="199"/>
      <c r="BN231" s="199"/>
      <c r="BO231" s="197">
        <v>89371</v>
      </c>
      <c r="BP231" s="199"/>
      <c r="BQ231" s="199"/>
      <c r="BR231" s="199"/>
      <c r="BS231" s="199"/>
      <c r="BT231" s="197">
        <v>90468</v>
      </c>
      <c r="BU231" s="199"/>
      <c r="BV231" s="199"/>
      <c r="BW231" s="199"/>
      <c r="BX231" s="199"/>
      <c r="BY231" s="197">
        <v>93410</v>
      </c>
      <c r="BZ231" s="199"/>
      <c r="CA231" s="199"/>
      <c r="CB231" s="199"/>
      <c r="CC231" s="199"/>
      <c r="CD231" s="197">
        <v>100720</v>
      </c>
      <c r="CE231" s="199"/>
      <c r="CF231" s="199"/>
      <c r="CG231" s="199"/>
      <c r="CH231" s="199"/>
      <c r="CI231" s="197">
        <v>108393</v>
      </c>
      <c r="CJ231" s="197">
        <f t="shared" ref="CJ231" si="319">CI231+CJ239</f>
        <v>108393</v>
      </c>
      <c r="CK231" s="197">
        <f t="shared" ref="CK231:CN233" si="320">CJ231+CK239</f>
        <v>113393</v>
      </c>
      <c r="CL231" s="197">
        <f t="shared" si="320"/>
        <v>123393</v>
      </c>
      <c r="CM231" s="197">
        <f t="shared" si="320"/>
        <v>133393</v>
      </c>
      <c r="CN231" s="197">
        <f t="shared" si="320"/>
        <v>143393</v>
      </c>
      <c r="CO231" s="201"/>
      <c r="CP231" s="137"/>
      <c r="CQ231" s="6"/>
      <c r="CR231" s="6"/>
      <c r="CS231" s="6"/>
      <c r="CT231" s="124"/>
      <c r="CU231" s="124"/>
      <c r="CV231" s="124"/>
      <c r="CW231" s="124"/>
      <c r="CX231" s="124"/>
      <c r="CY231" s="124"/>
      <c r="CZ231" s="124"/>
      <c r="DA231" s="124"/>
      <c r="DB231" s="124"/>
      <c r="DC231" s="124"/>
      <c r="DD231" s="124"/>
      <c r="DE231" s="124"/>
      <c r="DF231" s="124"/>
      <c r="DG231" s="124"/>
      <c r="DH231" s="124"/>
      <c r="DI231" s="124"/>
      <c r="DK231" s="124"/>
      <c r="DL231" s="124"/>
      <c r="DM231" s="6"/>
      <c r="DN231" s="124"/>
      <c r="DO231" s="124"/>
      <c r="DQ231" s="136"/>
      <c r="DR231" s="124"/>
      <c r="DS231" s="124"/>
      <c r="DT231" s="124"/>
      <c r="DV231" s="124"/>
      <c r="DW231" s="124"/>
      <c r="DX231" s="124"/>
      <c r="EA231" s="111"/>
      <c r="EB231" s="111"/>
      <c r="EC231" s="111"/>
      <c r="ED231" s="124"/>
      <c r="EE231" s="124"/>
      <c r="EF231" s="124"/>
      <c r="EJ231" s="111"/>
      <c r="EK231" s="111"/>
      <c r="EL231" s="124"/>
      <c r="EM231" s="124"/>
      <c r="EN231" s="124"/>
      <c r="EP231" s="111"/>
      <c r="EQ231" s="124"/>
      <c r="ER231" s="124"/>
      <c r="ES231" s="124"/>
      <c r="EV231" s="111"/>
      <c r="EW231" s="111"/>
      <c r="EX231" s="111"/>
      <c r="EY231" s="111"/>
      <c r="EZ231" s="124"/>
      <c r="FA231" s="124"/>
      <c r="FD231" s="111"/>
      <c r="FE231" s="111"/>
      <c r="FF231" s="111"/>
      <c r="FG231" s="124"/>
      <c r="FH231" s="124"/>
      <c r="FK231" s="124"/>
      <c r="FL231" s="124"/>
      <c r="FO231" s="111">
        <v>16450.350000000002</v>
      </c>
      <c r="FP231" s="111">
        <v>14640.850000000002</v>
      </c>
      <c r="FQ231" s="124">
        <v>54898.200000000004</v>
      </c>
      <c r="FR231" s="124">
        <v>60388.020000000011</v>
      </c>
      <c r="FU231" s="111">
        <v>13646.520000000004</v>
      </c>
      <c r="FV231" s="124">
        <v>53852.520000000004</v>
      </c>
      <c r="FW231" s="124">
        <v>45774.642</v>
      </c>
      <c r="FX231" s="124">
        <v>50352.106200000002</v>
      </c>
      <c r="FY231" s="124">
        <v>55387.316820000007</v>
      </c>
      <c r="GA231" s="124">
        <v>43650.049999999996</v>
      </c>
      <c r="GB231" s="124">
        <v>48015.055</v>
      </c>
      <c r="GC231" s="124">
        <v>52816.560500000007</v>
      </c>
      <c r="GF231" s="111"/>
      <c r="GG231" s="111"/>
      <c r="GH231" s="111"/>
      <c r="GI231" s="124">
        <v>46217.700000000004</v>
      </c>
      <c r="GJ231" s="124">
        <v>50839.470000000008</v>
      </c>
      <c r="GK231" s="124">
        <v>55923.417000000016</v>
      </c>
      <c r="GN231" s="111"/>
      <c r="GO231" s="111"/>
      <c r="GP231" s="124">
        <v>49812.409999999996</v>
      </c>
      <c r="GQ231" s="124">
        <v>54793.650999999998</v>
      </c>
      <c r="GR231" s="124">
        <v>60273.016100000001</v>
      </c>
      <c r="GV231" s="111">
        <v>14714.650000000001</v>
      </c>
      <c r="GW231" s="124">
        <v>53920.65</v>
      </c>
      <c r="GX231" s="124">
        <v>59312.715000000004</v>
      </c>
      <c r="GY231" s="124">
        <v>68209.62225</v>
      </c>
      <c r="HC231" s="124">
        <v>17058.650000000001</v>
      </c>
      <c r="HD231" s="124">
        <v>57574.65</v>
      </c>
      <c r="HE231" s="124">
        <v>67938.087</v>
      </c>
      <c r="HF231" s="124">
        <v>74731.895700000008</v>
      </c>
      <c r="HI231" s="111">
        <v>13607.759999999998</v>
      </c>
      <c r="HJ231" s="111">
        <v>14620.199999999999</v>
      </c>
      <c r="HK231" s="111">
        <v>19580.919999999998</v>
      </c>
      <c r="HL231" s="111">
        <v>15494.580000000002</v>
      </c>
      <c r="HM231" s="124">
        <v>63303.46</v>
      </c>
      <c r="HN231" s="124">
        <v>69633.806000000011</v>
      </c>
      <c r="HO231" s="124">
        <v>76597.186600000015</v>
      </c>
      <c r="HR231" s="111">
        <v>14620.199999999999</v>
      </c>
      <c r="HS231" s="111">
        <v>19580.919999999998</v>
      </c>
      <c r="HT231" s="111">
        <v>16236.340000000004</v>
      </c>
      <c r="HU231" s="124">
        <v>63303.46</v>
      </c>
      <c r="HV231" s="124">
        <v>69633.806000000011</v>
      </c>
      <c r="HW231" s="124">
        <v>76597.186600000015</v>
      </c>
      <c r="HZ231" s="111">
        <v>19580.919999999998</v>
      </c>
      <c r="IA231" s="124">
        <v>63911.159999999996</v>
      </c>
      <c r="IB231" s="124">
        <v>70302.275999999998</v>
      </c>
      <c r="IC231" s="124">
        <v>77332.503600000011</v>
      </c>
      <c r="IE231" s="111">
        <v>16160.100000000006</v>
      </c>
      <c r="IF231" s="124">
        <v>56870.100000000006</v>
      </c>
      <c r="IG231" s="124">
        <v>62557.110000000008</v>
      </c>
      <c r="IH231" s="124">
        <v>68812.821000000011</v>
      </c>
      <c r="IK231" s="124">
        <v>62557.110000000008</v>
      </c>
      <c r="IL231" s="124">
        <v>68812.821000000011</v>
      </c>
      <c r="IO231" s="124">
        <v>64547.979999999996</v>
      </c>
      <c r="IP231" s="124">
        <v>71002.778000000006</v>
      </c>
      <c r="IS231" s="160">
        <v>63676.800000000003</v>
      </c>
      <c r="IT231" s="160">
        <v>70044.48000000001</v>
      </c>
      <c r="IU231" s="160">
        <v>77048.928000000014</v>
      </c>
      <c r="IX231" s="124">
        <v>18922.299999999996</v>
      </c>
      <c r="IY231" s="124">
        <v>62378.299999999996</v>
      </c>
      <c r="IZ231" s="124">
        <v>68616.13</v>
      </c>
      <c r="JA231" s="124">
        <v>75477.743000000017</v>
      </c>
      <c r="JD231" s="124">
        <v>64357.700000000004</v>
      </c>
      <c r="JE231" s="124">
        <v>73367.77800000002</v>
      </c>
      <c r="JH231" s="124">
        <v>62602.490000000005</v>
      </c>
      <c r="JI231" s="124">
        <v>71366.838600000017</v>
      </c>
      <c r="JJ231" s="124">
        <v>79930.859232000032</v>
      </c>
      <c r="JM231" s="124">
        <v>76035.697200000024</v>
      </c>
      <c r="JN231" s="124">
        <v>85159.980864000041</v>
      </c>
      <c r="JQ231" s="124">
        <v>64357.700000000004</v>
      </c>
      <c r="JR231" s="124">
        <v>73367.77800000002</v>
      </c>
      <c r="JS231" s="124">
        <v>82171.911360000027</v>
      </c>
      <c r="JV231" s="124">
        <v>69946.98000000001</v>
      </c>
      <c r="JW231" s="124">
        <v>78340.617600000012</v>
      </c>
      <c r="JY231" s="124">
        <v>69946.98000000001</v>
      </c>
      <c r="JZ231" s="124">
        <v>78340.617600000012</v>
      </c>
      <c r="KB231" s="124">
        <v>64424.850000000006</v>
      </c>
      <c r="KC231" s="124">
        <v>70867.335000000006</v>
      </c>
      <c r="KD231" s="124">
        <v>77954.068500000008</v>
      </c>
    </row>
    <row r="232" spans="2:290" x14ac:dyDescent="0.25">
      <c r="B232" s="11" t="s">
        <v>224</v>
      </c>
      <c r="C232" s="23"/>
      <c r="D232" s="23"/>
      <c r="E232" s="23"/>
      <c r="F232" s="23"/>
      <c r="G232" s="23"/>
      <c r="H232" s="197"/>
      <c r="I232" s="198"/>
      <c r="J232" s="198"/>
      <c r="K232" s="198"/>
      <c r="L232" s="198"/>
      <c r="M232" s="197"/>
      <c r="N232" s="198"/>
      <c r="O232" s="198"/>
      <c r="P232" s="198"/>
      <c r="Q232" s="198"/>
      <c r="R232" s="197"/>
      <c r="S232" s="198"/>
      <c r="T232" s="198"/>
      <c r="U232" s="198"/>
      <c r="V232" s="198"/>
      <c r="W232" s="197"/>
      <c r="X232" s="198"/>
      <c r="Y232" s="198"/>
      <c r="Z232" s="198"/>
      <c r="AA232" s="198"/>
      <c r="AB232" s="197"/>
      <c r="AC232" s="198"/>
      <c r="AD232" s="198"/>
      <c r="AE232" s="198"/>
      <c r="AF232" s="198"/>
      <c r="AG232" s="197"/>
      <c r="AH232" s="198"/>
      <c r="AI232" s="198"/>
      <c r="AJ232" s="198"/>
      <c r="AK232" s="197"/>
      <c r="AL232" s="198"/>
      <c r="AM232" s="198"/>
      <c r="AN232" s="198"/>
      <c r="AO232" s="198"/>
      <c r="AP232" s="197"/>
      <c r="AQ232" s="198"/>
      <c r="AR232" s="198"/>
      <c r="AS232" s="198"/>
      <c r="AT232" s="198"/>
      <c r="AU232" s="197"/>
      <c r="AV232" s="199"/>
      <c r="AW232" s="199"/>
      <c r="AX232" s="199"/>
      <c r="AY232" s="199"/>
      <c r="AZ232" s="197"/>
      <c r="BA232" s="199"/>
      <c r="BB232" s="199"/>
      <c r="BC232" s="199"/>
      <c r="BD232" s="199"/>
      <c r="BE232" s="197"/>
      <c r="BF232" s="199"/>
      <c r="BG232" s="199"/>
      <c r="BH232" s="199"/>
      <c r="BI232" s="199"/>
      <c r="BJ232" s="197">
        <v>71444</v>
      </c>
      <c r="BK232" s="199"/>
      <c r="BL232" s="199"/>
      <c r="BM232" s="199"/>
      <c r="BN232" s="199"/>
      <c r="BO232" s="197">
        <v>77540</v>
      </c>
      <c r="BP232" s="199"/>
      <c r="BQ232" s="199"/>
      <c r="BR232" s="199"/>
      <c r="BS232" s="199"/>
      <c r="BT232" s="197">
        <v>84780</v>
      </c>
      <c r="BU232" s="199"/>
      <c r="BV232" s="199"/>
      <c r="BW232" s="199"/>
      <c r="BX232" s="199"/>
      <c r="BY232" s="197">
        <v>90000</v>
      </c>
      <c r="BZ232" s="199"/>
      <c r="CA232" s="199"/>
      <c r="CB232" s="199"/>
      <c r="CC232" s="199"/>
      <c r="CD232" s="197">
        <v>90960</v>
      </c>
      <c r="CE232" s="199"/>
      <c r="CF232" s="199"/>
      <c r="CG232" s="199"/>
      <c r="CH232" s="199"/>
      <c r="CI232" s="197">
        <v>101676</v>
      </c>
      <c r="CJ232" s="197">
        <f t="shared" ref="CJ232" si="321">CI232+CJ240</f>
        <v>111676</v>
      </c>
      <c r="CK232" s="197">
        <f t="shared" si="320"/>
        <v>116676</v>
      </c>
      <c r="CL232" s="197">
        <f t="shared" si="320"/>
        <v>126676</v>
      </c>
      <c r="CM232" s="197">
        <f t="shared" si="320"/>
        <v>136676</v>
      </c>
      <c r="CN232" s="197">
        <f t="shared" si="320"/>
        <v>146676</v>
      </c>
      <c r="CO232" s="201"/>
      <c r="CP232" s="137"/>
      <c r="CQ232" s="6"/>
      <c r="CR232" s="6"/>
      <c r="CS232" s="6"/>
      <c r="CT232" s="124"/>
      <c r="CU232" s="124"/>
      <c r="CV232" s="124"/>
      <c r="CW232" s="124"/>
      <c r="CX232" s="124"/>
      <c r="CY232" s="124"/>
      <c r="CZ232" s="124"/>
      <c r="DA232" s="124"/>
      <c r="DB232" s="124"/>
      <c r="DC232" s="124"/>
      <c r="DD232" s="124"/>
      <c r="DE232" s="124"/>
      <c r="DF232" s="124"/>
      <c r="DG232" s="124"/>
      <c r="DH232" s="124"/>
      <c r="DI232" s="124"/>
      <c r="DK232" s="124"/>
      <c r="DL232" s="124"/>
      <c r="DM232" s="6"/>
      <c r="DN232" s="124"/>
      <c r="DO232" s="124"/>
      <c r="DQ232" s="136"/>
      <c r="DR232" s="124"/>
      <c r="DS232" s="124"/>
      <c r="DT232" s="124"/>
      <c r="DV232" s="124"/>
      <c r="DW232" s="124"/>
      <c r="DX232" s="124"/>
      <c r="EA232" s="111"/>
      <c r="EB232" s="111"/>
      <c r="EC232" s="111"/>
      <c r="ED232" s="124"/>
      <c r="EE232" s="124"/>
      <c r="EF232" s="124"/>
      <c r="EJ232" s="111"/>
      <c r="EK232" s="111"/>
      <c r="EL232" s="124"/>
      <c r="EM232" s="124"/>
      <c r="EN232" s="124"/>
      <c r="EP232" s="111"/>
      <c r="EQ232" s="124"/>
      <c r="ER232" s="124"/>
      <c r="ES232" s="124"/>
      <c r="EV232" s="111"/>
      <c r="EW232" s="111"/>
      <c r="EX232" s="111"/>
      <c r="EY232" s="111"/>
      <c r="EZ232" s="124"/>
      <c r="FA232" s="124"/>
      <c r="FD232" s="111"/>
      <c r="FE232" s="111"/>
      <c r="FF232" s="111"/>
      <c r="FG232" s="124"/>
      <c r="FH232" s="124"/>
      <c r="FK232" s="124"/>
      <c r="FL232" s="124"/>
      <c r="FO232" s="111">
        <v>9885</v>
      </c>
      <c r="FP232" s="111">
        <v>12089.849999999999</v>
      </c>
      <c r="FQ232" s="124">
        <v>42296.85</v>
      </c>
      <c r="FR232" s="124">
        <v>45257.629500000003</v>
      </c>
      <c r="FU232" s="111">
        <v>10057.239999999998</v>
      </c>
      <c r="FV232" s="124">
        <v>39180.239999999998</v>
      </c>
      <c r="FW232" s="124">
        <v>33303.203999999998</v>
      </c>
      <c r="FX232" s="124">
        <v>35634.42828</v>
      </c>
      <c r="FY232" s="124">
        <v>38128.838259600001</v>
      </c>
      <c r="GA232" s="124">
        <v>27031.899999999998</v>
      </c>
      <c r="GB232" s="124">
        <v>28924.132999999998</v>
      </c>
      <c r="GC232" s="124">
        <v>30948.82231</v>
      </c>
      <c r="GF232" s="111"/>
      <c r="GG232" s="111"/>
      <c r="GH232" s="111"/>
      <c r="GI232" s="124">
        <v>28962.75</v>
      </c>
      <c r="GJ232" s="124">
        <v>30990.142500000002</v>
      </c>
      <c r="GK232" s="124">
        <v>33159.452475000006</v>
      </c>
      <c r="GN232" s="111"/>
      <c r="GO232" s="111"/>
      <c r="GP232" s="124">
        <v>34755.300000000003</v>
      </c>
      <c r="GQ232" s="124">
        <v>37188.171000000002</v>
      </c>
      <c r="GR232" s="124">
        <v>39791.342970000005</v>
      </c>
      <c r="GV232" s="111">
        <v>13227.020000000004</v>
      </c>
      <c r="GW232" s="124">
        <v>40934.020000000004</v>
      </c>
      <c r="GX232" s="124">
        <v>45846.102400000011</v>
      </c>
      <c r="GY232" s="124">
        <v>52723.01776000001</v>
      </c>
      <c r="HC232" s="124">
        <v>12886.649999999994</v>
      </c>
      <c r="HD232" s="124">
        <v>47668.649999999994</v>
      </c>
      <c r="HE232" s="124">
        <v>54818.947499999987</v>
      </c>
      <c r="HF232" s="124">
        <v>60300.842249999994</v>
      </c>
      <c r="HI232" s="111">
        <v>10938.8</v>
      </c>
      <c r="HJ232" s="111">
        <v>14840.749999999998</v>
      </c>
      <c r="HK232" s="111">
        <v>14219.749999999998</v>
      </c>
      <c r="HL232" s="111">
        <v>15827.449999999999</v>
      </c>
      <c r="HM232" s="124">
        <v>55826.749999999993</v>
      </c>
      <c r="HN232" s="124">
        <v>61409.424999999996</v>
      </c>
      <c r="HO232" s="124">
        <v>67550.367500000008</v>
      </c>
      <c r="HR232" s="111">
        <v>14840.749999999998</v>
      </c>
      <c r="HS232" s="111">
        <v>14219.749999999998</v>
      </c>
      <c r="HT232" s="111">
        <v>13865.249999999995</v>
      </c>
      <c r="HU232" s="124">
        <v>55826.749999999993</v>
      </c>
      <c r="HV232" s="124">
        <v>61409.424999999996</v>
      </c>
      <c r="HW232" s="124">
        <v>67550.367500000008</v>
      </c>
      <c r="HZ232" s="111">
        <v>14219.749999999998</v>
      </c>
      <c r="IA232" s="124">
        <v>55234.499999999993</v>
      </c>
      <c r="IB232" s="124">
        <v>60757.95</v>
      </c>
      <c r="IC232" s="124">
        <v>66833.744999999995</v>
      </c>
      <c r="IE232" s="111">
        <v>15184</v>
      </c>
      <c r="IF232" s="124">
        <v>57636</v>
      </c>
      <c r="IG232" s="124">
        <v>63399.600000000006</v>
      </c>
      <c r="IH232" s="124">
        <v>69739.560000000012</v>
      </c>
      <c r="IK232" s="124">
        <v>63399.600000000006</v>
      </c>
      <c r="IL232" s="124">
        <v>69739.560000000012</v>
      </c>
      <c r="IO232" s="124">
        <v>64856.000000000007</v>
      </c>
      <c r="IP232" s="124">
        <v>71341.60000000002</v>
      </c>
      <c r="IS232" s="160">
        <v>19713.240000000002</v>
      </c>
      <c r="IT232" s="160">
        <v>21684.564000000002</v>
      </c>
      <c r="IU232" s="160">
        <v>23853.020400000005</v>
      </c>
      <c r="IX232" s="124">
        <v>18611.800000000003</v>
      </c>
      <c r="IY232" s="124">
        <v>63676.800000000003</v>
      </c>
      <c r="IZ232" s="124">
        <v>70044.48000000001</v>
      </c>
      <c r="JA232" s="124">
        <v>77048.928000000014</v>
      </c>
      <c r="JD232" s="124">
        <v>68129.600000000006</v>
      </c>
      <c r="JE232" s="124">
        <v>76305.152000000016</v>
      </c>
      <c r="JH232" s="124">
        <v>66271.520000000004</v>
      </c>
      <c r="JI232" s="124">
        <v>74224.102400000018</v>
      </c>
      <c r="JJ232" s="124">
        <v>83130.994688000035</v>
      </c>
      <c r="JM232" s="124">
        <v>74224.102400000018</v>
      </c>
      <c r="JN232" s="124">
        <v>83130.994688000035</v>
      </c>
      <c r="JQ232" s="124">
        <v>64413.440000000002</v>
      </c>
      <c r="JR232" s="124">
        <v>70854.784000000014</v>
      </c>
      <c r="JS232" s="124">
        <v>77940.262400000021</v>
      </c>
      <c r="JV232" s="124">
        <v>70699.200000000012</v>
      </c>
      <c r="JW232" s="124">
        <v>77769.120000000024</v>
      </c>
      <c r="JY232" s="124">
        <v>70699.200000000012</v>
      </c>
      <c r="JZ232" s="124">
        <v>77769.120000000024</v>
      </c>
      <c r="KB232" s="124">
        <v>64272</v>
      </c>
      <c r="KC232" s="124">
        <v>68771.040000000008</v>
      </c>
      <c r="KD232" s="124">
        <v>73585.012800000011</v>
      </c>
    </row>
    <row r="233" spans="2:290" x14ac:dyDescent="0.25">
      <c r="B233" s="11" t="s">
        <v>225</v>
      </c>
      <c r="C233" s="23"/>
      <c r="D233" s="23"/>
      <c r="E233" s="23"/>
      <c r="F233" s="23"/>
      <c r="G233" s="23"/>
      <c r="H233" s="197"/>
      <c r="I233" s="198"/>
      <c r="J233" s="198"/>
      <c r="K233" s="198"/>
      <c r="L233" s="198"/>
      <c r="M233" s="197"/>
      <c r="N233" s="198"/>
      <c r="O233" s="198"/>
      <c r="P233" s="198"/>
      <c r="Q233" s="198"/>
      <c r="R233" s="197"/>
      <c r="S233" s="198"/>
      <c r="T233" s="198"/>
      <c r="U233" s="198"/>
      <c r="V233" s="198"/>
      <c r="W233" s="197"/>
      <c r="X233" s="198"/>
      <c r="Y233" s="198"/>
      <c r="Z233" s="198"/>
      <c r="AA233" s="198"/>
      <c r="AB233" s="197"/>
      <c r="AC233" s="198"/>
      <c r="AD233" s="198"/>
      <c r="AE233" s="198"/>
      <c r="AF233" s="198"/>
      <c r="AG233" s="197"/>
      <c r="AH233" s="198"/>
      <c r="AI233" s="198"/>
      <c r="AJ233" s="198"/>
      <c r="AK233" s="197"/>
      <c r="AL233" s="198"/>
      <c r="AM233" s="198"/>
      <c r="AN233" s="198"/>
      <c r="AO233" s="198"/>
      <c r="AP233" s="197"/>
      <c r="AQ233" s="198"/>
      <c r="AR233" s="198"/>
      <c r="AS233" s="198"/>
      <c r="AT233" s="198"/>
      <c r="AU233" s="197"/>
      <c r="AV233" s="199"/>
      <c r="AW233" s="199"/>
      <c r="AX233" s="199"/>
      <c r="AY233" s="199"/>
      <c r="AZ233" s="197"/>
      <c r="BA233" s="199"/>
      <c r="BB233" s="199"/>
      <c r="BC233" s="199"/>
      <c r="BD233" s="199"/>
      <c r="BE233" s="197"/>
      <c r="BF233" s="199"/>
      <c r="BG233" s="199"/>
      <c r="BH233" s="199"/>
      <c r="BI233" s="199"/>
      <c r="BJ233" s="197">
        <v>30588</v>
      </c>
      <c r="BK233" s="199"/>
      <c r="BL233" s="199"/>
      <c r="BM233" s="199"/>
      <c r="BN233" s="199"/>
      <c r="BO233" s="197">
        <v>30648</v>
      </c>
      <c r="BP233" s="199"/>
      <c r="BQ233" s="199"/>
      <c r="BR233" s="199"/>
      <c r="BS233" s="199"/>
      <c r="BT233" s="197">
        <v>29040</v>
      </c>
      <c r="BU233" s="199"/>
      <c r="BV233" s="199"/>
      <c r="BW233" s="199"/>
      <c r="BX233" s="199"/>
      <c r="BY233" s="197">
        <v>29160</v>
      </c>
      <c r="BZ233" s="199"/>
      <c r="CA233" s="199"/>
      <c r="CB233" s="199"/>
      <c r="CC233" s="199"/>
      <c r="CD233" s="197">
        <v>27540</v>
      </c>
      <c r="CE233" s="199"/>
      <c r="CF233" s="199"/>
      <c r="CG233" s="199"/>
      <c r="CH233" s="199"/>
      <c r="CI233" s="197">
        <v>27840</v>
      </c>
      <c r="CJ233" s="197">
        <f t="shared" ref="CJ233" si="322">CI233+CJ241</f>
        <v>27840</v>
      </c>
      <c r="CK233" s="197">
        <f t="shared" si="320"/>
        <v>32840</v>
      </c>
      <c r="CL233" s="197">
        <f t="shared" si="320"/>
        <v>32840</v>
      </c>
      <c r="CM233" s="197">
        <f t="shared" si="320"/>
        <v>37840</v>
      </c>
      <c r="CN233" s="197">
        <f t="shared" ca="1" si="320"/>
        <v>37840</v>
      </c>
      <c r="CO233" s="201"/>
      <c r="CP233" s="137"/>
      <c r="CQ233" s="6"/>
      <c r="CR233" s="6"/>
      <c r="CS233" s="6"/>
      <c r="CT233" s="124"/>
      <c r="CU233" s="124"/>
      <c r="CV233" s="124"/>
      <c r="CW233" s="124"/>
      <c r="CX233" s="124"/>
      <c r="CY233" s="124"/>
      <c r="CZ233" s="124"/>
      <c r="DA233" s="124"/>
      <c r="DB233" s="124"/>
      <c r="DC233" s="124"/>
      <c r="DD233" s="124"/>
      <c r="DE233" s="124"/>
      <c r="DF233" s="124"/>
      <c r="DG233" s="124"/>
      <c r="DH233" s="124"/>
      <c r="DI233" s="124"/>
      <c r="DK233" s="124"/>
      <c r="DL233" s="124"/>
      <c r="DM233" s="6"/>
      <c r="DN233" s="124"/>
      <c r="DO233" s="124"/>
      <c r="DQ233" s="136"/>
      <c r="DR233" s="124"/>
      <c r="DS233" s="124"/>
      <c r="DT233" s="124"/>
      <c r="DV233" s="124"/>
      <c r="DW233" s="124"/>
      <c r="DX233" s="124"/>
      <c r="EA233" s="111"/>
      <c r="EB233" s="111"/>
      <c r="EC233" s="111"/>
      <c r="ED233" s="124"/>
      <c r="EE233" s="124"/>
      <c r="EF233" s="124"/>
      <c r="EJ233" s="111"/>
      <c r="EK233" s="111"/>
      <c r="EL233" s="124"/>
      <c r="EM233" s="124"/>
      <c r="EN233" s="124"/>
      <c r="EP233" s="111"/>
      <c r="EQ233" s="124"/>
      <c r="ER233" s="124"/>
      <c r="ES233" s="124"/>
      <c r="EV233" s="111"/>
      <c r="EW233" s="111"/>
      <c r="EX233" s="111"/>
      <c r="EY233" s="111"/>
      <c r="EZ233" s="124"/>
      <c r="FA233" s="124"/>
      <c r="FD233" s="111"/>
      <c r="FE233" s="111"/>
      <c r="FF233" s="111"/>
      <c r="FG233" s="124"/>
      <c r="FH233" s="124"/>
      <c r="FK233" s="124"/>
      <c r="FL233" s="124"/>
      <c r="FO233" s="111">
        <v>5512.08</v>
      </c>
      <c r="FP233" s="111">
        <v>6785.76</v>
      </c>
      <c r="FQ233" s="124">
        <v>22070.84</v>
      </c>
      <c r="FR233" s="124">
        <v>23836.5072</v>
      </c>
      <c r="FU233" s="111">
        <v>5250.16</v>
      </c>
      <c r="FV233" s="124">
        <v>20785.16</v>
      </c>
      <c r="FW233" s="124">
        <v>16628.128000000001</v>
      </c>
      <c r="FX233" s="124">
        <v>17958.378240000002</v>
      </c>
      <c r="FY233" s="124">
        <v>19395.048499200002</v>
      </c>
      <c r="GA233" s="124">
        <v>13506.35</v>
      </c>
      <c r="GB233" s="124">
        <v>14586.858000000002</v>
      </c>
      <c r="GC233" s="124">
        <v>15753.806640000003</v>
      </c>
      <c r="GF233" s="111"/>
      <c r="GG233" s="111"/>
      <c r="GH233" s="111"/>
      <c r="GI233" s="124">
        <v>18701.100000000002</v>
      </c>
      <c r="GJ233" s="124">
        <v>20197.188000000002</v>
      </c>
      <c r="GK233" s="124">
        <v>21812.963040000002</v>
      </c>
      <c r="GN233" s="111"/>
      <c r="GO233" s="111"/>
      <c r="GP233" s="124">
        <v>19740.05</v>
      </c>
      <c r="GQ233" s="124">
        <v>21319.254000000001</v>
      </c>
      <c r="GR233" s="124">
        <v>23024.794320000001</v>
      </c>
      <c r="GV233" s="111">
        <v>7142.0499999999993</v>
      </c>
      <c r="GW233" s="124">
        <v>19740.05</v>
      </c>
      <c r="GX233" s="124">
        <v>21319.254000000001</v>
      </c>
      <c r="GY233" s="124">
        <v>23024.794320000001</v>
      </c>
      <c r="HC233" s="124">
        <v>7177.4000000000015</v>
      </c>
      <c r="HD233" s="124">
        <v>19391.400000000001</v>
      </c>
      <c r="HE233" s="124">
        <v>20942.712000000003</v>
      </c>
      <c r="HF233" s="124">
        <v>23036.983200000006</v>
      </c>
      <c r="HI233" s="111">
        <v>2277.7200000000003</v>
      </c>
      <c r="HJ233" s="111">
        <v>5289.84</v>
      </c>
      <c r="HK233" s="111">
        <v>5623.56</v>
      </c>
      <c r="HL233" s="111">
        <v>5622.4800000000005</v>
      </c>
      <c r="HM233" s="124">
        <v>18813.600000000002</v>
      </c>
      <c r="HN233" s="124">
        <v>20694.960000000003</v>
      </c>
      <c r="HO233" s="124">
        <v>22764.456000000006</v>
      </c>
      <c r="HR233" s="111">
        <v>5289.84</v>
      </c>
      <c r="HS233" s="111">
        <v>5623.56</v>
      </c>
      <c r="HT233" s="111">
        <v>4169.2000000000016</v>
      </c>
      <c r="HU233" s="124">
        <v>18813.600000000002</v>
      </c>
      <c r="HV233" s="124">
        <v>20694.960000000003</v>
      </c>
      <c r="HW233" s="124">
        <v>22764.456000000006</v>
      </c>
      <c r="HZ233" s="111">
        <v>5623.56</v>
      </c>
      <c r="IA233" s="124">
        <v>18813.600000000002</v>
      </c>
      <c r="IB233" s="124">
        <v>20694.960000000003</v>
      </c>
      <c r="IC233" s="124">
        <v>22764.456000000006</v>
      </c>
      <c r="IE233" s="111">
        <v>5119</v>
      </c>
      <c r="IF233" s="124">
        <v>18291</v>
      </c>
      <c r="IG233" s="124">
        <v>20120.100000000002</v>
      </c>
      <c r="IH233" s="124">
        <v>22132.110000000004</v>
      </c>
      <c r="IK233" s="124">
        <v>20120.100000000002</v>
      </c>
      <c r="IL233" s="124">
        <v>22132.110000000004</v>
      </c>
      <c r="IO233" s="124">
        <v>19713.240000000002</v>
      </c>
      <c r="IP233" s="124">
        <v>21684.564000000002</v>
      </c>
      <c r="IS233" s="160"/>
      <c r="IT233" s="160"/>
      <c r="IU233" s="160"/>
      <c r="IX233" s="124">
        <v>6108.2400000000016</v>
      </c>
      <c r="IY233" s="124">
        <v>19713.240000000002</v>
      </c>
      <c r="IZ233" s="124">
        <v>21684.564000000002</v>
      </c>
      <c r="JA233" s="124">
        <v>23853.020400000005</v>
      </c>
      <c r="JD233" s="124">
        <v>20082.7</v>
      </c>
      <c r="JE233" s="124">
        <v>22492.624000000003</v>
      </c>
      <c r="JH233" s="124">
        <v>19534.990000000002</v>
      </c>
      <c r="JI233" s="124">
        <v>21879.188800000004</v>
      </c>
      <c r="JJ233" s="124">
        <v>24504.691456000008</v>
      </c>
      <c r="JM233" s="124">
        <v>20856.7968</v>
      </c>
      <c r="JN233" s="124">
        <v>23359.612416000004</v>
      </c>
      <c r="JQ233" s="124">
        <v>17709.29</v>
      </c>
      <c r="JR233" s="124">
        <v>18948.940300000002</v>
      </c>
      <c r="JS233" s="124">
        <v>20275.366121000003</v>
      </c>
      <c r="JV233" s="124">
        <v>18990.36</v>
      </c>
      <c r="JW233" s="124">
        <v>20319.685200000004</v>
      </c>
      <c r="JY233" s="124">
        <v>18990.36</v>
      </c>
      <c r="JZ233" s="124">
        <v>20319.685200000004</v>
      </c>
      <c r="KB233" s="124">
        <v>18102.96</v>
      </c>
      <c r="KC233" s="124">
        <v>19370.1672</v>
      </c>
      <c r="KD233" s="124">
        <v>20726.078904000002</v>
      </c>
    </row>
    <row r="234" spans="2:290" x14ac:dyDescent="0.25">
      <c r="B234" s="11" t="s">
        <v>226</v>
      </c>
      <c r="C234" s="23"/>
      <c r="D234" s="23"/>
      <c r="E234" s="23"/>
      <c r="F234" s="23"/>
      <c r="G234" s="23"/>
      <c r="H234" s="197"/>
      <c r="I234" s="198"/>
      <c r="J234" s="198"/>
      <c r="K234" s="198"/>
      <c r="L234" s="198"/>
      <c r="M234" s="197"/>
      <c r="N234" s="198"/>
      <c r="O234" s="198"/>
      <c r="P234" s="198"/>
      <c r="Q234" s="198"/>
      <c r="R234" s="197"/>
      <c r="S234" s="198"/>
      <c r="T234" s="198"/>
      <c r="U234" s="198"/>
      <c r="V234" s="198"/>
      <c r="W234" s="197"/>
      <c r="X234" s="198"/>
      <c r="Y234" s="198"/>
      <c r="Z234" s="198"/>
      <c r="AA234" s="198"/>
      <c r="AB234" s="197"/>
      <c r="AC234" s="198"/>
      <c r="AD234" s="198"/>
      <c r="AE234" s="198"/>
      <c r="AF234" s="198"/>
      <c r="AG234" s="197"/>
      <c r="AH234" s="198"/>
      <c r="AI234" s="198"/>
      <c r="AJ234" s="198"/>
      <c r="AK234" s="197"/>
      <c r="AL234" s="198"/>
      <c r="AM234" s="198"/>
      <c r="AN234" s="198"/>
      <c r="AO234" s="198"/>
      <c r="AP234" s="197"/>
      <c r="AQ234" s="198"/>
      <c r="AR234" s="198"/>
      <c r="AS234" s="198"/>
      <c r="AT234" s="198"/>
      <c r="AU234" s="197"/>
      <c r="AV234" s="199"/>
      <c r="AW234" s="199"/>
      <c r="AX234" s="199"/>
      <c r="AY234" s="199"/>
      <c r="AZ234" s="197"/>
      <c r="BA234" s="199"/>
      <c r="BB234" s="199"/>
      <c r="BC234" s="199"/>
      <c r="BD234" s="199"/>
      <c r="BE234" s="197"/>
      <c r="BF234" s="199"/>
      <c r="BG234" s="199"/>
      <c r="BH234" s="199"/>
      <c r="BI234" s="199"/>
      <c r="BJ234" s="197"/>
      <c r="BK234" s="199"/>
      <c r="BL234" s="199"/>
      <c r="BM234" s="199"/>
      <c r="BN234" s="199"/>
      <c r="BO234" s="197"/>
      <c r="BP234" s="199"/>
      <c r="BQ234" s="199"/>
      <c r="BR234" s="199"/>
      <c r="BS234" s="199"/>
      <c r="BT234" s="197"/>
      <c r="BU234" s="199"/>
      <c r="BV234" s="199"/>
      <c r="BW234" s="199"/>
      <c r="BX234" s="199"/>
      <c r="BY234" s="197"/>
      <c r="BZ234" s="199"/>
      <c r="CA234" s="199"/>
      <c r="CB234" s="199"/>
      <c r="CC234" s="199"/>
      <c r="CD234" s="197"/>
      <c r="CE234" s="199"/>
      <c r="CF234" s="199"/>
      <c r="CG234" s="199"/>
      <c r="CH234" s="199"/>
      <c r="CI234" s="197">
        <v>5000</v>
      </c>
      <c r="CJ234" s="197">
        <v>5000</v>
      </c>
      <c r="CK234" s="197">
        <v>5000</v>
      </c>
      <c r="CL234" s="197">
        <f>CK234+CL242</f>
        <v>10000</v>
      </c>
      <c r="CM234" s="197">
        <f>CL234+CM242</f>
        <v>10000</v>
      </c>
      <c r="CN234" s="197">
        <f ca="1">CM234+CN242</f>
        <v>10000</v>
      </c>
      <c r="CO234" s="201"/>
      <c r="CP234" s="137"/>
      <c r="CQ234" s="6"/>
      <c r="CR234" s="6"/>
      <c r="CS234" s="6"/>
      <c r="CT234" s="124"/>
      <c r="CU234" s="124"/>
      <c r="CV234" s="124"/>
      <c r="CW234" s="124"/>
      <c r="CX234" s="124"/>
      <c r="CY234" s="124"/>
      <c r="CZ234" s="124"/>
      <c r="DA234" s="124"/>
      <c r="DB234" s="124"/>
      <c r="DC234" s="124"/>
      <c r="DD234" s="124"/>
      <c r="DE234" s="124"/>
      <c r="DF234" s="124"/>
      <c r="DG234" s="124"/>
      <c r="DH234" s="124"/>
      <c r="DI234" s="124"/>
      <c r="DK234" s="124"/>
      <c r="DL234" s="124"/>
      <c r="DM234" s="6"/>
      <c r="DN234" s="124"/>
      <c r="DO234" s="124"/>
      <c r="DQ234" s="136"/>
      <c r="DR234" s="124"/>
      <c r="DS234" s="124"/>
      <c r="DT234" s="124"/>
      <c r="DV234" s="124"/>
      <c r="DW234" s="124"/>
      <c r="DX234" s="124"/>
      <c r="EA234" s="111"/>
      <c r="EB234" s="111"/>
      <c r="EC234" s="111"/>
      <c r="ED234" s="124"/>
      <c r="EE234" s="124"/>
      <c r="EF234" s="124"/>
      <c r="EJ234" s="111"/>
      <c r="EK234" s="111"/>
      <c r="EL234" s="124"/>
      <c r="EM234" s="124"/>
      <c r="EN234" s="124"/>
      <c r="EP234" s="111"/>
      <c r="EQ234" s="124"/>
      <c r="ER234" s="124"/>
      <c r="ES234" s="124"/>
      <c r="EV234" s="111"/>
      <c r="EW234" s="111"/>
      <c r="EX234" s="111"/>
      <c r="EY234" s="111"/>
      <c r="EZ234" s="124"/>
      <c r="FA234" s="124"/>
      <c r="FD234" s="111"/>
      <c r="FE234" s="111"/>
      <c r="FF234" s="111"/>
      <c r="FG234" s="124"/>
      <c r="FH234" s="124"/>
      <c r="FK234" s="124"/>
      <c r="FL234" s="124"/>
      <c r="FO234" s="111"/>
      <c r="FP234" s="111"/>
      <c r="FQ234" s="124"/>
      <c r="FR234" s="124"/>
      <c r="FU234" s="111"/>
      <c r="FV234" s="124"/>
      <c r="FW234" s="124"/>
      <c r="FX234" s="124"/>
      <c r="FY234" s="124"/>
      <c r="GA234" s="124"/>
      <c r="GB234" s="124"/>
      <c r="GC234" s="124"/>
      <c r="GF234" s="111"/>
      <c r="GG234" s="111"/>
      <c r="GH234" s="111"/>
      <c r="GI234" s="124"/>
      <c r="GJ234" s="124"/>
      <c r="GK234" s="124"/>
      <c r="GN234" s="111"/>
      <c r="GO234" s="111"/>
      <c r="GP234" s="124"/>
      <c r="GQ234" s="124"/>
      <c r="GR234" s="124"/>
      <c r="GV234" s="111"/>
      <c r="GW234" s="124"/>
      <c r="GX234" s="124"/>
      <c r="GY234" s="124"/>
      <c r="HC234" s="124"/>
      <c r="HD234" s="124"/>
      <c r="HE234" s="124"/>
      <c r="HF234" s="124"/>
      <c r="HI234" s="111"/>
      <c r="HJ234" s="111"/>
      <c r="HK234" s="111"/>
      <c r="HL234" s="111"/>
      <c r="HM234" s="124"/>
      <c r="HN234" s="124"/>
      <c r="HO234" s="124"/>
      <c r="HR234" s="111"/>
      <c r="HS234" s="111"/>
      <c r="HT234" s="111"/>
      <c r="HU234" s="124"/>
      <c r="HV234" s="124"/>
      <c r="HW234" s="124"/>
      <c r="HZ234" s="111"/>
      <c r="IA234" s="124"/>
      <c r="IB234" s="124"/>
      <c r="IC234" s="124"/>
      <c r="IE234" s="111"/>
      <c r="IF234" s="124"/>
      <c r="IG234" s="124"/>
      <c r="IH234" s="124"/>
      <c r="IK234" s="124"/>
      <c r="IL234" s="124"/>
      <c r="IO234" s="124"/>
      <c r="IP234" s="124"/>
      <c r="IS234" s="160"/>
      <c r="IT234" s="160"/>
      <c r="IU234" s="160"/>
      <c r="IX234" s="124"/>
      <c r="IY234" s="124"/>
      <c r="IZ234" s="124"/>
      <c r="JA234" s="124"/>
      <c r="JD234" s="124"/>
      <c r="JE234" s="124"/>
      <c r="JH234" s="124"/>
      <c r="JI234" s="124"/>
      <c r="JJ234" s="124"/>
      <c r="JM234" s="124"/>
      <c r="JN234" s="124"/>
      <c r="JQ234" s="124"/>
      <c r="JR234" s="124"/>
      <c r="JS234" s="124"/>
      <c r="JV234" s="124"/>
      <c r="JW234" s="124"/>
      <c r="JY234" s="124"/>
      <c r="JZ234" s="124"/>
      <c r="KB234" s="124"/>
      <c r="KC234" s="124"/>
      <c r="KD234" s="124"/>
    </row>
    <row r="235" spans="2:290" s="60" customFormat="1" x14ac:dyDescent="0.25">
      <c r="B235" s="34" t="s">
        <v>252</v>
      </c>
      <c r="C235" s="99"/>
      <c r="D235" s="99"/>
      <c r="E235" s="99"/>
      <c r="F235" s="99"/>
      <c r="G235" s="99"/>
      <c r="H235" s="83"/>
      <c r="I235" s="62"/>
      <c r="J235" s="62"/>
      <c r="K235" s="62"/>
      <c r="L235" s="62"/>
      <c r="M235" s="83"/>
      <c r="N235" s="62"/>
      <c r="O235" s="62"/>
      <c r="P235" s="62"/>
      <c r="Q235" s="62"/>
      <c r="R235" s="83"/>
      <c r="S235" s="62"/>
      <c r="T235" s="62"/>
      <c r="U235" s="62"/>
      <c r="V235" s="62"/>
      <c r="W235" s="83"/>
      <c r="X235" s="62"/>
      <c r="Y235" s="62"/>
      <c r="Z235" s="62"/>
      <c r="AA235" s="62"/>
      <c r="AB235" s="83"/>
      <c r="AC235" s="62"/>
      <c r="AD235" s="62"/>
      <c r="AE235" s="62"/>
      <c r="AF235" s="62"/>
      <c r="AG235" s="83"/>
      <c r="AH235" s="62"/>
      <c r="AI235" s="62"/>
      <c r="AJ235" s="62"/>
      <c r="AK235" s="83"/>
      <c r="AL235" s="62"/>
      <c r="AM235" s="62"/>
      <c r="AN235" s="62"/>
      <c r="AO235" s="62"/>
      <c r="AP235" s="83"/>
      <c r="AQ235" s="62"/>
      <c r="AR235" s="62"/>
      <c r="AS235" s="62"/>
      <c r="AT235" s="62"/>
      <c r="AU235" s="83"/>
      <c r="AV235" s="62"/>
      <c r="AW235" s="62"/>
      <c r="AX235" s="62"/>
      <c r="AY235" s="62"/>
      <c r="AZ235" s="83"/>
      <c r="BA235" s="62"/>
      <c r="BB235" s="62"/>
      <c r="BC235" s="62"/>
      <c r="BD235" s="62"/>
      <c r="BE235" s="83"/>
      <c r="BF235" s="62"/>
      <c r="BG235" s="62"/>
      <c r="BH235" s="62"/>
      <c r="BI235" s="62"/>
      <c r="BJ235" s="83">
        <f>SUM(BJ230:BJ233)</f>
        <v>697873</v>
      </c>
      <c r="BK235" s="62"/>
      <c r="BL235" s="62"/>
      <c r="BM235" s="62"/>
      <c r="BN235" s="62"/>
      <c r="BO235" s="83">
        <f>SUM(BO230:BO233)</f>
        <v>725709</v>
      </c>
      <c r="BP235" s="62"/>
      <c r="BQ235" s="62"/>
      <c r="BR235" s="62"/>
      <c r="BS235" s="62"/>
      <c r="BT235" s="83">
        <f>SUM(BT230:BT233)</f>
        <v>806922</v>
      </c>
      <c r="BU235" s="62"/>
      <c r="BV235" s="62"/>
      <c r="BW235" s="62"/>
      <c r="BX235" s="62"/>
      <c r="BY235" s="83">
        <f>SUM(BY230:BY233)</f>
        <v>951998</v>
      </c>
      <c r="BZ235" s="62"/>
      <c r="CA235" s="62"/>
      <c r="CB235" s="62"/>
      <c r="CC235" s="62"/>
      <c r="CD235" s="83">
        <f>SUM(CD230:CD233)</f>
        <v>1091752</v>
      </c>
      <c r="CE235" s="62"/>
      <c r="CF235" s="62"/>
      <c r="CG235" s="62"/>
      <c r="CH235" s="62"/>
      <c r="CI235" s="83">
        <f>SUM(CI230:CI234)</f>
        <v>1242965</v>
      </c>
      <c r="CJ235" s="83">
        <f>SUM(CJ230:CJ234)</f>
        <v>1352965</v>
      </c>
      <c r="CK235" s="83">
        <f>SUM(CK229:CK234)</f>
        <v>1517965</v>
      </c>
      <c r="CL235" s="83">
        <f t="shared" ref="CL235:CN235" si="323">SUM(CL229:CL234)</f>
        <v>1692965</v>
      </c>
      <c r="CM235" s="83">
        <f t="shared" si="323"/>
        <v>1897965</v>
      </c>
      <c r="CN235" s="83">
        <f t="shared" ca="1" si="323"/>
        <v>2067965</v>
      </c>
      <c r="CO235" s="201"/>
      <c r="CP235" s="148"/>
      <c r="CQ235" s="58"/>
      <c r="CR235" s="58"/>
      <c r="CS235" s="58">
        <v>14.31</v>
      </c>
      <c r="CT235" s="143"/>
      <c r="CU235" s="143"/>
      <c r="CV235" s="143"/>
      <c r="CW235" s="143"/>
      <c r="CX235" s="143"/>
      <c r="CY235" s="143"/>
      <c r="CZ235" s="143"/>
      <c r="DA235" s="143"/>
      <c r="DB235" s="143"/>
      <c r="DC235" s="143"/>
      <c r="DD235" s="143"/>
      <c r="DE235" s="143"/>
      <c r="DF235" s="143"/>
      <c r="DG235" s="143"/>
      <c r="DH235" s="143"/>
      <c r="DI235" s="143"/>
      <c r="DK235" s="143"/>
      <c r="DL235" s="143"/>
      <c r="DM235" s="58"/>
      <c r="DN235" s="143"/>
      <c r="DO235" s="143"/>
      <c r="DQ235" s="4"/>
      <c r="DR235" s="143"/>
      <c r="DS235" s="143"/>
      <c r="DT235" s="143"/>
      <c r="DV235" s="143"/>
      <c r="DW235" s="143"/>
      <c r="DX235" s="143"/>
      <c r="EA235" s="119"/>
      <c r="EB235" s="119"/>
      <c r="EC235" s="119"/>
      <c r="ED235" s="143"/>
      <c r="EE235" s="143"/>
      <c r="EF235" s="143"/>
      <c r="EJ235" s="119">
        <v>106410.70000000001</v>
      </c>
      <c r="EK235" s="119">
        <v>118804.90000000002</v>
      </c>
      <c r="EL235" s="143">
        <v>408293.60000000003</v>
      </c>
      <c r="EM235" s="143">
        <v>449122.96000000008</v>
      </c>
      <c r="EN235" s="143">
        <v>494035.25600000011</v>
      </c>
      <c r="EP235" s="119">
        <v>111242.44</v>
      </c>
      <c r="EQ235" s="143">
        <v>395302.44</v>
      </c>
      <c r="ER235" s="143">
        <v>442738.73280000006</v>
      </c>
      <c r="ES235" s="143">
        <v>487012.60608000011</v>
      </c>
      <c r="EV235" s="119">
        <v>113428</v>
      </c>
      <c r="EW235" s="119">
        <v>91490.3</v>
      </c>
      <c r="EX235" s="119">
        <v>111080.20000000001</v>
      </c>
      <c r="EY235" s="119">
        <v>125409.90000000001</v>
      </c>
      <c r="EZ235" s="143">
        <v>437781.30000000005</v>
      </c>
      <c r="FA235" s="143">
        <v>481559.43000000011</v>
      </c>
      <c r="FD235" s="119">
        <v>91490.3</v>
      </c>
      <c r="FE235" s="119">
        <v>111080.20000000001</v>
      </c>
      <c r="FF235" s="119">
        <v>125409.90000000001</v>
      </c>
      <c r="FG235" s="143">
        <v>437781.30000000005</v>
      </c>
      <c r="FH235" s="143">
        <v>481559.43000000011</v>
      </c>
      <c r="FK235" s="143">
        <v>437781.30000000005</v>
      </c>
      <c r="FL235" s="143">
        <v>481559.43000000011</v>
      </c>
      <c r="FO235" s="119">
        <v>108876.03000000001</v>
      </c>
      <c r="FP235" s="119">
        <v>125172.05999999995</v>
      </c>
      <c r="FQ235" s="143">
        <v>440976.08999999997</v>
      </c>
      <c r="FR235" s="143">
        <v>499448.88669999992</v>
      </c>
      <c r="FU235" s="119">
        <v>107624.76000000001</v>
      </c>
      <c r="FV235" s="143">
        <v>415945.76</v>
      </c>
      <c r="FW235" s="143">
        <v>361578.47320000001</v>
      </c>
      <c r="FX235" s="143">
        <v>401722.11182400002</v>
      </c>
      <c r="FY235" s="143">
        <v>446421.66657528013</v>
      </c>
      <c r="GA235" s="143">
        <v>360898.54</v>
      </c>
      <c r="GB235" s="143">
        <v>409742.82199999993</v>
      </c>
      <c r="GC235" s="143">
        <v>455921.97857000004</v>
      </c>
      <c r="GF235" s="119">
        <v>89760</v>
      </c>
      <c r="GG235" s="119">
        <v>101393</v>
      </c>
      <c r="GH235" s="119">
        <v>106034.10999999999</v>
      </c>
      <c r="GI235" s="143">
        <v>388638.11</v>
      </c>
      <c r="GJ235" s="143">
        <v>461629.80370000005</v>
      </c>
      <c r="GK235" s="143">
        <v>513651.19609900005</v>
      </c>
      <c r="GN235" s="119">
        <v>108490.51000000001</v>
      </c>
      <c r="GO235" s="119">
        <v>116317.68999999994</v>
      </c>
      <c r="GP235" s="143">
        <v>411095.19999999995</v>
      </c>
      <c r="GQ235" s="143">
        <v>487581.75280000007</v>
      </c>
      <c r="GR235" s="143">
        <v>542283.51140600012</v>
      </c>
      <c r="GV235" s="119">
        <v>114488</v>
      </c>
      <c r="GW235" s="143">
        <v>412359</v>
      </c>
      <c r="GX235" s="143">
        <v>471884.63620000001</v>
      </c>
      <c r="GY235" s="143">
        <v>541174.98384999996</v>
      </c>
      <c r="HC235" s="143">
        <v>121311.43000000005</v>
      </c>
      <c r="HD235" s="143">
        <v>386612.43000000005</v>
      </c>
      <c r="HE235" s="143">
        <v>448903.80195000005</v>
      </c>
      <c r="HF235" s="143">
        <v>496846.2226995001</v>
      </c>
      <c r="HI235" s="119">
        <v>118505.93</v>
      </c>
      <c r="HJ235" s="119">
        <v>110854.79</v>
      </c>
      <c r="HK235" s="119">
        <v>113780.33</v>
      </c>
      <c r="HL235" s="119">
        <v>134928.56</v>
      </c>
      <c r="HM235" s="143">
        <v>478069.61</v>
      </c>
      <c r="HN235" s="143">
        <v>529277.82900000003</v>
      </c>
      <c r="HO235" s="143">
        <v>574654.81914000015</v>
      </c>
      <c r="HR235" s="119">
        <v>110854.79</v>
      </c>
      <c r="HS235" s="119">
        <v>113780.33</v>
      </c>
      <c r="HT235" s="119">
        <v>144512.49</v>
      </c>
      <c r="HU235" s="143">
        <v>478069.61</v>
      </c>
      <c r="HV235" s="143">
        <v>529277.82900000003</v>
      </c>
      <c r="HW235" s="143">
        <v>574654.81914000015</v>
      </c>
      <c r="HZ235" s="119">
        <v>113780.33</v>
      </c>
      <c r="IA235" s="143">
        <v>478085.05999999994</v>
      </c>
      <c r="IB235" s="143">
        <v>529294.82400000002</v>
      </c>
      <c r="IC235" s="143">
        <v>574673.51364000002</v>
      </c>
      <c r="IE235" s="119">
        <v>146751.29999999996</v>
      </c>
      <c r="IF235" s="143">
        <v>505838.29999999993</v>
      </c>
      <c r="IG235" s="143">
        <v>560152.5419999999</v>
      </c>
      <c r="IH235" s="143">
        <v>607886.28156000003</v>
      </c>
      <c r="IK235" s="143">
        <v>560152.5419999999</v>
      </c>
      <c r="IL235" s="143">
        <v>607886.28156000003</v>
      </c>
      <c r="IO235" s="143">
        <v>606673.34</v>
      </c>
      <c r="IP235" s="143">
        <v>676491.79640000011</v>
      </c>
      <c r="IS235" s="157">
        <v>463181.80999999994</v>
      </c>
      <c r="IT235" s="157">
        <v>537290.89959999989</v>
      </c>
      <c r="IU235" s="157">
        <v>623257.44353599986</v>
      </c>
      <c r="IX235" s="143">
        <v>188996.14</v>
      </c>
      <c r="IY235" s="143">
        <v>633328.14</v>
      </c>
      <c r="IZ235" s="143">
        <v>725914.5419999999</v>
      </c>
      <c r="JA235" s="143">
        <v>832440.15827999986</v>
      </c>
      <c r="JD235" s="143">
        <v>778821.24999999988</v>
      </c>
      <c r="JE235" s="143">
        <v>923667.054</v>
      </c>
      <c r="JH235" s="143">
        <v>774660.25</v>
      </c>
      <c r="JI235" s="143">
        <v>918971.6298</v>
      </c>
      <c r="JJ235" s="143">
        <v>1051793.2703760001</v>
      </c>
      <c r="JM235" s="143">
        <v>845063.14159999997</v>
      </c>
      <c r="JN235" s="143">
        <v>966689.11494799994</v>
      </c>
      <c r="JQ235" s="143">
        <v>682551.5</v>
      </c>
      <c r="JR235" s="143">
        <v>763571.10070000018</v>
      </c>
      <c r="JS235" s="143">
        <v>852835.0900890003</v>
      </c>
      <c r="JV235" s="143">
        <v>754505.50000000012</v>
      </c>
      <c r="JW235" s="143">
        <v>842682.65800000005</v>
      </c>
      <c r="JY235" s="143">
        <v>775750.82</v>
      </c>
      <c r="JZ235" s="143">
        <v>866477.41639999987</v>
      </c>
      <c r="KB235" s="143">
        <v>757602.75999999989</v>
      </c>
      <c r="KC235" s="143">
        <v>855323.90520000004</v>
      </c>
      <c r="KD235" s="143">
        <v>966064.67402400018</v>
      </c>
    </row>
    <row r="236" spans="2:290" s="60" customFormat="1" x14ac:dyDescent="0.25">
      <c r="B236" s="34"/>
      <c r="C236" s="99"/>
      <c r="D236" s="99"/>
      <c r="E236" s="99"/>
      <c r="F236" s="99"/>
      <c r="G236" s="99"/>
      <c r="H236" s="196"/>
      <c r="I236" s="196"/>
      <c r="J236" s="196"/>
      <c r="K236" s="196"/>
      <c r="L236" s="196"/>
      <c r="M236" s="196"/>
      <c r="N236" s="196"/>
      <c r="O236" s="196"/>
      <c r="P236" s="196"/>
      <c r="Q236" s="196"/>
      <c r="R236" s="196"/>
      <c r="S236" s="196"/>
      <c r="T236" s="196"/>
      <c r="U236" s="196"/>
      <c r="V236" s="196"/>
      <c r="W236" s="196"/>
      <c r="X236" s="196"/>
      <c r="Y236" s="196"/>
      <c r="Z236" s="196"/>
      <c r="AA236" s="196"/>
      <c r="AB236" s="196"/>
      <c r="AC236" s="196"/>
      <c r="AD236" s="196"/>
      <c r="AE236" s="196"/>
      <c r="AF236" s="196"/>
      <c r="AG236" s="196"/>
      <c r="AH236" s="196"/>
      <c r="AI236" s="196"/>
      <c r="AJ236" s="196"/>
      <c r="AK236" s="196"/>
      <c r="AL236" s="196"/>
      <c r="AM236" s="196"/>
      <c r="AN236" s="196"/>
      <c r="AO236" s="196"/>
      <c r="AP236" s="196"/>
      <c r="AQ236" s="196"/>
      <c r="AR236" s="196"/>
      <c r="AS236" s="196"/>
      <c r="AT236" s="196"/>
      <c r="AU236" s="196"/>
      <c r="AV236" s="196"/>
      <c r="AW236" s="196"/>
      <c r="AX236" s="196"/>
      <c r="AY236" s="196"/>
      <c r="AZ236" s="196"/>
      <c r="BA236" s="196"/>
      <c r="BB236" s="196"/>
      <c r="BC236" s="196"/>
      <c r="BD236" s="196"/>
      <c r="BE236" s="196"/>
      <c r="BF236" s="196"/>
      <c r="BG236" s="196"/>
      <c r="BH236" s="196"/>
      <c r="BI236" s="196"/>
      <c r="BJ236" s="196"/>
      <c r="BK236" s="196"/>
      <c r="BL236" s="196"/>
      <c r="BM236" s="196"/>
      <c r="BN236" s="196"/>
      <c r="BO236" s="196"/>
      <c r="BP236" s="196"/>
      <c r="BQ236" s="196"/>
      <c r="BR236" s="196"/>
      <c r="BS236" s="196"/>
      <c r="BT236" s="196"/>
      <c r="BU236" s="196"/>
      <c r="BV236" s="196"/>
      <c r="BW236" s="196"/>
      <c r="BX236" s="196"/>
      <c r="BY236" s="196"/>
      <c r="BZ236" s="196"/>
      <c r="CA236" s="196"/>
      <c r="CB236" s="196"/>
      <c r="CC236" s="196"/>
      <c r="CD236" s="196"/>
      <c r="CE236" s="196"/>
      <c r="CF236" s="196"/>
      <c r="CG236" s="196"/>
      <c r="CH236" s="196"/>
      <c r="CI236" s="196"/>
      <c r="CJ236" s="196"/>
      <c r="CK236" s="196"/>
      <c r="CL236" s="196"/>
      <c r="CM236" s="196"/>
      <c r="CN236" s="196"/>
      <c r="CO236" s="201"/>
      <c r="CP236" s="148"/>
      <c r="CQ236" s="58"/>
      <c r="CR236" s="58"/>
      <c r="CS236" s="58"/>
      <c r="CT236" s="119"/>
      <c r="CU236" s="119"/>
      <c r="CV236" s="119"/>
      <c r="CW236" s="119"/>
      <c r="CX236" s="119"/>
      <c r="CY236" s="119"/>
      <c r="CZ236" s="119"/>
      <c r="DA236" s="119"/>
      <c r="DB236" s="119"/>
      <c r="DC236" s="119"/>
      <c r="DD236" s="119"/>
      <c r="DE236" s="119"/>
      <c r="DF236" s="119"/>
      <c r="DG236" s="119"/>
      <c r="DH236" s="119"/>
      <c r="DI236" s="119"/>
      <c r="DK236" s="119"/>
      <c r="DL236" s="119"/>
      <c r="DM236" s="58"/>
      <c r="DN236" s="119"/>
      <c r="DO236" s="119"/>
      <c r="DQ236" s="4"/>
      <c r="DR236" s="119"/>
      <c r="DS236" s="119"/>
      <c r="DT236" s="119"/>
      <c r="DV236" s="119"/>
      <c r="DW236" s="119"/>
      <c r="DX236" s="119"/>
      <c r="EA236" s="119"/>
      <c r="EB236" s="119"/>
      <c r="EC236" s="119"/>
      <c r="ED236" s="119"/>
      <c r="EE236" s="119"/>
      <c r="EF236" s="119"/>
      <c r="EJ236" s="119"/>
      <c r="EK236" s="119"/>
      <c r="EL236" s="119"/>
      <c r="EM236" s="119"/>
      <c r="EN236" s="119"/>
      <c r="EP236" s="119"/>
      <c r="EQ236" s="119"/>
      <c r="ER236" s="119"/>
      <c r="ES236" s="119"/>
      <c r="EV236" s="119"/>
      <c r="EW236" s="119"/>
      <c r="EX236" s="119"/>
      <c r="EY236" s="119"/>
      <c r="EZ236" s="119"/>
      <c r="FA236" s="119"/>
      <c r="FD236" s="119"/>
      <c r="FE236" s="119"/>
      <c r="FF236" s="119"/>
      <c r="FG236" s="119"/>
      <c r="FH236" s="119"/>
      <c r="FK236" s="119"/>
      <c r="FL236" s="119"/>
      <c r="FO236" s="119"/>
      <c r="FP236" s="119"/>
      <c r="FQ236" s="119"/>
      <c r="FR236" s="119"/>
      <c r="FU236" s="119"/>
      <c r="FV236" s="119"/>
      <c r="FW236" s="119"/>
      <c r="FX236" s="119"/>
      <c r="FY236" s="119"/>
      <c r="GA236" s="119"/>
      <c r="GB236" s="119"/>
      <c r="GC236" s="119"/>
      <c r="GF236" s="119"/>
      <c r="GG236" s="119"/>
      <c r="GH236" s="119"/>
      <c r="GI236" s="119"/>
      <c r="GJ236" s="119"/>
      <c r="GK236" s="119"/>
      <c r="GN236" s="119"/>
      <c r="GO236" s="119"/>
      <c r="GP236" s="119"/>
      <c r="GQ236" s="119"/>
      <c r="GR236" s="119"/>
      <c r="GV236" s="119"/>
      <c r="GW236" s="119"/>
      <c r="GX236" s="119"/>
      <c r="GY236" s="119"/>
      <c r="HC236" s="119"/>
      <c r="HD236" s="119"/>
      <c r="HE236" s="119"/>
      <c r="HF236" s="119"/>
      <c r="HI236" s="119"/>
      <c r="HJ236" s="119"/>
      <c r="HK236" s="119"/>
      <c r="HL236" s="119"/>
      <c r="HM236" s="119"/>
      <c r="HN236" s="119"/>
      <c r="HO236" s="119"/>
      <c r="HR236" s="119"/>
      <c r="HS236" s="119"/>
      <c r="HT236" s="119"/>
      <c r="HU236" s="119"/>
      <c r="HV236" s="119"/>
      <c r="HW236" s="119"/>
      <c r="HZ236" s="119"/>
      <c r="IA236" s="119"/>
      <c r="IB236" s="119"/>
      <c r="IC236" s="119"/>
      <c r="IE236" s="119"/>
      <c r="IF236" s="119"/>
      <c r="IG236" s="119"/>
      <c r="IH236" s="119"/>
      <c r="IK236" s="119"/>
      <c r="IL236" s="119"/>
      <c r="IO236" s="119"/>
      <c r="IP236" s="119"/>
      <c r="IS236" s="119"/>
      <c r="IT236" s="119"/>
      <c r="IU236" s="119"/>
      <c r="IX236" s="119"/>
      <c r="IY236" s="119"/>
      <c r="IZ236" s="119"/>
      <c r="JA236" s="119"/>
      <c r="JD236" s="119"/>
      <c r="JE236" s="119"/>
      <c r="JH236" s="119"/>
      <c r="JI236" s="119"/>
      <c r="JJ236" s="119"/>
      <c r="JM236" s="119"/>
      <c r="JN236" s="119"/>
      <c r="JQ236" s="119"/>
      <c r="JR236" s="119"/>
      <c r="JS236" s="119"/>
      <c r="JV236" s="119"/>
      <c r="JW236" s="119"/>
      <c r="JY236" s="119"/>
      <c r="JZ236" s="119"/>
      <c r="KB236" s="119"/>
      <c r="KC236" s="119"/>
      <c r="KD236" s="119"/>
    </row>
    <row r="237" spans="2:290" s="60" customFormat="1" x14ac:dyDescent="0.25">
      <c r="B237" s="34" t="s">
        <v>253</v>
      </c>
      <c r="C237" s="99"/>
      <c r="D237" s="99"/>
      <c r="E237" s="99"/>
      <c r="F237" s="99"/>
      <c r="G237" s="99"/>
      <c r="H237" s="196"/>
      <c r="I237" s="196"/>
      <c r="J237" s="196"/>
      <c r="K237" s="196"/>
      <c r="L237" s="196"/>
      <c r="M237" s="196"/>
      <c r="N237" s="196"/>
      <c r="O237" s="196"/>
      <c r="P237" s="196"/>
      <c r="Q237" s="196"/>
      <c r="R237" s="196"/>
      <c r="S237" s="196"/>
      <c r="T237" s="196"/>
      <c r="U237" s="196"/>
      <c r="V237" s="196"/>
      <c r="W237" s="196"/>
      <c r="X237" s="196"/>
      <c r="Y237" s="196"/>
      <c r="Z237" s="196"/>
      <c r="AA237" s="196"/>
      <c r="AB237" s="196"/>
      <c r="AC237" s="196"/>
      <c r="AD237" s="196"/>
      <c r="AE237" s="196"/>
      <c r="AF237" s="196"/>
      <c r="AG237" s="196"/>
      <c r="AH237" s="196"/>
      <c r="AI237" s="196"/>
      <c r="AJ237" s="196"/>
      <c r="AK237" s="196"/>
      <c r="AL237" s="196"/>
      <c r="AM237" s="196"/>
      <c r="AN237" s="196"/>
      <c r="AO237" s="196"/>
      <c r="AP237" s="196"/>
      <c r="AQ237" s="196"/>
      <c r="AR237" s="196"/>
      <c r="AS237" s="196"/>
      <c r="AT237" s="196"/>
      <c r="AU237" s="196"/>
      <c r="AV237" s="196"/>
      <c r="AW237" s="196"/>
      <c r="AX237" s="196"/>
      <c r="AY237" s="196"/>
      <c r="AZ237" s="196"/>
      <c r="BA237" s="196"/>
      <c r="BB237" s="196"/>
      <c r="BC237" s="196"/>
      <c r="BD237" s="196"/>
      <c r="BE237" s="196"/>
      <c r="BF237" s="196"/>
      <c r="BG237" s="196"/>
      <c r="BH237" s="196"/>
      <c r="BI237" s="196"/>
      <c r="BJ237" s="196"/>
      <c r="BK237" s="196"/>
      <c r="BL237" s="196"/>
      <c r="BM237" s="196"/>
      <c r="BN237" s="196"/>
      <c r="BO237" s="196"/>
      <c r="BP237" s="196"/>
      <c r="BQ237" s="196"/>
      <c r="BR237" s="196"/>
      <c r="BS237" s="196"/>
      <c r="BT237" s="196"/>
      <c r="BU237" s="196"/>
      <c r="BV237" s="196"/>
      <c r="BW237" s="196"/>
      <c r="BX237" s="196"/>
      <c r="BY237" s="196"/>
      <c r="BZ237" s="196"/>
      <c r="CA237" s="196"/>
      <c r="CB237" s="196"/>
      <c r="CC237" s="196"/>
      <c r="CD237" s="196"/>
      <c r="CE237" s="196"/>
      <c r="CF237" s="196"/>
      <c r="CG237" s="196"/>
      <c r="CH237" s="196"/>
      <c r="CI237" s="196"/>
      <c r="CJ237" s="196"/>
      <c r="CK237" s="196"/>
      <c r="CL237" s="196"/>
      <c r="CM237" s="196"/>
      <c r="CN237" s="196"/>
      <c r="CO237" s="148"/>
      <c r="CP237" s="148"/>
      <c r="CQ237" s="58"/>
      <c r="CR237" s="58"/>
      <c r="CS237" s="58"/>
      <c r="CT237" s="119"/>
      <c r="CU237" s="119"/>
      <c r="CV237" s="119"/>
      <c r="CW237" s="119"/>
      <c r="CX237" s="119"/>
      <c r="CY237" s="119"/>
      <c r="CZ237" s="119"/>
      <c r="DA237" s="119"/>
      <c r="DB237" s="119"/>
      <c r="DC237" s="119"/>
      <c r="DD237" s="119"/>
      <c r="DE237" s="119"/>
      <c r="DF237" s="119"/>
      <c r="DG237" s="119"/>
      <c r="DH237" s="119"/>
      <c r="DI237" s="119"/>
      <c r="DK237" s="119"/>
      <c r="DL237" s="119"/>
      <c r="DM237" s="58"/>
      <c r="DN237" s="119"/>
      <c r="DO237" s="119"/>
      <c r="DQ237" s="4"/>
      <c r="DR237" s="119"/>
      <c r="DS237" s="119"/>
      <c r="DT237" s="119"/>
      <c r="DV237" s="119"/>
      <c r="DW237" s="119"/>
      <c r="DX237" s="119"/>
      <c r="EA237" s="119"/>
      <c r="EB237" s="119"/>
      <c r="EC237" s="119"/>
      <c r="ED237" s="119"/>
      <c r="EE237" s="119"/>
      <c r="EF237" s="119"/>
      <c r="EJ237" s="119"/>
      <c r="EK237" s="119"/>
      <c r="EL237" s="119"/>
      <c r="EM237" s="119"/>
      <c r="EN237" s="119"/>
      <c r="EP237" s="119"/>
      <c r="EQ237" s="119"/>
      <c r="ER237" s="119"/>
      <c r="ES237" s="119"/>
      <c r="EV237" s="119"/>
      <c r="EW237" s="119"/>
      <c r="EX237" s="119"/>
      <c r="EY237" s="119"/>
      <c r="EZ237" s="119"/>
      <c r="FA237" s="119"/>
      <c r="FD237" s="119"/>
      <c r="FE237" s="119"/>
      <c r="FF237" s="119"/>
      <c r="FG237" s="119"/>
      <c r="FH237" s="119"/>
      <c r="FK237" s="119"/>
      <c r="FL237" s="119"/>
      <c r="FO237" s="119"/>
      <c r="FP237" s="119"/>
      <c r="FQ237" s="119"/>
      <c r="FR237" s="119"/>
      <c r="FU237" s="119"/>
      <c r="FV237" s="119"/>
      <c r="FW237" s="119"/>
      <c r="FX237" s="119"/>
      <c r="FY237" s="119"/>
      <c r="GA237" s="119"/>
      <c r="GB237" s="119"/>
      <c r="GC237" s="119"/>
      <c r="GF237" s="119"/>
      <c r="GG237" s="119"/>
      <c r="GH237" s="119"/>
      <c r="GI237" s="119"/>
      <c r="GJ237" s="119"/>
      <c r="GK237" s="119"/>
      <c r="GN237" s="119"/>
      <c r="GO237" s="119"/>
      <c r="GP237" s="119"/>
      <c r="GQ237" s="119"/>
      <c r="GR237" s="119"/>
      <c r="GV237" s="119"/>
      <c r="GW237" s="119"/>
      <c r="GX237" s="119"/>
      <c r="GY237" s="119"/>
      <c r="HC237" s="119"/>
      <c r="HD237" s="119"/>
      <c r="HE237" s="119"/>
      <c r="HF237" s="119"/>
      <c r="HI237" s="119"/>
      <c r="HJ237" s="119"/>
      <c r="HK237" s="119"/>
      <c r="HL237" s="119"/>
      <c r="HM237" s="119"/>
      <c r="HN237" s="119"/>
      <c r="HO237" s="119"/>
      <c r="HR237" s="119"/>
      <c r="HS237" s="119"/>
      <c r="HT237" s="119"/>
      <c r="HU237" s="119"/>
      <c r="HV237" s="119"/>
      <c r="HW237" s="119"/>
      <c r="HZ237" s="119"/>
      <c r="IA237" s="119"/>
      <c r="IB237" s="119"/>
      <c r="IC237" s="119"/>
      <c r="IE237" s="119"/>
      <c r="IF237" s="119"/>
      <c r="IG237" s="119"/>
      <c r="IH237" s="119"/>
      <c r="IK237" s="119"/>
      <c r="IL237" s="119"/>
      <c r="IO237" s="119"/>
      <c r="IP237" s="119"/>
      <c r="IS237" s="119"/>
      <c r="IT237" s="119"/>
      <c r="IU237" s="119"/>
      <c r="IX237" s="119"/>
      <c r="IY237" s="119"/>
      <c r="IZ237" s="119"/>
      <c r="JA237" s="119"/>
      <c r="JD237" s="119"/>
      <c r="JE237" s="119"/>
      <c r="JH237" s="119"/>
      <c r="JI237" s="119"/>
      <c r="JJ237" s="119"/>
      <c r="JM237" s="119"/>
      <c r="JN237" s="119"/>
      <c r="JQ237" s="119"/>
      <c r="JR237" s="119"/>
      <c r="JS237" s="119"/>
      <c r="JV237" s="119"/>
      <c r="JW237" s="119"/>
      <c r="JY237" s="119"/>
      <c r="JZ237" s="119"/>
      <c r="KB237" s="119"/>
      <c r="KC237" s="119"/>
      <c r="KD237" s="119"/>
    </row>
    <row r="238" spans="2:290" x14ac:dyDescent="0.25">
      <c r="B238" s="11" t="s">
        <v>222</v>
      </c>
      <c r="C238" s="23"/>
      <c r="D238" s="23"/>
      <c r="E238" s="23"/>
      <c r="F238" s="23"/>
      <c r="G238" s="23"/>
      <c r="H238" s="197"/>
      <c r="I238" s="198"/>
      <c r="J238" s="198"/>
      <c r="K238" s="198"/>
      <c r="L238" s="198"/>
      <c r="M238" s="197"/>
      <c r="N238" s="198"/>
      <c r="O238" s="198"/>
      <c r="P238" s="198"/>
      <c r="Q238" s="198"/>
      <c r="R238" s="197"/>
      <c r="S238" s="198"/>
      <c r="T238" s="198"/>
      <c r="U238" s="198"/>
      <c r="V238" s="198"/>
      <c r="W238" s="197"/>
      <c r="X238" s="198"/>
      <c r="Y238" s="198"/>
      <c r="Z238" s="198"/>
      <c r="AA238" s="198"/>
      <c r="AB238" s="197"/>
      <c r="AC238" s="198"/>
      <c r="AD238" s="198"/>
      <c r="AE238" s="198"/>
      <c r="AF238" s="198"/>
      <c r="AG238" s="197"/>
      <c r="AH238" s="198"/>
      <c r="AI238" s="198"/>
      <c r="AJ238" s="198"/>
      <c r="AK238" s="197"/>
      <c r="AL238" s="198"/>
      <c r="AM238" s="198"/>
      <c r="AN238" s="198"/>
      <c r="AO238" s="198"/>
      <c r="AP238" s="197"/>
      <c r="AQ238" s="198"/>
      <c r="AR238" s="198"/>
      <c r="AS238" s="198"/>
      <c r="AT238" s="198"/>
      <c r="AU238" s="197"/>
      <c r="AV238" s="198"/>
      <c r="AW238" s="198"/>
      <c r="AX238" s="198"/>
      <c r="AY238" s="198"/>
      <c r="AZ238" s="197"/>
      <c r="BA238" s="198"/>
      <c r="BB238" s="198"/>
      <c r="BC238" s="198"/>
      <c r="BD238" s="198"/>
      <c r="BE238" s="197"/>
      <c r="BF238" s="198"/>
      <c r="BG238" s="198"/>
      <c r="BH238" s="198"/>
      <c r="BI238" s="198"/>
      <c r="BJ238" s="197"/>
      <c r="BK238" s="198"/>
      <c r="BL238" s="198"/>
      <c r="BM238" s="198"/>
      <c r="BN238" s="198"/>
      <c r="BO238" s="197">
        <f t="shared" ref="BO238:BO243" si="324">BO230-BJ230</f>
        <v>18654</v>
      </c>
      <c r="BP238" s="198"/>
      <c r="BQ238" s="198"/>
      <c r="BR238" s="198"/>
      <c r="BS238" s="198"/>
      <c r="BT238" s="197">
        <f t="shared" ref="BT238:BT243" si="325">BT230-BO230</f>
        <v>74484</v>
      </c>
      <c r="BU238" s="198"/>
      <c r="BV238" s="198"/>
      <c r="BW238" s="198"/>
      <c r="BX238" s="198"/>
      <c r="BY238" s="197">
        <f t="shared" ref="BY238:BY243" si="326">BY230-BT230</f>
        <v>136794</v>
      </c>
      <c r="BZ238" s="198"/>
      <c r="CA238" s="198"/>
      <c r="CB238" s="198"/>
      <c r="CC238" s="198"/>
      <c r="CD238" s="197">
        <f t="shared" ref="CD238:CD243" si="327">CD230-BY230</f>
        <v>133104</v>
      </c>
      <c r="CE238" s="198"/>
      <c r="CF238" s="198"/>
      <c r="CG238" s="198"/>
      <c r="CH238" s="198"/>
      <c r="CI238" s="197">
        <f t="shared" ref="CI238:CI243" si="328">CI230-CD230</f>
        <v>127524</v>
      </c>
      <c r="CJ238" s="202">
        <v>100000</v>
      </c>
      <c r="CK238" s="202">
        <v>150000</v>
      </c>
      <c r="CL238" s="202">
        <v>150000</v>
      </c>
      <c r="CM238" s="202">
        <v>180000</v>
      </c>
      <c r="CN238" s="202">
        <v>150000</v>
      </c>
      <c r="CO238" s="137"/>
      <c r="CP238" s="137"/>
      <c r="CQ238" s="6"/>
      <c r="CR238" s="6"/>
      <c r="CS238" s="6"/>
      <c r="CT238" s="124"/>
      <c r="CU238" s="124"/>
      <c r="CV238" s="124"/>
      <c r="CW238" s="124"/>
      <c r="CX238" s="124"/>
      <c r="CY238" s="124"/>
      <c r="CZ238" s="124"/>
      <c r="DA238" s="124"/>
      <c r="DB238" s="124"/>
      <c r="DC238" s="124"/>
      <c r="DD238" s="124"/>
      <c r="DE238" s="124"/>
      <c r="DF238" s="124"/>
      <c r="DG238" s="124"/>
      <c r="DH238" s="124"/>
      <c r="DI238" s="124"/>
      <c r="DK238" s="124"/>
      <c r="DL238" s="124"/>
      <c r="DM238" s="6"/>
      <c r="DN238" s="124"/>
      <c r="DO238" s="124"/>
      <c r="DQ238" s="136"/>
      <c r="DR238" s="124"/>
      <c r="DS238" s="124"/>
      <c r="DT238" s="124"/>
      <c r="DV238" s="124"/>
      <c r="DW238" s="124"/>
      <c r="DX238" s="124"/>
      <c r="EA238" s="111"/>
      <c r="EB238" s="111"/>
      <c r="EC238" s="111"/>
      <c r="ED238" s="124"/>
      <c r="EE238" s="124"/>
      <c r="EF238" s="124"/>
      <c r="EJ238" s="111"/>
      <c r="EK238" s="111"/>
      <c r="EL238" s="124"/>
      <c r="EM238" s="124"/>
      <c r="EN238" s="124"/>
      <c r="EP238" s="111"/>
      <c r="EQ238" s="124"/>
      <c r="ER238" s="124"/>
      <c r="ES238" s="124"/>
      <c r="EV238" s="111"/>
      <c r="EW238" s="111"/>
      <c r="EX238" s="111"/>
      <c r="EY238" s="111"/>
      <c r="EZ238" s="124"/>
      <c r="FA238" s="124"/>
      <c r="FD238" s="111"/>
      <c r="FE238" s="111"/>
      <c r="FF238" s="111"/>
      <c r="FG238" s="124"/>
      <c r="FH238" s="124"/>
      <c r="FK238" s="124"/>
      <c r="FL238" s="124"/>
      <c r="FO238" s="111"/>
      <c r="FP238" s="111"/>
      <c r="FQ238" s="124"/>
      <c r="FR238" s="124"/>
      <c r="FU238" s="111"/>
      <c r="FV238" s="124"/>
      <c r="FW238" s="124"/>
      <c r="FX238" s="124"/>
      <c r="FY238" s="124"/>
      <c r="GA238" s="124"/>
      <c r="GB238" s="124"/>
      <c r="GC238" s="124"/>
      <c r="GF238" s="111"/>
      <c r="GG238" s="111"/>
      <c r="GH238" s="111"/>
      <c r="GI238" s="124"/>
      <c r="GJ238" s="124"/>
      <c r="GK238" s="124"/>
      <c r="GN238" s="111"/>
      <c r="GO238" s="111"/>
      <c r="GP238" s="124"/>
      <c r="GQ238" s="124"/>
      <c r="GR238" s="124"/>
      <c r="GV238" s="111"/>
      <c r="GW238" s="124"/>
      <c r="GX238" s="124"/>
      <c r="GY238" s="124"/>
      <c r="HC238" s="124"/>
      <c r="HD238" s="124"/>
      <c r="HE238" s="124"/>
      <c r="HF238" s="124"/>
      <c r="HI238" s="111"/>
      <c r="HJ238" s="111"/>
      <c r="HK238" s="111"/>
      <c r="HL238" s="111"/>
      <c r="HM238" s="124"/>
      <c r="HN238" s="124"/>
      <c r="HO238" s="124"/>
      <c r="HR238" s="111"/>
      <c r="HS238" s="111"/>
      <c r="HT238" s="111"/>
      <c r="HU238" s="124"/>
      <c r="HV238" s="124"/>
      <c r="HW238" s="124"/>
      <c r="HZ238" s="111"/>
      <c r="IA238" s="124"/>
      <c r="IB238" s="124"/>
      <c r="IC238" s="124"/>
      <c r="IE238" s="111"/>
      <c r="IF238" s="124"/>
      <c r="IG238" s="124"/>
      <c r="IH238" s="124"/>
      <c r="IK238" s="124"/>
      <c r="IL238" s="124"/>
      <c r="IO238" s="124"/>
      <c r="IP238" s="124"/>
      <c r="IS238" s="160"/>
      <c r="IT238" s="160"/>
      <c r="IU238" s="160"/>
      <c r="IX238" s="124"/>
      <c r="IY238" s="124"/>
      <c r="IZ238" s="124"/>
      <c r="JA238" s="124"/>
      <c r="JD238" s="124"/>
      <c r="JE238" s="124"/>
      <c r="JH238" s="124"/>
      <c r="JI238" s="124"/>
      <c r="JJ238" s="124"/>
      <c r="JM238" s="124"/>
      <c r="JN238" s="124"/>
      <c r="JQ238" s="124"/>
      <c r="JR238" s="124"/>
      <c r="JS238" s="124"/>
      <c r="JV238" s="124"/>
      <c r="JW238" s="124"/>
      <c r="JY238" s="124"/>
      <c r="JZ238" s="124"/>
      <c r="KB238" s="124"/>
      <c r="KC238" s="124"/>
      <c r="KD238" s="124"/>
    </row>
    <row r="239" spans="2:290" x14ac:dyDescent="0.25">
      <c r="B239" s="11" t="s">
        <v>223</v>
      </c>
      <c r="C239" s="23"/>
      <c r="D239" s="23"/>
      <c r="E239" s="23"/>
      <c r="F239" s="23"/>
      <c r="G239" s="23"/>
      <c r="H239" s="197"/>
      <c r="I239" s="198"/>
      <c r="J239" s="198"/>
      <c r="K239" s="198"/>
      <c r="L239" s="198"/>
      <c r="M239" s="197"/>
      <c r="N239" s="198"/>
      <c r="O239" s="198"/>
      <c r="P239" s="198"/>
      <c r="Q239" s="198"/>
      <c r="R239" s="197"/>
      <c r="S239" s="198"/>
      <c r="T239" s="198"/>
      <c r="U239" s="198"/>
      <c r="V239" s="198"/>
      <c r="W239" s="197"/>
      <c r="X239" s="198"/>
      <c r="Y239" s="198"/>
      <c r="Z239" s="198"/>
      <c r="AA239" s="198"/>
      <c r="AB239" s="197"/>
      <c r="AC239" s="198"/>
      <c r="AD239" s="198"/>
      <c r="AE239" s="198"/>
      <c r="AF239" s="198"/>
      <c r="AG239" s="197"/>
      <c r="AH239" s="198"/>
      <c r="AI239" s="198"/>
      <c r="AJ239" s="198"/>
      <c r="AK239" s="197"/>
      <c r="AL239" s="198"/>
      <c r="AM239" s="198"/>
      <c r="AN239" s="198"/>
      <c r="AO239" s="198"/>
      <c r="AP239" s="197"/>
      <c r="AQ239" s="198"/>
      <c r="AR239" s="198"/>
      <c r="AS239" s="198"/>
      <c r="AT239" s="198"/>
      <c r="AU239" s="197"/>
      <c r="AV239" s="198"/>
      <c r="AW239" s="198"/>
      <c r="AX239" s="198"/>
      <c r="AY239" s="198"/>
      <c r="AZ239" s="197"/>
      <c r="BA239" s="198"/>
      <c r="BB239" s="198"/>
      <c r="BC239" s="198"/>
      <c r="BD239" s="198"/>
      <c r="BE239" s="197"/>
      <c r="BF239" s="198"/>
      <c r="BG239" s="198"/>
      <c r="BH239" s="198"/>
      <c r="BI239" s="198"/>
      <c r="BJ239" s="197"/>
      <c r="BK239" s="198"/>
      <c r="BL239" s="198"/>
      <c r="BM239" s="198"/>
      <c r="BN239" s="198"/>
      <c r="BO239" s="197">
        <f t="shared" si="324"/>
        <v>3026</v>
      </c>
      <c r="BP239" s="198"/>
      <c r="BQ239" s="198"/>
      <c r="BR239" s="198"/>
      <c r="BS239" s="198"/>
      <c r="BT239" s="197">
        <f t="shared" si="325"/>
        <v>1097</v>
      </c>
      <c r="BU239" s="198"/>
      <c r="BV239" s="198"/>
      <c r="BW239" s="198"/>
      <c r="BX239" s="198"/>
      <c r="BY239" s="197">
        <f t="shared" si="326"/>
        <v>2942</v>
      </c>
      <c r="BZ239" s="198"/>
      <c r="CA239" s="198"/>
      <c r="CB239" s="198"/>
      <c r="CC239" s="198"/>
      <c r="CD239" s="197">
        <f t="shared" si="327"/>
        <v>7310</v>
      </c>
      <c r="CE239" s="198"/>
      <c r="CF239" s="198"/>
      <c r="CG239" s="198"/>
      <c r="CH239" s="198"/>
      <c r="CI239" s="197">
        <f t="shared" si="328"/>
        <v>7673</v>
      </c>
      <c r="CJ239" s="202">
        <v>0</v>
      </c>
      <c r="CK239" s="202">
        <v>5000</v>
      </c>
      <c r="CL239" s="202">
        <v>10000</v>
      </c>
      <c r="CM239" s="202">
        <v>10000</v>
      </c>
      <c r="CN239" s="202">
        <v>10000</v>
      </c>
      <c r="CO239" s="137"/>
      <c r="CP239" s="137"/>
      <c r="CQ239" s="6"/>
      <c r="CR239" s="6"/>
      <c r="CS239" s="6"/>
      <c r="CT239" s="124"/>
      <c r="CU239" s="124"/>
      <c r="CV239" s="124"/>
      <c r="CW239" s="124"/>
      <c r="CX239" s="124"/>
      <c r="CY239" s="124"/>
      <c r="CZ239" s="124"/>
      <c r="DA239" s="124"/>
      <c r="DB239" s="124"/>
      <c r="DC239" s="124"/>
      <c r="DD239" s="124"/>
      <c r="DE239" s="124"/>
      <c r="DF239" s="124"/>
      <c r="DG239" s="124"/>
      <c r="DH239" s="124"/>
      <c r="DI239" s="124"/>
      <c r="DK239" s="124"/>
      <c r="DL239" s="124"/>
      <c r="DM239" s="6"/>
      <c r="DN239" s="124"/>
      <c r="DO239" s="124"/>
      <c r="DQ239" s="136"/>
      <c r="DR239" s="124"/>
      <c r="DS239" s="124"/>
      <c r="DT239" s="124"/>
      <c r="DV239" s="124"/>
      <c r="DW239" s="124"/>
      <c r="DX239" s="124"/>
      <c r="EA239" s="111"/>
      <c r="EB239" s="111"/>
      <c r="EC239" s="111"/>
      <c r="ED239" s="124"/>
      <c r="EE239" s="124"/>
      <c r="EF239" s="124"/>
      <c r="EJ239" s="111"/>
      <c r="EK239" s="111"/>
      <c r="EL239" s="124"/>
      <c r="EM239" s="124"/>
      <c r="EN239" s="124"/>
      <c r="EP239" s="111"/>
      <c r="EQ239" s="124"/>
      <c r="ER239" s="124"/>
      <c r="ES239" s="124"/>
      <c r="EV239" s="111"/>
      <c r="EW239" s="111"/>
      <c r="EX239" s="111"/>
      <c r="EY239" s="111"/>
      <c r="EZ239" s="124"/>
      <c r="FA239" s="124"/>
      <c r="FD239" s="111"/>
      <c r="FE239" s="111"/>
      <c r="FF239" s="111"/>
      <c r="FG239" s="124"/>
      <c r="FH239" s="124"/>
      <c r="FK239" s="124"/>
      <c r="FL239" s="124"/>
      <c r="FO239" s="111"/>
      <c r="FP239" s="111"/>
      <c r="FQ239" s="124"/>
      <c r="FR239" s="124"/>
      <c r="FU239" s="111"/>
      <c r="FV239" s="124"/>
      <c r="FW239" s="124"/>
      <c r="FX239" s="124"/>
      <c r="FY239" s="124"/>
      <c r="GA239" s="124"/>
      <c r="GB239" s="124"/>
      <c r="GC239" s="124"/>
      <c r="GF239" s="111"/>
      <c r="GG239" s="111"/>
      <c r="GH239" s="111"/>
      <c r="GI239" s="124"/>
      <c r="GJ239" s="124"/>
      <c r="GK239" s="124"/>
      <c r="GN239" s="111"/>
      <c r="GO239" s="111"/>
      <c r="GP239" s="124"/>
      <c r="GQ239" s="124"/>
      <c r="GR239" s="124"/>
      <c r="GV239" s="111"/>
      <c r="GW239" s="124"/>
      <c r="GX239" s="124"/>
      <c r="GY239" s="124"/>
      <c r="HC239" s="124"/>
      <c r="HD239" s="124"/>
      <c r="HE239" s="124"/>
      <c r="HF239" s="124"/>
      <c r="HI239" s="111"/>
      <c r="HJ239" s="111"/>
      <c r="HK239" s="111"/>
      <c r="HL239" s="111"/>
      <c r="HM239" s="124"/>
      <c r="HN239" s="124"/>
      <c r="HO239" s="124"/>
      <c r="HR239" s="111"/>
      <c r="HS239" s="111"/>
      <c r="HT239" s="111"/>
      <c r="HU239" s="124"/>
      <c r="HV239" s="124"/>
      <c r="HW239" s="124"/>
      <c r="HZ239" s="111"/>
      <c r="IA239" s="124"/>
      <c r="IB239" s="124"/>
      <c r="IC239" s="124"/>
      <c r="IE239" s="111"/>
      <c r="IF239" s="124"/>
      <c r="IG239" s="124"/>
      <c r="IH239" s="124"/>
      <c r="IK239" s="124"/>
      <c r="IL239" s="124"/>
      <c r="IO239" s="124"/>
      <c r="IP239" s="124"/>
      <c r="IS239" s="160"/>
      <c r="IT239" s="160"/>
      <c r="IU239" s="160"/>
      <c r="IX239" s="124"/>
      <c r="IY239" s="124"/>
      <c r="IZ239" s="124"/>
      <c r="JA239" s="124"/>
      <c r="JD239" s="124"/>
      <c r="JE239" s="124"/>
      <c r="JH239" s="124"/>
      <c r="JI239" s="124"/>
      <c r="JJ239" s="124"/>
      <c r="JM239" s="124"/>
      <c r="JN239" s="124"/>
      <c r="JQ239" s="124"/>
      <c r="JR239" s="124"/>
      <c r="JS239" s="124"/>
      <c r="JV239" s="124"/>
      <c r="JW239" s="124"/>
      <c r="JY239" s="124"/>
      <c r="JZ239" s="124"/>
      <c r="KB239" s="124"/>
      <c r="KC239" s="124"/>
      <c r="KD239" s="124"/>
    </row>
    <row r="240" spans="2:290" x14ac:dyDescent="0.25">
      <c r="B240" s="11" t="s">
        <v>224</v>
      </c>
      <c r="C240" s="23"/>
      <c r="D240" s="23"/>
      <c r="E240" s="23"/>
      <c r="F240" s="23"/>
      <c r="G240" s="23"/>
      <c r="H240" s="197"/>
      <c r="I240" s="198"/>
      <c r="J240" s="198"/>
      <c r="K240" s="198"/>
      <c r="L240" s="198"/>
      <c r="M240" s="197"/>
      <c r="N240" s="198"/>
      <c r="O240" s="198"/>
      <c r="P240" s="198"/>
      <c r="Q240" s="198"/>
      <c r="R240" s="197"/>
      <c r="S240" s="198"/>
      <c r="T240" s="198"/>
      <c r="U240" s="198"/>
      <c r="V240" s="198"/>
      <c r="W240" s="197"/>
      <c r="X240" s="198"/>
      <c r="Y240" s="198"/>
      <c r="Z240" s="198"/>
      <c r="AA240" s="198"/>
      <c r="AB240" s="197"/>
      <c r="AC240" s="198"/>
      <c r="AD240" s="198"/>
      <c r="AE240" s="198"/>
      <c r="AF240" s="198"/>
      <c r="AG240" s="197"/>
      <c r="AH240" s="198"/>
      <c r="AI240" s="198"/>
      <c r="AJ240" s="198"/>
      <c r="AK240" s="197"/>
      <c r="AL240" s="198"/>
      <c r="AM240" s="198"/>
      <c r="AN240" s="198"/>
      <c r="AO240" s="198"/>
      <c r="AP240" s="197"/>
      <c r="AQ240" s="198"/>
      <c r="AR240" s="198"/>
      <c r="AS240" s="198"/>
      <c r="AT240" s="198"/>
      <c r="AU240" s="197"/>
      <c r="AV240" s="198"/>
      <c r="AW240" s="198"/>
      <c r="AX240" s="198"/>
      <c r="AY240" s="198"/>
      <c r="AZ240" s="197"/>
      <c r="BA240" s="198"/>
      <c r="BB240" s="198"/>
      <c r="BC240" s="198"/>
      <c r="BD240" s="198"/>
      <c r="BE240" s="197"/>
      <c r="BF240" s="198"/>
      <c r="BG240" s="198"/>
      <c r="BH240" s="198"/>
      <c r="BI240" s="198"/>
      <c r="BJ240" s="197"/>
      <c r="BK240" s="198"/>
      <c r="BL240" s="198"/>
      <c r="BM240" s="198"/>
      <c r="BN240" s="198"/>
      <c r="BO240" s="197">
        <f t="shared" si="324"/>
        <v>6096</v>
      </c>
      <c r="BP240" s="198"/>
      <c r="BQ240" s="198"/>
      <c r="BR240" s="198"/>
      <c r="BS240" s="198"/>
      <c r="BT240" s="197">
        <f t="shared" si="325"/>
        <v>7240</v>
      </c>
      <c r="BU240" s="198"/>
      <c r="BV240" s="198"/>
      <c r="BW240" s="198"/>
      <c r="BX240" s="198"/>
      <c r="BY240" s="197">
        <f t="shared" si="326"/>
        <v>5220</v>
      </c>
      <c r="BZ240" s="198"/>
      <c r="CA240" s="198"/>
      <c r="CB240" s="198"/>
      <c r="CC240" s="198"/>
      <c r="CD240" s="197">
        <f t="shared" si="327"/>
        <v>960</v>
      </c>
      <c r="CE240" s="198"/>
      <c r="CF240" s="198"/>
      <c r="CG240" s="198"/>
      <c r="CH240" s="198"/>
      <c r="CI240" s="197">
        <f t="shared" si="328"/>
        <v>10716</v>
      </c>
      <c r="CJ240" s="202">
        <v>10000</v>
      </c>
      <c r="CK240" s="202">
        <v>5000</v>
      </c>
      <c r="CL240" s="202">
        <v>10000</v>
      </c>
      <c r="CM240" s="202">
        <v>10000</v>
      </c>
      <c r="CN240" s="202">
        <v>10000</v>
      </c>
      <c r="CO240" s="137"/>
      <c r="CP240" s="137"/>
      <c r="CQ240" s="6"/>
      <c r="CR240" s="6"/>
      <c r="CS240" s="6"/>
      <c r="CT240" s="124"/>
      <c r="CU240" s="124"/>
      <c r="CV240" s="124"/>
      <c r="CW240" s="124"/>
      <c r="CX240" s="124"/>
      <c r="CY240" s="124"/>
      <c r="CZ240" s="124"/>
      <c r="DA240" s="124"/>
      <c r="DB240" s="124"/>
      <c r="DC240" s="124"/>
      <c r="DD240" s="124"/>
      <c r="DE240" s="124"/>
      <c r="DF240" s="124"/>
      <c r="DG240" s="124"/>
      <c r="DH240" s="124"/>
      <c r="DI240" s="124"/>
      <c r="DK240" s="124"/>
      <c r="DL240" s="124"/>
      <c r="DM240" s="6"/>
      <c r="DN240" s="124"/>
      <c r="DO240" s="124"/>
      <c r="DQ240" s="136"/>
      <c r="DR240" s="124"/>
      <c r="DS240" s="124"/>
      <c r="DT240" s="124"/>
      <c r="DV240" s="124"/>
      <c r="DW240" s="124"/>
      <c r="DX240" s="124"/>
      <c r="EA240" s="111"/>
      <c r="EB240" s="111"/>
      <c r="EC240" s="111"/>
      <c r="ED240" s="124"/>
      <c r="EE240" s="124"/>
      <c r="EF240" s="124"/>
      <c r="EJ240" s="111"/>
      <c r="EK240" s="111"/>
      <c r="EL240" s="124"/>
      <c r="EM240" s="124"/>
      <c r="EN240" s="124"/>
      <c r="EP240" s="111"/>
      <c r="EQ240" s="124"/>
      <c r="ER240" s="124"/>
      <c r="ES240" s="124"/>
      <c r="EV240" s="111"/>
      <c r="EW240" s="111"/>
      <c r="EX240" s="111"/>
      <c r="EY240" s="111"/>
      <c r="EZ240" s="124"/>
      <c r="FA240" s="124"/>
      <c r="FD240" s="111"/>
      <c r="FE240" s="111"/>
      <c r="FF240" s="111"/>
      <c r="FG240" s="124"/>
      <c r="FH240" s="124"/>
      <c r="FK240" s="124"/>
      <c r="FL240" s="124"/>
      <c r="FO240" s="111"/>
      <c r="FP240" s="111"/>
      <c r="FQ240" s="124"/>
      <c r="FR240" s="124"/>
      <c r="FU240" s="111"/>
      <c r="FV240" s="124"/>
      <c r="FW240" s="124"/>
      <c r="FX240" s="124"/>
      <c r="FY240" s="124"/>
      <c r="GA240" s="124"/>
      <c r="GB240" s="124"/>
      <c r="GC240" s="124"/>
      <c r="GF240" s="111"/>
      <c r="GG240" s="111"/>
      <c r="GH240" s="111"/>
      <c r="GI240" s="124"/>
      <c r="GJ240" s="124"/>
      <c r="GK240" s="124"/>
      <c r="GN240" s="111"/>
      <c r="GO240" s="111"/>
      <c r="GP240" s="124"/>
      <c r="GQ240" s="124"/>
      <c r="GR240" s="124"/>
      <c r="GV240" s="111"/>
      <c r="GW240" s="124"/>
      <c r="GX240" s="124"/>
      <c r="GY240" s="124"/>
      <c r="HC240" s="124"/>
      <c r="HD240" s="124"/>
      <c r="HE240" s="124"/>
      <c r="HF240" s="124"/>
      <c r="HI240" s="111"/>
      <c r="HJ240" s="111"/>
      <c r="HK240" s="111"/>
      <c r="HL240" s="111"/>
      <c r="HM240" s="124"/>
      <c r="HN240" s="124"/>
      <c r="HO240" s="124"/>
      <c r="HR240" s="111"/>
      <c r="HS240" s="111"/>
      <c r="HT240" s="111"/>
      <c r="HU240" s="124"/>
      <c r="HV240" s="124"/>
      <c r="HW240" s="124"/>
      <c r="HZ240" s="111"/>
      <c r="IA240" s="124"/>
      <c r="IB240" s="124"/>
      <c r="IC240" s="124"/>
      <c r="IE240" s="111"/>
      <c r="IF240" s="124"/>
      <c r="IG240" s="124"/>
      <c r="IH240" s="124"/>
      <c r="IK240" s="124"/>
      <c r="IL240" s="124"/>
      <c r="IO240" s="124"/>
      <c r="IP240" s="124"/>
      <c r="IS240" s="160"/>
      <c r="IT240" s="160"/>
      <c r="IU240" s="160"/>
      <c r="IX240" s="124"/>
      <c r="IY240" s="124"/>
      <c r="IZ240" s="124"/>
      <c r="JA240" s="124"/>
      <c r="JD240" s="124"/>
      <c r="JE240" s="124"/>
      <c r="JH240" s="124"/>
      <c r="JI240" s="124"/>
      <c r="JJ240" s="124"/>
      <c r="JM240" s="124"/>
      <c r="JN240" s="124"/>
      <c r="JQ240" s="124"/>
      <c r="JR240" s="124"/>
      <c r="JS240" s="124"/>
      <c r="JV240" s="124"/>
      <c r="JW240" s="124"/>
      <c r="JY240" s="124"/>
      <c r="JZ240" s="124"/>
      <c r="KB240" s="124"/>
      <c r="KC240" s="124"/>
      <c r="KD240" s="124"/>
    </row>
    <row r="241" spans="2:290" x14ac:dyDescent="0.25">
      <c r="B241" s="11" t="s">
        <v>225</v>
      </c>
      <c r="C241" s="23"/>
      <c r="D241" s="23"/>
      <c r="E241" s="23"/>
      <c r="F241" s="23"/>
      <c r="G241" s="23"/>
      <c r="H241" s="197"/>
      <c r="I241" s="198"/>
      <c r="J241" s="198"/>
      <c r="K241" s="198"/>
      <c r="L241" s="198"/>
      <c r="M241" s="197"/>
      <c r="N241" s="198"/>
      <c r="O241" s="198"/>
      <c r="P241" s="198"/>
      <c r="Q241" s="198"/>
      <c r="R241" s="197"/>
      <c r="S241" s="198"/>
      <c r="T241" s="198"/>
      <c r="U241" s="198"/>
      <c r="V241" s="198"/>
      <c r="W241" s="197"/>
      <c r="X241" s="198"/>
      <c r="Y241" s="198"/>
      <c r="Z241" s="198"/>
      <c r="AA241" s="198"/>
      <c r="AB241" s="197"/>
      <c r="AC241" s="198"/>
      <c r="AD241" s="198"/>
      <c r="AE241" s="198"/>
      <c r="AF241" s="198"/>
      <c r="AG241" s="197"/>
      <c r="AH241" s="198"/>
      <c r="AI241" s="198"/>
      <c r="AJ241" s="198"/>
      <c r="AK241" s="197"/>
      <c r="AL241" s="198"/>
      <c r="AM241" s="198"/>
      <c r="AN241" s="198"/>
      <c r="AO241" s="198"/>
      <c r="AP241" s="197"/>
      <c r="AQ241" s="198"/>
      <c r="AR241" s="198"/>
      <c r="AS241" s="198"/>
      <c r="AT241" s="198"/>
      <c r="AU241" s="197"/>
      <c r="AV241" s="198"/>
      <c r="AW241" s="198"/>
      <c r="AX241" s="198"/>
      <c r="AY241" s="198"/>
      <c r="AZ241" s="197"/>
      <c r="BA241" s="198"/>
      <c r="BB241" s="198"/>
      <c r="BC241" s="198"/>
      <c r="BD241" s="198"/>
      <c r="BE241" s="197"/>
      <c r="BF241" s="198"/>
      <c r="BG241" s="198"/>
      <c r="BH241" s="198"/>
      <c r="BI241" s="198"/>
      <c r="BJ241" s="197"/>
      <c r="BK241" s="198"/>
      <c r="BL241" s="198"/>
      <c r="BM241" s="198"/>
      <c r="BN241" s="198"/>
      <c r="BO241" s="197">
        <f t="shared" si="324"/>
        <v>60</v>
      </c>
      <c r="BP241" s="198"/>
      <c r="BQ241" s="198"/>
      <c r="BR241" s="198"/>
      <c r="BS241" s="198"/>
      <c r="BT241" s="197">
        <f t="shared" si="325"/>
        <v>-1608</v>
      </c>
      <c r="BU241" s="198"/>
      <c r="BV241" s="198"/>
      <c r="BW241" s="198"/>
      <c r="BX241" s="198"/>
      <c r="BY241" s="197">
        <f t="shared" si="326"/>
        <v>120</v>
      </c>
      <c r="BZ241" s="198"/>
      <c r="CA241" s="198"/>
      <c r="CB241" s="198"/>
      <c r="CC241" s="198"/>
      <c r="CD241" s="197">
        <f t="shared" si="327"/>
        <v>-1620</v>
      </c>
      <c r="CE241" s="198"/>
      <c r="CF241" s="198"/>
      <c r="CG241" s="198"/>
      <c r="CH241" s="198"/>
      <c r="CI241" s="197">
        <f t="shared" si="328"/>
        <v>300</v>
      </c>
      <c r="CJ241" s="202">
        <v>0</v>
      </c>
      <c r="CK241" s="202">
        <v>5000</v>
      </c>
      <c r="CL241" s="202">
        <v>0</v>
      </c>
      <c r="CM241" s="202">
        <v>5000</v>
      </c>
      <c r="CN241" s="202">
        <f t="shared" ref="CN241" ca="1" si="329">CN233-CM233</f>
        <v>0</v>
      </c>
      <c r="CO241" s="137"/>
      <c r="CP241" s="137"/>
      <c r="CQ241" s="6"/>
      <c r="CR241" s="6"/>
      <c r="CS241" s="6"/>
      <c r="CT241" s="124"/>
      <c r="CU241" s="124"/>
      <c r="CV241" s="124"/>
      <c r="CW241" s="124"/>
      <c r="CX241" s="124"/>
      <c r="CY241" s="124"/>
      <c r="CZ241" s="124"/>
      <c r="DA241" s="124"/>
      <c r="DB241" s="124"/>
      <c r="DC241" s="124"/>
      <c r="DD241" s="124"/>
      <c r="DE241" s="124"/>
      <c r="DF241" s="124"/>
      <c r="DG241" s="124"/>
      <c r="DH241" s="124"/>
      <c r="DI241" s="124"/>
      <c r="DK241" s="124"/>
      <c r="DL241" s="124"/>
      <c r="DM241" s="6"/>
      <c r="DN241" s="124"/>
      <c r="DO241" s="124"/>
      <c r="DQ241" s="136"/>
      <c r="DR241" s="124"/>
      <c r="DS241" s="124"/>
      <c r="DT241" s="124"/>
      <c r="DV241" s="124"/>
      <c r="DW241" s="124"/>
      <c r="DX241" s="124"/>
      <c r="EA241" s="111"/>
      <c r="EB241" s="111"/>
      <c r="EC241" s="111"/>
      <c r="ED241" s="124"/>
      <c r="EE241" s="124"/>
      <c r="EF241" s="124"/>
      <c r="EJ241" s="111"/>
      <c r="EK241" s="111"/>
      <c r="EL241" s="124"/>
      <c r="EM241" s="124"/>
      <c r="EN241" s="124"/>
      <c r="EP241" s="111"/>
      <c r="EQ241" s="124"/>
      <c r="ER241" s="124"/>
      <c r="ES241" s="124"/>
      <c r="EV241" s="111"/>
      <c r="EW241" s="111"/>
      <c r="EX241" s="111"/>
      <c r="EY241" s="111"/>
      <c r="EZ241" s="124"/>
      <c r="FA241" s="124"/>
      <c r="FD241" s="111"/>
      <c r="FE241" s="111"/>
      <c r="FF241" s="111"/>
      <c r="FG241" s="124"/>
      <c r="FH241" s="124"/>
      <c r="FK241" s="124"/>
      <c r="FL241" s="124"/>
      <c r="FO241" s="111"/>
      <c r="FP241" s="111"/>
      <c r="FQ241" s="124"/>
      <c r="FR241" s="124"/>
      <c r="FU241" s="111"/>
      <c r="FV241" s="124"/>
      <c r="FW241" s="124"/>
      <c r="FX241" s="124"/>
      <c r="FY241" s="124"/>
      <c r="GA241" s="124"/>
      <c r="GB241" s="124"/>
      <c r="GC241" s="124"/>
      <c r="GF241" s="111"/>
      <c r="GG241" s="111"/>
      <c r="GH241" s="111"/>
      <c r="GI241" s="124"/>
      <c r="GJ241" s="124"/>
      <c r="GK241" s="124"/>
      <c r="GN241" s="111"/>
      <c r="GO241" s="111"/>
      <c r="GP241" s="124"/>
      <c r="GQ241" s="124"/>
      <c r="GR241" s="124"/>
      <c r="GV241" s="111"/>
      <c r="GW241" s="124"/>
      <c r="GX241" s="124"/>
      <c r="GY241" s="124"/>
      <c r="HC241" s="124"/>
      <c r="HD241" s="124"/>
      <c r="HE241" s="124"/>
      <c r="HF241" s="124"/>
      <c r="HI241" s="111"/>
      <c r="HJ241" s="111"/>
      <c r="HK241" s="111"/>
      <c r="HL241" s="111"/>
      <c r="HM241" s="124"/>
      <c r="HN241" s="124"/>
      <c r="HO241" s="124"/>
      <c r="HR241" s="111"/>
      <c r="HS241" s="111"/>
      <c r="HT241" s="111"/>
      <c r="HU241" s="124"/>
      <c r="HV241" s="124"/>
      <c r="HW241" s="124"/>
      <c r="HZ241" s="111"/>
      <c r="IA241" s="124"/>
      <c r="IB241" s="124"/>
      <c r="IC241" s="124"/>
      <c r="IE241" s="111"/>
      <c r="IF241" s="124"/>
      <c r="IG241" s="124"/>
      <c r="IH241" s="124"/>
      <c r="IK241" s="124"/>
      <c r="IL241" s="124"/>
      <c r="IO241" s="124"/>
      <c r="IP241" s="124"/>
      <c r="IS241" s="160"/>
      <c r="IT241" s="160"/>
      <c r="IU241" s="160"/>
      <c r="IX241" s="124"/>
      <c r="IY241" s="124"/>
      <c r="IZ241" s="124"/>
      <c r="JA241" s="124"/>
      <c r="JD241" s="124"/>
      <c r="JE241" s="124"/>
      <c r="JH241" s="124"/>
      <c r="JI241" s="124"/>
      <c r="JJ241" s="124"/>
      <c r="JM241" s="124"/>
      <c r="JN241" s="124"/>
      <c r="JQ241" s="124"/>
      <c r="JR241" s="124"/>
      <c r="JS241" s="124"/>
      <c r="JV241" s="124"/>
      <c r="JW241" s="124"/>
      <c r="JY241" s="124"/>
      <c r="JZ241" s="124"/>
      <c r="KB241" s="124"/>
      <c r="KC241" s="124"/>
      <c r="KD241" s="124"/>
    </row>
    <row r="242" spans="2:290" x14ac:dyDescent="0.25">
      <c r="B242" s="11" t="s">
        <v>226</v>
      </c>
      <c r="C242" s="23"/>
      <c r="D242" s="23"/>
      <c r="E242" s="23"/>
      <c r="F242" s="23"/>
      <c r="G242" s="23"/>
      <c r="H242" s="197"/>
      <c r="I242" s="198"/>
      <c r="J242" s="198"/>
      <c r="K242" s="198"/>
      <c r="L242" s="198"/>
      <c r="M242" s="197"/>
      <c r="N242" s="198"/>
      <c r="O242" s="198"/>
      <c r="P242" s="198"/>
      <c r="Q242" s="198"/>
      <c r="R242" s="197"/>
      <c r="S242" s="198"/>
      <c r="T242" s="198"/>
      <c r="U242" s="198"/>
      <c r="V242" s="198"/>
      <c r="W242" s="197"/>
      <c r="X242" s="198"/>
      <c r="Y242" s="198"/>
      <c r="Z242" s="198"/>
      <c r="AA242" s="198"/>
      <c r="AB242" s="197"/>
      <c r="AC242" s="198"/>
      <c r="AD242" s="198"/>
      <c r="AE242" s="198"/>
      <c r="AF242" s="198"/>
      <c r="AG242" s="197"/>
      <c r="AH242" s="198"/>
      <c r="AI242" s="198"/>
      <c r="AJ242" s="198"/>
      <c r="AK242" s="197"/>
      <c r="AL242" s="198"/>
      <c r="AM242" s="198"/>
      <c r="AN242" s="198"/>
      <c r="AO242" s="198"/>
      <c r="AP242" s="197"/>
      <c r="AQ242" s="198"/>
      <c r="AR242" s="198"/>
      <c r="AS242" s="198"/>
      <c r="AT242" s="198"/>
      <c r="AU242" s="197"/>
      <c r="AV242" s="198"/>
      <c r="AW242" s="198"/>
      <c r="AX242" s="198"/>
      <c r="AY242" s="198"/>
      <c r="AZ242" s="197"/>
      <c r="BA242" s="198"/>
      <c r="BB242" s="198"/>
      <c r="BC242" s="198"/>
      <c r="BD242" s="198"/>
      <c r="BE242" s="197"/>
      <c r="BF242" s="198"/>
      <c r="BG242" s="198"/>
      <c r="BH242" s="198"/>
      <c r="BI242" s="198"/>
      <c r="BJ242" s="197"/>
      <c r="BK242" s="198"/>
      <c r="BL242" s="198"/>
      <c r="BM242" s="198"/>
      <c r="BN242" s="198"/>
      <c r="BO242" s="197">
        <f t="shared" si="324"/>
        <v>0</v>
      </c>
      <c r="BP242" s="198"/>
      <c r="BQ242" s="198"/>
      <c r="BR242" s="198"/>
      <c r="BS242" s="198"/>
      <c r="BT242" s="197">
        <f t="shared" si="325"/>
        <v>0</v>
      </c>
      <c r="BU242" s="198"/>
      <c r="BV242" s="198"/>
      <c r="BW242" s="198"/>
      <c r="BX242" s="198"/>
      <c r="BY242" s="197">
        <f t="shared" si="326"/>
        <v>0</v>
      </c>
      <c r="BZ242" s="198"/>
      <c r="CA242" s="198"/>
      <c r="CB242" s="198"/>
      <c r="CC242" s="198"/>
      <c r="CD242" s="197">
        <f t="shared" si="327"/>
        <v>0</v>
      </c>
      <c r="CE242" s="198"/>
      <c r="CF242" s="198"/>
      <c r="CG242" s="198"/>
      <c r="CH242" s="198"/>
      <c r="CI242" s="197">
        <f t="shared" si="328"/>
        <v>5000</v>
      </c>
      <c r="CJ242" s="202">
        <f t="shared" ref="CJ242:CN243" si="330">CJ234-CI234</f>
        <v>0</v>
      </c>
      <c r="CK242" s="202">
        <f t="shared" si="330"/>
        <v>0</v>
      </c>
      <c r="CL242" s="202">
        <v>5000</v>
      </c>
      <c r="CM242" s="202">
        <v>0</v>
      </c>
      <c r="CN242" s="202">
        <f t="shared" ca="1" si="330"/>
        <v>0</v>
      </c>
      <c r="CO242" s="137"/>
      <c r="CP242" s="137"/>
      <c r="CQ242" s="6"/>
      <c r="CR242" s="6"/>
      <c r="CS242" s="6"/>
      <c r="CT242" s="124"/>
      <c r="CU242" s="124"/>
      <c r="CV242" s="124"/>
      <c r="CW242" s="124"/>
      <c r="CX242" s="124"/>
      <c r="CY242" s="124"/>
      <c r="CZ242" s="124"/>
      <c r="DA242" s="124"/>
      <c r="DB242" s="124"/>
      <c r="DC242" s="124"/>
      <c r="DD242" s="124"/>
      <c r="DE242" s="124"/>
      <c r="DF242" s="124"/>
      <c r="DG242" s="124"/>
      <c r="DH242" s="124"/>
      <c r="DI242" s="124"/>
      <c r="DK242" s="124"/>
      <c r="DL242" s="124"/>
      <c r="DM242" s="6"/>
      <c r="DN242" s="124"/>
      <c r="DO242" s="124"/>
      <c r="DQ242" s="136"/>
      <c r="DR242" s="124"/>
      <c r="DS242" s="124"/>
      <c r="DT242" s="124"/>
      <c r="DV242" s="124"/>
      <c r="DW242" s="124"/>
      <c r="DX242" s="124"/>
      <c r="EA242" s="111"/>
      <c r="EB242" s="111"/>
      <c r="EC242" s="111"/>
      <c r="ED242" s="124"/>
      <c r="EE242" s="124"/>
      <c r="EF242" s="124"/>
      <c r="EJ242" s="111"/>
      <c r="EK242" s="111"/>
      <c r="EL242" s="124"/>
      <c r="EM242" s="124"/>
      <c r="EN242" s="124"/>
      <c r="EP242" s="111"/>
      <c r="EQ242" s="124"/>
      <c r="ER242" s="124"/>
      <c r="ES242" s="124"/>
      <c r="EV242" s="111"/>
      <c r="EW242" s="111"/>
      <c r="EX242" s="111"/>
      <c r="EY242" s="111"/>
      <c r="EZ242" s="124"/>
      <c r="FA242" s="124"/>
      <c r="FD242" s="111"/>
      <c r="FE242" s="111"/>
      <c r="FF242" s="111"/>
      <c r="FG242" s="124"/>
      <c r="FH242" s="124"/>
      <c r="FK242" s="124"/>
      <c r="FL242" s="124"/>
      <c r="FO242" s="111"/>
      <c r="FP242" s="111"/>
      <c r="FQ242" s="124"/>
      <c r="FR242" s="124"/>
      <c r="FU242" s="111"/>
      <c r="FV242" s="124"/>
      <c r="FW242" s="124"/>
      <c r="FX242" s="124"/>
      <c r="FY242" s="124"/>
      <c r="GA242" s="124"/>
      <c r="GB242" s="124"/>
      <c r="GC242" s="124"/>
      <c r="GF242" s="111"/>
      <c r="GG242" s="111"/>
      <c r="GH242" s="111"/>
      <c r="GI242" s="124"/>
      <c r="GJ242" s="124"/>
      <c r="GK242" s="124"/>
      <c r="GN242" s="111"/>
      <c r="GO242" s="111"/>
      <c r="GP242" s="124"/>
      <c r="GQ242" s="124"/>
      <c r="GR242" s="124"/>
      <c r="GV242" s="111"/>
      <c r="GW242" s="124"/>
      <c r="GX242" s="124"/>
      <c r="GY242" s="124"/>
      <c r="HC242" s="124"/>
      <c r="HD242" s="124"/>
      <c r="HE242" s="124"/>
      <c r="HF242" s="124"/>
      <c r="HI242" s="111"/>
      <c r="HJ242" s="111"/>
      <c r="HK242" s="111"/>
      <c r="HL242" s="111"/>
      <c r="HM242" s="124"/>
      <c r="HN242" s="124"/>
      <c r="HO242" s="124"/>
      <c r="HR242" s="111"/>
      <c r="HS242" s="111"/>
      <c r="HT242" s="111"/>
      <c r="HU242" s="124"/>
      <c r="HV242" s="124"/>
      <c r="HW242" s="124"/>
      <c r="HZ242" s="111"/>
      <c r="IA242" s="124"/>
      <c r="IB242" s="124"/>
      <c r="IC242" s="124"/>
      <c r="IE242" s="111"/>
      <c r="IF242" s="124"/>
      <c r="IG242" s="124"/>
      <c r="IH242" s="124"/>
      <c r="IK242" s="124"/>
      <c r="IL242" s="124"/>
      <c r="IO242" s="124"/>
      <c r="IP242" s="124"/>
      <c r="IS242" s="160"/>
      <c r="IT242" s="160"/>
      <c r="IU242" s="160"/>
      <c r="IX242" s="124"/>
      <c r="IY242" s="124"/>
      <c r="IZ242" s="124"/>
      <c r="JA242" s="124"/>
      <c r="JD242" s="124"/>
      <c r="JE242" s="124"/>
      <c r="JH242" s="124"/>
      <c r="JI242" s="124"/>
      <c r="JJ242" s="124"/>
      <c r="JM242" s="124"/>
      <c r="JN242" s="124"/>
      <c r="JQ242" s="124"/>
      <c r="JR242" s="124"/>
      <c r="JS242" s="124"/>
      <c r="JV242" s="124"/>
      <c r="JW242" s="124"/>
      <c r="JY242" s="124"/>
      <c r="JZ242" s="124"/>
      <c r="KB242" s="124"/>
      <c r="KC242" s="124"/>
      <c r="KD242" s="124"/>
    </row>
    <row r="243" spans="2:290" s="60" customFormat="1" x14ac:dyDescent="0.25">
      <c r="B243" s="34" t="s">
        <v>254</v>
      </c>
      <c r="C243" s="99"/>
      <c r="D243" s="99"/>
      <c r="E243" s="99"/>
      <c r="F243" s="99"/>
      <c r="G243" s="99"/>
      <c r="H243" s="83"/>
      <c r="I243" s="62"/>
      <c r="J243" s="62"/>
      <c r="K243" s="62"/>
      <c r="L243" s="62"/>
      <c r="M243" s="83"/>
      <c r="N243" s="62"/>
      <c r="O243" s="62"/>
      <c r="P243" s="62"/>
      <c r="Q243" s="62"/>
      <c r="R243" s="83"/>
      <c r="S243" s="62"/>
      <c r="T243" s="62"/>
      <c r="U243" s="62"/>
      <c r="V243" s="62"/>
      <c r="W243" s="83"/>
      <c r="X243" s="62"/>
      <c r="Y243" s="62"/>
      <c r="Z243" s="62"/>
      <c r="AA243" s="62"/>
      <c r="AB243" s="83"/>
      <c r="AC243" s="62"/>
      <c r="AD243" s="62"/>
      <c r="AE243" s="62"/>
      <c r="AF243" s="62"/>
      <c r="AG243" s="83"/>
      <c r="AH243" s="62"/>
      <c r="AI243" s="62"/>
      <c r="AJ243" s="62"/>
      <c r="AK243" s="83"/>
      <c r="AL243" s="62"/>
      <c r="AM243" s="62"/>
      <c r="AN243" s="62"/>
      <c r="AO243" s="62"/>
      <c r="AP243" s="83"/>
      <c r="AQ243" s="62"/>
      <c r="AR243" s="62"/>
      <c r="AS243" s="62"/>
      <c r="AT243" s="62"/>
      <c r="AU243" s="83"/>
      <c r="AV243" s="62"/>
      <c r="AW243" s="62"/>
      <c r="AX243" s="62"/>
      <c r="AY243" s="62"/>
      <c r="AZ243" s="83"/>
      <c r="BA243" s="62"/>
      <c r="BB243" s="62"/>
      <c r="BC243" s="62"/>
      <c r="BD243" s="62"/>
      <c r="BE243" s="83"/>
      <c r="BF243" s="62"/>
      <c r="BG243" s="62"/>
      <c r="BH243" s="62"/>
      <c r="BI243" s="62"/>
      <c r="BJ243" s="83"/>
      <c r="BK243" s="62"/>
      <c r="BL243" s="62"/>
      <c r="BM243" s="62"/>
      <c r="BN243" s="62"/>
      <c r="BO243" s="83">
        <f t="shared" si="324"/>
        <v>27836</v>
      </c>
      <c r="BP243" s="62"/>
      <c r="BQ243" s="62"/>
      <c r="BR243" s="62"/>
      <c r="BS243" s="62"/>
      <c r="BT243" s="83">
        <f t="shared" si="325"/>
        <v>81213</v>
      </c>
      <c r="BU243" s="62"/>
      <c r="BV243" s="62"/>
      <c r="BW243" s="62"/>
      <c r="BX243" s="62"/>
      <c r="BY243" s="83">
        <f t="shared" si="326"/>
        <v>145076</v>
      </c>
      <c r="BZ243" s="62"/>
      <c r="CA243" s="62"/>
      <c r="CB243" s="62"/>
      <c r="CC243" s="62"/>
      <c r="CD243" s="83">
        <f t="shared" si="327"/>
        <v>139754</v>
      </c>
      <c r="CE243" s="62"/>
      <c r="CF243" s="62"/>
      <c r="CG243" s="62"/>
      <c r="CH243" s="62"/>
      <c r="CI243" s="83">
        <f t="shared" si="328"/>
        <v>151213</v>
      </c>
      <c r="CJ243" s="83">
        <f>CJ235-CI235</f>
        <v>110000</v>
      </c>
      <c r="CK243" s="83">
        <f t="shared" si="330"/>
        <v>165000</v>
      </c>
      <c r="CL243" s="83">
        <f t="shared" si="330"/>
        <v>175000</v>
      </c>
      <c r="CM243" s="83">
        <f t="shared" si="330"/>
        <v>205000</v>
      </c>
      <c r="CN243" s="83">
        <f t="shared" ca="1" si="330"/>
        <v>170000</v>
      </c>
      <c r="CO243" s="148"/>
      <c r="CP243" s="148"/>
      <c r="CQ243" s="58"/>
      <c r="CR243" s="58"/>
      <c r="CS243" s="58"/>
      <c r="CT243" s="143"/>
      <c r="CU243" s="143"/>
      <c r="CV243" s="143"/>
      <c r="CW243" s="143"/>
      <c r="CX243" s="143"/>
      <c r="CY243" s="143"/>
      <c r="CZ243" s="143"/>
      <c r="DA243" s="143"/>
      <c r="DB243" s="143"/>
      <c r="DC243" s="143"/>
      <c r="DD243" s="143"/>
      <c r="DE243" s="143"/>
      <c r="DF243" s="143"/>
      <c r="DG243" s="143"/>
      <c r="DH243" s="143"/>
      <c r="DI243" s="143"/>
      <c r="DK243" s="143"/>
      <c r="DL243" s="143"/>
      <c r="DM243" s="58"/>
      <c r="DN243" s="143"/>
      <c r="DO243" s="143"/>
      <c r="DQ243" s="4"/>
      <c r="DR243" s="143"/>
      <c r="DS243" s="143"/>
      <c r="DT243" s="143"/>
      <c r="DV243" s="143"/>
      <c r="DW243" s="143"/>
      <c r="DX243" s="143"/>
      <c r="EA243" s="119"/>
      <c r="EB243" s="119"/>
      <c r="EC243" s="119"/>
      <c r="ED243" s="143"/>
      <c r="EE243" s="143"/>
      <c r="EF243" s="143"/>
      <c r="EJ243" s="119"/>
      <c r="EK243" s="119"/>
      <c r="EL243" s="143"/>
      <c r="EM243" s="143"/>
      <c r="EN243" s="143"/>
      <c r="EP243" s="119"/>
      <c r="EQ243" s="143"/>
      <c r="ER243" s="143"/>
      <c r="ES243" s="143"/>
      <c r="EV243" s="119"/>
      <c r="EW243" s="119"/>
      <c r="EX243" s="119"/>
      <c r="EY243" s="119"/>
      <c r="EZ243" s="143"/>
      <c r="FA243" s="143"/>
      <c r="FD243" s="119"/>
      <c r="FE243" s="119"/>
      <c r="FF243" s="119"/>
      <c r="FG243" s="143"/>
      <c r="FH243" s="143"/>
      <c r="FK243" s="143"/>
      <c r="FL243" s="143"/>
      <c r="FO243" s="119"/>
      <c r="FP243" s="119"/>
      <c r="FQ243" s="143"/>
      <c r="FR243" s="143"/>
      <c r="FU243" s="119"/>
      <c r="FV243" s="143"/>
      <c r="FW243" s="143"/>
      <c r="FX243" s="143"/>
      <c r="FY243" s="143"/>
      <c r="GA243" s="143"/>
      <c r="GB243" s="143"/>
      <c r="GC243" s="143"/>
      <c r="GF243" s="119"/>
      <c r="GG243" s="119"/>
      <c r="GH243" s="119"/>
      <c r="GI243" s="143"/>
      <c r="GJ243" s="143"/>
      <c r="GK243" s="143"/>
      <c r="GN243" s="119"/>
      <c r="GO243" s="119"/>
      <c r="GP243" s="143"/>
      <c r="GQ243" s="143"/>
      <c r="GR243" s="143"/>
      <c r="GV243" s="119"/>
      <c r="GW243" s="143"/>
      <c r="GX243" s="143"/>
      <c r="GY243" s="143"/>
      <c r="HC243" s="143"/>
      <c r="HD243" s="143"/>
      <c r="HE243" s="143"/>
      <c r="HF243" s="143"/>
      <c r="HI243" s="119"/>
      <c r="HJ243" s="119"/>
      <c r="HK243" s="119"/>
      <c r="HL243" s="119"/>
      <c r="HM243" s="143"/>
      <c r="HN243" s="143"/>
      <c r="HO243" s="143"/>
      <c r="HR243" s="119"/>
      <c r="HS243" s="119"/>
      <c r="HT243" s="119"/>
      <c r="HU243" s="143"/>
      <c r="HV243" s="143"/>
      <c r="HW243" s="143"/>
      <c r="HZ243" s="119"/>
      <c r="IA243" s="143"/>
      <c r="IB243" s="143"/>
      <c r="IC243" s="143"/>
      <c r="IE243" s="119"/>
      <c r="IF243" s="143"/>
      <c r="IG243" s="143"/>
      <c r="IH243" s="143"/>
      <c r="IK243" s="143"/>
      <c r="IL243" s="143"/>
      <c r="IO243" s="143"/>
      <c r="IP243" s="143"/>
      <c r="IS243" s="157"/>
      <c r="IT243" s="157"/>
      <c r="IU243" s="157"/>
      <c r="IX243" s="143"/>
      <c r="IY243" s="143"/>
      <c r="IZ243" s="143"/>
      <c r="JA243" s="143"/>
      <c r="JD243" s="143"/>
      <c r="JE243" s="143"/>
      <c r="JH243" s="143"/>
      <c r="JI243" s="143"/>
      <c r="JJ243" s="143"/>
      <c r="JM243" s="143"/>
      <c r="JN243" s="143"/>
      <c r="JQ243" s="143"/>
      <c r="JR243" s="143"/>
      <c r="JS243" s="143"/>
      <c r="JV243" s="143"/>
      <c r="JW243" s="143"/>
      <c r="JY243" s="143"/>
      <c r="JZ243" s="143"/>
      <c r="KB243" s="143"/>
      <c r="KC243" s="143"/>
      <c r="KD243" s="143"/>
    </row>
    <row r="244" spans="2:290" s="60" customFormat="1" x14ac:dyDescent="0.25">
      <c r="B244" s="203"/>
      <c r="C244" s="99"/>
      <c r="D244" s="99"/>
      <c r="E244" s="99"/>
      <c r="F244" s="99"/>
      <c r="G244" s="99"/>
      <c r="H244" s="83"/>
      <c r="I244" s="62"/>
      <c r="J244" s="62"/>
      <c r="K244" s="62"/>
      <c r="L244" s="62"/>
      <c r="M244" s="83"/>
      <c r="N244" s="62"/>
      <c r="O244" s="62"/>
      <c r="P244" s="62"/>
      <c r="Q244" s="62"/>
      <c r="R244" s="83"/>
      <c r="S244" s="62"/>
      <c r="T244" s="62"/>
      <c r="U244" s="62"/>
      <c r="V244" s="62"/>
      <c r="W244" s="83"/>
      <c r="X244" s="62"/>
      <c r="Y244" s="62"/>
      <c r="Z244" s="62"/>
      <c r="AA244" s="62"/>
      <c r="AB244" s="83"/>
      <c r="AC244" s="62"/>
      <c r="AD244" s="62"/>
      <c r="AE244" s="62"/>
      <c r="AF244" s="62"/>
      <c r="AG244" s="83"/>
      <c r="AH244" s="62"/>
      <c r="AI244" s="62"/>
      <c r="AJ244" s="62"/>
      <c r="AK244" s="83"/>
      <c r="AL244" s="62"/>
      <c r="AM244" s="62"/>
      <c r="AN244" s="62"/>
      <c r="AO244" s="62"/>
      <c r="AP244" s="83"/>
      <c r="AQ244" s="62"/>
      <c r="AR244" s="62"/>
      <c r="AS244" s="62"/>
      <c r="AT244" s="62"/>
      <c r="AU244" s="83"/>
      <c r="AV244" s="62"/>
      <c r="AW244" s="62"/>
      <c r="AX244" s="62"/>
      <c r="AY244" s="62"/>
      <c r="AZ244" s="83"/>
      <c r="BA244" s="62"/>
      <c r="BB244" s="62"/>
      <c r="BC244" s="62"/>
      <c r="BD244" s="62"/>
      <c r="BE244" s="83"/>
      <c r="BF244" s="62"/>
      <c r="BG244" s="62"/>
      <c r="BH244" s="62"/>
      <c r="BI244" s="62"/>
      <c r="BJ244" s="83"/>
      <c r="BK244" s="62"/>
      <c r="BL244" s="62"/>
      <c r="BM244" s="62"/>
      <c r="BN244" s="62"/>
      <c r="BO244" s="83"/>
      <c r="BP244" s="62"/>
      <c r="BQ244" s="62"/>
      <c r="BR244" s="62"/>
      <c r="BS244" s="62"/>
      <c r="BT244" s="83"/>
      <c r="BU244" s="62"/>
      <c r="BV244" s="62"/>
      <c r="BW244" s="62"/>
      <c r="BX244" s="62"/>
      <c r="BY244" s="83"/>
      <c r="BZ244" s="62"/>
      <c r="CA244" s="62"/>
      <c r="CB244" s="62"/>
      <c r="CC244" s="62"/>
      <c r="CD244" s="83"/>
      <c r="CE244" s="62"/>
      <c r="CF244" s="62"/>
      <c r="CG244" s="62"/>
      <c r="CH244" s="62"/>
      <c r="CI244" s="83"/>
      <c r="CJ244" s="83"/>
      <c r="CK244" s="83"/>
      <c r="CL244" s="83"/>
      <c r="CM244" s="83"/>
      <c r="CN244" s="83"/>
      <c r="CO244" s="148"/>
      <c r="CP244" s="148"/>
      <c r="CQ244" s="58"/>
      <c r="CR244" s="58"/>
      <c r="CS244" s="58"/>
      <c r="CT244" s="143"/>
      <c r="CU244" s="143"/>
      <c r="CV244" s="143"/>
      <c r="CW244" s="143"/>
      <c r="CX244" s="143"/>
      <c r="CY244" s="143"/>
      <c r="CZ244" s="143"/>
      <c r="DA244" s="143"/>
      <c r="DB244" s="143"/>
      <c r="DC244" s="143"/>
      <c r="DD244" s="143"/>
      <c r="DE244" s="143"/>
      <c r="DF244" s="143"/>
      <c r="DG244" s="143"/>
      <c r="DH244" s="143"/>
      <c r="DI244" s="143"/>
      <c r="DK244" s="143"/>
      <c r="DL244" s="143"/>
      <c r="DM244" s="58"/>
      <c r="DN244" s="143"/>
      <c r="DO244" s="143"/>
      <c r="DQ244" s="4"/>
      <c r="DR244" s="143"/>
      <c r="DS244" s="143"/>
      <c r="DT244" s="143"/>
      <c r="DV244" s="143"/>
      <c r="DW244" s="143"/>
      <c r="DX244" s="143"/>
      <c r="EA244" s="119"/>
      <c r="EB244" s="119"/>
      <c r="EC244" s="119"/>
      <c r="ED244" s="143"/>
      <c r="EE244" s="143"/>
      <c r="EF244" s="143"/>
      <c r="EJ244" s="119"/>
      <c r="EK244" s="119"/>
      <c r="EL244" s="143"/>
      <c r="EM244" s="143"/>
      <c r="EN244" s="143"/>
      <c r="EP244" s="119"/>
      <c r="EQ244" s="143"/>
      <c r="ER244" s="143"/>
      <c r="ES244" s="143"/>
      <c r="EV244" s="119"/>
      <c r="EW244" s="119"/>
      <c r="EX244" s="119"/>
      <c r="EY244" s="119"/>
      <c r="EZ244" s="143"/>
      <c r="FA244" s="143"/>
      <c r="FD244" s="119"/>
      <c r="FE244" s="119"/>
      <c r="FF244" s="119"/>
      <c r="FG244" s="143"/>
      <c r="FH244" s="143"/>
      <c r="FK244" s="143"/>
      <c r="FL244" s="143"/>
      <c r="FO244" s="119"/>
      <c r="FP244" s="119"/>
      <c r="FQ244" s="143"/>
      <c r="FR244" s="143"/>
      <c r="FU244" s="119"/>
      <c r="FV244" s="143"/>
      <c r="FW244" s="143"/>
      <c r="FX244" s="143"/>
      <c r="FY244" s="143"/>
      <c r="GA244" s="143"/>
      <c r="GB244" s="143"/>
      <c r="GC244" s="143"/>
      <c r="GF244" s="119"/>
      <c r="GG244" s="119"/>
      <c r="GH244" s="119"/>
      <c r="GI244" s="143"/>
      <c r="GJ244" s="143"/>
      <c r="GK244" s="143"/>
      <c r="GN244" s="119"/>
      <c r="GO244" s="119"/>
      <c r="GP244" s="143"/>
      <c r="GQ244" s="143"/>
      <c r="GR244" s="143"/>
      <c r="GV244" s="119"/>
      <c r="GW244" s="143"/>
      <c r="GX244" s="143"/>
      <c r="GY244" s="143"/>
      <c r="HC244" s="143"/>
      <c r="HD244" s="143"/>
      <c r="HE244" s="143"/>
      <c r="HF244" s="143"/>
      <c r="HI244" s="119"/>
      <c r="HJ244" s="119"/>
      <c r="HK244" s="119"/>
      <c r="HL244" s="119"/>
      <c r="HM244" s="143"/>
      <c r="HN244" s="143"/>
      <c r="HO244" s="143"/>
      <c r="HR244" s="119"/>
      <c r="HS244" s="119"/>
      <c r="HT244" s="119"/>
      <c r="HU244" s="143"/>
      <c r="HV244" s="143"/>
      <c r="HW244" s="143"/>
      <c r="HZ244" s="119"/>
      <c r="IA244" s="143"/>
      <c r="IB244" s="143"/>
      <c r="IC244" s="143"/>
      <c r="IE244" s="119"/>
      <c r="IF244" s="143"/>
      <c r="IG244" s="143"/>
      <c r="IH244" s="143"/>
      <c r="IK244" s="143"/>
      <c r="IL244" s="143"/>
      <c r="IO244" s="143"/>
      <c r="IP244" s="143"/>
      <c r="IS244" s="157"/>
      <c r="IT244" s="157"/>
      <c r="IU244" s="157"/>
      <c r="IX244" s="143"/>
      <c r="IY244" s="143"/>
      <c r="IZ244" s="143"/>
      <c r="JA244" s="143"/>
      <c r="JD244" s="143"/>
      <c r="JE244" s="143"/>
      <c r="JH244" s="143"/>
      <c r="JI244" s="143"/>
      <c r="JJ244" s="143"/>
      <c r="JM244" s="143"/>
      <c r="JN244" s="143"/>
      <c r="JQ244" s="143"/>
      <c r="JR244" s="143"/>
      <c r="JS244" s="143"/>
      <c r="JV244" s="143"/>
      <c r="JW244" s="143"/>
      <c r="JY244" s="143"/>
      <c r="JZ244" s="143"/>
      <c r="KB244" s="143"/>
      <c r="KC244" s="143"/>
      <c r="KD244" s="143"/>
    </row>
    <row r="245" spans="2:290" s="6" customFormat="1" x14ac:dyDescent="0.25">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204"/>
      <c r="BP245" s="204"/>
      <c r="BQ245" s="204"/>
      <c r="BR245" s="204"/>
      <c r="BS245" s="204"/>
      <c r="BT245" s="204"/>
      <c r="BU245" s="204"/>
      <c r="BV245" s="204"/>
      <c r="BW245" s="204"/>
      <c r="BX245" s="204"/>
      <c r="BY245" s="204"/>
      <c r="BZ245" s="204"/>
      <c r="CA245" s="204"/>
      <c r="CB245" s="204"/>
      <c r="CC245" s="204"/>
      <c r="CD245" s="204"/>
      <c r="CE245" s="204"/>
      <c r="CF245" s="204"/>
      <c r="CG245" s="204"/>
      <c r="CH245" s="204"/>
      <c r="CI245" s="204"/>
      <c r="CJ245" s="204"/>
      <c r="CK245" s="204"/>
      <c r="CL245" s="11"/>
      <c r="CM245" s="11"/>
      <c r="CN245" s="205"/>
    </row>
    <row r="246" spans="2:290" s="60" customFormat="1" x14ac:dyDescent="0.25">
      <c r="B246" s="34" t="s">
        <v>227</v>
      </c>
      <c r="C246" s="99"/>
      <c r="D246" s="99"/>
      <c r="E246" s="99"/>
      <c r="F246" s="99"/>
      <c r="G246" s="99"/>
      <c r="H246" s="196"/>
      <c r="I246" s="196"/>
      <c r="J246" s="196"/>
      <c r="K246" s="196"/>
      <c r="L246" s="196"/>
      <c r="M246" s="196"/>
      <c r="N246" s="196"/>
      <c r="O246" s="196"/>
      <c r="P246" s="196"/>
      <c r="Q246" s="196"/>
      <c r="R246" s="196"/>
      <c r="S246" s="196"/>
      <c r="T246" s="196"/>
      <c r="U246" s="196"/>
      <c r="V246" s="196"/>
      <c r="W246" s="196"/>
      <c r="X246" s="196"/>
      <c r="Y246" s="196"/>
      <c r="Z246" s="196"/>
      <c r="AA246" s="196"/>
      <c r="AB246" s="196"/>
      <c r="AC246" s="196"/>
      <c r="AD246" s="196"/>
      <c r="AE246" s="196"/>
      <c r="AF246" s="196"/>
      <c r="AG246" s="196"/>
      <c r="AH246" s="196"/>
      <c r="AI246" s="196"/>
      <c r="AJ246" s="196"/>
      <c r="AK246" s="196"/>
      <c r="AL246" s="196"/>
      <c r="AM246" s="196"/>
      <c r="AN246" s="196"/>
      <c r="AO246" s="196"/>
      <c r="AP246" s="196"/>
      <c r="AQ246" s="196"/>
      <c r="AR246" s="196"/>
      <c r="AS246" s="196"/>
      <c r="AT246" s="196"/>
      <c r="AU246" s="196"/>
      <c r="AV246" s="196"/>
      <c r="AW246" s="196"/>
      <c r="AX246" s="196"/>
      <c r="AY246" s="196"/>
      <c r="AZ246" s="196"/>
      <c r="BA246" s="196"/>
      <c r="BB246" s="196"/>
      <c r="BC246" s="196"/>
      <c r="BD246" s="196"/>
      <c r="BE246" s="196"/>
      <c r="BF246" s="196"/>
      <c r="BG246" s="196"/>
      <c r="BH246" s="196"/>
      <c r="BI246" s="196"/>
      <c r="BJ246" s="196"/>
      <c r="BK246" s="196"/>
      <c r="BL246" s="196"/>
      <c r="BM246" s="196"/>
      <c r="BN246" s="196"/>
      <c r="BO246" s="196"/>
      <c r="BP246" s="196"/>
      <c r="BQ246" s="196"/>
      <c r="BR246" s="196"/>
      <c r="BS246" s="196"/>
      <c r="BT246" s="196"/>
      <c r="BU246" s="196"/>
      <c r="BV246" s="196"/>
      <c r="BW246" s="196"/>
      <c r="BX246" s="196"/>
      <c r="BY246" s="196"/>
      <c r="BZ246" s="196"/>
      <c r="CA246" s="196"/>
      <c r="CB246" s="196"/>
      <c r="CC246" s="196"/>
      <c r="CD246" s="196"/>
      <c r="CE246" s="196"/>
      <c r="CF246" s="196"/>
      <c r="CG246" s="196"/>
      <c r="CH246" s="196"/>
      <c r="CI246" s="196"/>
      <c r="CJ246" s="196"/>
      <c r="CK246" s="196"/>
      <c r="CL246" s="196"/>
      <c r="CM246" s="196"/>
      <c r="CN246" s="196"/>
      <c r="CO246" s="148"/>
      <c r="CP246" s="148"/>
      <c r="CQ246" s="58"/>
      <c r="CR246" s="58"/>
      <c r="CS246" s="58"/>
      <c r="CT246" s="143"/>
      <c r="CU246" s="143"/>
      <c r="CV246" s="143"/>
      <c r="CW246" s="143"/>
      <c r="CX246" s="143"/>
      <c r="CY246" s="143"/>
      <c r="CZ246" s="143"/>
      <c r="DA246" s="143"/>
      <c r="DB246" s="143"/>
      <c r="DC246" s="143"/>
      <c r="DD246" s="143"/>
      <c r="DE246" s="143"/>
      <c r="DF246" s="143"/>
      <c r="DG246" s="143"/>
      <c r="DH246" s="143"/>
      <c r="DI246" s="143"/>
      <c r="DK246" s="143"/>
      <c r="DL246" s="143"/>
      <c r="DM246" s="58"/>
      <c r="DN246" s="143"/>
      <c r="DO246" s="143"/>
      <c r="DQ246" s="4"/>
      <c r="DR246" s="143"/>
      <c r="DS246" s="143"/>
      <c r="DT246" s="143"/>
      <c r="DV246" s="143"/>
      <c r="DW246" s="143"/>
      <c r="DX246" s="143"/>
      <c r="EA246" s="119"/>
      <c r="EB246" s="119"/>
      <c r="EC246" s="119"/>
      <c r="ED246" s="143"/>
      <c r="EE246" s="143"/>
      <c r="EF246" s="143"/>
      <c r="EJ246" s="119"/>
      <c r="EK246" s="119"/>
      <c r="EL246" s="143"/>
      <c r="EM246" s="143"/>
      <c r="EN246" s="143"/>
      <c r="EP246" s="119"/>
      <c r="EQ246" s="143"/>
      <c r="ER246" s="143"/>
      <c r="ES246" s="143"/>
      <c r="EV246" s="119"/>
      <c r="EW246" s="119"/>
      <c r="EX246" s="119"/>
      <c r="EY246" s="119"/>
      <c r="EZ246" s="143"/>
      <c r="FA246" s="143"/>
      <c r="FD246" s="119"/>
      <c r="FE246" s="119"/>
      <c r="FF246" s="119"/>
      <c r="FG246" s="143"/>
      <c r="FH246" s="143"/>
      <c r="FK246" s="143"/>
      <c r="FL246" s="143"/>
      <c r="FO246" s="119"/>
      <c r="FP246" s="119"/>
      <c r="FQ246" s="143"/>
      <c r="FR246" s="143"/>
      <c r="FU246" s="119"/>
      <c r="FV246" s="143"/>
      <c r="FW246" s="143"/>
      <c r="FX246" s="143"/>
      <c r="FY246" s="143"/>
      <c r="GA246" s="143"/>
      <c r="GB246" s="143"/>
      <c r="GC246" s="143"/>
      <c r="GF246" s="119"/>
      <c r="GG246" s="119"/>
      <c r="GH246" s="119"/>
      <c r="GI246" s="143"/>
      <c r="GJ246" s="143"/>
      <c r="GK246" s="143"/>
      <c r="GN246" s="119"/>
      <c r="GO246" s="119"/>
      <c r="GP246" s="143"/>
      <c r="GQ246" s="143"/>
      <c r="GR246" s="143"/>
      <c r="GV246" s="119"/>
      <c r="GW246" s="143"/>
      <c r="GX246" s="143"/>
      <c r="GY246" s="143"/>
      <c r="HC246" s="143"/>
      <c r="HD246" s="143"/>
      <c r="HE246" s="143"/>
      <c r="HF246" s="143"/>
      <c r="HI246" s="119"/>
      <c r="HJ246" s="119"/>
      <c r="HK246" s="119"/>
      <c r="HL246" s="119"/>
      <c r="HM246" s="143"/>
      <c r="HN246" s="143"/>
      <c r="HO246" s="143"/>
      <c r="HR246" s="119"/>
      <c r="HS246" s="119"/>
      <c r="HT246" s="119"/>
      <c r="HU246" s="143"/>
      <c r="HV246" s="143"/>
      <c r="HW246" s="143"/>
      <c r="HZ246" s="119"/>
      <c r="IA246" s="143"/>
      <c r="IB246" s="143"/>
      <c r="IC246" s="143"/>
      <c r="IE246" s="119"/>
      <c r="IF246" s="143"/>
      <c r="IG246" s="143"/>
      <c r="IH246" s="143"/>
      <c r="IK246" s="143"/>
      <c r="IL246" s="143"/>
      <c r="IO246" s="143"/>
      <c r="IP246" s="143"/>
      <c r="IS246" s="157"/>
      <c r="IT246" s="157"/>
      <c r="IU246" s="157"/>
      <c r="IX246" s="143"/>
      <c r="IY246" s="143"/>
      <c r="IZ246" s="143"/>
      <c r="JA246" s="143"/>
      <c r="JD246" s="143"/>
      <c r="JE246" s="143"/>
      <c r="JH246" s="143"/>
      <c r="JI246" s="143"/>
      <c r="JJ246" s="143"/>
      <c r="JM246" s="143"/>
      <c r="JN246" s="143"/>
      <c r="JQ246" s="143"/>
      <c r="JR246" s="143"/>
      <c r="JS246" s="143"/>
      <c r="JV246" s="143"/>
      <c r="JW246" s="143"/>
      <c r="JY246" s="143"/>
      <c r="JZ246" s="143"/>
      <c r="KB246" s="143"/>
      <c r="KC246" s="143"/>
      <c r="KD246" s="143"/>
    </row>
    <row r="247" spans="2:290" x14ac:dyDescent="0.25">
      <c r="B247" s="11" t="s">
        <v>222</v>
      </c>
      <c r="C247" s="23"/>
      <c r="D247" s="23"/>
      <c r="E247" s="23"/>
      <c r="F247" s="23"/>
      <c r="G247" s="23"/>
      <c r="H247" s="197"/>
      <c r="I247" s="198"/>
      <c r="J247" s="198"/>
      <c r="K247" s="198"/>
      <c r="L247" s="198"/>
      <c r="M247" s="197"/>
      <c r="N247" s="198"/>
      <c r="O247" s="198"/>
      <c r="P247" s="198"/>
      <c r="Q247" s="198"/>
      <c r="R247" s="197"/>
      <c r="S247" s="198"/>
      <c r="T247" s="198"/>
      <c r="U247" s="198"/>
      <c r="V247" s="198"/>
      <c r="W247" s="197">
        <v>180746</v>
      </c>
      <c r="X247" s="198">
        <v>32337</v>
      </c>
      <c r="Y247" s="198">
        <v>42388</v>
      </c>
      <c r="Z247" s="198">
        <v>50521</v>
      </c>
      <c r="AA247" s="198">
        <v>62705</v>
      </c>
      <c r="AB247" s="197">
        <v>187951</v>
      </c>
      <c r="AC247" s="198">
        <v>30086</v>
      </c>
      <c r="AD247" s="198">
        <v>47675</v>
      </c>
      <c r="AE247" s="198">
        <v>59714</v>
      </c>
      <c r="AF247" s="198">
        <v>66789</v>
      </c>
      <c r="AG247" s="197">
        <v>204264</v>
      </c>
      <c r="AH247" s="198">
        <v>37867</v>
      </c>
      <c r="AI247" s="198">
        <v>49714</v>
      </c>
      <c r="AJ247" s="198">
        <v>75450</v>
      </c>
      <c r="AK247" s="197">
        <v>163031</v>
      </c>
      <c r="AL247" s="198">
        <v>70872</v>
      </c>
      <c r="AM247" s="198">
        <v>45266</v>
      </c>
      <c r="AN247" s="198">
        <v>51570</v>
      </c>
      <c r="AO247" s="198">
        <f>AP247-AL247-AM247-AN247</f>
        <v>67549</v>
      </c>
      <c r="AP247" s="197">
        <v>235257</v>
      </c>
      <c r="AQ247" s="198">
        <v>66149</v>
      </c>
      <c r="AR247" s="198">
        <v>52967</v>
      </c>
      <c r="AS247" s="198">
        <v>64435</v>
      </c>
      <c r="AT247" s="198">
        <f>AU247-AQ247-AR247-AS247</f>
        <v>72779</v>
      </c>
      <c r="AU247" s="197">
        <v>256330</v>
      </c>
      <c r="AV247" s="199">
        <v>69619</v>
      </c>
      <c r="AW247" s="199">
        <v>56627</v>
      </c>
      <c r="AX247" s="199">
        <v>70026</v>
      </c>
      <c r="AY247" s="199">
        <f>AZ247-AV247-AW247-AX247</f>
        <v>83476</v>
      </c>
      <c r="AZ247" s="197">
        <v>279748</v>
      </c>
      <c r="BA247" s="199">
        <v>85214</v>
      </c>
      <c r="BB247" s="199">
        <v>67812</v>
      </c>
      <c r="BC247" s="199">
        <v>70431</v>
      </c>
      <c r="BD247" s="199">
        <f>BE247-BA247-BB247-BC247</f>
        <v>77315</v>
      </c>
      <c r="BE247" s="197">
        <v>300772</v>
      </c>
      <c r="BF247" s="199">
        <v>74992</v>
      </c>
      <c r="BG247" s="199">
        <v>66609</v>
      </c>
      <c r="BH247" s="199">
        <v>76759</v>
      </c>
      <c r="BI247" s="199">
        <f>BJ247-BF247-BG247-BH247</f>
        <v>75997</v>
      </c>
      <c r="BJ247" s="197">
        <v>294357</v>
      </c>
      <c r="BK247" s="199">
        <v>48111</v>
      </c>
      <c r="BL247" s="199">
        <v>72480</v>
      </c>
      <c r="BM247" s="199">
        <v>57197</v>
      </c>
      <c r="BN247" s="199">
        <v>96507</v>
      </c>
      <c r="BO247" s="197">
        <f>SUM(BK247:BN247)</f>
        <v>274295</v>
      </c>
      <c r="BP247" s="199">
        <v>79424</v>
      </c>
      <c r="BQ247" s="199">
        <v>79220</v>
      </c>
      <c r="BR247" s="199">
        <v>104109</v>
      </c>
      <c r="BS247" s="199">
        <v>112293</v>
      </c>
      <c r="BT247" s="197">
        <v>375046</v>
      </c>
      <c r="BU247" s="199">
        <f>117274</f>
        <v>117274</v>
      </c>
      <c r="BV247" s="199">
        <v>102929</v>
      </c>
      <c r="BW247" s="199">
        <v>122003</v>
      </c>
      <c r="BX247" s="199">
        <v>158795</v>
      </c>
      <c r="BY247" s="197">
        <v>501001</v>
      </c>
      <c r="BZ247" s="199">
        <v>140153</v>
      </c>
      <c r="CA247" s="199">
        <v>102238</v>
      </c>
      <c r="CB247" s="199">
        <v>126515</v>
      </c>
      <c r="CC247" s="199">
        <v>162227</v>
      </c>
      <c r="CD247" s="197">
        <v>531133</v>
      </c>
      <c r="CE247" s="199">
        <v>148768</v>
      </c>
      <c r="CF247" s="199">
        <f>119860</f>
        <v>119860</v>
      </c>
      <c r="CG247" s="199">
        <v>146986</v>
      </c>
      <c r="CH247" s="199">
        <v>191873</v>
      </c>
      <c r="CI247" s="197">
        <v>607487</v>
      </c>
      <c r="CJ247" s="197">
        <f t="shared" ref="CJ247:CN250" si="331">CI247*(1+CJ264)</f>
        <v>680385.44000000006</v>
      </c>
      <c r="CK247" s="197">
        <f t="shared" si="331"/>
        <v>802854.81920000003</v>
      </c>
      <c r="CL247" s="197">
        <f t="shared" si="331"/>
        <v>947368.68665599998</v>
      </c>
      <c r="CM247" s="197">
        <f t="shared" si="331"/>
        <v>1042105.5553216001</v>
      </c>
      <c r="CN247" s="197">
        <f t="shared" si="331"/>
        <v>1146316.11085376</v>
      </c>
      <c r="CO247" s="201"/>
      <c r="CP247" s="201"/>
      <c r="CQ247" s="6"/>
      <c r="CR247" s="6"/>
      <c r="CS247" s="6"/>
      <c r="CT247" s="124"/>
      <c r="CU247" s="124"/>
      <c r="CV247" s="124"/>
      <c r="CW247" s="124"/>
      <c r="CX247" s="124"/>
      <c r="CY247" s="124"/>
      <c r="CZ247" s="124"/>
      <c r="DA247" s="124"/>
      <c r="DB247" s="124"/>
      <c r="DC247" s="124"/>
      <c r="DD247" s="124"/>
      <c r="DE247" s="124"/>
      <c r="DF247" s="124"/>
      <c r="DG247" s="124"/>
      <c r="DH247" s="124"/>
      <c r="DI247" s="124"/>
      <c r="DK247" s="124"/>
      <c r="DL247" s="124"/>
      <c r="DM247" s="6"/>
      <c r="DN247" s="124"/>
      <c r="DO247" s="124"/>
      <c r="DQ247" s="136"/>
      <c r="DR247" s="124"/>
      <c r="DS247" s="124"/>
      <c r="DT247" s="124"/>
      <c r="DV247" s="124"/>
      <c r="DW247" s="124"/>
      <c r="DX247" s="124"/>
      <c r="EA247" s="111"/>
      <c r="EB247" s="111"/>
      <c r="EC247" s="111"/>
      <c r="ED247" s="124"/>
      <c r="EE247" s="124"/>
      <c r="EF247" s="124"/>
      <c r="EJ247" s="111"/>
      <c r="EK247" s="111"/>
      <c r="EL247" s="124"/>
      <c r="EM247" s="124"/>
      <c r="EN247" s="124"/>
      <c r="EP247" s="111"/>
      <c r="EQ247" s="124"/>
      <c r="ER247" s="124"/>
      <c r="ES247" s="124"/>
      <c r="EV247" s="111"/>
      <c r="EW247" s="111"/>
      <c r="EX247" s="111"/>
      <c r="EY247" s="111"/>
      <c r="EZ247" s="124"/>
      <c r="FA247" s="124"/>
      <c r="FD247" s="111"/>
      <c r="FE247" s="111"/>
      <c r="FF247" s="111"/>
      <c r="FG247" s="124"/>
      <c r="FH247" s="124"/>
      <c r="FK247" s="124"/>
      <c r="FL247" s="124"/>
      <c r="FO247" s="111">
        <v>77028.600000000006</v>
      </c>
      <c r="FP247" s="111">
        <v>91655.599999999948</v>
      </c>
      <c r="FQ247" s="124">
        <v>321710.19999999995</v>
      </c>
      <c r="FR247" s="124">
        <v>369966.72999999992</v>
      </c>
      <c r="FU247" s="111">
        <v>78670.840000000026</v>
      </c>
      <c r="FV247" s="124">
        <v>302127.84000000003</v>
      </c>
      <c r="FW247" s="124">
        <v>265872.49920000002</v>
      </c>
      <c r="FX247" s="124">
        <v>297777.19910400006</v>
      </c>
      <c r="FY247" s="124">
        <v>333510.46299648011</v>
      </c>
      <c r="GA247" s="124">
        <v>276710.24</v>
      </c>
      <c r="GB247" s="124">
        <v>318216.77599999995</v>
      </c>
      <c r="GC247" s="124">
        <v>356402.78911999997</v>
      </c>
      <c r="GF247" s="111"/>
      <c r="GG247" s="111"/>
      <c r="GH247" s="111"/>
      <c r="GI247" s="124">
        <v>294756.56</v>
      </c>
      <c r="GJ247" s="124">
        <v>359603.00319999998</v>
      </c>
      <c r="GK247" s="124">
        <v>402755.36358400004</v>
      </c>
      <c r="GN247" s="111"/>
      <c r="GO247" s="111"/>
      <c r="GP247" s="124">
        <v>306787.44</v>
      </c>
      <c r="GQ247" s="124">
        <v>374280.67680000002</v>
      </c>
      <c r="GR247" s="124">
        <v>419194.35801600007</v>
      </c>
      <c r="GV247" s="111">
        <v>79404.27999999997</v>
      </c>
      <c r="GW247" s="124">
        <v>297764.27999999997</v>
      </c>
      <c r="GX247" s="124">
        <v>345406.56479999993</v>
      </c>
      <c r="GY247" s="124">
        <v>397217.54951999988</v>
      </c>
      <c r="HC247" s="124">
        <v>84189.73000000001</v>
      </c>
      <c r="HD247" s="124">
        <v>261977.73</v>
      </c>
      <c r="HE247" s="124">
        <v>305204.05545000004</v>
      </c>
      <c r="HF247" s="124">
        <v>338776.5015495001</v>
      </c>
      <c r="HI247" s="111">
        <v>91681.65</v>
      </c>
      <c r="HJ247" s="111">
        <v>76104</v>
      </c>
      <c r="HK247" s="111">
        <v>74356.100000000006</v>
      </c>
      <c r="HL247" s="111">
        <v>97984.049999999988</v>
      </c>
      <c r="HM247" s="124">
        <v>340125.8</v>
      </c>
      <c r="HN247" s="124">
        <v>377539.63800000004</v>
      </c>
      <c r="HO247" s="124">
        <v>407742.80904000008</v>
      </c>
      <c r="HR247" s="111">
        <v>76104</v>
      </c>
      <c r="HS247" s="111">
        <v>74356.100000000006</v>
      </c>
      <c r="HT247" s="111">
        <v>110241.69999999998</v>
      </c>
      <c r="HU247" s="124">
        <v>340125.8</v>
      </c>
      <c r="HV247" s="124">
        <v>377539.63800000004</v>
      </c>
      <c r="HW247" s="124">
        <v>407742.80904000008</v>
      </c>
      <c r="HZ247" s="111">
        <v>74356.100000000006</v>
      </c>
      <c r="IA247" s="124">
        <v>340125.8</v>
      </c>
      <c r="IB247" s="124">
        <v>377539.63800000004</v>
      </c>
      <c r="IC247" s="124">
        <v>407742.80904000008</v>
      </c>
      <c r="IE247" s="111">
        <v>110288.19999999995</v>
      </c>
      <c r="IF247" s="124">
        <v>373041.19999999995</v>
      </c>
      <c r="IG247" s="124">
        <v>414075.73199999996</v>
      </c>
      <c r="IH247" s="124">
        <v>447201.79055999999</v>
      </c>
      <c r="IK247" s="124">
        <v>414075.73199999996</v>
      </c>
      <c r="IL247" s="124">
        <v>447201.79055999999</v>
      </c>
      <c r="IO247" s="124">
        <v>457556.12</v>
      </c>
      <c r="IP247" s="124">
        <v>512462.85440000007</v>
      </c>
      <c r="IS247" s="160">
        <v>62378.299999999996</v>
      </c>
      <c r="IT247" s="160">
        <v>68616.13</v>
      </c>
      <c r="IU247" s="160">
        <v>75477.743000000017</v>
      </c>
      <c r="IX247" s="124">
        <v>145353.79999999999</v>
      </c>
      <c r="IY247" s="124">
        <v>487559.8</v>
      </c>
      <c r="IZ247" s="124">
        <v>565569.3679999999</v>
      </c>
      <c r="JA247" s="124">
        <v>656060.46687999985</v>
      </c>
      <c r="JD247" s="124">
        <v>626251.25</v>
      </c>
      <c r="JE247" s="124">
        <v>751501.5</v>
      </c>
      <c r="JH247" s="124">
        <v>626251.25</v>
      </c>
      <c r="JI247" s="124">
        <v>751501.5</v>
      </c>
      <c r="JJ247" s="124">
        <v>864226.72499999998</v>
      </c>
      <c r="JM247" s="124">
        <v>673946.54519999993</v>
      </c>
      <c r="JN247" s="124">
        <v>775038.52697999985</v>
      </c>
      <c r="JQ247" s="124">
        <v>536071.07000000007</v>
      </c>
      <c r="JR247" s="124">
        <v>600399.59840000013</v>
      </c>
      <c r="JS247" s="124">
        <v>672447.55020800023</v>
      </c>
      <c r="JV247" s="124">
        <v>594868.96000000008</v>
      </c>
      <c r="JW247" s="124">
        <v>666253.23520000011</v>
      </c>
      <c r="JY247" s="124">
        <v>616114.27999999991</v>
      </c>
      <c r="JZ247" s="124">
        <v>690047.99359999993</v>
      </c>
      <c r="KB247" s="124">
        <v>610802.94999999995</v>
      </c>
      <c r="KC247" s="124">
        <v>696315.36300000001</v>
      </c>
      <c r="KD247" s="124">
        <v>793799.51382000011</v>
      </c>
    </row>
    <row r="248" spans="2:290" x14ac:dyDescent="0.25">
      <c r="B248" s="11" t="s">
        <v>223</v>
      </c>
      <c r="C248" s="23"/>
      <c r="D248" s="23"/>
      <c r="E248" s="23"/>
      <c r="F248" s="23"/>
      <c r="G248" s="23"/>
      <c r="H248" s="197"/>
      <c r="I248" s="198"/>
      <c r="J248" s="198"/>
      <c r="K248" s="198"/>
      <c r="L248" s="198"/>
      <c r="M248" s="197"/>
      <c r="N248" s="198"/>
      <c r="O248" s="198"/>
      <c r="P248" s="198"/>
      <c r="Q248" s="198"/>
      <c r="R248" s="197"/>
      <c r="S248" s="198"/>
      <c r="T248" s="198"/>
      <c r="U248" s="198"/>
      <c r="V248" s="198"/>
      <c r="W248" s="197">
        <v>41307</v>
      </c>
      <c r="X248" s="198">
        <v>6915</v>
      </c>
      <c r="Y248" s="198">
        <v>12125</v>
      </c>
      <c r="Z248" s="198">
        <v>8556</v>
      </c>
      <c r="AA248" s="198">
        <v>11120</v>
      </c>
      <c r="AB248" s="197">
        <v>38716</v>
      </c>
      <c r="AC248" s="198">
        <v>7482</v>
      </c>
      <c r="AD248" s="198">
        <v>12836</v>
      </c>
      <c r="AE248" s="198">
        <v>10648</v>
      </c>
      <c r="AF248" s="198">
        <v>13131</v>
      </c>
      <c r="AG248" s="197">
        <v>44097</v>
      </c>
      <c r="AH248" s="198">
        <v>7771</v>
      </c>
      <c r="AI248" s="198">
        <v>14566</v>
      </c>
      <c r="AJ248" s="198">
        <v>10868</v>
      </c>
      <c r="AK248" s="197">
        <v>33205</v>
      </c>
      <c r="AL248" s="198">
        <v>11739</v>
      </c>
      <c r="AM248" s="198">
        <v>8299</v>
      </c>
      <c r="AN248" s="198">
        <v>15333</v>
      </c>
      <c r="AO248" s="198">
        <f>AP248-AL248-AM248-AN248</f>
        <v>12245</v>
      </c>
      <c r="AP248" s="197">
        <v>47616</v>
      </c>
      <c r="AQ248" s="198">
        <v>11469</v>
      </c>
      <c r="AR248" s="198">
        <v>10751</v>
      </c>
      <c r="AS248" s="198">
        <v>17486</v>
      </c>
      <c r="AT248" s="198">
        <f>AU248-AQ248-AR248-AS248</f>
        <v>10225</v>
      </c>
      <c r="AU248" s="197">
        <v>49931</v>
      </c>
      <c r="AV248" s="199">
        <v>12647</v>
      </c>
      <c r="AW248" s="199">
        <v>10443</v>
      </c>
      <c r="AX248" s="199">
        <v>15667</v>
      </c>
      <c r="AY248" s="199">
        <f>AZ248-AV248-AW248-AX248</f>
        <v>13527</v>
      </c>
      <c r="AZ248" s="197">
        <v>52284</v>
      </c>
      <c r="BA248" s="199">
        <v>12745</v>
      </c>
      <c r="BB248" s="199">
        <v>11062</v>
      </c>
      <c r="BC248" s="199">
        <v>16399</v>
      </c>
      <c r="BD248" s="199">
        <f>BE248-BA248-BB248-BC248</f>
        <v>11147</v>
      </c>
      <c r="BE248" s="197">
        <v>51353</v>
      </c>
      <c r="BF248" s="199">
        <v>10182</v>
      </c>
      <c r="BG248" s="199">
        <v>12239</v>
      </c>
      <c r="BH248" s="199">
        <v>16785</v>
      </c>
      <c r="BI248" s="199">
        <f>BJ248-BF248-BG248-BH248</f>
        <v>15627</v>
      </c>
      <c r="BJ248" s="197">
        <v>54833</v>
      </c>
      <c r="BK248" s="199">
        <v>11532</v>
      </c>
      <c r="BL248" s="199">
        <v>12905</v>
      </c>
      <c r="BM248" s="199">
        <v>16594</v>
      </c>
      <c r="BN248" s="199">
        <v>13131</v>
      </c>
      <c r="BO248" s="197">
        <f>SUM(BK248:BN248)</f>
        <v>54162</v>
      </c>
      <c r="BP248" s="199">
        <v>12866</v>
      </c>
      <c r="BQ248" s="199">
        <v>13297</v>
      </c>
      <c r="BR248" s="199">
        <v>14547</v>
      </c>
      <c r="BS248" s="199">
        <v>13532</v>
      </c>
      <c r="BT248" s="197">
        <v>54242</v>
      </c>
      <c r="BU248" s="199">
        <v>13568</v>
      </c>
      <c r="BV248" s="199">
        <v>14890</v>
      </c>
      <c r="BW248" s="199">
        <v>14998</v>
      </c>
      <c r="BX248" s="199">
        <v>15051</v>
      </c>
      <c r="BY248" s="197">
        <v>58507</v>
      </c>
      <c r="BZ248" s="199">
        <v>14717</v>
      </c>
      <c r="CA248" s="199">
        <v>16593</v>
      </c>
      <c r="CB248" s="199">
        <v>16281</v>
      </c>
      <c r="CC248" s="199">
        <v>15812</v>
      </c>
      <c r="CD248" s="197">
        <v>61357</v>
      </c>
      <c r="CE248" s="199">
        <v>14649</v>
      </c>
      <c r="CF248" s="199">
        <v>16263</v>
      </c>
      <c r="CG248" s="199">
        <v>16533</v>
      </c>
      <c r="CH248" s="199">
        <v>16529</v>
      </c>
      <c r="CI248" s="197">
        <v>60558</v>
      </c>
      <c r="CJ248" s="197">
        <f t="shared" si="331"/>
        <v>65402.640000000007</v>
      </c>
      <c r="CK248" s="197">
        <f t="shared" si="331"/>
        <v>70634.851200000005</v>
      </c>
      <c r="CL248" s="197">
        <f t="shared" si="331"/>
        <v>76285.639296000008</v>
      </c>
      <c r="CM248" s="197">
        <f t="shared" si="331"/>
        <v>82388.490439680012</v>
      </c>
      <c r="CN248" s="197">
        <f t="shared" si="331"/>
        <v>88979.569674854414</v>
      </c>
      <c r="CO248" s="201"/>
      <c r="CP248" s="137"/>
      <c r="CQ248" s="6"/>
      <c r="CR248" s="6"/>
      <c r="CS248" s="6"/>
      <c r="CT248" s="124"/>
      <c r="CU248" s="124"/>
      <c r="CV248" s="124"/>
      <c r="CW248" s="124"/>
      <c r="CX248" s="124"/>
      <c r="CY248" s="124"/>
      <c r="CZ248" s="124"/>
      <c r="DA248" s="124"/>
      <c r="DB248" s="124"/>
      <c r="DC248" s="124"/>
      <c r="DD248" s="124"/>
      <c r="DE248" s="124"/>
      <c r="DF248" s="124"/>
      <c r="DG248" s="124"/>
      <c r="DH248" s="124"/>
      <c r="DI248" s="124"/>
      <c r="DK248" s="124"/>
      <c r="DL248" s="124"/>
      <c r="DM248" s="6"/>
      <c r="DN248" s="124"/>
      <c r="DO248" s="124"/>
      <c r="DQ248" s="136"/>
      <c r="DR248" s="124"/>
      <c r="DS248" s="124"/>
      <c r="DT248" s="124"/>
      <c r="DV248" s="124"/>
      <c r="DW248" s="124"/>
      <c r="DX248" s="124"/>
      <c r="EA248" s="111"/>
      <c r="EB248" s="111"/>
      <c r="EC248" s="111"/>
      <c r="ED248" s="124"/>
      <c r="EE248" s="124"/>
      <c r="EF248" s="124"/>
      <c r="EJ248" s="111"/>
      <c r="EK248" s="111"/>
      <c r="EL248" s="124"/>
      <c r="EM248" s="124"/>
      <c r="EN248" s="124"/>
      <c r="EP248" s="111"/>
      <c r="EQ248" s="124"/>
      <c r="ER248" s="124"/>
      <c r="ES248" s="124"/>
      <c r="EV248" s="111"/>
      <c r="EW248" s="111"/>
      <c r="EX248" s="111"/>
      <c r="EY248" s="111"/>
      <c r="EZ248" s="124"/>
      <c r="FA248" s="124"/>
      <c r="FD248" s="111"/>
      <c r="FE248" s="111"/>
      <c r="FF248" s="111"/>
      <c r="FG248" s="124"/>
      <c r="FH248" s="124"/>
      <c r="FK248" s="124"/>
      <c r="FL248" s="124"/>
      <c r="FO248" s="111">
        <v>16450.350000000002</v>
      </c>
      <c r="FP248" s="111">
        <v>14640.850000000002</v>
      </c>
      <c r="FQ248" s="124">
        <v>54898.200000000004</v>
      </c>
      <c r="FR248" s="124">
        <v>60388.020000000011</v>
      </c>
      <c r="FU248" s="111">
        <v>13646.520000000004</v>
      </c>
      <c r="FV248" s="124">
        <v>53852.520000000004</v>
      </c>
      <c r="FW248" s="124">
        <v>45774.642</v>
      </c>
      <c r="FX248" s="124">
        <v>50352.106200000002</v>
      </c>
      <c r="FY248" s="124">
        <v>55387.316820000007</v>
      </c>
      <c r="GA248" s="124">
        <v>43650.049999999996</v>
      </c>
      <c r="GB248" s="124">
        <v>48015.055</v>
      </c>
      <c r="GC248" s="124">
        <v>52816.560500000007</v>
      </c>
      <c r="GF248" s="111"/>
      <c r="GG248" s="111"/>
      <c r="GH248" s="111"/>
      <c r="GI248" s="124">
        <v>46217.700000000004</v>
      </c>
      <c r="GJ248" s="124">
        <v>50839.470000000008</v>
      </c>
      <c r="GK248" s="124">
        <v>55923.417000000016</v>
      </c>
      <c r="GN248" s="111"/>
      <c r="GO248" s="111"/>
      <c r="GP248" s="124">
        <v>49812.409999999996</v>
      </c>
      <c r="GQ248" s="124">
        <v>54793.650999999998</v>
      </c>
      <c r="GR248" s="124">
        <v>60273.016100000001</v>
      </c>
      <c r="GV248" s="111">
        <v>14714.650000000001</v>
      </c>
      <c r="GW248" s="124">
        <v>53920.65</v>
      </c>
      <c r="GX248" s="124">
        <v>59312.715000000004</v>
      </c>
      <c r="GY248" s="124">
        <v>68209.62225</v>
      </c>
      <c r="HC248" s="124">
        <v>17058.650000000001</v>
      </c>
      <c r="HD248" s="124">
        <v>57574.65</v>
      </c>
      <c r="HE248" s="124">
        <v>67938.087</v>
      </c>
      <c r="HF248" s="124">
        <v>74731.895700000008</v>
      </c>
      <c r="HI248" s="111">
        <v>13607.759999999998</v>
      </c>
      <c r="HJ248" s="111">
        <v>14620.199999999999</v>
      </c>
      <c r="HK248" s="111">
        <v>19580.919999999998</v>
      </c>
      <c r="HL248" s="111">
        <v>15494.580000000002</v>
      </c>
      <c r="HM248" s="124">
        <v>63303.46</v>
      </c>
      <c r="HN248" s="124">
        <v>69633.806000000011</v>
      </c>
      <c r="HO248" s="124">
        <v>76597.186600000015</v>
      </c>
      <c r="HR248" s="111">
        <v>14620.199999999999</v>
      </c>
      <c r="HS248" s="111">
        <v>19580.919999999998</v>
      </c>
      <c r="HT248" s="111">
        <v>16236.340000000004</v>
      </c>
      <c r="HU248" s="124">
        <v>63303.46</v>
      </c>
      <c r="HV248" s="124">
        <v>69633.806000000011</v>
      </c>
      <c r="HW248" s="124">
        <v>76597.186600000015</v>
      </c>
      <c r="HZ248" s="111">
        <v>19580.919999999998</v>
      </c>
      <c r="IA248" s="124">
        <v>63911.159999999996</v>
      </c>
      <c r="IB248" s="124">
        <v>70302.275999999998</v>
      </c>
      <c r="IC248" s="124">
        <v>77332.503600000011</v>
      </c>
      <c r="IE248" s="111">
        <v>16160.100000000006</v>
      </c>
      <c r="IF248" s="124">
        <v>56870.100000000006</v>
      </c>
      <c r="IG248" s="124">
        <v>62557.110000000008</v>
      </c>
      <c r="IH248" s="124">
        <v>68812.821000000011</v>
      </c>
      <c r="IK248" s="124">
        <v>62557.110000000008</v>
      </c>
      <c r="IL248" s="124">
        <v>68812.821000000011</v>
      </c>
      <c r="IO248" s="124">
        <v>64547.979999999996</v>
      </c>
      <c r="IP248" s="124">
        <v>71002.778000000006</v>
      </c>
      <c r="IS248" s="160">
        <v>63676.800000000003</v>
      </c>
      <c r="IT248" s="160">
        <v>70044.48000000001</v>
      </c>
      <c r="IU248" s="160">
        <v>77048.928000000014</v>
      </c>
      <c r="IX248" s="124">
        <v>18922.299999999996</v>
      </c>
      <c r="IY248" s="124">
        <v>62378.299999999996</v>
      </c>
      <c r="IZ248" s="124">
        <v>68616.13</v>
      </c>
      <c r="JA248" s="124">
        <v>75477.743000000017</v>
      </c>
      <c r="JD248" s="124">
        <v>64357.700000000004</v>
      </c>
      <c r="JE248" s="124">
        <v>73367.77800000002</v>
      </c>
      <c r="JH248" s="124">
        <v>62602.490000000005</v>
      </c>
      <c r="JI248" s="124">
        <v>71366.838600000017</v>
      </c>
      <c r="JJ248" s="124">
        <v>79930.859232000032</v>
      </c>
      <c r="JM248" s="124">
        <v>76035.697200000024</v>
      </c>
      <c r="JN248" s="124">
        <v>85159.980864000041</v>
      </c>
      <c r="JQ248" s="124">
        <v>64357.700000000004</v>
      </c>
      <c r="JR248" s="124">
        <v>73367.77800000002</v>
      </c>
      <c r="JS248" s="124">
        <v>82171.911360000027</v>
      </c>
      <c r="JV248" s="124">
        <v>69946.98000000001</v>
      </c>
      <c r="JW248" s="124">
        <v>78340.617600000012</v>
      </c>
      <c r="JY248" s="124">
        <v>69946.98000000001</v>
      </c>
      <c r="JZ248" s="124">
        <v>78340.617600000012</v>
      </c>
      <c r="KB248" s="124">
        <v>64424.850000000006</v>
      </c>
      <c r="KC248" s="124">
        <v>70867.335000000006</v>
      </c>
      <c r="KD248" s="124">
        <v>77954.068500000008</v>
      </c>
    </row>
    <row r="249" spans="2:290" x14ac:dyDescent="0.25">
      <c r="B249" s="11" t="s">
        <v>224</v>
      </c>
      <c r="C249" s="23"/>
      <c r="D249" s="23"/>
      <c r="E249" s="23"/>
      <c r="F249" s="23"/>
      <c r="G249" s="23"/>
      <c r="H249" s="197"/>
      <c r="I249" s="198"/>
      <c r="J249" s="198"/>
      <c r="K249" s="198"/>
      <c r="L249" s="198"/>
      <c r="M249" s="197"/>
      <c r="N249" s="198"/>
      <c r="O249" s="198"/>
      <c r="P249" s="198"/>
      <c r="Q249" s="198"/>
      <c r="R249" s="197"/>
      <c r="S249" s="198"/>
      <c r="T249" s="198"/>
      <c r="U249" s="198"/>
      <c r="V249" s="198"/>
      <c r="W249" s="197">
        <v>40033</v>
      </c>
      <c r="X249" s="198">
        <v>7486</v>
      </c>
      <c r="Y249" s="198">
        <v>7747</v>
      </c>
      <c r="Z249" s="198">
        <v>9603</v>
      </c>
      <c r="AA249" s="198">
        <v>8784</v>
      </c>
      <c r="AB249" s="197">
        <v>33620</v>
      </c>
      <c r="AC249" s="198">
        <v>8519</v>
      </c>
      <c r="AD249" s="198">
        <v>8736</v>
      </c>
      <c r="AE249" s="198">
        <v>10919</v>
      </c>
      <c r="AF249" s="198">
        <v>9296</v>
      </c>
      <c r="AG249" s="197">
        <v>37470</v>
      </c>
      <c r="AH249" s="198">
        <v>8360</v>
      </c>
      <c r="AI249" s="198">
        <v>7660</v>
      </c>
      <c r="AJ249" s="198">
        <v>10019</v>
      </c>
      <c r="AK249" s="197">
        <v>26039</v>
      </c>
      <c r="AL249" s="198">
        <v>9436</v>
      </c>
      <c r="AM249" s="198">
        <v>9023</v>
      </c>
      <c r="AN249" s="198">
        <v>9708</v>
      </c>
      <c r="AO249" s="198">
        <f>AP249-AL249-AM249-AN249</f>
        <v>10817</v>
      </c>
      <c r="AP249" s="197">
        <v>38984</v>
      </c>
      <c r="AQ249" s="198">
        <v>9979</v>
      </c>
      <c r="AR249" s="198">
        <v>10559</v>
      </c>
      <c r="AS249" s="198">
        <v>9673</v>
      </c>
      <c r="AT249" s="198">
        <f>AU249-AQ249-AR249-AS249</f>
        <v>14277</v>
      </c>
      <c r="AU249" s="197">
        <v>44488</v>
      </c>
      <c r="AV249" s="199">
        <v>12278</v>
      </c>
      <c r="AW249" s="199">
        <v>11453</v>
      </c>
      <c r="AX249" s="199">
        <v>9885</v>
      </c>
      <c r="AY249" s="199">
        <f>AZ249-AV249-AW249-AX249</f>
        <v>10907</v>
      </c>
      <c r="AZ249" s="197">
        <v>44523</v>
      </c>
      <c r="BA249" s="199">
        <v>10369</v>
      </c>
      <c r="BB249" s="199">
        <v>9953</v>
      </c>
      <c r="BC249" s="199">
        <v>8801</v>
      </c>
      <c r="BD249" s="199">
        <f>BE249-BA249-BB249-BC249</f>
        <v>9494</v>
      </c>
      <c r="BE249" s="197">
        <v>38617</v>
      </c>
      <c r="BF249" s="199">
        <v>4770</v>
      </c>
      <c r="BG249" s="199">
        <v>11285</v>
      </c>
      <c r="BH249" s="199">
        <v>11652</v>
      </c>
      <c r="BI249" s="199">
        <f>BJ249-BF249-BG249-BH249</f>
        <v>13744</v>
      </c>
      <c r="BJ249" s="197">
        <v>41451</v>
      </c>
      <c r="BK249" s="199">
        <v>9512</v>
      </c>
      <c r="BL249" s="199">
        <v>12390</v>
      </c>
      <c r="BM249" s="199">
        <v>12365</v>
      </c>
      <c r="BN249" s="199">
        <v>13763</v>
      </c>
      <c r="BO249" s="197">
        <f>SUM(BK249:BN249)</f>
        <v>48030</v>
      </c>
      <c r="BP249" s="199">
        <v>12901</v>
      </c>
      <c r="BQ249" s="199">
        <v>14766</v>
      </c>
      <c r="BR249" s="199">
        <v>14785</v>
      </c>
      <c r="BS249" s="199">
        <v>16508</v>
      </c>
      <c r="BT249" s="197">
        <v>58960</v>
      </c>
      <c r="BU249" s="199">
        <v>13409</v>
      </c>
      <c r="BV249" s="199">
        <v>15425</v>
      </c>
      <c r="BW249" s="199">
        <v>16231</v>
      </c>
      <c r="BX249" s="199">
        <v>16871</v>
      </c>
      <c r="BY249" s="197">
        <v>61936</v>
      </c>
      <c r="BZ249" s="199">
        <v>14963</v>
      </c>
      <c r="CA249" s="199">
        <v>15110</v>
      </c>
      <c r="CB249" s="199">
        <v>16231</v>
      </c>
      <c r="CC249" s="199">
        <v>16681</v>
      </c>
      <c r="CD249" s="197">
        <v>64272</v>
      </c>
      <c r="CE249" s="199">
        <v>16178</v>
      </c>
      <c r="CF249" s="199">
        <v>13927</v>
      </c>
      <c r="CG249" s="199">
        <v>15453</v>
      </c>
      <c r="CH249" s="199">
        <v>18373</v>
      </c>
      <c r="CI249" s="197">
        <v>67347</v>
      </c>
      <c r="CJ249" s="197">
        <f t="shared" si="331"/>
        <v>70714.350000000006</v>
      </c>
      <c r="CK249" s="197">
        <f t="shared" si="331"/>
        <v>74250.067500000005</v>
      </c>
      <c r="CL249" s="197">
        <f t="shared" si="331"/>
        <v>80190.072900000014</v>
      </c>
      <c r="CM249" s="197">
        <f t="shared" si="331"/>
        <v>86605.278732000021</v>
      </c>
      <c r="CN249" s="197">
        <f t="shared" si="331"/>
        <v>93533.701030560027</v>
      </c>
      <c r="CO249" s="201"/>
      <c r="CP249" s="137"/>
      <c r="CQ249" s="6"/>
      <c r="CR249" s="6"/>
      <c r="CS249" s="6"/>
      <c r="CT249" s="124"/>
      <c r="CU249" s="124"/>
      <c r="CV249" s="124"/>
      <c r="CW249" s="124"/>
      <c r="CX249" s="124"/>
      <c r="CY249" s="124"/>
      <c r="CZ249" s="124"/>
      <c r="DA249" s="124"/>
      <c r="DB249" s="124"/>
      <c r="DC249" s="124"/>
      <c r="DD249" s="124"/>
      <c r="DE249" s="124"/>
      <c r="DF249" s="124"/>
      <c r="DG249" s="124"/>
      <c r="DH249" s="124"/>
      <c r="DI249" s="124"/>
      <c r="DK249" s="124"/>
      <c r="DL249" s="124"/>
      <c r="DM249" s="6"/>
      <c r="DN249" s="124"/>
      <c r="DO249" s="124"/>
      <c r="DQ249" s="136"/>
      <c r="DR249" s="124"/>
      <c r="DS249" s="124"/>
      <c r="DT249" s="124"/>
      <c r="DV249" s="124"/>
      <c r="DW249" s="124"/>
      <c r="DX249" s="124"/>
      <c r="EA249" s="111"/>
      <c r="EB249" s="111"/>
      <c r="EC249" s="111"/>
      <c r="ED249" s="124"/>
      <c r="EE249" s="124"/>
      <c r="EF249" s="124"/>
      <c r="EJ249" s="111"/>
      <c r="EK249" s="111"/>
      <c r="EL249" s="124"/>
      <c r="EM249" s="124"/>
      <c r="EN249" s="124"/>
      <c r="EP249" s="111"/>
      <c r="EQ249" s="124"/>
      <c r="ER249" s="124"/>
      <c r="ES249" s="124"/>
      <c r="EV249" s="111"/>
      <c r="EW249" s="111"/>
      <c r="EX249" s="111"/>
      <c r="EY249" s="111"/>
      <c r="EZ249" s="124"/>
      <c r="FA249" s="124"/>
      <c r="FD249" s="111"/>
      <c r="FE249" s="111"/>
      <c r="FF249" s="111"/>
      <c r="FG249" s="124"/>
      <c r="FH249" s="124"/>
      <c r="FK249" s="124"/>
      <c r="FL249" s="124"/>
      <c r="FO249" s="111">
        <v>9885</v>
      </c>
      <c r="FP249" s="111">
        <v>12089.849999999999</v>
      </c>
      <c r="FQ249" s="124">
        <v>42296.85</v>
      </c>
      <c r="FR249" s="124">
        <v>45257.629500000003</v>
      </c>
      <c r="FU249" s="111">
        <v>10057.239999999998</v>
      </c>
      <c r="FV249" s="124">
        <v>39180.239999999998</v>
      </c>
      <c r="FW249" s="124">
        <v>33303.203999999998</v>
      </c>
      <c r="FX249" s="124">
        <v>35634.42828</v>
      </c>
      <c r="FY249" s="124">
        <v>38128.838259600001</v>
      </c>
      <c r="GA249" s="124">
        <v>27031.899999999998</v>
      </c>
      <c r="GB249" s="124">
        <v>28924.132999999998</v>
      </c>
      <c r="GC249" s="124">
        <v>30948.82231</v>
      </c>
      <c r="GF249" s="111"/>
      <c r="GG249" s="111"/>
      <c r="GH249" s="111"/>
      <c r="GI249" s="124">
        <v>28962.75</v>
      </c>
      <c r="GJ249" s="124">
        <v>30990.142500000002</v>
      </c>
      <c r="GK249" s="124">
        <v>33159.452475000006</v>
      </c>
      <c r="GN249" s="111"/>
      <c r="GO249" s="111"/>
      <c r="GP249" s="124">
        <v>34755.300000000003</v>
      </c>
      <c r="GQ249" s="124">
        <v>37188.171000000002</v>
      </c>
      <c r="GR249" s="124">
        <v>39791.342970000005</v>
      </c>
      <c r="GV249" s="111">
        <v>13227.020000000004</v>
      </c>
      <c r="GW249" s="124">
        <v>40934.020000000004</v>
      </c>
      <c r="GX249" s="124">
        <v>45846.102400000011</v>
      </c>
      <c r="GY249" s="124">
        <v>52723.01776000001</v>
      </c>
      <c r="HC249" s="124">
        <v>12886.649999999994</v>
      </c>
      <c r="HD249" s="124">
        <v>47668.649999999994</v>
      </c>
      <c r="HE249" s="124">
        <v>54818.947499999987</v>
      </c>
      <c r="HF249" s="124">
        <v>60300.842249999994</v>
      </c>
      <c r="HI249" s="111">
        <v>10938.8</v>
      </c>
      <c r="HJ249" s="111">
        <v>14840.749999999998</v>
      </c>
      <c r="HK249" s="111">
        <v>14219.749999999998</v>
      </c>
      <c r="HL249" s="111">
        <v>15827.449999999999</v>
      </c>
      <c r="HM249" s="124">
        <v>55826.749999999993</v>
      </c>
      <c r="HN249" s="124">
        <v>61409.424999999996</v>
      </c>
      <c r="HO249" s="124">
        <v>67550.367500000008</v>
      </c>
      <c r="HR249" s="111">
        <v>14840.749999999998</v>
      </c>
      <c r="HS249" s="111">
        <v>14219.749999999998</v>
      </c>
      <c r="HT249" s="111">
        <v>13865.249999999995</v>
      </c>
      <c r="HU249" s="124">
        <v>55826.749999999993</v>
      </c>
      <c r="HV249" s="124">
        <v>61409.424999999996</v>
      </c>
      <c r="HW249" s="124">
        <v>67550.367500000008</v>
      </c>
      <c r="HZ249" s="111">
        <v>14219.749999999998</v>
      </c>
      <c r="IA249" s="124">
        <v>55234.499999999993</v>
      </c>
      <c r="IB249" s="124">
        <v>60757.95</v>
      </c>
      <c r="IC249" s="124">
        <v>66833.744999999995</v>
      </c>
      <c r="IE249" s="111">
        <v>15184</v>
      </c>
      <c r="IF249" s="124">
        <v>57636</v>
      </c>
      <c r="IG249" s="124">
        <v>63399.600000000006</v>
      </c>
      <c r="IH249" s="124">
        <v>69739.560000000012</v>
      </c>
      <c r="IK249" s="124">
        <v>63399.600000000006</v>
      </c>
      <c r="IL249" s="124">
        <v>69739.560000000012</v>
      </c>
      <c r="IO249" s="124">
        <v>64856.000000000007</v>
      </c>
      <c r="IP249" s="124">
        <v>71341.60000000002</v>
      </c>
      <c r="IS249" s="160">
        <v>19713.240000000002</v>
      </c>
      <c r="IT249" s="160">
        <v>21684.564000000002</v>
      </c>
      <c r="IU249" s="160">
        <v>23853.020400000005</v>
      </c>
      <c r="IX249" s="124">
        <v>18611.800000000003</v>
      </c>
      <c r="IY249" s="124">
        <v>63676.800000000003</v>
      </c>
      <c r="IZ249" s="124">
        <v>70044.48000000001</v>
      </c>
      <c r="JA249" s="124">
        <v>77048.928000000014</v>
      </c>
      <c r="JD249" s="124">
        <v>68129.600000000006</v>
      </c>
      <c r="JE249" s="124">
        <v>76305.152000000016</v>
      </c>
      <c r="JH249" s="124">
        <v>66271.520000000004</v>
      </c>
      <c r="JI249" s="124">
        <v>74224.102400000018</v>
      </c>
      <c r="JJ249" s="124">
        <v>83130.994688000035</v>
      </c>
      <c r="JM249" s="124">
        <v>74224.102400000018</v>
      </c>
      <c r="JN249" s="124">
        <v>83130.994688000035</v>
      </c>
      <c r="JQ249" s="124">
        <v>64413.440000000002</v>
      </c>
      <c r="JR249" s="124">
        <v>70854.784000000014</v>
      </c>
      <c r="JS249" s="124">
        <v>77940.262400000021</v>
      </c>
      <c r="JV249" s="124">
        <v>70699.200000000012</v>
      </c>
      <c r="JW249" s="124">
        <v>77769.120000000024</v>
      </c>
      <c r="JY249" s="124">
        <v>70699.200000000012</v>
      </c>
      <c r="JZ249" s="124">
        <v>77769.120000000024</v>
      </c>
      <c r="KB249" s="124">
        <v>64272</v>
      </c>
      <c r="KC249" s="124">
        <v>68771.040000000008</v>
      </c>
      <c r="KD249" s="124">
        <v>73585.012800000011</v>
      </c>
    </row>
    <row r="250" spans="2:290" x14ac:dyDescent="0.25">
      <c r="B250" s="11" t="s">
        <v>225</v>
      </c>
      <c r="C250" s="23"/>
      <c r="D250" s="23"/>
      <c r="E250" s="23"/>
      <c r="F250" s="23"/>
      <c r="G250" s="23"/>
      <c r="H250" s="197"/>
      <c r="I250" s="198"/>
      <c r="J250" s="198"/>
      <c r="K250" s="198"/>
      <c r="L250" s="198"/>
      <c r="M250" s="197"/>
      <c r="N250" s="198"/>
      <c r="O250" s="198"/>
      <c r="P250" s="198"/>
      <c r="Q250" s="198"/>
      <c r="R250" s="197"/>
      <c r="S250" s="198"/>
      <c r="T250" s="198"/>
      <c r="U250" s="198"/>
      <c r="V250" s="198"/>
      <c r="W250" s="197">
        <v>19366</v>
      </c>
      <c r="X250" s="198">
        <v>3240</v>
      </c>
      <c r="Y250" s="198">
        <v>4058</v>
      </c>
      <c r="Z250" s="198">
        <v>3669</v>
      </c>
      <c r="AA250" s="198">
        <v>4209</v>
      </c>
      <c r="AB250" s="197">
        <v>15176</v>
      </c>
      <c r="AC250" s="198">
        <v>2926</v>
      </c>
      <c r="AD250" s="198">
        <v>3797</v>
      </c>
      <c r="AE250" s="198">
        <v>4432</v>
      </c>
      <c r="AF250" s="198">
        <v>4828</v>
      </c>
      <c r="AG250" s="197">
        <v>15983</v>
      </c>
      <c r="AH250" s="198">
        <v>3228</v>
      </c>
      <c r="AI250" s="198">
        <v>4667</v>
      </c>
      <c r="AJ250" s="198">
        <v>5130</v>
      </c>
      <c r="AK250" s="197">
        <v>13025</v>
      </c>
      <c r="AL250" s="198">
        <v>4976</v>
      </c>
      <c r="AM250" s="198">
        <v>4206</v>
      </c>
      <c r="AN250" s="198">
        <v>4561</v>
      </c>
      <c r="AO250" s="198">
        <f>AP250-AL250-AM250-AN250</f>
        <v>5054</v>
      </c>
      <c r="AP250" s="197">
        <v>18797</v>
      </c>
      <c r="AQ250" s="198">
        <v>4584</v>
      </c>
      <c r="AR250" s="198">
        <v>4749</v>
      </c>
      <c r="AS250" s="198">
        <v>5143</v>
      </c>
      <c r="AT250" s="198">
        <f>AU250-AQ250-AR250-AS250</f>
        <v>5909</v>
      </c>
      <c r="AU250" s="197">
        <v>20385</v>
      </c>
      <c r="AV250" s="199">
        <v>5275</v>
      </c>
      <c r="AW250" s="199">
        <v>4650</v>
      </c>
      <c r="AX250" s="199">
        <v>5404</v>
      </c>
      <c r="AY250" s="199">
        <f>AZ250-AV250-AW250-AX250</f>
        <v>6099</v>
      </c>
      <c r="AZ250" s="197">
        <v>21428</v>
      </c>
      <c r="BA250" s="199">
        <v>5100</v>
      </c>
      <c r="BB250" s="199">
        <v>4673</v>
      </c>
      <c r="BC250" s="199">
        <v>5762</v>
      </c>
      <c r="BD250" s="199">
        <f>BE250-BA250-BB250-BC250</f>
        <v>5244</v>
      </c>
      <c r="BE250" s="197">
        <v>20779</v>
      </c>
      <c r="BF250" s="199">
        <v>1507</v>
      </c>
      <c r="BG250" s="199">
        <v>4703</v>
      </c>
      <c r="BH250" s="199">
        <v>6388</v>
      </c>
      <c r="BI250" s="199">
        <f>BJ250-BF250-BG250-BH250</f>
        <v>5870</v>
      </c>
      <c r="BJ250" s="197">
        <v>18468</v>
      </c>
      <c r="BK250" s="199">
        <v>2109</v>
      </c>
      <c r="BL250" s="199">
        <v>4898</v>
      </c>
      <c r="BM250" s="199">
        <v>5207</v>
      </c>
      <c r="BN250" s="199">
        <v>5206</v>
      </c>
      <c r="BO250" s="197">
        <f>SUM(BK250:BN250)</f>
        <v>17420</v>
      </c>
      <c r="BP250" s="199">
        <v>3731</v>
      </c>
      <c r="BQ250" s="199">
        <v>4520</v>
      </c>
      <c r="BR250" s="199">
        <v>4921</v>
      </c>
      <c r="BS250" s="199">
        <v>5081</v>
      </c>
      <c r="BT250" s="197">
        <v>18253</v>
      </c>
      <c r="BU250" s="199">
        <v>4293</v>
      </c>
      <c r="BV250" s="199">
        <v>4519</v>
      </c>
      <c r="BW250" s="199">
        <v>4793</v>
      </c>
      <c r="BX250" s="199">
        <v>4652</v>
      </c>
      <c r="BY250" s="197">
        <v>18257</v>
      </c>
      <c r="BZ250" s="199">
        <v>4002</v>
      </c>
      <c r="CA250" s="199">
        <v>4136</v>
      </c>
      <c r="CB250" s="199">
        <v>4793</v>
      </c>
      <c r="CC250" s="199">
        <v>5154</v>
      </c>
      <c r="CD250" s="197">
        <v>17748</v>
      </c>
      <c r="CE250" s="199">
        <v>4198</v>
      </c>
      <c r="CF250" s="199">
        <v>4381</v>
      </c>
      <c r="CG250" s="199">
        <v>4822</v>
      </c>
      <c r="CH250" s="199">
        <v>5112</v>
      </c>
      <c r="CI250" s="197">
        <v>18513</v>
      </c>
      <c r="CJ250" s="197">
        <f t="shared" si="331"/>
        <v>19438.650000000001</v>
      </c>
      <c r="CK250" s="197">
        <f t="shared" si="331"/>
        <v>20410.582500000004</v>
      </c>
      <c r="CL250" s="197">
        <f t="shared" si="331"/>
        <v>21431.111625000005</v>
      </c>
      <c r="CM250" s="197">
        <f t="shared" si="331"/>
        <v>22502.667206250007</v>
      </c>
      <c r="CN250" s="197">
        <f t="shared" si="331"/>
        <v>23627.80056656251</v>
      </c>
      <c r="CO250" s="201"/>
      <c r="CP250" s="137"/>
      <c r="CQ250" s="6"/>
      <c r="CR250" s="6"/>
      <c r="CS250" s="6"/>
      <c r="CT250" s="124"/>
      <c r="CU250" s="124"/>
      <c r="CV250" s="124"/>
      <c r="CW250" s="124"/>
      <c r="CX250" s="124"/>
      <c r="CY250" s="124"/>
      <c r="CZ250" s="124"/>
      <c r="DA250" s="124"/>
      <c r="DB250" s="124"/>
      <c r="DC250" s="124"/>
      <c r="DD250" s="124"/>
      <c r="DE250" s="124"/>
      <c r="DF250" s="124"/>
      <c r="DG250" s="124"/>
      <c r="DH250" s="124"/>
      <c r="DI250" s="124"/>
      <c r="DK250" s="124"/>
      <c r="DL250" s="124"/>
      <c r="DM250" s="6"/>
      <c r="DN250" s="124"/>
      <c r="DO250" s="124"/>
      <c r="DQ250" s="136"/>
      <c r="DR250" s="124"/>
      <c r="DS250" s="124"/>
      <c r="DT250" s="124"/>
      <c r="DV250" s="124"/>
      <c r="DW250" s="124"/>
      <c r="DX250" s="124"/>
      <c r="EA250" s="111"/>
      <c r="EB250" s="111"/>
      <c r="EC250" s="111"/>
      <c r="ED250" s="124"/>
      <c r="EE250" s="124"/>
      <c r="EF250" s="124"/>
      <c r="EJ250" s="111"/>
      <c r="EK250" s="111"/>
      <c r="EL250" s="124"/>
      <c r="EM250" s="124"/>
      <c r="EN250" s="124"/>
      <c r="EP250" s="111"/>
      <c r="EQ250" s="124"/>
      <c r="ER250" s="124"/>
      <c r="ES250" s="124"/>
      <c r="EV250" s="111"/>
      <c r="EW250" s="111"/>
      <c r="EX250" s="111"/>
      <c r="EY250" s="111"/>
      <c r="EZ250" s="124"/>
      <c r="FA250" s="124"/>
      <c r="FD250" s="111"/>
      <c r="FE250" s="111"/>
      <c r="FF250" s="111"/>
      <c r="FG250" s="124"/>
      <c r="FH250" s="124"/>
      <c r="FK250" s="124"/>
      <c r="FL250" s="124"/>
      <c r="FO250" s="111">
        <v>5512.08</v>
      </c>
      <c r="FP250" s="111">
        <v>6785.76</v>
      </c>
      <c r="FQ250" s="124">
        <v>22070.84</v>
      </c>
      <c r="FR250" s="124">
        <v>23836.5072</v>
      </c>
      <c r="FU250" s="111">
        <v>5250.16</v>
      </c>
      <c r="FV250" s="124">
        <v>20785.16</v>
      </c>
      <c r="FW250" s="124">
        <v>16628.128000000001</v>
      </c>
      <c r="FX250" s="124">
        <v>17958.378240000002</v>
      </c>
      <c r="FY250" s="124">
        <v>19395.048499200002</v>
      </c>
      <c r="GA250" s="124">
        <v>13506.35</v>
      </c>
      <c r="GB250" s="124">
        <v>14586.858000000002</v>
      </c>
      <c r="GC250" s="124">
        <v>15753.806640000003</v>
      </c>
      <c r="GF250" s="111"/>
      <c r="GG250" s="111"/>
      <c r="GH250" s="111"/>
      <c r="GI250" s="124">
        <v>18701.100000000002</v>
      </c>
      <c r="GJ250" s="124">
        <v>20197.188000000002</v>
      </c>
      <c r="GK250" s="124">
        <v>21812.963040000002</v>
      </c>
      <c r="GN250" s="111"/>
      <c r="GO250" s="111"/>
      <c r="GP250" s="124">
        <v>19740.05</v>
      </c>
      <c r="GQ250" s="124">
        <v>21319.254000000001</v>
      </c>
      <c r="GR250" s="124">
        <v>23024.794320000001</v>
      </c>
      <c r="GV250" s="111">
        <v>7142.0499999999993</v>
      </c>
      <c r="GW250" s="124">
        <v>19740.05</v>
      </c>
      <c r="GX250" s="124">
        <v>21319.254000000001</v>
      </c>
      <c r="GY250" s="124">
        <v>23024.794320000001</v>
      </c>
      <c r="HC250" s="124">
        <v>7177.4000000000015</v>
      </c>
      <c r="HD250" s="124">
        <v>19391.400000000001</v>
      </c>
      <c r="HE250" s="124">
        <v>20942.712000000003</v>
      </c>
      <c r="HF250" s="124">
        <v>23036.983200000006</v>
      </c>
      <c r="HI250" s="111">
        <v>2277.7200000000003</v>
      </c>
      <c r="HJ250" s="111">
        <v>5289.84</v>
      </c>
      <c r="HK250" s="111">
        <v>5623.56</v>
      </c>
      <c r="HL250" s="111">
        <v>5622.4800000000005</v>
      </c>
      <c r="HM250" s="124">
        <v>18813.600000000002</v>
      </c>
      <c r="HN250" s="124">
        <v>20694.960000000003</v>
      </c>
      <c r="HO250" s="124">
        <v>22764.456000000006</v>
      </c>
      <c r="HR250" s="111">
        <v>5289.84</v>
      </c>
      <c r="HS250" s="111">
        <v>5623.56</v>
      </c>
      <c r="HT250" s="111">
        <v>4169.2000000000016</v>
      </c>
      <c r="HU250" s="124">
        <v>18813.600000000002</v>
      </c>
      <c r="HV250" s="124">
        <v>20694.960000000003</v>
      </c>
      <c r="HW250" s="124">
        <v>22764.456000000006</v>
      </c>
      <c r="HZ250" s="111">
        <v>5623.56</v>
      </c>
      <c r="IA250" s="124">
        <v>18813.600000000002</v>
      </c>
      <c r="IB250" s="124">
        <v>20694.960000000003</v>
      </c>
      <c r="IC250" s="124">
        <v>22764.456000000006</v>
      </c>
      <c r="IE250" s="111">
        <v>5119</v>
      </c>
      <c r="IF250" s="124">
        <v>18291</v>
      </c>
      <c r="IG250" s="124">
        <v>20120.100000000002</v>
      </c>
      <c r="IH250" s="124">
        <v>22132.110000000004</v>
      </c>
      <c r="IK250" s="124">
        <v>20120.100000000002</v>
      </c>
      <c r="IL250" s="124">
        <v>22132.110000000004</v>
      </c>
      <c r="IO250" s="124">
        <v>19713.240000000002</v>
      </c>
      <c r="IP250" s="124">
        <v>21684.564000000002</v>
      </c>
      <c r="IS250" s="160"/>
      <c r="IT250" s="160"/>
      <c r="IU250" s="160"/>
      <c r="IX250" s="124">
        <v>6108.2400000000016</v>
      </c>
      <c r="IY250" s="124">
        <v>19713.240000000002</v>
      </c>
      <c r="IZ250" s="124">
        <v>21684.564000000002</v>
      </c>
      <c r="JA250" s="124">
        <v>23853.020400000005</v>
      </c>
      <c r="JD250" s="124">
        <v>20082.7</v>
      </c>
      <c r="JE250" s="124">
        <v>22492.624000000003</v>
      </c>
      <c r="JH250" s="124">
        <v>19534.990000000002</v>
      </c>
      <c r="JI250" s="124">
        <v>21879.188800000004</v>
      </c>
      <c r="JJ250" s="124">
        <v>24504.691456000008</v>
      </c>
      <c r="JM250" s="124">
        <v>20856.7968</v>
      </c>
      <c r="JN250" s="124">
        <v>23359.612416000004</v>
      </c>
      <c r="JQ250" s="124">
        <v>17709.29</v>
      </c>
      <c r="JR250" s="124">
        <v>18948.940300000002</v>
      </c>
      <c r="JS250" s="124">
        <v>20275.366121000003</v>
      </c>
      <c r="JV250" s="124">
        <v>18990.36</v>
      </c>
      <c r="JW250" s="124">
        <v>20319.685200000004</v>
      </c>
      <c r="JY250" s="124">
        <v>18990.36</v>
      </c>
      <c r="JZ250" s="124">
        <v>20319.685200000004</v>
      </c>
      <c r="KB250" s="124">
        <v>18102.96</v>
      </c>
      <c r="KC250" s="124">
        <v>19370.1672</v>
      </c>
      <c r="KD250" s="124">
        <v>20726.078904000002</v>
      </c>
    </row>
    <row r="251" spans="2:290" x14ac:dyDescent="0.25">
      <c r="B251" s="11" t="s">
        <v>226</v>
      </c>
      <c r="C251" s="23"/>
      <c r="D251" s="23"/>
      <c r="E251" s="23"/>
      <c r="F251" s="23"/>
      <c r="G251" s="23"/>
      <c r="H251" s="197"/>
      <c r="I251" s="198"/>
      <c r="J251" s="198"/>
      <c r="K251" s="198"/>
      <c r="L251" s="198"/>
      <c r="M251" s="197"/>
      <c r="N251" s="198"/>
      <c r="O251" s="198"/>
      <c r="P251" s="198"/>
      <c r="Q251" s="198"/>
      <c r="R251" s="197"/>
      <c r="S251" s="198"/>
      <c r="T251" s="198"/>
      <c r="U251" s="198"/>
      <c r="V251" s="198"/>
      <c r="W251" s="197"/>
      <c r="X251" s="198"/>
      <c r="Y251" s="198"/>
      <c r="Z251" s="198"/>
      <c r="AA251" s="198"/>
      <c r="AB251" s="197"/>
      <c r="AC251" s="198"/>
      <c r="AD251" s="198"/>
      <c r="AE251" s="198"/>
      <c r="AF251" s="198"/>
      <c r="AG251" s="197"/>
      <c r="AH251" s="198"/>
      <c r="AI251" s="198"/>
      <c r="AJ251" s="198"/>
      <c r="AK251" s="197"/>
      <c r="AL251" s="198"/>
      <c r="AM251" s="198"/>
      <c r="AN251" s="198"/>
      <c r="AO251" s="198"/>
      <c r="AP251" s="197"/>
      <c r="AQ251" s="198"/>
      <c r="AR251" s="198"/>
      <c r="AS251" s="198"/>
      <c r="AT251" s="198"/>
      <c r="AU251" s="197"/>
      <c r="AV251" s="199"/>
      <c r="AW251" s="199"/>
      <c r="AX251" s="199"/>
      <c r="AY251" s="199"/>
      <c r="AZ251" s="197"/>
      <c r="BA251" s="199"/>
      <c r="BB251" s="199"/>
      <c r="BC251" s="199"/>
      <c r="BD251" s="199"/>
      <c r="BE251" s="197"/>
      <c r="BF251" s="199"/>
      <c r="BG251" s="199"/>
      <c r="BH251" s="199"/>
      <c r="BI251" s="199"/>
      <c r="BJ251" s="197"/>
      <c r="BK251" s="199"/>
      <c r="BL251" s="199"/>
      <c r="BM251" s="199"/>
      <c r="BN251" s="199"/>
      <c r="BO251" s="197"/>
      <c r="BP251" s="199"/>
      <c r="BQ251" s="199"/>
      <c r="BR251" s="199"/>
      <c r="BS251" s="199"/>
      <c r="BT251" s="197"/>
      <c r="BU251" s="199"/>
      <c r="BV251" s="199"/>
      <c r="BW251" s="199"/>
      <c r="BX251" s="199"/>
      <c r="BY251" s="197"/>
      <c r="BZ251" s="199"/>
      <c r="CA251" s="199"/>
      <c r="CB251" s="199"/>
      <c r="CC251" s="199"/>
      <c r="CD251" s="197"/>
      <c r="CE251" s="199"/>
      <c r="CF251" s="199"/>
      <c r="CG251" s="199"/>
      <c r="CH251" s="199"/>
      <c r="CI251" s="197"/>
      <c r="CJ251" s="197"/>
      <c r="CK251" s="197"/>
      <c r="CL251" s="197">
        <f>CK251*1.3</f>
        <v>0</v>
      </c>
      <c r="CM251" s="197">
        <f>CL251*1.2</f>
        <v>0</v>
      </c>
      <c r="CN251" s="197">
        <f>CM251*1.2</f>
        <v>0</v>
      </c>
      <c r="CO251" s="201"/>
      <c r="CP251" s="137"/>
      <c r="CQ251" s="6"/>
      <c r="CR251" s="6"/>
      <c r="CS251" s="6"/>
      <c r="CT251" s="124"/>
      <c r="CU251" s="124"/>
      <c r="CV251" s="124"/>
      <c r="CW251" s="124"/>
      <c r="CX251" s="124"/>
      <c r="CY251" s="124"/>
      <c r="CZ251" s="124"/>
      <c r="DA251" s="124"/>
      <c r="DB251" s="124"/>
      <c r="DC251" s="124"/>
      <c r="DD251" s="124"/>
      <c r="DE251" s="124"/>
      <c r="DF251" s="124"/>
      <c r="DG251" s="124"/>
      <c r="DH251" s="124"/>
      <c r="DI251" s="124"/>
      <c r="DK251" s="124"/>
      <c r="DL251" s="124"/>
      <c r="DM251" s="6"/>
      <c r="DN251" s="124"/>
      <c r="DO251" s="124"/>
      <c r="DQ251" s="136"/>
      <c r="DR251" s="124"/>
      <c r="DS251" s="124"/>
      <c r="DT251" s="124"/>
      <c r="DV251" s="124"/>
      <c r="DW251" s="124"/>
      <c r="DX251" s="124"/>
      <c r="EA251" s="111"/>
      <c r="EB251" s="111"/>
      <c r="EC251" s="111"/>
      <c r="ED251" s="124"/>
      <c r="EE251" s="124"/>
      <c r="EF251" s="124"/>
      <c r="EJ251" s="111"/>
      <c r="EK251" s="111"/>
      <c r="EL251" s="124"/>
      <c r="EM251" s="124"/>
      <c r="EN251" s="124"/>
      <c r="EP251" s="111"/>
      <c r="EQ251" s="124"/>
      <c r="ER251" s="124"/>
      <c r="ES251" s="124"/>
      <c r="EV251" s="111"/>
      <c r="EW251" s="111"/>
      <c r="EX251" s="111"/>
      <c r="EY251" s="111"/>
      <c r="EZ251" s="124"/>
      <c r="FA251" s="124"/>
      <c r="FD251" s="111"/>
      <c r="FE251" s="111"/>
      <c r="FF251" s="111"/>
      <c r="FG251" s="124"/>
      <c r="FH251" s="124"/>
      <c r="FK251" s="124"/>
      <c r="FL251" s="124"/>
      <c r="FO251" s="111"/>
      <c r="FP251" s="111"/>
      <c r="FQ251" s="124"/>
      <c r="FR251" s="124"/>
      <c r="FU251" s="111"/>
      <c r="FV251" s="124"/>
      <c r="FW251" s="124"/>
      <c r="FX251" s="124"/>
      <c r="FY251" s="124"/>
      <c r="GA251" s="124"/>
      <c r="GB251" s="124"/>
      <c r="GC251" s="124"/>
      <c r="GF251" s="111"/>
      <c r="GG251" s="111"/>
      <c r="GH251" s="111"/>
      <c r="GI251" s="124"/>
      <c r="GJ251" s="124"/>
      <c r="GK251" s="124"/>
      <c r="GN251" s="111"/>
      <c r="GO251" s="111"/>
      <c r="GP251" s="124"/>
      <c r="GQ251" s="124"/>
      <c r="GR251" s="124"/>
      <c r="GV251" s="111"/>
      <c r="GW251" s="124"/>
      <c r="GX251" s="124"/>
      <c r="GY251" s="124"/>
      <c r="HC251" s="124"/>
      <c r="HD251" s="124"/>
      <c r="HE251" s="124"/>
      <c r="HF251" s="124"/>
      <c r="HI251" s="111"/>
      <c r="HJ251" s="111"/>
      <c r="HK251" s="111"/>
      <c r="HL251" s="111"/>
      <c r="HM251" s="124"/>
      <c r="HN251" s="124"/>
      <c r="HO251" s="124"/>
      <c r="HR251" s="111"/>
      <c r="HS251" s="111"/>
      <c r="HT251" s="111"/>
      <c r="HU251" s="124"/>
      <c r="HV251" s="124"/>
      <c r="HW251" s="124"/>
      <c r="HZ251" s="111"/>
      <c r="IA251" s="124"/>
      <c r="IB251" s="124"/>
      <c r="IC251" s="124"/>
      <c r="IE251" s="111"/>
      <c r="IF251" s="124"/>
      <c r="IG251" s="124"/>
      <c r="IH251" s="124"/>
      <c r="IK251" s="124"/>
      <c r="IL251" s="124"/>
      <c r="IO251" s="124"/>
      <c r="IP251" s="124"/>
      <c r="IS251" s="160"/>
      <c r="IT251" s="160"/>
      <c r="IU251" s="160"/>
      <c r="IX251" s="124"/>
      <c r="IY251" s="124"/>
      <c r="IZ251" s="124"/>
      <c r="JA251" s="124"/>
      <c r="JD251" s="124"/>
      <c r="JE251" s="124"/>
      <c r="JH251" s="124"/>
      <c r="JI251" s="124"/>
      <c r="JJ251" s="124"/>
      <c r="JM251" s="124"/>
      <c r="JN251" s="124"/>
      <c r="JQ251" s="124"/>
      <c r="JR251" s="124"/>
      <c r="JS251" s="124"/>
      <c r="JV251" s="124"/>
      <c r="JW251" s="124"/>
      <c r="JY251" s="124"/>
      <c r="JZ251" s="124"/>
      <c r="KB251" s="124"/>
      <c r="KC251" s="124"/>
      <c r="KD251" s="124"/>
    </row>
    <row r="252" spans="2:290" s="60" customFormat="1" x14ac:dyDescent="0.25">
      <c r="B252" s="34" t="s">
        <v>228</v>
      </c>
      <c r="C252" s="99"/>
      <c r="D252" s="99"/>
      <c r="E252" s="99"/>
      <c r="F252" s="99"/>
      <c r="G252" s="99"/>
      <c r="H252" s="83"/>
      <c r="I252" s="62"/>
      <c r="J252" s="62"/>
      <c r="K252" s="62"/>
      <c r="L252" s="62"/>
      <c r="M252" s="83"/>
      <c r="N252" s="62"/>
      <c r="O252" s="62"/>
      <c r="P252" s="62"/>
      <c r="Q252" s="62"/>
      <c r="R252" s="83"/>
      <c r="S252" s="62"/>
      <c r="T252" s="62"/>
      <c r="U252" s="62"/>
      <c r="V252" s="62"/>
      <c r="W252" s="83">
        <v>281452</v>
      </c>
      <c r="X252" s="62">
        <v>49978</v>
      </c>
      <c r="Y252" s="62">
        <v>66318</v>
      </c>
      <c r="Z252" s="62">
        <v>72349</v>
      </c>
      <c r="AA252" s="62">
        <v>86818</v>
      </c>
      <c r="AB252" s="83">
        <v>275463</v>
      </c>
      <c r="AC252" s="62">
        <v>49110</v>
      </c>
      <c r="AD252" s="62">
        <v>73044</v>
      </c>
      <c r="AE252" s="62">
        <v>85732</v>
      </c>
      <c r="AF252" s="62">
        <v>94044</v>
      </c>
      <c r="AG252" s="83">
        <v>301930</v>
      </c>
      <c r="AH252" s="62">
        <v>57226</v>
      </c>
      <c r="AI252" s="62">
        <v>76613</v>
      </c>
      <c r="AJ252" s="62">
        <v>101467</v>
      </c>
      <c r="AK252" s="83">
        <v>235306</v>
      </c>
      <c r="AL252" s="62">
        <f t="shared" ref="AL252" si="332">SUM(AL247:AL250)</f>
        <v>97023</v>
      </c>
      <c r="AM252" s="62">
        <f>SUM(AM247:AM250)</f>
        <v>66794</v>
      </c>
      <c r="AN252" s="62">
        <f t="shared" ref="AN252:AO252" si="333">SUM(AN247:AN250)</f>
        <v>81172</v>
      </c>
      <c r="AO252" s="62">
        <f t="shared" si="333"/>
        <v>95665</v>
      </c>
      <c r="AP252" s="83">
        <f>SUM(AP247:AP250)</f>
        <v>340654</v>
      </c>
      <c r="AQ252" s="62">
        <f t="shared" ref="AQ252" si="334">SUM(AQ247:AQ250)</f>
        <v>92181</v>
      </c>
      <c r="AR252" s="62">
        <f>SUM(AR247:AR250)</f>
        <v>79026</v>
      </c>
      <c r="AS252" s="62">
        <f t="shared" ref="AS252:AT252" si="335">SUM(AS247:AS250)</f>
        <v>96737</v>
      </c>
      <c r="AT252" s="62">
        <f t="shared" si="335"/>
        <v>103190</v>
      </c>
      <c r="AU252" s="83">
        <f>SUM(AU247:AU250)</f>
        <v>371134</v>
      </c>
      <c r="AV252" s="62">
        <f t="shared" ref="AV252" si="336">SUM(AV247:AV250)</f>
        <v>99819</v>
      </c>
      <c r="AW252" s="62">
        <f>SUM(AW247:AW250)</f>
        <v>83173</v>
      </c>
      <c r="AX252" s="62">
        <f t="shared" ref="AX252:AY252" si="337">SUM(AX247:AX250)</f>
        <v>100982</v>
      </c>
      <c r="AY252" s="62">
        <f t="shared" si="337"/>
        <v>114009</v>
      </c>
      <c r="AZ252" s="83">
        <f>SUM(AZ247:AZ250)</f>
        <v>397983</v>
      </c>
      <c r="BA252" s="62">
        <f t="shared" ref="BA252" si="338">SUM(BA247:BA250)</f>
        <v>113428</v>
      </c>
      <c r="BB252" s="62">
        <f>SUM(BB247:BB250)</f>
        <v>93500</v>
      </c>
      <c r="BC252" s="62">
        <f t="shared" ref="BC252:BD252" si="339">SUM(BC247:BC250)</f>
        <v>101393</v>
      </c>
      <c r="BD252" s="62">
        <f t="shared" si="339"/>
        <v>103200</v>
      </c>
      <c r="BE252" s="83">
        <f>SUM(BE247:BE250)</f>
        <v>411521</v>
      </c>
      <c r="BF252" s="62">
        <f t="shared" ref="BF252" si="340">SUM(BF247:BF250)</f>
        <v>91451</v>
      </c>
      <c r="BG252" s="62">
        <f>SUM(BG247:BG250)</f>
        <v>94836</v>
      </c>
      <c r="BH252" s="62">
        <f t="shared" ref="BH252:BI252" si="341">SUM(BH247:BH250)</f>
        <v>111584</v>
      </c>
      <c r="BI252" s="62">
        <f t="shared" si="341"/>
        <v>111238</v>
      </c>
      <c r="BJ252" s="83">
        <f>SUM(BJ247:BJ250)</f>
        <v>409109</v>
      </c>
      <c r="BK252" s="62">
        <f t="shared" ref="BK252" si="342">SUM(BK247:BK250)</f>
        <v>71264</v>
      </c>
      <c r="BL252" s="62">
        <f>SUM(BL247:BL250)</f>
        <v>102673</v>
      </c>
      <c r="BM252" s="62">
        <f t="shared" ref="BM252:BN252" si="343">SUM(BM247:BM250)</f>
        <v>91363</v>
      </c>
      <c r="BN252" s="62">
        <f t="shared" si="343"/>
        <v>128607</v>
      </c>
      <c r="BO252" s="83">
        <f>SUM(BO247:BO250)</f>
        <v>393907</v>
      </c>
      <c r="BP252" s="62">
        <f t="shared" ref="BP252" si="344">SUM(BP247:BP250)</f>
        <v>108922</v>
      </c>
      <c r="BQ252" s="62">
        <f>SUM(BQ247:BQ250)</f>
        <v>111803</v>
      </c>
      <c r="BR252" s="62">
        <f t="shared" ref="BR252:BS252" si="345">SUM(BR247:BR250)</f>
        <v>138362</v>
      </c>
      <c r="BS252" s="62">
        <f t="shared" si="345"/>
        <v>147414</v>
      </c>
      <c r="BT252" s="83">
        <f>SUM(BT247:BT250)</f>
        <v>506501</v>
      </c>
      <c r="BU252" s="62">
        <f t="shared" ref="BU252" si="346">SUM(BU247:BU250)</f>
        <v>148544</v>
      </c>
      <c r="BV252" s="62">
        <f>SUM(BV247:BV250)</f>
        <v>137763</v>
      </c>
      <c r="BW252" s="62">
        <f t="shared" ref="BW252:BX252" si="347">SUM(BW247:BW250)</f>
        <v>158025</v>
      </c>
      <c r="BX252" s="62">
        <f t="shared" si="347"/>
        <v>195369</v>
      </c>
      <c r="BY252" s="83">
        <f>SUM(BY247:BY250)</f>
        <v>639701</v>
      </c>
      <c r="BZ252" s="62">
        <f t="shared" ref="BZ252" si="348">SUM(BZ247:BZ250)</f>
        <v>173835</v>
      </c>
      <c r="CA252" s="62">
        <f>SUM(CA247:CA250)</f>
        <v>138077</v>
      </c>
      <c r="CB252" s="62">
        <f t="shared" ref="CB252:CC252" si="349">SUM(CB247:CB250)</f>
        <v>163820</v>
      </c>
      <c r="CC252" s="62">
        <f t="shared" si="349"/>
        <v>199874</v>
      </c>
      <c r="CD252" s="83">
        <f>SUM(CD247:CD250)</f>
        <v>674510</v>
      </c>
      <c r="CE252" s="62">
        <f t="shared" ref="CE252" si="350">SUM(CE247:CE250)</f>
        <v>183793</v>
      </c>
      <c r="CF252" s="62">
        <f>SUM(CF247:CF250)</f>
        <v>154431</v>
      </c>
      <c r="CG252" s="62">
        <f t="shared" ref="CG252:CH252" si="351">SUM(CG247:CG250)</f>
        <v>183794</v>
      </c>
      <c r="CH252" s="62">
        <f t="shared" si="351"/>
        <v>231887</v>
      </c>
      <c r="CI252" s="83">
        <f>SUM(CI247:CI250)</f>
        <v>753905</v>
      </c>
      <c r="CJ252" s="83">
        <f>SUM(CJ247:CJ251)</f>
        <v>835941.08000000007</v>
      </c>
      <c r="CK252" s="83">
        <f t="shared" ref="CK252:CN252" si="352">SUM(CK247:CK251)</f>
        <v>968150.32040000008</v>
      </c>
      <c r="CL252" s="83">
        <f t="shared" si="352"/>
        <v>1125275.5104769999</v>
      </c>
      <c r="CM252" s="83">
        <f t="shared" si="352"/>
        <v>1233601.9916995298</v>
      </c>
      <c r="CN252" s="83">
        <f t="shared" si="352"/>
        <v>1352457.182125737</v>
      </c>
      <c r="CO252" s="201"/>
      <c r="CP252" s="148"/>
      <c r="CQ252" s="58"/>
      <c r="CR252" s="58"/>
      <c r="CS252" s="58">
        <v>14.31</v>
      </c>
      <c r="CT252" s="143"/>
      <c r="CU252" s="143"/>
      <c r="CV252" s="143"/>
      <c r="CW252" s="143"/>
      <c r="CX252" s="143"/>
      <c r="CY252" s="143"/>
      <c r="CZ252" s="143"/>
      <c r="DA252" s="143"/>
      <c r="DB252" s="143"/>
      <c r="DC252" s="143"/>
      <c r="DD252" s="143"/>
      <c r="DE252" s="143"/>
      <c r="DF252" s="143"/>
      <c r="DG252" s="143"/>
      <c r="DH252" s="143"/>
      <c r="DI252" s="143"/>
      <c r="DK252" s="143"/>
      <c r="DL252" s="143"/>
      <c r="DM252" s="58"/>
      <c r="DN252" s="143"/>
      <c r="DO252" s="143"/>
      <c r="DQ252" s="4"/>
      <c r="DR252" s="143"/>
      <c r="DS252" s="143"/>
      <c r="DT252" s="143"/>
      <c r="DV252" s="143"/>
      <c r="DW252" s="143"/>
      <c r="DX252" s="143"/>
      <c r="EA252" s="119"/>
      <c r="EB252" s="119"/>
      <c r="EC252" s="119"/>
      <c r="ED252" s="143"/>
      <c r="EE252" s="143"/>
      <c r="EF252" s="143"/>
      <c r="EJ252" s="119">
        <v>106410.70000000001</v>
      </c>
      <c r="EK252" s="119">
        <v>118804.90000000002</v>
      </c>
      <c r="EL252" s="143">
        <v>408293.60000000003</v>
      </c>
      <c r="EM252" s="143">
        <v>449122.96000000008</v>
      </c>
      <c r="EN252" s="143">
        <v>494035.25600000011</v>
      </c>
      <c r="EP252" s="119">
        <v>111242.44</v>
      </c>
      <c r="EQ252" s="143">
        <v>395302.44</v>
      </c>
      <c r="ER252" s="143">
        <v>442738.73280000006</v>
      </c>
      <c r="ES252" s="143">
        <v>487012.60608000011</v>
      </c>
      <c r="EV252" s="119">
        <v>113428</v>
      </c>
      <c r="EW252" s="119">
        <v>91490.3</v>
      </c>
      <c r="EX252" s="119">
        <v>111080.20000000001</v>
      </c>
      <c r="EY252" s="119">
        <v>125409.90000000001</v>
      </c>
      <c r="EZ252" s="143">
        <v>437781.30000000005</v>
      </c>
      <c r="FA252" s="143">
        <v>481559.43000000011</v>
      </c>
      <c r="FD252" s="119">
        <v>91490.3</v>
      </c>
      <c r="FE252" s="119">
        <v>111080.20000000001</v>
      </c>
      <c r="FF252" s="119">
        <v>125409.90000000001</v>
      </c>
      <c r="FG252" s="143">
        <v>437781.30000000005</v>
      </c>
      <c r="FH252" s="143">
        <v>481559.43000000011</v>
      </c>
      <c r="FK252" s="143">
        <v>437781.30000000005</v>
      </c>
      <c r="FL252" s="143">
        <v>481559.43000000011</v>
      </c>
      <c r="FO252" s="119">
        <v>108876.03000000001</v>
      </c>
      <c r="FP252" s="119">
        <v>125172.05999999995</v>
      </c>
      <c r="FQ252" s="143">
        <v>440976.08999999997</v>
      </c>
      <c r="FR252" s="143">
        <v>499448.88669999992</v>
      </c>
      <c r="FU252" s="119">
        <v>107624.76000000001</v>
      </c>
      <c r="FV252" s="143">
        <v>415945.76</v>
      </c>
      <c r="FW252" s="143">
        <v>361578.47320000001</v>
      </c>
      <c r="FX252" s="143">
        <v>401722.11182400002</v>
      </c>
      <c r="FY252" s="143">
        <v>446421.66657528013</v>
      </c>
      <c r="GA252" s="143">
        <v>360898.54</v>
      </c>
      <c r="GB252" s="143">
        <v>409742.82199999993</v>
      </c>
      <c r="GC252" s="143">
        <v>455921.97857000004</v>
      </c>
      <c r="GF252" s="119">
        <v>89760</v>
      </c>
      <c r="GG252" s="119">
        <v>101393</v>
      </c>
      <c r="GH252" s="119">
        <v>106034.10999999999</v>
      </c>
      <c r="GI252" s="143">
        <v>388638.11</v>
      </c>
      <c r="GJ252" s="143">
        <v>461629.80370000005</v>
      </c>
      <c r="GK252" s="143">
        <v>513651.19609900005</v>
      </c>
      <c r="GN252" s="119">
        <v>108490.51000000001</v>
      </c>
      <c r="GO252" s="119">
        <v>116317.68999999994</v>
      </c>
      <c r="GP252" s="143">
        <v>411095.19999999995</v>
      </c>
      <c r="GQ252" s="143">
        <v>487581.75280000007</v>
      </c>
      <c r="GR252" s="143">
        <v>542283.51140600012</v>
      </c>
      <c r="GV252" s="119">
        <v>114488</v>
      </c>
      <c r="GW252" s="143">
        <v>412359</v>
      </c>
      <c r="GX252" s="143">
        <v>471884.63620000001</v>
      </c>
      <c r="GY252" s="143">
        <v>541174.98384999996</v>
      </c>
      <c r="HC252" s="143">
        <v>121311.43000000005</v>
      </c>
      <c r="HD252" s="143">
        <v>386612.43000000005</v>
      </c>
      <c r="HE252" s="143">
        <v>448903.80195000005</v>
      </c>
      <c r="HF252" s="143">
        <v>496846.2226995001</v>
      </c>
      <c r="HI252" s="119">
        <v>118505.93</v>
      </c>
      <c r="HJ252" s="119">
        <v>110854.79</v>
      </c>
      <c r="HK252" s="119">
        <v>113780.33</v>
      </c>
      <c r="HL252" s="119">
        <v>134928.56</v>
      </c>
      <c r="HM252" s="143">
        <v>478069.61</v>
      </c>
      <c r="HN252" s="143">
        <v>529277.82900000003</v>
      </c>
      <c r="HO252" s="143">
        <v>574654.81914000015</v>
      </c>
      <c r="HR252" s="119">
        <v>110854.79</v>
      </c>
      <c r="HS252" s="119">
        <v>113780.33</v>
      </c>
      <c r="HT252" s="119">
        <v>144512.49</v>
      </c>
      <c r="HU252" s="143">
        <v>478069.61</v>
      </c>
      <c r="HV252" s="143">
        <v>529277.82900000003</v>
      </c>
      <c r="HW252" s="143">
        <v>574654.81914000015</v>
      </c>
      <c r="HZ252" s="119">
        <v>113780.33</v>
      </c>
      <c r="IA252" s="143">
        <v>478085.05999999994</v>
      </c>
      <c r="IB252" s="143">
        <v>529294.82400000002</v>
      </c>
      <c r="IC252" s="143">
        <v>574673.51364000002</v>
      </c>
      <c r="IE252" s="119">
        <v>146751.29999999996</v>
      </c>
      <c r="IF252" s="143">
        <v>505838.29999999993</v>
      </c>
      <c r="IG252" s="143">
        <v>560152.5419999999</v>
      </c>
      <c r="IH252" s="143">
        <v>607886.28156000003</v>
      </c>
      <c r="IK252" s="143">
        <v>560152.5419999999</v>
      </c>
      <c r="IL252" s="143">
        <v>607886.28156000003</v>
      </c>
      <c r="IO252" s="143">
        <v>606673.34</v>
      </c>
      <c r="IP252" s="143">
        <v>676491.79640000011</v>
      </c>
      <c r="IS252" s="157">
        <v>463181.80999999994</v>
      </c>
      <c r="IT252" s="157">
        <v>537290.89959999989</v>
      </c>
      <c r="IU252" s="157">
        <v>623257.44353599986</v>
      </c>
      <c r="IX252" s="143">
        <v>188996.14</v>
      </c>
      <c r="IY252" s="143">
        <v>633328.14</v>
      </c>
      <c r="IZ252" s="143">
        <v>725914.5419999999</v>
      </c>
      <c r="JA252" s="143">
        <v>832440.15827999986</v>
      </c>
      <c r="JD252" s="143">
        <v>778821.24999999988</v>
      </c>
      <c r="JE252" s="143">
        <v>923667.054</v>
      </c>
      <c r="JH252" s="143">
        <v>774660.25</v>
      </c>
      <c r="JI252" s="143">
        <v>918971.6298</v>
      </c>
      <c r="JJ252" s="143">
        <v>1051793.2703760001</v>
      </c>
      <c r="JM252" s="143">
        <v>845063.14159999997</v>
      </c>
      <c r="JN252" s="143">
        <v>966689.11494799994</v>
      </c>
      <c r="JQ252" s="143">
        <v>682551.5</v>
      </c>
      <c r="JR252" s="143">
        <v>763571.10070000018</v>
      </c>
      <c r="JS252" s="143">
        <v>852835.0900890003</v>
      </c>
      <c r="JV252" s="143">
        <v>754505.50000000012</v>
      </c>
      <c r="JW252" s="143">
        <v>842682.65800000005</v>
      </c>
      <c r="JY252" s="143">
        <v>775750.82</v>
      </c>
      <c r="JZ252" s="143">
        <v>866477.41639999987</v>
      </c>
      <c r="KB252" s="143">
        <v>757602.75999999989</v>
      </c>
      <c r="KC252" s="143">
        <v>855323.90520000004</v>
      </c>
      <c r="KD252" s="143">
        <v>966064.67402400018</v>
      </c>
    </row>
    <row r="253" spans="2:290" x14ac:dyDescent="0.25">
      <c r="B253" s="11" t="s">
        <v>229</v>
      </c>
      <c r="C253" s="23"/>
      <c r="D253" s="23"/>
      <c r="E253" s="23"/>
      <c r="F253" s="23"/>
      <c r="G253" s="23"/>
      <c r="H253" s="197"/>
      <c r="I253" s="198"/>
      <c r="J253" s="198"/>
      <c r="K253" s="198"/>
      <c r="L253" s="198"/>
      <c r="M253" s="197"/>
      <c r="N253" s="198"/>
      <c r="O253" s="198"/>
      <c r="P253" s="198"/>
      <c r="Q253" s="198"/>
      <c r="R253" s="197"/>
      <c r="S253" s="198"/>
      <c r="T253" s="198"/>
      <c r="U253" s="198"/>
      <c r="V253" s="198"/>
      <c r="W253" s="197"/>
      <c r="X253" s="198"/>
      <c r="Y253" s="198"/>
      <c r="Z253" s="198"/>
      <c r="AA253" s="198"/>
      <c r="AB253" s="197"/>
      <c r="AC253" s="198"/>
      <c r="AD253" s="198"/>
      <c r="AE253" s="198"/>
      <c r="AF253" s="198"/>
      <c r="AG253" s="197"/>
      <c r="AH253" s="198"/>
      <c r="AI253" s="198"/>
      <c r="AJ253" s="198"/>
      <c r="AK253" s="197"/>
      <c r="AL253" s="198"/>
      <c r="AM253" s="198"/>
      <c r="AN253" s="198"/>
      <c r="AO253" s="198"/>
      <c r="AP253" s="197"/>
      <c r="AQ253" s="198"/>
      <c r="AR253" s="198"/>
      <c r="AS253" s="198"/>
      <c r="AT253" s="198"/>
      <c r="AU253" s="197"/>
      <c r="AV253" s="199"/>
      <c r="AW253" s="199"/>
      <c r="AX253" s="199"/>
      <c r="AY253" s="199"/>
      <c r="AZ253" s="197"/>
      <c r="BA253" s="199"/>
      <c r="BB253" s="199"/>
      <c r="BC253" s="199"/>
      <c r="BD253" s="199"/>
      <c r="BE253" s="197"/>
      <c r="BF253" s="199"/>
      <c r="BG253" s="199"/>
      <c r="BH253" s="199"/>
      <c r="BI253" s="199"/>
      <c r="BJ253" s="197"/>
      <c r="BK253" s="199"/>
      <c r="BL253" s="199"/>
      <c r="BM253" s="199"/>
      <c r="BN253" s="199"/>
      <c r="BO253" s="197">
        <f t="shared" ref="BO253:CC253" si="353">BO247-BJ247</f>
        <v>-20062</v>
      </c>
      <c r="BP253" s="197">
        <f t="shared" si="353"/>
        <v>31313</v>
      </c>
      <c r="BQ253" s="197">
        <f t="shared" si="353"/>
        <v>6740</v>
      </c>
      <c r="BR253" s="197">
        <f t="shared" si="353"/>
        <v>46912</v>
      </c>
      <c r="BS253" s="197">
        <f t="shared" si="353"/>
        <v>15786</v>
      </c>
      <c r="BT253" s="197">
        <f t="shared" si="353"/>
        <v>100751</v>
      </c>
      <c r="BU253" s="197">
        <f t="shared" si="353"/>
        <v>37850</v>
      </c>
      <c r="BV253" s="197">
        <f t="shared" si="353"/>
        <v>23709</v>
      </c>
      <c r="BW253" s="197">
        <f t="shared" si="353"/>
        <v>17894</v>
      </c>
      <c r="BX253" s="197">
        <f t="shared" si="353"/>
        <v>46502</v>
      </c>
      <c r="BY253" s="197">
        <f t="shared" si="353"/>
        <v>125955</v>
      </c>
      <c r="BZ253" s="197">
        <f t="shared" si="353"/>
        <v>22879</v>
      </c>
      <c r="CA253" s="197">
        <f t="shared" si="353"/>
        <v>-691</v>
      </c>
      <c r="CB253" s="197">
        <f t="shared" si="353"/>
        <v>4512</v>
      </c>
      <c r="CC253" s="197">
        <f t="shared" si="353"/>
        <v>3432</v>
      </c>
      <c r="CD253" s="197">
        <f>CD247-BY247</f>
        <v>30132</v>
      </c>
      <c r="CE253" s="199"/>
      <c r="CF253" s="199"/>
      <c r="CG253" s="199"/>
      <c r="CH253" s="199"/>
      <c r="CI253" s="197">
        <f>CI247-CD247</f>
        <v>76354</v>
      </c>
      <c r="CJ253" s="197">
        <f>CJ247-CI247</f>
        <v>72898.440000000061</v>
      </c>
      <c r="CK253" s="197">
        <f>CK247-CJ247</f>
        <v>122469.37919999997</v>
      </c>
      <c r="CL253" s="197">
        <f t="shared" ref="CL253:CN253" si="354">CL247-CK247</f>
        <v>144513.86745599995</v>
      </c>
      <c r="CM253" s="197">
        <f t="shared" si="354"/>
        <v>94736.868665600079</v>
      </c>
      <c r="CN253" s="197">
        <f t="shared" si="354"/>
        <v>104210.55553215998</v>
      </c>
      <c r="CO253" s="201"/>
      <c r="CP253" s="137"/>
      <c r="CQ253" s="6"/>
      <c r="CR253" s="6"/>
      <c r="CS253" s="6"/>
      <c r="CT253" s="124"/>
      <c r="CU253" s="124"/>
      <c r="CV253" s="124"/>
      <c r="CW253" s="124"/>
      <c r="CX253" s="124"/>
      <c r="CY253" s="124"/>
      <c r="CZ253" s="124"/>
      <c r="DA253" s="124"/>
      <c r="DB253" s="124"/>
      <c r="DC253" s="124"/>
      <c r="DD253" s="124"/>
      <c r="DE253" s="124"/>
      <c r="DF253" s="124"/>
      <c r="DG253" s="124"/>
      <c r="DH253" s="124"/>
      <c r="DI253" s="124"/>
      <c r="DK253" s="124"/>
      <c r="DL253" s="124"/>
      <c r="DM253" s="6"/>
      <c r="DN253" s="124"/>
      <c r="DO253" s="124"/>
      <c r="DQ253" s="136"/>
      <c r="DR253" s="124"/>
      <c r="DS253" s="124"/>
      <c r="DT253" s="124"/>
      <c r="DV253" s="124"/>
      <c r="DW253" s="124"/>
      <c r="DX253" s="124"/>
      <c r="EA253" s="111"/>
      <c r="EB253" s="111"/>
      <c r="EC253" s="111">
        <v>4.0000000000000008E-2</v>
      </c>
      <c r="ED253" s="124">
        <v>1.6000000000000008</v>
      </c>
      <c r="EE253" s="124"/>
      <c r="EF253" s="124"/>
      <c r="EJ253" s="111"/>
      <c r="EK253" s="111"/>
      <c r="EL253" s="124"/>
      <c r="EM253" s="124"/>
      <c r="EN253" s="124"/>
      <c r="EP253" s="111"/>
      <c r="EQ253" s="124"/>
      <c r="ER253" s="124"/>
      <c r="ES253" s="124"/>
      <c r="EV253" s="111"/>
      <c r="EW253" s="111"/>
      <c r="EX253" s="111"/>
      <c r="EY253" s="111"/>
      <c r="EZ253" s="124"/>
      <c r="FA253" s="124"/>
      <c r="FD253" s="111"/>
      <c r="FE253" s="111"/>
      <c r="FF253" s="111"/>
      <c r="FG253" s="124"/>
      <c r="FH253" s="124"/>
      <c r="FK253" s="124"/>
      <c r="FL253" s="124"/>
      <c r="FO253" s="111"/>
      <c r="FP253" s="111"/>
      <c r="FQ253" s="124"/>
      <c r="FR253" s="124"/>
      <c r="FU253" s="111"/>
      <c r="FV253" s="124"/>
      <c r="FW253" s="124"/>
      <c r="FX253" s="124"/>
      <c r="FY253" s="124"/>
      <c r="GA253" s="124"/>
      <c r="GB253" s="124"/>
      <c r="GC253" s="124"/>
      <c r="GF253" s="111"/>
      <c r="GG253" s="111"/>
      <c r="GH253" s="111"/>
      <c r="GI253" s="124"/>
      <c r="GJ253" s="124"/>
      <c r="GK253" s="124"/>
      <c r="GN253" s="111"/>
      <c r="GO253" s="111"/>
      <c r="GP253" s="124">
        <v>0.61357492537313429</v>
      </c>
      <c r="GQ253" s="124">
        <v>0.67719687888888902</v>
      </c>
      <c r="GR253" s="124">
        <v>0.70426430052727285</v>
      </c>
      <c r="GV253" s="111"/>
      <c r="GW253" s="124">
        <v>0.61546119402985078</v>
      </c>
      <c r="GX253" s="124">
        <v>0.65539532805555556</v>
      </c>
      <c r="GY253" s="124">
        <v>0.70282465435064934</v>
      </c>
      <c r="HC253" s="124">
        <v>0.67762366047051303</v>
      </c>
      <c r="HD253" s="124">
        <v>0.53696170833333345</v>
      </c>
      <c r="HE253" s="124">
        <v>0.58299195058441566</v>
      </c>
      <c r="HF253" s="124"/>
      <c r="HI253" s="111"/>
      <c r="HJ253" s="111"/>
      <c r="HK253" s="111"/>
      <c r="HL253" s="111"/>
      <c r="HM253" s="124"/>
      <c r="HN253" s="124"/>
      <c r="HO253" s="124"/>
      <c r="HR253" s="111">
        <v>0.20890284025711586</v>
      </c>
      <c r="HS253" s="111"/>
      <c r="HT253" s="111"/>
      <c r="HU253" s="124"/>
      <c r="HV253" s="124"/>
      <c r="HW253" s="124"/>
      <c r="HZ253" s="111"/>
      <c r="IA253" s="124"/>
      <c r="IB253" s="124"/>
      <c r="IC253" s="124"/>
      <c r="IE253" s="111"/>
      <c r="IF253" s="124"/>
      <c r="IG253" s="124"/>
      <c r="IH253" s="124"/>
      <c r="IK253" s="124"/>
      <c r="IL253" s="124"/>
      <c r="IO253" s="124"/>
      <c r="IP253" s="124"/>
      <c r="IS253" s="160"/>
      <c r="IT253" s="160"/>
      <c r="IU253" s="160"/>
      <c r="IX253" s="124"/>
      <c r="IY253" s="124"/>
      <c r="IZ253" s="124"/>
      <c r="JA253" s="124"/>
      <c r="JD253" s="124">
        <v>125250.25</v>
      </c>
      <c r="JE253" s="124">
        <v>125250.25</v>
      </c>
      <c r="JH253" s="124">
        <v>125250.25</v>
      </c>
      <c r="JI253" s="124">
        <v>125250.25</v>
      </c>
      <c r="JJ253" s="124">
        <v>112725.22499999998</v>
      </c>
      <c r="JM253" s="124">
        <v>102805.40519999992</v>
      </c>
      <c r="JN253" s="124">
        <v>101091.98177999991</v>
      </c>
      <c r="JQ253" s="124">
        <v>35070.070000000065</v>
      </c>
      <c r="JR253" s="124">
        <v>64328.528400000068</v>
      </c>
      <c r="JS253" s="124">
        <v>72047.9518080001</v>
      </c>
      <c r="JV253" s="124">
        <v>63735.960000000079</v>
      </c>
      <c r="JW253" s="124">
        <v>71384.275200000033</v>
      </c>
      <c r="JY253" s="124">
        <v>84981.279999999912</v>
      </c>
      <c r="JZ253" s="124">
        <v>73933.713600000017</v>
      </c>
      <c r="KB253" s="124">
        <v>79669.949999999953</v>
      </c>
      <c r="KC253" s="124">
        <v>85512.413000000059</v>
      </c>
      <c r="KD253" s="124">
        <v>97484.150820000097</v>
      </c>
    </row>
    <row r="254" spans="2:290" x14ac:dyDescent="0.25">
      <c r="B254" s="11"/>
      <c r="C254" s="11"/>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c r="CA254" s="25"/>
      <c r="CB254" s="25"/>
      <c r="CC254" s="25"/>
      <c r="CD254" s="25"/>
      <c r="CE254" s="25"/>
      <c r="CF254" s="25"/>
      <c r="CG254" s="25"/>
      <c r="CH254" s="25"/>
      <c r="CI254" s="25"/>
      <c r="CJ254" s="25"/>
      <c r="CK254" s="25"/>
      <c r="CL254" s="25"/>
      <c r="CM254" s="25"/>
      <c r="CN254" s="25"/>
      <c r="CO254" s="165"/>
      <c r="CP254" s="165"/>
      <c r="CQ254" s="6"/>
      <c r="CR254" s="6"/>
      <c r="CS254" s="6"/>
      <c r="CT254" s="15"/>
      <c r="CU254" s="15"/>
      <c r="CV254" s="15"/>
      <c r="CW254" s="15"/>
      <c r="CX254" s="15"/>
      <c r="DK254" s="6"/>
      <c r="DL254" s="6"/>
      <c r="DM254" s="6"/>
      <c r="DN254" s="6"/>
      <c r="DO254" s="6"/>
      <c r="EA254" s="15"/>
      <c r="EB254" s="166"/>
      <c r="EC254" s="15">
        <v>2.4999999999999994E-2</v>
      </c>
      <c r="ED254" s="15"/>
      <c r="EE254" s="15"/>
      <c r="EF254" s="15"/>
      <c r="EJ254" s="166"/>
      <c r="EK254" s="15"/>
      <c r="EL254" s="15"/>
      <c r="EM254" s="15"/>
      <c r="EN254" s="15"/>
      <c r="EP254" s="15"/>
      <c r="EQ254" s="15"/>
      <c r="ER254" s="15"/>
      <c r="ES254" s="15"/>
      <c r="EV254" s="15"/>
      <c r="EW254" s="15"/>
      <c r="EX254" s="15"/>
      <c r="EY254" s="15"/>
      <c r="EZ254" s="15"/>
      <c r="FA254" s="15"/>
      <c r="FD254" s="15"/>
      <c r="FE254" s="15"/>
      <c r="FF254" s="15"/>
      <c r="FG254" s="15"/>
      <c r="FH254" s="15"/>
      <c r="FK254" s="15"/>
      <c r="FL254" s="15"/>
      <c r="FO254" s="15"/>
      <c r="FP254" s="15"/>
      <c r="FQ254" s="15"/>
      <c r="FR254" s="15"/>
      <c r="FU254" s="15"/>
      <c r="FV254" s="15"/>
      <c r="FW254" s="15"/>
      <c r="FX254" s="15"/>
      <c r="FY254" s="15"/>
      <c r="GA254" s="15"/>
      <c r="GB254" s="15"/>
      <c r="GC254" s="15"/>
      <c r="GF254" s="15"/>
      <c r="GG254" s="15"/>
      <c r="GH254" s="15"/>
      <c r="GI254" s="166">
        <v>5.0694453103860893E-2</v>
      </c>
      <c r="GJ254" s="167">
        <v>5.91340219243075E-2</v>
      </c>
      <c r="GK254" s="15"/>
      <c r="GN254" s="15"/>
      <c r="GO254" s="15"/>
      <c r="GP254" s="166">
        <v>7.0025943607147312E-2</v>
      </c>
      <c r="GQ254" s="167">
        <v>8.8498214547273246E-2</v>
      </c>
      <c r="GR254" s="166">
        <v>9.6338837384752241E-2</v>
      </c>
      <c r="GV254" s="167"/>
      <c r="GW254" s="166">
        <v>5.8417727861849178E-2</v>
      </c>
      <c r="GX254" s="167">
        <v>7.0833422294217741E-2</v>
      </c>
      <c r="GY254" s="166">
        <v>9.559128815258755E-2</v>
      </c>
      <c r="HC254" s="166"/>
      <c r="HD254" s="167">
        <v>-3.0736395708793496E-2</v>
      </c>
      <c r="HE254" s="166">
        <v>2.9406944665202328E-2</v>
      </c>
      <c r="HF254" s="166"/>
      <c r="HI254" s="167"/>
      <c r="HJ254" s="167"/>
      <c r="HK254" s="167"/>
      <c r="HL254" s="167"/>
      <c r="HM254" s="166"/>
      <c r="HN254" s="166"/>
      <c r="HO254" s="166"/>
      <c r="HR254" s="167"/>
      <c r="HS254" s="167"/>
      <c r="HT254" s="167"/>
      <c r="HU254" s="167"/>
      <c r="HV254" s="166"/>
      <c r="HW254" s="166"/>
      <c r="HZ254" s="167"/>
      <c r="IA254" s="167"/>
      <c r="IB254" s="166"/>
      <c r="IC254" s="166">
        <v>0.64570057712359552</v>
      </c>
      <c r="IE254" s="167"/>
      <c r="IF254" s="168"/>
      <c r="IG254" s="166"/>
      <c r="IH254" s="166">
        <v>0.68301829388764046</v>
      </c>
      <c r="IK254" s="166"/>
      <c r="IL254" s="166">
        <v>0.68301829388764046</v>
      </c>
      <c r="IO254" s="166"/>
      <c r="IP254" s="166"/>
      <c r="IS254" s="15" t="s">
        <v>107</v>
      </c>
      <c r="IT254" s="15" t="s">
        <v>27</v>
      </c>
      <c r="IU254" s="15" t="s">
        <v>28</v>
      </c>
      <c r="IX254" s="167"/>
      <c r="IY254" s="166"/>
      <c r="IZ254" s="166"/>
      <c r="JA254" s="166"/>
      <c r="JD254" s="166"/>
      <c r="JE254" s="166"/>
      <c r="JH254" s="166"/>
      <c r="JI254" s="166"/>
      <c r="JJ254" s="166"/>
      <c r="JM254" s="166"/>
      <c r="JN254" s="166"/>
      <c r="JQ254" s="166"/>
      <c r="JR254" s="166"/>
      <c r="JS254" s="166"/>
      <c r="JV254" s="166"/>
      <c r="JW254" s="166"/>
      <c r="JY254" s="166"/>
      <c r="JZ254" s="166"/>
      <c r="KB254" s="166"/>
      <c r="KC254" s="166"/>
      <c r="KD254" s="166"/>
    </row>
    <row r="255" spans="2:290" s="60" customFormat="1" x14ac:dyDescent="0.25">
      <c r="B255" s="34" t="s">
        <v>230</v>
      </c>
      <c r="C255" s="99"/>
      <c r="D255" s="99"/>
      <c r="E255" s="99"/>
      <c r="F255" s="99"/>
      <c r="G255" s="99"/>
      <c r="H255" s="196"/>
      <c r="I255" s="196"/>
      <c r="J255" s="196"/>
      <c r="K255" s="196"/>
      <c r="L255" s="196"/>
      <c r="M255" s="196"/>
      <c r="N255" s="196"/>
      <c r="O255" s="196"/>
      <c r="P255" s="196"/>
      <c r="Q255" s="196"/>
      <c r="R255" s="196"/>
      <c r="S255" s="196"/>
      <c r="T255" s="196"/>
      <c r="U255" s="196"/>
      <c r="V255" s="196"/>
      <c r="W255" s="196"/>
      <c r="X255" s="196"/>
      <c r="Y255" s="196"/>
      <c r="Z255" s="196"/>
      <c r="AA255" s="196"/>
      <c r="AB255" s="196"/>
      <c r="AC255" s="196"/>
      <c r="AD255" s="196"/>
      <c r="AE255" s="196"/>
      <c r="AF255" s="196"/>
      <c r="AG255" s="196"/>
      <c r="AH255" s="196"/>
      <c r="AI255" s="196"/>
      <c r="AJ255" s="196"/>
      <c r="AK255" s="196"/>
      <c r="AL255" s="196"/>
      <c r="AM255" s="196"/>
      <c r="AN255" s="196"/>
      <c r="AO255" s="196"/>
      <c r="AP255" s="196"/>
      <c r="AQ255" s="196"/>
      <c r="AR255" s="196"/>
      <c r="AS255" s="196"/>
      <c r="AT255" s="196"/>
      <c r="AU255" s="196"/>
      <c r="AV255" s="196"/>
      <c r="AW255" s="196"/>
      <c r="AX255" s="196"/>
      <c r="AY255" s="196"/>
      <c r="AZ255" s="196"/>
      <c r="BA255" s="196"/>
      <c r="BB255" s="196"/>
      <c r="BC255" s="196"/>
      <c r="BD255" s="196"/>
      <c r="BE255" s="196"/>
      <c r="BF255" s="196"/>
      <c r="BG255" s="196"/>
      <c r="BH255" s="196"/>
      <c r="BI255" s="196"/>
      <c r="BJ255" s="196"/>
      <c r="BK255" s="196"/>
      <c r="BL255" s="196"/>
      <c r="BM255" s="196"/>
      <c r="BN255" s="196"/>
      <c r="BO255" s="196"/>
      <c r="BP255" s="196"/>
      <c r="BQ255" s="196"/>
      <c r="BR255" s="196"/>
      <c r="BS255" s="196"/>
      <c r="BT255" s="196"/>
      <c r="BU255" s="196"/>
      <c r="BV255" s="196"/>
      <c r="BW255" s="196"/>
      <c r="BX255" s="196"/>
      <c r="BY255" s="196"/>
      <c r="BZ255" s="196"/>
      <c r="CA255" s="196"/>
      <c r="CB255" s="196"/>
      <c r="CC255" s="196"/>
      <c r="CD255" s="196"/>
      <c r="CE255" s="196"/>
      <c r="CF255" s="196"/>
      <c r="CG255" s="196"/>
      <c r="CH255" s="196"/>
      <c r="CI255" s="196"/>
      <c r="CJ255" s="196"/>
      <c r="CK255" s="196"/>
      <c r="CL255" s="196"/>
      <c r="CM255" s="196"/>
      <c r="CN255" s="196"/>
      <c r="CO255" s="148"/>
      <c r="CP255" s="148"/>
      <c r="CQ255" s="58"/>
      <c r="CR255" s="58"/>
      <c r="CS255" s="58"/>
      <c r="CT255" s="143"/>
      <c r="CU255" s="143"/>
      <c r="CV255" s="143"/>
      <c r="CW255" s="143"/>
      <c r="CX255" s="143"/>
      <c r="CY255" s="143"/>
      <c r="CZ255" s="143"/>
      <c r="DA255" s="143"/>
      <c r="DB255" s="143"/>
      <c r="DC255" s="143"/>
      <c r="DD255" s="143"/>
      <c r="DE255" s="143"/>
      <c r="DF255" s="143"/>
      <c r="DG255" s="143"/>
      <c r="DH255" s="143"/>
      <c r="DI255" s="143"/>
      <c r="DK255" s="143"/>
      <c r="DL255" s="143"/>
      <c r="DM255" s="58"/>
      <c r="DN255" s="143"/>
      <c r="DO255" s="143"/>
      <c r="DQ255" s="4"/>
      <c r="DR255" s="143"/>
      <c r="DS255" s="143"/>
      <c r="DT255" s="143"/>
      <c r="DV255" s="143"/>
      <c r="DW255" s="143"/>
      <c r="DX255" s="143"/>
      <c r="EA255" s="119"/>
      <c r="EB255" s="119"/>
      <c r="EC255" s="119"/>
      <c r="ED255" s="143"/>
      <c r="EE255" s="143"/>
      <c r="EF255" s="143"/>
      <c r="EJ255" s="119"/>
      <c r="EK255" s="119"/>
      <c r="EL255" s="143"/>
      <c r="EM255" s="143"/>
      <c r="EN255" s="143"/>
      <c r="EP255" s="119"/>
      <c r="EQ255" s="143"/>
      <c r="ER255" s="143"/>
      <c r="ES255" s="143"/>
      <c r="EV255" s="119"/>
      <c r="EW255" s="119"/>
      <c r="EX255" s="119"/>
      <c r="EY255" s="119"/>
      <c r="EZ255" s="143"/>
      <c r="FA255" s="143"/>
      <c r="FD255" s="119"/>
      <c r="FE255" s="119"/>
      <c r="FF255" s="119"/>
      <c r="FG255" s="143"/>
      <c r="FH255" s="143"/>
      <c r="FK255" s="143"/>
      <c r="FL255" s="143"/>
      <c r="FO255" s="119"/>
      <c r="FP255" s="119"/>
      <c r="FQ255" s="143"/>
      <c r="FR255" s="143"/>
      <c r="FU255" s="119"/>
      <c r="FV255" s="143"/>
      <c r="FW255" s="143"/>
      <c r="FX255" s="143"/>
      <c r="FY255" s="143"/>
      <c r="GA255" s="143"/>
      <c r="GB255" s="143"/>
      <c r="GC255" s="143"/>
      <c r="GF255" s="119"/>
      <c r="GG255" s="119"/>
      <c r="GH255" s="119"/>
      <c r="GI255" s="143"/>
      <c r="GJ255" s="143"/>
      <c r="GK255" s="143"/>
      <c r="GN255" s="119"/>
      <c r="GO255" s="119"/>
      <c r="GP255" s="143"/>
      <c r="GQ255" s="143"/>
      <c r="GR255" s="143"/>
      <c r="GV255" s="119"/>
      <c r="GW255" s="143"/>
      <c r="GX255" s="143"/>
      <c r="GY255" s="143"/>
      <c r="HC255" s="143"/>
      <c r="HD255" s="143"/>
      <c r="HE255" s="143"/>
      <c r="HF255" s="143"/>
      <c r="HI255" s="119"/>
      <c r="HJ255" s="119"/>
      <c r="HK255" s="119"/>
      <c r="HL255" s="119"/>
      <c r="HM255" s="143"/>
      <c r="HN255" s="143"/>
      <c r="HO255" s="143"/>
      <c r="HR255" s="119"/>
      <c r="HS255" s="119"/>
      <c r="HT255" s="119"/>
      <c r="HU255" s="143"/>
      <c r="HV255" s="143"/>
      <c r="HW255" s="143"/>
      <c r="HZ255" s="119"/>
      <c r="IA255" s="143"/>
      <c r="IB255" s="143"/>
      <c r="IC255" s="143"/>
      <c r="IE255" s="119"/>
      <c r="IF255" s="143"/>
      <c r="IG255" s="143"/>
      <c r="IH255" s="143"/>
      <c r="IK255" s="143"/>
      <c r="IL255" s="143"/>
      <c r="IO255" s="143"/>
      <c r="IP255" s="143"/>
      <c r="IS255" s="157"/>
      <c r="IT255" s="157"/>
      <c r="IU255" s="157"/>
      <c r="IX255" s="143"/>
      <c r="IY255" s="143"/>
      <c r="IZ255" s="143"/>
      <c r="JA255" s="143"/>
      <c r="JD255" s="143"/>
      <c r="JE255" s="143"/>
      <c r="JH255" s="143"/>
      <c r="JI255" s="143"/>
      <c r="JJ255" s="143"/>
      <c r="JM255" s="143"/>
      <c r="JN255" s="143"/>
      <c r="JQ255" s="143"/>
      <c r="JR255" s="143"/>
      <c r="JS255" s="143"/>
      <c r="JV255" s="143"/>
      <c r="JW255" s="143"/>
      <c r="JY255" s="143"/>
      <c r="JZ255" s="143"/>
      <c r="KB255" s="143"/>
      <c r="KC255" s="143"/>
      <c r="KD255" s="143"/>
    </row>
    <row r="256" spans="2:290" x14ac:dyDescent="0.25">
      <c r="B256" s="11" t="s">
        <v>222</v>
      </c>
      <c r="C256" s="23"/>
      <c r="D256" s="23"/>
      <c r="E256" s="23"/>
      <c r="F256" s="23"/>
      <c r="G256" s="23"/>
      <c r="H256" s="197"/>
      <c r="I256" s="198"/>
      <c r="J256" s="198"/>
      <c r="K256" s="198"/>
      <c r="L256" s="198"/>
      <c r="M256" s="230"/>
      <c r="N256" s="198"/>
      <c r="O256" s="198"/>
      <c r="P256" s="198"/>
      <c r="Q256" s="198"/>
      <c r="R256" s="197"/>
      <c r="S256" s="198"/>
      <c r="T256" s="198"/>
      <c r="U256" s="198"/>
      <c r="V256" s="198"/>
      <c r="W256" s="197"/>
      <c r="X256" s="198"/>
      <c r="Y256" s="198"/>
      <c r="Z256" s="198"/>
      <c r="AA256" s="198"/>
      <c r="AB256" s="197"/>
      <c r="AC256" s="198"/>
      <c r="AD256" s="198"/>
      <c r="AE256" s="198"/>
      <c r="AF256" s="198"/>
      <c r="AG256" s="197"/>
      <c r="AH256" s="198"/>
      <c r="AI256" s="198"/>
      <c r="AJ256" s="198"/>
      <c r="AK256" s="197"/>
      <c r="AL256" s="198"/>
      <c r="AM256" s="198"/>
      <c r="AN256" s="198"/>
      <c r="AO256" s="198"/>
      <c r="AP256" s="197"/>
      <c r="AQ256" s="198"/>
      <c r="AR256" s="198"/>
      <c r="AS256" s="198"/>
      <c r="AT256" s="198"/>
      <c r="AU256" s="197"/>
      <c r="AV256" s="199"/>
      <c r="AW256" s="199"/>
      <c r="AX256" s="199"/>
      <c r="AY256" s="199"/>
      <c r="AZ256" s="197"/>
      <c r="BA256" s="199"/>
      <c r="BB256" s="199"/>
      <c r="BC256" s="199"/>
      <c r="BD256" s="199"/>
      <c r="BE256" s="197"/>
      <c r="BF256" s="199"/>
      <c r="BG256" s="199"/>
      <c r="BH256" s="199"/>
      <c r="BI256" s="199"/>
      <c r="BJ256" s="42">
        <f>BJ247/BJ230</f>
        <v>0.57774153280889351</v>
      </c>
      <c r="BK256" s="199"/>
      <c r="BL256" s="199"/>
      <c r="BM256" s="199"/>
      <c r="BN256" s="199"/>
      <c r="BO256" s="42">
        <f>BO247/BO230</f>
        <v>0.51935056328694496</v>
      </c>
      <c r="BP256" s="199"/>
      <c r="BQ256" s="199"/>
      <c r="BR256" s="199"/>
      <c r="BS256" s="199"/>
      <c r="BT256" s="42">
        <f>BT247/BT230</f>
        <v>0.62234457398686438</v>
      </c>
      <c r="BU256" s="199"/>
      <c r="BV256" s="199"/>
      <c r="BW256" s="199"/>
      <c r="BX256" s="199"/>
      <c r="BY256" s="42">
        <f>BY247/BY230</f>
        <v>0.67755210784552389</v>
      </c>
      <c r="BZ256" s="199"/>
      <c r="CA256" s="199"/>
      <c r="CB256" s="199"/>
      <c r="CC256" s="199"/>
      <c r="CD256" s="42">
        <f>CD247/CD230</f>
        <v>0.60872609829782742</v>
      </c>
      <c r="CE256" s="199"/>
      <c r="CF256" s="199"/>
      <c r="CG256" s="199"/>
      <c r="CH256" s="199"/>
      <c r="CI256" s="42">
        <f t="shared" ref="CI256:CN259" si="355">CI247/CI230</f>
        <v>0.60745298263297254</v>
      </c>
      <c r="CJ256" s="42">
        <f t="shared" si="355"/>
        <v>0.61850073087188295</v>
      </c>
      <c r="CK256" s="42">
        <f t="shared" si="355"/>
        <v>0.64225508233231154</v>
      </c>
      <c r="CL256" s="42">
        <f t="shared" si="355"/>
        <v>0.67666485244590213</v>
      </c>
      <c r="CM256" s="42">
        <f t="shared" si="355"/>
        <v>0.65953710205309179</v>
      </c>
      <c r="CN256" s="42">
        <f t="shared" si="355"/>
        <v>0.66258902073329418</v>
      </c>
      <c r="CO256" s="74"/>
      <c r="CP256" s="74"/>
      <c r="CQ256" s="6"/>
      <c r="CR256" s="6"/>
      <c r="CS256" s="6"/>
      <c r="CT256" s="124"/>
      <c r="CU256" s="124"/>
      <c r="CV256" s="124"/>
      <c r="CW256" s="124"/>
      <c r="CX256" s="124"/>
      <c r="CY256" s="124"/>
      <c r="CZ256" s="124"/>
      <c r="DA256" s="124"/>
      <c r="DB256" s="124"/>
      <c r="DC256" s="124"/>
      <c r="DD256" s="124"/>
      <c r="DE256" s="124"/>
      <c r="DF256" s="124"/>
      <c r="DG256" s="124"/>
      <c r="DH256" s="124"/>
      <c r="DI256" s="124"/>
      <c r="DK256" s="124"/>
      <c r="DL256" s="124"/>
      <c r="DM256" s="6"/>
      <c r="DN256" s="124"/>
      <c r="DO256" s="124"/>
      <c r="DQ256" s="136"/>
      <c r="DR256" s="124"/>
      <c r="DS256" s="124"/>
      <c r="DT256" s="124"/>
      <c r="DV256" s="124"/>
      <c r="DW256" s="124"/>
      <c r="DX256" s="124"/>
      <c r="EA256" s="111"/>
      <c r="EB256" s="111"/>
      <c r="EC256" s="111"/>
      <c r="ED256" s="124"/>
      <c r="EE256" s="124"/>
      <c r="EF256" s="124"/>
      <c r="EJ256" s="111"/>
      <c r="EK256" s="111"/>
      <c r="EL256" s="124"/>
      <c r="EM256" s="124"/>
      <c r="EN256" s="124"/>
      <c r="EP256" s="111"/>
      <c r="EQ256" s="124"/>
      <c r="ER256" s="124"/>
      <c r="ES256" s="124"/>
      <c r="EV256" s="111"/>
      <c r="EW256" s="111"/>
      <c r="EX256" s="111"/>
      <c r="EY256" s="111"/>
      <c r="EZ256" s="124"/>
      <c r="FA256" s="124"/>
      <c r="FD256" s="111"/>
      <c r="FE256" s="111"/>
      <c r="FF256" s="111"/>
      <c r="FG256" s="124"/>
      <c r="FH256" s="124"/>
      <c r="FK256" s="124"/>
      <c r="FL256" s="124"/>
      <c r="FO256" s="111">
        <v>77028.600000000006</v>
      </c>
      <c r="FP256" s="111">
        <v>91655.599999999948</v>
      </c>
      <c r="FQ256" s="124">
        <v>321710.19999999995</v>
      </c>
      <c r="FR256" s="124">
        <v>369966.72999999992</v>
      </c>
      <c r="FU256" s="111">
        <v>78670.840000000026</v>
      </c>
      <c r="FV256" s="124">
        <v>302127.84000000003</v>
      </c>
      <c r="FW256" s="124">
        <v>265872.49920000002</v>
      </c>
      <c r="FX256" s="124">
        <v>297777.19910400006</v>
      </c>
      <c r="FY256" s="124">
        <v>333510.46299648011</v>
      </c>
      <c r="GA256" s="124">
        <v>276710.24</v>
      </c>
      <c r="GB256" s="124">
        <v>318216.77599999995</v>
      </c>
      <c r="GC256" s="124">
        <v>356402.78911999997</v>
      </c>
      <c r="GF256" s="111"/>
      <c r="GG256" s="111"/>
      <c r="GH256" s="111"/>
      <c r="GI256" s="124">
        <v>294756.56</v>
      </c>
      <c r="GJ256" s="124">
        <v>359603.00319999998</v>
      </c>
      <c r="GK256" s="124">
        <v>402755.36358400004</v>
      </c>
      <c r="GN256" s="111"/>
      <c r="GO256" s="111"/>
      <c r="GP256" s="124">
        <v>306787.44</v>
      </c>
      <c r="GQ256" s="124">
        <v>374280.67680000002</v>
      </c>
      <c r="GR256" s="124">
        <v>419194.35801600007</v>
      </c>
      <c r="GV256" s="111">
        <v>79404.27999999997</v>
      </c>
      <c r="GW256" s="124">
        <v>297764.27999999997</v>
      </c>
      <c r="GX256" s="124">
        <v>345406.56479999993</v>
      </c>
      <c r="GY256" s="124">
        <v>397217.54951999988</v>
      </c>
      <c r="HC256" s="124">
        <v>84189.73000000001</v>
      </c>
      <c r="HD256" s="124">
        <v>261977.73</v>
      </c>
      <c r="HE256" s="124">
        <v>305204.05545000004</v>
      </c>
      <c r="HF256" s="124">
        <v>338776.5015495001</v>
      </c>
      <c r="HI256" s="111">
        <v>91681.65</v>
      </c>
      <c r="HJ256" s="111">
        <v>76104</v>
      </c>
      <c r="HK256" s="111">
        <v>74356.100000000006</v>
      </c>
      <c r="HL256" s="111">
        <v>97984.049999999988</v>
      </c>
      <c r="HM256" s="124">
        <v>340125.8</v>
      </c>
      <c r="HN256" s="124">
        <v>377539.63800000004</v>
      </c>
      <c r="HO256" s="124">
        <v>407742.80904000008</v>
      </c>
      <c r="HR256" s="111">
        <v>76104</v>
      </c>
      <c r="HS256" s="111">
        <v>74356.100000000006</v>
      </c>
      <c r="HT256" s="111">
        <v>110241.69999999998</v>
      </c>
      <c r="HU256" s="124">
        <v>340125.8</v>
      </c>
      <c r="HV256" s="124">
        <v>377539.63800000004</v>
      </c>
      <c r="HW256" s="124">
        <v>407742.80904000008</v>
      </c>
      <c r="HZ256" s="111">
        <v>74356.100000000006</v>
      </c>
      <c r="IA256" s="124">
        <v>340125.8</v>
      </c>
      <c r="IB256" s="124">
        <v>377539.63800000004</v>
      </c>
      <c r="IC256" s="124">
        <v>407742.80904000008</v>
      </c>
      <c r="IE256" s="111">
        <v>110288.19999999995</v>
      </c>
      <c r="IF256" s="124">
        <v>373041.19999999995</v>
      </c>
      <c r="IG256" s="124">
        <v>414075.73199999996</v>
      </c>
      <c r="IH256" s="124">
        <v>447201.79055999999</v>
      </c>
      <c r="IK256" s="124">
        <v>414075.73199999996</v>
      </c>
      <c r="IL256" s="124">
        <v>447201.79055999999</v>
      </c>
      <c r="IO256" s="124">
        <v>457556.12</v>
      </c>
      <c r="IP256" s="124">
        <v>512462.85440000007</v>
      </c>
      <c r="IS256" s="160">
        <v>62378.299999999996</v>
      </c>
      <c r="IT256" s="160">
        <v>68616.13</v>
      </c>
      <c r="IU256" s="160">
        <v>75477.743000000017</v>
      </c>
      <c r="IX256" s="124">
        <v>145353.79999999999</v>
      </c>
      <c r="IY256" s="124">
        <v>487559.8</v>
      </c>
      <c r="IZ256" s="124">
        <v>565569.3679999999</v>
      </c>
      <c r="JA256" s="124">
        <v>656060.46687999985</v>
      </c>
      <c r="JD256" s="124">
        <v>626251.25</v>
      </c>
      <c r="JE256" s="124">
        <v>751501.5</v>
      </c>
      <c r="JH256" s="124">
        <v>626251.25</v>
      </c>
      <c r="JI256" s="124">
        <v>751501.5</v>
      </c>
      <c r="JJ256" s="124">
        <v>864226.72499999998</v>
      </c>
      <c r="JM256" s="124">
        <v>673946.54519999993</v>
      </c>
      <c r="JN256" s="124">
        <v>775038.52697999985</v>
      </c>
      <c r="JQ256" s="124">
        <v>536071.07000000007</v>
      </c>
      <c r="JR256" s="124">
        <v>600399.59840000013</v>
      </c>
      <c r="JS256" s="124">
        <v>672447.55020800023</v>
      </c>
      <c r="JV256" s="124">
        <v>594868.96000000008</v>
      </c>
      <c r="JW256" s="124">
        <v>666253.23520000011</v>
      </c>
      <c r="JY256" s="124">
        <v>616114.27999999991</v>
      </c>
      <c r="JZ256" s="124">
        <v>690047.99359999993</v>
      </c>
      <c r="KB256" s="124">
        <v>610802.94999999995</v>
      </c>
      <c r="KC256" s="124">
        <v>696315.36300000001</v>
      </c>
      <c r="KD256" s="124">
        <v>793799.51382000011</v>
      </c>
    </row>
    <row r="257" spans="2:290" x14ac:dyDescent="0.25">
      <c r="B257" s="11" t="s">
        <v>223</v>
      </c>
      <c r="C257" s="23"/>
      <c r="D257" s="23"/>
      <c r="E257" s="23"/>
      <c r="F257" s="23"/>
      <c r="G257" s="23"/>
      <c r="H257" s="197"/>
      <c r="I257" s="198"/>
      <c r="J257" s="198"/>
      <c r="K257" s="198"/>
      <c r="L257" s="198"/>
      <c r="M257" s="197"/>
      <c r="N257" s="198"/>
      <c r="O257" s="198"/>
      <c r="P257" s="198"/>
      <c r="Q257" s="198"/>
      <c r="R257" s="197"/>
      <c r="S257" s="198"/>
      <c r="T257" s="198"/>
      <c r="U257" s="198"/>
      <c r="V257" s="198"/>
      <c r="W257" s="197"/>
      <c r="X257" s="198"/>
      <c r="Y257" s="198"/>
      <c r="Z257" s="198"/>
      <c r="AA257" s="198"/>
      <c r="AB257" s="197"/>
      <c r="AC257" s="198"/>
      <c r="AD257" s="198"/>
      <c r="AE257" s="198"/>
      <c r="AF257" s="198"/>
      <c r="AG257" s="197"/>
      <c r="AH257" s="198"/>
      <c r="AI257" s="198"/>
      <c r="AJ257" s="198"/>
      <c r="AK257" s="197"/>
      <c r="AL257" s="198"/>
      <c r="AM257" s="198"/>
      <c r="AN257" s="198"/>
      <c r="AO257" s="198"/>
      <c r="AP257" s="197"/>
      <c r="AQ257" s="198"/>
      <c r="AR257" s="198"/>
      <c r="AS257" s="198"/>
      <c r="AT257" s="198"/>
      <c r="AU257" s="197"/>
      <c r="AV257" s="199"/>
      <c r="AW257" s="199"/>
      <c r="AX257" s="199"/>
      <c r="AY257" s="199"/>
      <c r="AZ257" s="197"/>
      <c r="BA257" s="199"/>
      <c r="BB257" s="199"/>
      <c r="BC257" s="199"/>
      <c r="BD257" s="199"/>
      <c r="BE257" s="197"/>
      <c r="BF257" s="199"/>
      <c r="BG257" s="199"/>
      <c r="BH257" s="199"/>
      <c r="BI257" s="199"/>
      <c r="BJ257" s="42">
        <f>BJ248/BJ231</f>
        <v>0.63504545717760152</v>
      </c>
      <c r="BK257" s="199"/>
      <c r="BL257" s="199"/>
      <c r="BM257" s="199"/>
      <c r="BN257" s="199"/>
      <c r="BO257" s="42">
        <f>BO248/BO231</f>
        <v>0.60603551487619023</v>
      </c>
      <c r="BP257" s="199"/>
      <c r="BQ257" s="199"/>
      <c r="BR257" s="199"/>
      <c r="BS257" s="199"/>
      <c r="BT257" s="42">
        <f>BT248/BT231</f>
        <v>0.59957111906972627</v>
      </c>
      <c r="BU257" s="199"/>
      <c r="BV257" s="199"/>
      <c r="BW257" s="199"/>
      <c r="BX257" s="199"/>
      <c r="BY257" s="42">
        <f>BY248/BY231</f>
        <v>0.62634621560860726</v>
      </c>
      <c r="BZ257" s="199"/>
      <c r="CA257" s="199"/>
      <c r="CB257" s="199"/>
      <c r="CC257" s="199"/>
      <c r="CD257" s="42">
        <f>CD248/CD231</f>
        <v>0.60918387609213664</v>
      </c>
      <c r="CE257" s="199"/>
      <c r="CF257" s="199"/>
      <c r="CG257" s="199"/>
      <c r="CH257" s="199"/>
      <c r="CI257" s="42">
        <f t="shared" si="355"/>
        <v>0.55868921424815254</v>
      </c>
      <c r="CJ257" s="42">
        <f t="shared" si="355"/>
        <v>0.60338435138800484</v>
      </c>
      <c r="CK257" s="42">
        <f t="shared" si="355"/>
        <v>0.62292073761166922</v>
      </c>
      <c r="CL257" s="42">
        <f t="shared" si="355"/>
        <v>0.6182331193503684</v>
      </c>
      <c r="CM257" s="42">
        <f t="shared" si="355"/>
        <v>0.61763728561228859</v>
      </c>
      <c r="CN257" s="42">
        <f t="shared" si="355"/>
        <v>0.62052938201205365</v>
      </c>
      <c r="CO257" s="74"/>
      <c r="CP257" s="74"/>
      <c r="CQ257" s="6"/>
      <c r="CR257" s="6"/>
      <c r="CS257" s="6"/>
      <c r="CT257" s="124"/>
      <c r="CU257" s="124"/>
      <c r="CV257" s="124"/>
      <c r="CW257" s="124"/>
      <c r="CX257" s="124"/>
      <c r="CY257" s="124"/>
      <c r="CZ257" s="124"/>
      <c r="DA257" s="124"/>
      <c r="DB257" s="124"/>
      <c r="DC257" s="124"/>
      <c r="DD257" s="124"/>
      <c r="DE257" s="124"/>
      <c r="DF257" s="124"/>
      <c r="DG257" s="124"/>
      <c r="DH257" s="124"/>
      <c r="DI257" s="124"/>
      <c r="DK257" s="124"/>
      <c r="DL257" s="124"/>
      <c r="DM257" s="6"/>
      <c r="DN257" s="124"/>
      <c r="DO257" s="124"/>
      <c r="DQ257" s="136"/>
      <c r="DR257" s="124"/>
      <c r="DS257" s="124"/>
      <c r="DT257" s="124"/>
      <c r="DV257" s="124"/>
      <c r="DW257" s="124"/>
      <c r="DX257" s="124"/>
      <c r="EA257" s="111"/>
      <c r="EB257" s="111"/>
      <c r="EC257" s="111"/>
      <c r="ED257" s="124"/>
      <c r="EE257" s="124"/>
      <c r="EF257" s="124"/>
      <c r="EJ257" s="111"/>
      <c r="EK257" s="111"/>
      <c r="EL257" s="124"/>
      <c r="EM257" s="124"/>
      <c r="EN257" s="124"/>
      <c r="EP257" s="111"/>
      <c r="EQ257" s="124"/>
      <c r="ER257" s="124"/>
      <c r="ES257" s="124"/>
      <c r="EV257" s="111"/>
      <c r="EW257" s="111"/>
      <c r="EX257" s="111"/>
      <c r="EY257" s="111"/>
      <c r="EZ257" s="124"/>
      <c r="FA257" s="124"/>
      <c r="FD257" s="111"/>
      <c r="FE257" s="111"/>
      <c r="FF257" s="111"/>
      <c r="FG257" s="124"/>
      <c r="FH257" s="124"/>
      <c r="FK257" s="124"/>
      <c r="FL257" s="124"/>
      <c r="FO257" s="111">
        <v>16450.350000000002</v>
      </c>
      <c r="FP257" s="111">
        <v>14640.850000000002</v>
      </c>
      <c r="FQ257" s="124">
        <v>54898.200000000004</v>
      </c>
      <c r="FR257" s="124">
        <v>60388.020000000011</v>
      </c>
      <c r="FU257" s="111">
        <v>13646.520000000004</v>
      </c>
      <c r="FV257" s="124">
        <v>53852.520000000004</v>
      </c>
      <c r="FW257" s="124">
        <v>45774.642</v>
      </c>
      <c r="FX257" s="124">
        <v>50352.106200000002</v>
      </c>
      <c r="FY257" s="124">
        <v>55387.316820000007</v>
      </c>
      <c r="GA257" s="124">
        <v>43650.049999999996</v>
      </c>
      <c r="GB257" s="124">
        <v>48015.055</v>
      </c>
      <c r="GC257" s="124">
        <v>52816.560500000007</v>
      </c>
      <c r="GF257" s="111"/>
      <c r="GG257" s="111"/>
      <c r="GH257" s="111"/>
      <c r="GI257" s="124">
        <v>46217.700000000004</v>
      </c>
      <c r="GJ257" s="124">
        <v>50839.470000000008</v>
      </c>
      <c r="GK257" s="124">
        <v>55923.417000000016</v>
      </c>
      <c r="GN257" s="111"/>
      <c r="GO257" s="111"/>
      <c r="GP257" s="124">
        <v>49812.409999999996</v>
      </c>
      <c r="GQ257" s="124">
        <v>54793.650999999998</v>
      </c>
      <c r="GR257" s="124">
        <v>60273.016100000001</v>
      </c>
      <c r="GV257" s="111">
        <v>14714.650000000001</v>
      </c>
      <c r="GW257" s="124">
        <v>53920.65</v>
      </c>
      <c r="GX257" s="124">
        <v>59312.715000000004</v>
      </c>
      <c r="GY257" s="124">
        <v>68209.62225</v>
      </c>
      <c r="HC257" s="124">
        <v>17058.650000000001</v>
      </c>
      <c r="HD257" s="124">
        <v>57574.65</v>
      </c>
      <c r="HE257" s="124">
        <v>67938.087</v>
      </c>
      <c r="HF257" s="124">
        <v>74731.895700000008</v>
      </c>
      <c r="HI257" s="111">
        <v>13607.759999999998</v>
      </c>
      <c r="HJ257" s="111">
        <v>14620.199999999999</v>
      </c>
      <c r="HK257" s="111">
        <v>19580.919999999998</v>
      </c>
      <c r="HL257" s="111">
        <v>15494.580000000002</v>
      </c>
      <c r="HM257" s="124">
        <v>63303.46</v>
      </c>
      <c r="HN257" s="124">
        <v>69633.806000000011</v>
      </c>
      <c r="HO257" s="124">
        <v>76597.186600000015</v>
      </c>
      <c r="HR257" s="111">
        <v>14620.199999999999</v>
      </c>
      <c r="HS257" s="111">
        <v>19580.919999999998</v>
      </c>
      <c r="HT257" s="111">
        <v>16236.340000000004</v>
      </c>
      <c r="HU257" s="124">
        <v>63303.46</v>
      </c>
      <c r="HV257" s="124">
        <v>69633.806000000011</v>
      </c>
      <c r="HW257" s="124">
        <v>76597.186600000015</v>
      </c>
      <c r="HZ257" s="111">
        <v>19580.919999999998</v>
      </c>
      <c r="IA257" s="124">
        <v>63911.159999999996</v>
      </c>
      <c r="IB257" s="124">
        <v>70302.275999999998</v>
      </c>
      <c r="IC257" s="124">
        <v>77332.503600000011</v>
      </c>
      <c r="IE257" s="111">
        <v>16160.100000000006</v>
      </c>
      <c r="IF257" s="124">
        <v>56870.100000000006</v>
      </c>
      <c r="IG257" s="124">
        <v>62557.110000000008</v>
      </c>
      <c r="IH257" s="124">
        <v>68812.821000000011</v>
      </c>
      <c r="IK257" s="124">
        <v>62557.110000000008</v>
      </c>
      <c r="IL257" s="124">
        <v>68812.821000000011</v>
      </c>
      <c r="IO257" s="124">
        <v>64547.979999999996</v>
      </c>
      <c r="IP257" s="124">
        <v>71002.778000000006</v>
      </c>
      <c r="IS257" s="160">
        <v>63676.800000000003</v>
      </c>
      <c r="IT257" s="160">
        <v>70044.48000000001</v>
      </c>
      <c r="IU257" s="160">
        <v>77048.928000000014</v>
      </c>
      <c r="IX257" s="124">
        <v>18922.299999999996</v>
      </c>
      <c r="IY257" s="124">
        <v>62378.299999999996</v>
      </c>
      <c r="IZ257" s="124">
        <v>68616.13</v>
      </c>
      <c r="JA257" s="124">
        <v>75477.743000000017</v>
      </c>
      <c r="JD257" s="124">
        <v>64357.700000000004</v>
      </c>
      <c r="JE257" s="124">
        <v>73367.77800000002</v>
      </c>
      <c r="JH257" s="124">
        <v>62602.490000000005</v>
      </c>
      <c r="JI257" s="124">
        <v>71366.838600000017</v>
      </c>
      <c r="JJ257" s="124">
        <v>79930.859232000032</v>
      </c>
      <c r="JM257" s="124">
        <v>76035.697200000024</v>
      </c>
      <c r="JN257" s="124">
        <v>85159.980864000041</v>
      </c>
      <c r="JQ257" s="124">
        <v>64357.700000000004</v>
      </c>
      <c r="JR257" s="124">
        <v>73367.77800000002</v>
      </c>
      <c r="JS257" s="124">
        <v>82171.911360000027</v>
      </c>
      <c r="JV257" s="124">
        <v>69946.98000000001</v>
      </c>
      <c r="JW257" s="124">
        <v>78340.617600000012</v>
      </c>
      <c r="JY257" s="124">
        <v>69946.98000000001</v>
      </c>
      <c r="JZ257" s="124">
        <v>78340.617600000012</v>
      </c>
      <c r="KB257" s="124">
        <v>64424.850000000006</v>
      </c>
      <c r="KC257" s="124">
        <v>70867.335000000006</v>
      </c>
      <c r="KD257" s="124">
        <v>77954.068500000008</v>
      </c>
    </row>
    <row r="258" spans="2:290" x14ac:dyDescent="0.25">
      <c r="B258" s="11" t="s">
        <v>224</v>
      </c>
      <c r="C258" s="23"/>
      <c r="D258" s="23"/>
      <c r="E258" s="23"/>
      <c r="F258" s="23"/>
      <c r="G258" s="23"/>
      <c r="H258" s="197"/>
      <c r="I258" s="198"/>
      <c r="J258" s="198"/>
      <c r="K258" s="198"/>
      <c r="L258" s="198"/>
      <c r="M258" s="197"/>
      <c r="N258" s="198"/>
      <c r="O258" s="198"/>
      <c r="P258" s="198"/>
      <c r="Q258" s="198"/>
      <c r="R258" s="197"/>
      <c r="S258" s="198"/>
      <c r="T258" s="198"/>
      <c r="U258" s="198"/>
      <c r="V258" s="198"/>
      <c r="W258" s="197"/>
      <c r="X258" s="198"/>
      <c r="Y258" s="198"/>
      <c r="Z258" s="198"/>
      <c r="AA258" s="198"/>
      <c r="AB258" s="197"/>
      <c r="AC258" s="198"/>
      <c r="AD258" s="198"/>
      <c r="AE258" s="198"/>
      <c r="AF258" s="198"/>
      <c r="AG258" s="197"/>
      <c r="AH258" s="198"/>
      <c r="AI258" s="198"/>
      <c r="AJ258" s="198"/>
      <c r="AK258" s="197"/>
      <c r="AL258" s="198"/>
      <c r="AM258" s="198"/>
      <c r="AN258" s="198"/>
      <c r="AO258" s="198"/>
      <c r="AP258" s="197"/>
      <c r="AQ258" s="198"/>
      <c r="AR258" s="198"/>
      <c r="AS258" s="198"/>
      <c r="AT258" s="198"/>
      <c r="AU258" s="197"/>
      <c r="AV258" s="199"/>
      <c r="AW258" s="199"/>
      <c r="AX258" s="199"/>
      <c r="AY258" s="199"/>
      <c r="AZ258" s="197"/>
      <c r="BA258" s="199"/>
      <c r="BB258" s="199"/>
      <c r="BC258" s="199"/>
      <c r="BD258" s="199"/>
      <c r="BE258" s="197"/>
      <c r="BF258" s="199"/>
      <c r="BG258" s="199"/>
      <c r="BH258" s="199"/>
      <c r="BI258" s="199"/>
      <c r="BJ258" s="42">
        <f>BJ249/BJ232</f>
        <v>0.58018867924528306</v>
      </c>
      <c r="BK258" s="199"/>
      <c r="BL258" s="199"/>
      <c r="BM258" s="199"/>
      <c r="BN258" s="199"/>
      <c r="BO258" s="42">
        <f>BO249/BO232</f>
        <v>0.6194222336858396</v>
      </c>
      <c r="BP258" s="199"/>
      <c r="BQ258" s="199"/>
      <c r="BR258" s="199"/>
      <c r="BS258" s="199"/>
      <c r="BT258" s="42">
        <f>BT249/BT232</f>
        <v>0.69544703939608399</v>
      </c>
      <c r="BU258" s="199"/>
      <c r="BV258" s="199"/>
      <c r="BW258" s="199"/>
      <c r="BX258" s="199"/>
      <c r="BY258" s="42">
        <f>BY249/BY232</f>
        <v>0.68817777777777778</v>
      </c>
      <c r="BZ258" s="199"/>
      <c r="CA258" s="199"/>
      <c r="CB258" s="199"/>
      <c r="CC258" s="199"/>
      <c r="CD258" s="42">
        <f>CD249/CD232</f>
        <v>0.70659630606860158</v>
      </c>
      <c r="CE258" s="199"/>
      <c r="CF258" s="199"/>
      <c r="CG258" s="199"/>
      <c r="CH258" s="199"/>
      <c r="CI258" s="42">
        <f t="shared" si="355"/>
        <v>0.66236870057830755</v>
      </c>
      <c r="CJ258" s="42">
        <f t="shared" si="355"/>
        <v>0.63320991081342459</v>
      </c>
      <c r="CK258" s="42">
        <f t="shared" si="355"/>
        <v>0.63637823974082075</v>
      </c>
      <c r="CL258" s="42">
        <f t="shared" si="355"/>
        <v>0.63303287836685729</v>
      </c>
      <c r="CM258" s="42">
        <f t="shared" si="355"/>
        <v>0.63365388752963225</v>
      </c>
      <c r="CN258" s="42">
        <f t="shared" si="355"/>
        <v>0.63768919953202996</v>
      </c>
      <c r="CO258" s="74"/>
      <c r="CP258" s="74"/>
      <c r="CQ258" s="6"/>
      <c r="CR258" s="6"/>
      <c r="CS258" s="6"/>
      <c r="CT258" s="124"/>
      <c r="CU258" s="124"/>
      <c r="CV258" s="124"/>
      <c r="CW258" s="124"/>
      <c r="CX258" s="124"/>
      <c r="CY258" s="124"/>
      <c r="CZ258" s="124"/>
      <c r="DA258" s="124"/>
      <c r="DB258" s="124"/>
      <c r="DC258" s="124"/>
      <c r="DD258" s="124"/>
      <c r="DE258" s="124"/>
      <c r="DF258" s="124"/>
      <c r="DG258" s="124"/>
      <c r="DH258" s="124"/>
      <c r="DI258" s="124"/>
      <c r="DK258" s="124"/>
      <c r="DL258" s="124"/>
      <c r="DM258" s="6"/>
      <c r="DN258" s="124"/>
      <c r="DO258" s="124"/>
      <c r="DQ258" s="136"/>
      <c r="DR258" s="124"/>
      <c r="DS258" s="124"/>
      <c r="DT258" s="124"/>
      <c r="DV258" s="124"/>
      <c r="DW258" s="124"/>
      <c r="DX258" s="124"/>
      <c r="EA258" s="111"/>
      <c r="EB258" s="111"/>
      <c r="EC258" s="111"/>
      <c r="ED258" s="124"/>
      <c r="EE258" s="124"/>
      <c r="EF258" s="124"/>
      <c r="EJ258" s="111"/>
      <c r="EK258" s="111"/>
      <c r="EL258" s="124"/>
      <c r="EM258" s="124"/>
      <c r="EN258" s="124"/>
      <c r="EP258" s="111"/>
      <c r="EQ258" s="124"/>
      <c r="ER258" s="124"/>
      <c r="ES258" s="124"/>
      <c r="EV258" s="111"/>
      <c r="EW258" s="111"/>
      <c r="EX258" s="111"/>
      <c r="EY258" s="111"/>
      <c r="EZ258" s="124"/>
      <c r="FA258" s="124"/>
      <c r="FD258" s="111"/>
      <c r="FE258" s="111"/>
      <c r="FF258" s="111"/>
      <c r="FG258" s="124"/>
      <c r="FH258" s="124"/>
      <c r="FK258" s="124"/>
      <c r="FL258" s="124"/>
      <c r="FO258" s="111">
        <v>9885</v>
      </c>
      <c r="FP258" s="111">
        <v>12089.849999999999</v>
      </c>
      <c r="FQ258" s="124">
        <v>42296.85</v>
      </c>
      <c r="FR258" s="124">
        <v>45257.629500000003</v>
      </c>
      <c r="FU258" s="111">
        <v>10057.239999999998</v>
      </c>
      <c r="FV258" s="124">
        <v>39180.239999999998</v>
      </c>
      <c r="FW258" s="124">
        <v>33303.203999999998</v>
      </c>
      <c r="FX258" s="124">
        <v>35634.42828</v>
      </c>
      <c r="FY258" s="124">
        <v>38128.838259600001</v>
      </c>
      <c r="GA258" s="124">
        <v>27031.899999999998</v>
      </c>
      <c r="GB258" s="124">
        <v>28924.132999999998</v>
      </c>
      <c r="GC258" s="124">
        <v>30948.82231</v>
      </c>
      <c r="GF258" s="111"/>
      <c r="GG258" s="111"/>
      <c r="GH258" s="111"/>
      <c r="GI258" s="124">
        <v>28962.75</v>
      </c>
      <c r="GJ258" s="124">
        <v>30990.142500000002</v>
      </c>
      <c r="GK258" s="124">
        <v>33159.452475000006</v>
      </c>
      <c r="GN258" s="111"/>
      <c r="GO258" s="111"/>
      <c r="GP258" s="124">
        <v>34755.300000000003</v>
      </c>
      <c r="GQ258" s="124">
        <v>37188.171000000002</v>
      </c>
      <c r="GR258" s="124">
        <v>39791.342970000005</v>
      </c>
      <c r="GV258" s="111">
        <v>13227.020000000004</v>
      </c>
      <c r="GW258" s="124">
        <v>40934.020000000004</v>
      </c>
      <c r="GX258" s="124">
        <v>45846.102400000011</v>
      </c>
      <c r="GY258" s="124">
        <v>52723.01776000001</v>
      </c>
      <c r="HC258" s="124">
        <v>12886.649999999994</v>
      </c>
      <c r="HD258" s="124">
        <v>47668.649999999994</v>
      </c>
      <c r="HE258" s="124">
        <v>54818.947499999987</v>
      </c>
      <c r="HF258" s="124">
        <v>60300.842249999994</v>
      </c>
      <c r="HI258" s="111">
        <v>10938.8</v>
      </c>
      <c r="HJ258" s="111">
        <v>14840.749999999998</v>
      </c>
      <c r="HK258" s="111">
        <v>14219.749999999998</v>
      </c>
      <c r="HL258" s="111">
        <v>15827.449999999999</v>
      </c>
      <c r="HM258" s="124">
        <v>55826.749999999993</v>
      </c>
      <c r="HN258" s="124">
        <v>61409.424999999996</v>
      </c>
      <c r="HO258" s="124">
        <v>67550.367500000008</v>
      </c>
      <c r="HR258" s="111">
        <v>14840.749999999998</v>
      </c>
      <c r="HS258" s="111">
        <v>14219.749999999998</v>
      </c>
      <c r="HT258" s="111">
        <v>13865.249999999995</v>
      </c>
      <c r="HU258" s="124">
        <v>55826.749999999993</v>
      </c>
      <c r="HV258" s="124">
        <v>61409.424999999996</v>
      </c>
      <c r="HW258" s="124">
        <v>67550.367500000008</v>
      </c>
      <c r="HZ258" s="111">
        <v>14219.749999999998</v>
      </c>
      <c r="IA258" s="124">
        <v>55234.499999999993</v>
      </c>
      <c r="IB258" s="124">
        <v>60757.95</v>
      </c>
      <c r="IC258" s="124">
        <v>66833.744999999995</v>
      </c>
      <c r="IE258" s="111">
        <v>15184</v>
      </c>
      <c r="IF258" s="124">
        <v>57636</v>
      </c>
      <c r="IG258" s="124">
        <v>63399.600000000006</v>
      </c>
      <c r="IH258" s="124">
        <v>69739.560000000012</v>
      </c>
      <c r="IK258" s="124">
        <v>63399.600000000006</v>
      </c>
      <c r="IL258" s="124">
        <v>69739.560000000012</v>
      </c>
      <c r="IO258" s="124">
        <v>64856.000000000007</v>
      </c>
      <c r="IP258" s="124">
        <v>71341.60000000002</v>
      </c>
      <c r="IS258" s="160">
        <v>19713.240000000002</v>
      </c>
      <c r="IT258" s="160">
        <v>21684.564000000002</v>
      </c>
      <c r="IU258" s="160">
        <v>23853.020400000005</v>
      </c>
      <c r="IX258" s="124">
        <v>18611.800000000003</v>
      </c>
      <c r="IY258" s="124">
        <v>63676.800000000003</v>
      </c>
      <c r="IZ258" s="124">
        <v>70044.48000000001</v>
      </c>
      <c r="JA258" s="124">
        <v>77048.928000000014</v>
      </c>
      <c r="JD258" s="124">
        <v>68129.600000000006</v>
      </c>
      <c r="JE258" s="124">
        <v>76305.152000000016</v>
      </c>
      <c r="JH258" s="124">
        <v>66271.520000000004</v>
      </c>
      <c r="JI258" s="124">
        <v>74224.102400000018</v>
      </c>
      <c r="JJ258" s="124">
        <v>83130.994688000035</v>
      </c>
      <c r="JM258" s="124">
        <v>74224.102400000018</v>
      </c>
      <c r="JN258" s="124">
        <v>83130.994688000035</v>
      </c>
      <c r="JQ258" s="124">
        <v>64413.440000000002</v>
      </c>
      <c r="JR258" s="124">
        <v>70854.784000000014</v>
      </c>
      <c r="JS258" s="124">
        <v>77940.262400000021</v>
      </c>
      <c r="JV258" s="124">
        <v>70699.200000000012</v>
      </c>
      <c r="JW258" s="124">
        <v>77769.120000000024</v>
      </c>
      <c r="JY258" s="124">
        <v>70699.200000000012</v>
      </c>
      <c r="JZ258" s="124">
        <v>77769.120000000024</v>
      </c>
      <c r="KB258" s="124">
        <v>64272</v>
      </c>
      <c r="KC258" s="124">
        <v>68771.040000000008</v>
      </c>
      <c r="KD258" s="124">
        <v>73585.012800000011</v>
      </c>
    </row>
    <row r="259" spans="2:290" x14ac:dyDescent="0.25">
      <c r="B259" s="11" t="s">
        <v>225</v>
      </c>
      <c r="C259" s="23"/>
      <c r="D259" s="23"/>
      <c r="E259" s="23"/>
      <c r="F259" s="23"/>
      <c r="G259" s="23"/>
      <c r="H259" s="197"/>
      <c r="I259" s="198"/>
      <c r="J259" s="198"/>
      <c r="K259" s="198"/>
      <c r="L259" s="198"/>
      <c r="M259" s="197"/>
      <c r="N259" s="198"/>
      <c r="O259" s="198"/>
      <c r="P259" s="198"/>
      <c r="Q259" s="198"/>
      <c r="R259" s="197"/>
      <c r="S259" s="198"/>
      <c r="T259" s="198"/>
      <c r="U259" s="198"/>
      <c r="V259" s="198"/>
      <c r="W259" s="197"/>
      <c r="X259" s="198"/>
      <c r="Y259" s="198"/>
      <c r="Z259" s="198"/>
      <c r="AA259" s="198"/>
      <c r="AB259" s="197"/>
      <c r="AC259" s="198"/>
      <c r="AD259" s="198"/>
      <c r="AE259" s="198"/>
      <c r="AF259" s="198"/>
      <c r="AG259" s="197"/>
      <c r="AH259" s="198"/>
      <c r="AI259" s="198"/>
      <c r="AJ259" s="198"/>
      <c r="AK259" s="197"/>
      <c r="AL259" s="198"/>
      <c r="AM259" s="198"/>
      <c r="AN259" s="198"/>
      <c r="AO259" s="198"/>
      <c r="AP259" s="197"/>
      <c r="AQ259" s="198"/>
      <c r="AR259" s="198"/>
      <c r="AS259" s="198"/>
      <c r="AT259" s="198"/>
      <c r="AU259" s="197"/>
      <c r="AV259" s="199"/>
      <c r="AW259" s="199"/>
      <c r="AX259" s="199"/>
      <c r="AY259" s="199"/>
      <c r="AZ259" s="197"/>
      <c r="BA259" s="199"/>
      <c r="BB259" s="199"/>
      <c r="BC259" s="199"/>
      <c r="BD259" s="199"/>
      <c r="BE259" s="197"/>
      <c r="BF259" s="199"/>
      <c r="BG259" s="199"/>
      <c r="BH259" s="199"/>
      <c r="BI259" s="199"/>
      <c r="BJ259" s="42">
        <f>BJ250/BJ233</f>
        <v>0.60376618281679095</v>
      </c>
      <c r="BK259" s="199"/>
      <c r="BL259" s="199"/>
      <c r="BM259" s="199"/>
      <c r="BN259" s="199"/>
      <c r="BO259" s="42">
        <f>BO250/BO233</f>
        <v>0.56838945445053513</v>
      </c>
      <c r="BP259" s="199"/>
      <c r="BQ259" s="199"/>
      <c r="BR259" s="199"/>
      <c r="BS259" s="199"/>
      <c r="BT259" s="42">
        <f>BT250/BT233</f>
        <v>0.62854683195592287</v>
      </c>
      <c r="BU259" s="199"/>
      <c r="BV259" s="199"/>
      <c r="BW259" s="199"/>
      <c r="BX259" s="199"/>
      <c r="BY259" s="42">
        <f>BY250/BY233</f>
        <v>0.62609739368998629</v>
      </c>
      <c r="BZ259" s="199"/>
      <c r="CA259" s="199"/>
      <c r="CB259" s="199"/>
      <c r="CC259" s="199"/>
      <c r="CD259" s="42">
        <f>CD250/CD233</f>
        <v>0.64444444444444449</v>
      </c>
      <c r="CE259" s="199"/>
      <c r="CF259" s="199"/>
      <c r="CG259" s="199"/>
      <c r="CH259" s="199"/>
      <c r="CI259" s="42">
        <f t="shared" si="355"/>
        <v>0.66497844827586206</v>
      </c>
      <c r="CJ259" s="42">
        <f t="shared" si="355"/>
        <v>0.69822737068965524</v>
      </c>
      <c r="CK259" s="42">
        <f t="shared" si="355"/>
        <v>0.62151591047503052</v>
      </c>
      <c r="CL259" s="42">
        <f t="shared" si="355"/>
        <v>0.65259170599878213</v>
      </c>
      <c r="CM259" s="42">
        <f t="shared" si="355"/>
        <v>0.59467936591569792</v>
      </c>
      <c r="CN259" s="42">
        <f t="shared" ca="1" si="355"/>
        <v>0.62441333421148282</v>
      </c>
      <c r="CO259" s="74"/>
      <c r="CP259" s="74"/>
      <c r="CQ259" s="6"/>
      <c r="CR259" s="6"/>
      <c r="CS259" s="6"/>
      <c r="CT259" s="124"/>
      <c r="CU259" s="124"/>
      <c r="CV259" s="124"/>
      <c r="CW259" s="124"/>
      <c r="CX259" s="124"/>
      <c r="CY259" s="124"/>
      <c r="CZ259" s="124"/>
      <c r="DA259" s="124"/>
      <c r="DB259" s="124"/>
      <c r="DC259" s="124"/>
      <c r="DD259" s="124"/>
      <c r="DE259" s="124"/>
      <c r="DF259" s="124"/>
      <c r="DG259" s="124"/>
      <c r="DH259" s="124"/>
      <c r="DI259" s="124"/>
      <c r="DK259" s="124"/>
      <c r="DL259" s="124"/>
      <c r="DM259" s="6"/>
      <c r="DN259" s="124"/>
      <c r="DO259" s="124"/>
      <c r="DQ259" s="136"/>
      <c r="DR259" s="124"/>
      <c r="DS259" s="124"/>
      <c r="DT259" s="124"/>
      <c r="DV259" s="124"/>
      <c r="DW259" s="124"/>
      <c r="DX259" s="124"/>
      <c r="EA259" s="111"/>
      <c r="EB259" s="111"/>
      <c r="EC259" s="111"/>
      <c r="ED259" s="124"/>
      <c r="EE259" s="124"/>
      <c r="EF259" s="124"/>
      <c r="EJ259" s="111"/>
      <c r="EK259" s="111"/>
      <c r="EL259" s="124"/>
      <c r="EM259" s="124"/>
      <c r="EN259" s="124"/>
      <c r="EP259" s="111"/>
      <c r="EQ259" s="124"/>
      <c r="ER259" s="124"/>
      <c r="ES259" s="124"/>
      <c r="EV259" s="111"/>
      <c r="EW259" s="111"/>
      <c r="EX259" s="111"/>
      <c r="EY259" s="111"/>
      <c r="EZ259" s="124"/>
      <c r="FA259" s="124"/>
      <c r="FD259" s="111"/>
      <c r="FE259" s="111"/>
      <c r="FF259" s="111"/>
      <c r="FG259" s="124"/>
      <c r="FH259" s="124"/>
      <c r="FK259" s="124"/>
      <c r="FL259" s="124"/>
      <c r="FO259" s="111">
        <v>5512.08</v>
      </c>
      <c r="FP259" s="111">
        <v>6785.76</v>
      </c>
      <c r="FQ259" s="124">
        <v>22070.84</v>
      </c>
      <c r="FR259" s="124">
        <v>23836.5072</v>
      </c>
      <c r="FU259" s="111">
        <v>5250.16</v>
      </c>
      <c r="FV259" s="124">
        <v>20785.16</v>
      </c>
      <c r="FW259" s="124">
        <v>16628.128000000001</v>
      </c>
      <c r="FX259" s="124">
        <v>17958.378240000002</v>
      </c>
      <c r="FY259" s="124">
        <v>19395.048499200002</v>
      </c>
      <c r="GA259" s="124">
        <v>13506.35</v>
      </c>
      <c r="GB259" s="124">
        <v>14586.858000000002</v>
      </c>
      <c r="GC259" s="124">
        <v>15753.806640000003</v>
      </c>
      <c r="GF259" s="111"/>
      <c r="GG259" s="111"/>
      <c r="GH259" s="111"/>
      <c r="GI259" s="124">
        <v>18701.100000000002</v>
      </c>
      <c r="GJ259" s="124">
        <v>20197.188000000002</v>
      </c>
      <c r="GK259" s="124">
        <v>21812.963040000002</v>
      </c>
      <c r="GN259" s="111"/>
      <c r="GO259" s="111"/>
      <c r="GP259" s="124">
        <v>19740.05</v>
      </c>
      <c r="GQ259" s="124">
        <v>21319.254000000001</v>
      </c>
      <c r="GR259" s="124">
        <v>23024.794320000001</v>
      </c>
      <c r="GV259" s="111">
        <v>7142.0499999999993</v>
      </c>
      <c r="GW259" s="124">
        <v>19740.05</v>
      </c>
      <c r="GX259" s="124">
        <v>21319.254000000001</v>
      </c>
      <c r="GY259" s="124">
        <v>23024.794320000001</v>
      </c>
      <c r="HC259" s="124">
        <v>7177.4000000000015</v>
      </c>
      <c r="HD259" s="124">
        <v>19391.400000000001</v>
      </c>
      <c r="HE259" s="124">
        <v>20942.712000000003</v>
      </c>
      <c r="HF259" s="124">
        <v>23036.983200000006</v>
      </c>
      <c r="HI259" s="111">
        <v>2277.7200000000003</v>
      </c>
      <c r="HJ259" s="111">
        <v>5289.84</v>
      </c>
      <c r="HK259" s="111">
        <v>5623.56</v>
      </c>
      <c r="HL259" s="111">
        <v>5622.4800000000005</v>
      </c>
      <c r="HM259" s="124">
        <v>18813.600000000002</v>
      </c>
      <c r="HN259" s="124">
        <v>20694.960000000003</v>
      </c>
      <c r="HO259" s="124">
        <v>22764.456000000006</v>
      </c>
      <c r="HR259" s="111">
        <v>5289.84</v>
      </c>
      <c r="HS259" s="111">
        <v>5623.56</v>
      </c>
      <c r="HT259" s="111">
        <v>4169.2000000000016</v>
      </c>
      <c r="HU259" s="124">
        <v>18813.600000000002</v>
      </c>
      <c r="HV259" s="124">
        <v>20694.960000000003</v>
      </c>
      <c r="HW259" s="124">
        <v>22764.456000000006</v>
      </c>
      <c r="HZ259" s="111">
        <v>5623.56</v>
      </c>
      <c r="IA259" s="124">
        <v>18813.600000000002</v>
      </c>
      <c r="IB259" s="124">
        <v>20694.960000000003</v>
      </c>
      <c r="IC259" s="124">
        <v>22764.456000000006</v>
      </c>
      <c r="IE259" s="111">
        <v>5119</v>
      </c>
      <c r="IF259" s="124">
        <v>18291</v>
      </c>
      <c r="IG259" s="124">
        <v>20120.100000000002</v>
      </c>
      <c r="IH259" s="124">
        <v>22132.110000000004</v>
      </c>
      <c r="IK259" s="124">
        <v>20120.100000000002</v>
      </c>
      <c r="IL259" s="124">
        <v>22132.110000000004</v>
      </c>
      <c r="IO259" s="124">
        <v>19713.240000000002</v>
      </c>
      <c r="IP259" s="124">
        <v>21684.564000000002</v>
      </c>
      <c r="IS259" s="160"/>
      <c r="IT259" s="160"/>
      <c r="IU259" s="160"/>
      <c r="IX259" s="124">
        <v>6108.2400000000016</v>
      </c>
      <c r="IY259" s="124">
        <v>19713.240000000002</v>
      </c>
      <c r="IZ259" s="124">
        <v>21684.564000000002</v>
      </c>
      <c r="JA259" s="124">
        <v>23853.020400000005</v>
      </c>
      <c r="JD259" s="124">
        <v>20082.7</v>
      </c>
      <c r="JE259" s="124">
        <v>22492.624000000003</v>
      </c>
      <c r="JH259" s="124">
        <v>19534.990000000002</v>
      </c>
      <c r="JI259" s="124">
        <v>21879.188800000004</v>
      </c>
      <c r="JJ259" s="124">
        <v>24504.691456000008</v>
      </c>
      <c r="JM259" s="124">
        <v>20856.7968</v>
      </c>
      <c r="JN259" s="124">
        <v>23359.612416000004</v>
      </c>
      <c r="JQ259" s="124">
        <v>17709.29</v>
      </c>
      <c r="JR259" s="124">
        <v>18948.940300000002</v>
      </c>
      <c r="JS259" s="124">
        <v>20275.366121000003</v>
      </c>
      <c r="JV259" s="124">
        <v>18990.36</v>
      </c>
      <c r="JW259" s="124">
        <v>20319.685200000004</v>
      </c>
      <c r="JY259" s="124">
        <v>18990.36</v>
      </c>
      <c r="JZ259" s="124">
        <v>20319.685200000004</v>
      </c>
      <c r="KB259" s="124">
        <v>18102.96</v>
      </c>
      <c r="KC259" s="124">
        <v>19370.1672</v>
      </c>
      <c r="KD259" s="124">
        <v>20726.078904000002</v>
      </c>
    </row>
    <row r="260" spans="2:290" x14ac:dyDescent="0.25">
      <c r="B260" s="11" t="s">
        <v>226</v>
      </c>
      <c r="C260" s="23"/>
      <c r="D260" s="23"/>
      <c r="E260" s="23"/>
      <c r="F260" s="23"/>
      <c r="G260" s="23"/>
      <c r="H260" s="197"/>
      <c r="I260" s="198"/>
      <c r="J260" s="198"/>
      <c r="K260" s="198"/>
      <c r="L260" s="198"/>
      <c r="M260" s="197"/>
      <c r="N260" s="198"/>
      <c r="O260" s="198"/>
      <c r="P260" s="198"/>
      <c r="Q260" s="198"/>
      <c r="R260" s="197"/>
      <c r="S260" s="198"/>
      <c r="T260" s="198"/>
      <c r="U260" s="198"/>
      <c r="V260" s="198"/>
      <c r="W260" s="197"/>
      <c r="X260" s="198"/>
      <c r="Y260" s="198"/>
      <c r="Z260" s="198"/>
      <c r="AA260" s="198"/>
      <c r="AB260" s="197"/>
      <c r="AC260" s="198"/>
      <c r="AD260" s="198"/>
      <c r="AE260" s="198"/>
      <c r="AF260" s="198"/>
      <c r="AG260" s="197"/>
      <c r="AH260" s="198"/>
      <c r="AI260" s="198"/>
      <c r="AJ260" s="198"/>
      <c r="AK260" s="197"/>
      <c r="AL260" s="198"/>
      <c r="AM260" s="198"/>
      <c r="AN260" s="198"/>
      <c r="AO260" s="198"/>
      <c r="AP260" s="197"/>
      <c r="AQ260" s="198"/>
      <c r="AR260" s="198"/>
      <c r="AS260" s="198"/>
      <c r="AT260" s="198"/>
      <c r="AU260" s="197"/>
      <c r="AV260" s="199"/>
      <c r="AW260" s="199"/>
      <c r="AX260" s="199"/>
      <c r="AY260" s="199"/>
      <c r="AZ260" s="197"/>
      <c r="BA260" s="199"/>
      <c r="BB260" s="199"/>
      <c r="BC260" s="199"/>
      <c r="BD260" s="199"/>
      <c r="BE260" s="197"/>
      <c r="BF260" s="199"/>
      <c r="BG260" s="199"/>
      <c r="BH260" s="199"/>
      <c r="BI260" s="199"/>
      <c r="BJ260" s="42"/>
      <c r="BK260" s="199"/>
      <c r="BL260" s="199"/>
      <c r="BM260" s="199"/>
      <c r="BN260" s="199"/>
      <c r="BO260" s="42"/>
      <c r="BP260" s="199"/>
      <c r="BQ260" s="199"/>
      <c r="BR260" s="199"/>
      <c r="BS260" s="199"/>
      <c r="BT260" s="42"/>
      <c r="BU260" s="199"/>
      <c r="BV260" s="199"/>
      <c r="BW260" s="199"/>
      <c r="BX260" s="199"/>
      <c r="BY260" s="42"/>
      <c r="BZ260" s="199"/>
      <c r="CA260" s="199"/>
      <c r="CB260" s="199"/>
      <c r="CC260" s="199"/>
      <c r="CD260" s="42"/>
      <c r="CE260" s="199"/>
      <c r="CF260" s="199"/>
      <c r="CG260" s="199"/>
      <c r="CH260" s="199"/>
      <c r="CI260" s="42"/>
      <c r="CJ260" s="42"/>
      <c r="CK260" s="42"/>
      <c r="CL260" s="42">
        <f t="shared" ref="CL260:CN260" si="356">CL251/CL234</f>
        <v>0</v>
      </c>
      <c r="CM260" s="42">
        <f t="shared" si="356"/>
        <v>0</v>
      </c>
      <c r="CN260" s="42">
        <f t="shared" ca="1" si="356"/>
        <v>0</v>
      </c>
      <c r="CO260" s="74"/>
      <c r="CP260" s="74"/>
      <c r="CQ260" s="6"/>
      <c r="CR260" s="6"/>
      <c r="CS260" s="6"/>
      <c r="CT260" s="124"/>
      <c r="CU260" s="124"/>
      <c r="CV260" s="124"/>
      <c r="CW260" s="124"/>
      <c r="CX260" s="124"/>
      <c r="CY260" s="124"/>
      <c r="CZ260" s="124"/>
      <c r="DA260" s="124"/>
      <c r="DB260" s="124"/>
      <c r="DC260" s="124"/>
      <c r="DD260" s="124"/>
      <c r="DE260" s="124"/>
      <c r="DF260" s="124"/>
      <c r="DG260" s="124"/>
      <c r="DH260" s="124"/>
      <c r="DI260" s="124"/>
      <c r="DK260" s="124"/>
      <c r="DL260" s="124"/>
      <c r="DM260" s="6"/>
      <c r="DN260" s="124"/>
      <c r="DO260" s="124"/>
      <c r="DQ260" s="136"/>
      <c r="DR260" s="124"/>
      <c r="DS260" s="124"/>
      <c r="DT260" s="124"/>
      <c r="DV260" s="124"/>
      <c r="DW260" s="124"/>
      <c r="DX260" s="124"/>
      <c r="EA260" s="111"/>
      <c r="EB260" s="111"/>
      <c r="EC260" s="111"/>
      <c r="ED260" s="124"/>
      <c r="EE260" s="124"/>
      <c r="EF260" s="124"/>
      <c r="EJ260" s="111"/>
      <c r="EK260" s="111"/>
      <c r="EL260" s="124"/>
      <c r="EM260" s="124"/>
      <c r="EN260" s="124"/>
      <c r="EP260" s="111"/>
      <c r="EQ260" s="124"/>
      <c r="ER260" s="124"/>
      <c r="ES260" s="124"/>
      <c r="EV260" s="111"/>
      <c r="EW260" s="111"/>
      <c r="EX260" s="111"/>
      <c r="EY260" s="111"/>
      <c r="EZ260" s="124"/>
      <c r="FA260" s="124"/>
      <c r="FD260" s="111"/>
      <c r="FE260" s="111"/>
      <c r="FF260" s="111"/>
      <c r="FG260" s="124"/>
      <c r="FH260" s="124"/>
      <c r="FK260" s="124"/>
      <c r="FL260" s="124"/>
      <c r="FO260" s="111"/>
      <c r="FP260" s="111"/>
      <c r="FQ260" s="124"/>
      <c r="FR260" s="124"/>
      <c r="FU260" s="111"/>
      <c r="FV260" s="124"/>
      <c r="FW260" s="124"/>
      <c r="FX260" s="124"/>
      <c r="FY260" s="124"/>
      <c r="GA260" s="124"/>
      <c r="GB260" s="124"/>
      <c r="GC260" s="124"/>
      <c r="GF260" s="111"/>
      <c r="GG260" s="111"/>
      <c r="GH260" s="111"/>
      <c r="GI260" s="124"/>
      <c r="GJ260" s="124"/>
      <c r="GK260" s="124"/>
      <c r="GN260" s="111"/>
      <c r="GO260" s="111"/>
      <c r="GP260" s="124"/>
      <c r="GQ260" s="124"/>
      <c r="GR260" s="124"/>
      <c r="GV260" s="111"/>
      <c r="GW260" s="124"/>
      <c r="GX260" s="124"/>
      <c r="GY260" s="124"/>
      <c r="HC260" s="124"/>
      <c r="HD260" s="124"/>
      <c r="HE260" s="124"/>
      <c r="HF260" s="124"/>
      <c r="HI260" s="111"/>
      <c r="HJ260" s="111"/>
      <c r="HK260" s="111"/>
      <c r="HL260" s="111"/>
      <c r="HM260" s="124"/>
      <c r="HN260" s="124"/>
      <c r="HO260" s="124"/>
      <c r="HR260" s="111"/>
      <c r="HS260" s="111"/>
      <c r="HT260" s="111"/>
      <c r="HU260" s="124"/>
      <c r="HV260" s="124"/>
      <c r="HW260" s="124"/>
      <c r="HZ260" s="111"/>
      <c r="IA260" s="124"/>
      <c r="IB260" s="124"/>
      <c r="IC260" s="124"/>
      <c r="IE260" s="111"/>
      <c r="IF260" s="124"/>
      <c r="IG260" s="124"/>
      <c r="IH260" s="124"/>
      <c r="IK260" s="124"/>
      <c r="IL260" s="124"/>
      <c r="IO260" s="124"/>
      <c r="IP260" s="124"/>
      <c r="IS260" s="160"/>
      <c r="IT260" s="160"/>
      <c r="IU260" s="160"/>
      <c r="IX260" s="124"/>
      <c r="IY260" s="124"/>
      <c r="IZ260" s="124"/>
      <c r="JA260" s="124"/>
      <c r="JD260" s="124"/>
      <c r="JE260" s="124"/>
      <c r="JH260" s="124"/>
      <c r="JI260" s="124"/>
      <c r="JJ260" s="124"/>
      <c r="JM260" s="124"/>
      <c r="JN260" s="124"/>
      <c r="JQ260" s="124"/>
      <c r="JR260" s="124"/>
      <c r="JS260" s="124"/>
      <c r="JV260" s="124"/>
      <c r="JW260" s="124"/>
      <c r="JY260" s="124"/>
      <c r="JZ260" s="124"/>
      <c r="KB260" s="124"/>
      <c r="KC260" s="124"/>
      <c r="KD260" s="124"/>
    </row>
    <row r="261" spans="2:290" s="60" customFormat="1" x14ac:dyDescent="0.25">
      <c r="B261" s="34" t="s">
        <v>230</v>
      </c>
      <c r="C261" s="99"/>
      <c r="D261" s="99"/>
      <c r="E261" s="99"/>
      <c r="F261" s="99"/>
      <c r="G261" s="99"/>
      <c r="H261" s="83"/>
      <c r="I261" s="62"/>
      <c r="J261" s="62"/>
      <c r="K261" s="62"/>
      <c r="L261" s="62"/>
      <c r="M261" s="83"/>
      <c r="N261" s="62"/>
      <c r="O261" s="62"/>
      <c r="P261" s="62"/>
      <c r="Q261" s="62"/>
      <c r="R261" s="83"/>
      <c r="S261" s="62"/>
      <c r="T261" s="62"/>
      <c r="U261" s="62"/>
      <c r="V261" s="62"/>
      <c r="W261" s="83"/>
      <c r="X261" s="62"/>
      <c r="Y261" s="62"/>
      <c r="Z261" s="62"/>
      <c r="AA261" s="62"/>
      <c r="AB261" s="83"/>
      <c r="AC261" s="62"/>
      <c r="AD261" s="62"/>
      <c r="AE261" s="62"/>
      <c r="AF261" s="62"/>
      <c r="AG261" s="83"/>
      <c r="AH261" s="62"/>
      <c r="AI261" s="62"/>
      <c r="AJ261" s="62"/>
      <c r="AK261" s="83"/>
      <c r="AL261" s="62"/>
      <c r="AM261" s="62"/>
      <c r="AN261" s="62"/>
      <c r="AO261" s="62"/>
      <c r="AP261" s="83"/>
      <c r="AQ261" s="62"/>
      <c r="AR261" s="62"/>
      <c r="AS261" s="62"/>
      <c r="AT261" s="62"/>
      <c r="AU261" s="83"/>
      <c r="AV261" s="62"/>
      <c r="AW261" s="62"/>
      <c r="AX261" s="62"/>
      <c r="AY261" s="62"/>
      <c r="AZ261" s="83"/>
      <c r="BA261" s="62"/>
      <c r="BB261" s="62"/>
      <c r="BC261" s="62"/>
      <c r="BD261" s="62"/>
      <c r="BE261" s="83"/>
      <c r="BF261" s="62"/>
      <c r="BG261" s="62"/>
      <c r="BH261" s="62"/>
      <c r="BI261" s="62"/>
      <c r="BJ261" s="206">
        <f>BJ252/BJ235</f>
        <v>0.58622270814317223</v>
      </c>
      <c r="BK261" s="62"/>
      <c r="BL261" s="62"/>
      <c r="BM261" s="62"/>
      <c r="BN261" s="62"/>
      <c r="BO261" s="206">
        <f>BO252/BO235</f>
        <v>0.54278918960630229</v>
      </c>
      <c r="BP261" s="62"/>
      <c r="BQ261" s="62"/>
      <c r="BR261" s="62"/>
      <c r="BS261" s="62"/>
      <c r="BT261" s="206">
        <f>BT252/BT235</f>
        <v>0.62769511799157784</v>
      </c>
      <c r="BU261" s="62"/>
      <c r="BV261" s="62"/>
      <c r="BW261" s="62"/>
      <c r="BX261" s="62"/>
      <c r="BY261" s="206">
        <f>BY252/BY235</f>
        <v>0.67195624360555384</v>
      </c>
      <c r="BZ261" s="62"/>
      <c r="CA261" s="62"/>
      <c r="CB261" s="62"/>
      <c r="CC261" s="62"/>
      <c r="CD261" s="206">
        <f>CD252/CD235</f>
        <v>0.61782346173856328</v>
      </c>
      <c r="CE261" s="62"/>
      <c r="CF261" s="62"/>
      <c r="CG261" s="62"/>
      <c r="CH261" s="62"/>
      <c r="CI261" s="206">
        <f t="shared" ref="CI261:CN261" si="357">CI252/CI235</f>
        <v>0.60653759357664938</v>
      </c>
      <c r="CJ261" s="206">
        <f t="shared" si="357"/>
        <v>0.61785861422874955</v>
      </c>
      <c r="CK261" s="206">
        <f t="shared" si="357"/>
        <v>0.637794890132513</v>
      </c>
      <c r="CL261" s="206">
        <f>CL252/CL235</f>
        <v>0.66467736218823181</v>
      </c>
      <c r="CM261" s="206">
        <f t="shared" si="357"/>
        <v>0.64996034789868617</v>
      </c>
      <c r="CN261" s="206">
        <f t="shared" ca="1" si="357"/>
        <v>0.65400390341506598</v>
      </c>
      <c r="CO261" s="129"/>
      <c r="CP261" s="129"/>
      <c r="CQ261" s="58"/>
      <c r="CR261" s="58"/>
      <c r="CS261" s="58">
        <v>14.31</v>
      </c>
      <c r="CT261" s="143"/>
      <c r="CU261" s="143"/>
      <c r="CV261" s="143"/>
      <c r="CW261" s="143"/>
      <c r="CX261" s="143"/>
      <c r="CY261" s="143"/>
      <c r="CZ261" s="143"/>
      <c r="DA261" s="143"/>
      <c r="DB261" s="143"/>
      <c r="DC261" s="143"/>
      <c r="DD261" s="143"/>
      <c r="DE261" s="143"/>
      <c r="DF261" s="143"/>
      <c r="DG261" s="143"/>
      <c r="DH261" s="143"/>
      <c r="DI261" s="143"/>
      <c r="DK261" s="143"/>
      <c r="DL261" s="143"/>
      <c r="DM261" s="58"/>
      <c r="DN261" s="143"/>
      <c r="DO261" s="143"/>
      <c r="DQ261" s="4"/>
      <c r="DR261" s="143"/>
      <c r="DS261" s="143"/>
      <c r="DT261" s="143"/>
      <c r="DV261" s="143"/>
      <c r="DW261" s="143"/>
      <c r="DX261" s="143"/>
      <c r="EA261" s="119"/>
      <c r="EB261" s="119"/>
      <c r="EC261" s="119"/>
      <c r="ED261" s="143"/>
      <c r="EE261" s="143"/>
      <c r="EF261" s="143"/>
      <c r="EJ261" s="119">
        <v>106410.70000000001</v>
      </c>
      <c r="EK261" s="119">
        <v>118804.90000000002</v>
      </c>
      <c r="EL261" s="143">
        <v>408293.60000000003</v>
      </c>
      <c r="EM261" s="143">
        <v>449122.96000000008</v>
      </c>
      <c r="EN261" s="143">
        <v>494035.25600000011</v>
      </c>
      <c r="EP261" s="119">
        <v>111242.44</v>
      </c>
      <c r="EQ261" s="143">
        <v>395302.44</v>
      </c>
      <c r="ER261" s="143">
        <v>442738.73280000006</v>
      </c>
      <c r="ES261" s="143">
        <v>487012.60608000011</v>
      </c>
      <c r="EV261" s="119">
        <v>113428</v>
      </c>
      <c r="EW261" s="119">
        <v>91490.3</v>
      </c>
      <c r="EX261" s="119">
        <v>111080.20000000001</v>
      </c>
      <c r="EY261" s="119">
        <v>125409.90000000001</v>
      </c>
      <c r="EZ261" s="143">
        <v>437781.30000000005</v>
      </c>
      <c r="FA261" s="143">
        <v>481559.43000000011</v>
      </c>
      <c r="FD261" s="119">
        <v>91490.3</v>
      </c>
      <c r="FE261" s="119">
        <v>111080.20000000001</v>
      </c>
      <c r="FF261" s="119">
        <v>125409.90000000001</v>
      </c>
      <c r="FG261" s="143">
        <v>437781.30000000005</v>
      </c>
      <c r="FH261" s="143">
        <v>481559.43000000011</v>
      </c>
      <c r="FK261" s="143">
        <v>437781.30000000005</v>
      </c>
      <c r="FL261" s="143">
        <v>481559.43000000011</v>
      </c>
      <c r="FO261" s="119">
        <v>108876.03000000001</v>
      </c>
      <c r="FP261" s="119">
        <v>125172.05999999995</v>
      </c>
      <c r="FQ261" s="143">
        <v>440976.08999999997</v>
      </c>
      <c r="FR261" s="143">
        <v>499448.88669999992</v>
      </c>
      <c r="FU261" s="119">
        <v>107624.76000000001</v>
      </c>
      <c r="FV261" s="143">
        <v>415945.76</v>
      </c>
      <c r="FW261" s="143">
        <v>361578.47320000001</v>
      </c>
      <c r="FX261" s="143">
        <v>401722.11182400002</v>
      </c>
      <c r="FY261" s="143">
        <v>446421.66657528013</v>
      </c>
      <c r="GA261" s="143">
        <v>360898.54</v>
      </c>
      <c r="GB261" s="143">
        <v>409742.82199999993</v>
      </c>
      <c r="GC261" s="143">
        <v>455921.97857000004</v>
      </c>
      <c r="GF261" s="119">
        <v>89760</v>
      </c>
      <c r="GG261" s="119">
        <v>101393</v>
      </c>
      <c r="GH261" s="119">
        <v>106034.10999999999</v>
      </c>
      <c r="GI261" s="143">
        <v>388638.11</v>
      </c>
      <c r="GJ261" s="143">
        <v>461629.80370000005</v>
      </c>
      <c r="GK261" s="143">
        <v>513651.19609900005</v>
      </c>
      <c r="GN261" s="119">
        <v>108490.51000000001</v>
      </c>
      <c r="GO261" s="119">
        <v>116317.68999999994</v>
      </c>
      <c r="GP261" s="143">
        <v>411095.19999999995</v>
      </c>
      <c r="GQ261" s="143">
        <v>487581.75280000007</v>
      </c>
      <c r="GR261" s="143">
        <v>542283.51140600012</v>
      </c>
      <c r="GV261" s="119">
        <v>114488</v>
      </c>
      <c r="GW261" s="143">
        <v>412359</v>
      </c>
      <c r="GX261" s="143">
        <v>471884.63620000001</v>
      </c>
      <c r="GY261" s="143">
        <v>541174.98384999996</v>
      </c>
      <c r="HC261" s="143">
        <v>121311.43000000005</v>
      </c>
      <c r="HD261" s="143">
        <v>386612.43000000005</v>
      </c>
      <c r="HE261" s="143">
        <v>448903.80195000005</v>
      </c>
      <c r="HF261" s="143">
        <v>496846.2226995001</v>
      </c>
      <c r="HI261" s="119">
        <v>118505.93</v>
      </c>
      <c r="HJ261" s="119">
        <v>110854.79</v>
      </c>
      <c r="HK261" s="119">
        <v>113780.33</v>
      </c>
      <c r="HL261" s="119">
        <v>134928.56</v>
      </c>
      <c r="HM261" s="143">
        <v>478069.61</v>
      </c>
      <c r="HN261" s="143">
        <v>529277.82900000003</v>
      </c>
      <c r="HO261" s="143">
        <v>574654.81914000015</v>
      </c>
      <c r="HR261" s="119">
        <v>110854.79</v>
      </c>
      <c r="HS261" s="119">
        <v>113780.33</v>
      </c>
      <c r="HT261" s="119">
        <v>144512.49</v>
      </c>
      <c r="HU261" s="143">
        <v>478069.61</v>
      </c>
      <c r="HV261" s="143">
        <v>529277.82900000003</v>
      </c>
      <c r="HW261" s="143">
        <v>574654.81914000015</v>
      </c>
      <c r="HZ261" s="119">
        <v>113780.33</v>
      </c>
      <c r="IA261" s="143">
        <v>478085.05999999994</v>
      </c>
      <c r="IB261" s="143">
        <v>529294.82400000002</v>
      </c>
      <c r="IC261" s="143">
        <v>574673.51364000002</v>
      </c>
      <c r="IE261" s="119">
        <v>146751.29999999996</v>
      </c>
      <c r="IF261" s="143">
        <v>505838.29999999993</v>
      </c>
      <c r="IG261" s="143">
        <v>560152.5419999999</v>
      </c>
      <c r="IH261" s="143">
        <v>607886.28156000003</v>
      </c>
      <c r="IK261" s="143">
        <v>560152.5419999999</v>
      </c>
      <c r="IL261" s="143">
        <v>607886.28156000003</v>
      </c>
      <c r="IO261" s="143">
        <v>606673.34</v>
      </c>
      <c r="IP261" s="143">
        <v>676491.79640000011</v>
      </c>
      <c r="IS261" s="157">
        <v>463181.80999999994</v>
      </c>
      <c r="IT261" s="157">
        <v>537290.89959999989</v>
      </c>
      <c r="IU261" s="157">
        <v>623257.44353599986</v>
      </c>
      <c r="IX261" s="143">
        <v>188996.14</v>
      </c>
      <c r="IY261" s="143">
        <v>633328.14</v>
      </c>
      <c r="IZ261" s="143">
        <v>725914.5419999999</v>
      </c>
      <c r="JA261" s="143">
        <v>832440.15827999986</v>
      </c>
      <c r="JD261" s="143">
        <v>778821.24999999988</v>
      </c>
      <c r="JE261" s="143">
        <v>923667.054</v>
      </c>
      <c r="JH261" s="143">
        <v>774660.25</v>
      </c>
      <c r="JI261" s="143">
        <v>918971.6298</v>
      </c>
      <c r="JJ261" s="143">
        <v>1051793.2703760001</v>
      </c>
      <c r="JM261" s="143">
        <v>845063.14159999997</v>
      </c>
      <c r="JN261" s="143">
        <v>966689.11494799994</v>
      </c>
      <c r="JQ261" s="143">
        <v>682551.5</v>
      </c>
      <c r="JR261" s="143">
        <v>763571.10070000018</v>
      </c>
      <c r="JS261" s="143">
        <v>852835.0900890003</v>
      </c>
      <c r="JV261" s="143">
        <v>754505.50000000012</v>
      </c>
      <c r="JW261" s="143">
        <v>842682.65800000005</v>
      </c>
      <c r="JY261" s="143">
        <v>775750.82</v>
      </c>
      <c r="JZ261" s="143">
        <v>866477.41639999987</v>
      </c>
      <c r="KB261" s="143">
        <v>757602.75999999989</v>
      </c>
      <c r="KC261" s="143">
        <v>855323.90520000004</v>
      </c>
      <c r="KD261" s="143">
        <v>966064.67402400018</v>
      </c>
    </row>
    <row r="262" spans="2:290" x14ac:dyDescent="0.25">
      <c r="B262" s="11"/>
      <c r="C262" s="11"/>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165"/>
      <c r="CP262" s="165"/>
      <c r="CQ262" s="6"/>
      <c r="CR262" s="6"/>
      <c r="CS262" s="6"/>
      <c r="CT262" s="15"/>
      <c r="CU262" s="15"/>
      <c r="CV262" s="15"/>
      <c r="CW262" s="15"/>
      <c r="CX262" s="15"/>
      <c r="DK262" s="6"/>
      <c r="DL262" s="6"/>
      <c r="DM262" s="6"/>
      <c r="DN262" s="6"/>
      <c r="DO262" s="6"/>
      <c r="EA262" s="15"/>
      <c r="EB262" s="166"/>
      <c r="EC262" s="15"/>
      <c r="ED262" s="15"/>
      <c r="EE262" s="15"/>
      <c r="EF262" s="15"/>
      <c r="EJ262" s="166"/>
      <c r="EK262" s="15"/>
      <c r="EL262" s="15"/>
      <c r="EM262" s="15"/>
      <c r="EN262" s="15"/>
      <c r="EP262" s="15"/>
      <c r="EQ262" s="15"/>
      <c r="ER262" s="15"/>
      <c r="ES262" s="15"/>
      <c r="EV262" s="15"/>
      <c r="EW262" s="15"/>
      <c r="EX262" s="15"/>
      <c r="EY262" s="15"/>
      <c r="EZ262" s="15"/>
      <c r="FA262" s="15"/>
      <c r="FD262" s="15"/>
      <c r="FE262" s="15"/>
      <c r="FF262" s="15"/>
      <c r="FG262" s="15"/>
      <c r="FH262" s="15"/>
      <c r="FK262" s="15"/>
      <c r="FL262" s="15"/>
      <c r="FO262" s="15"/>
      <c r="FP262" s="15"/>
      <c r="FQ262" s="15"/>
      <c r="FR262" s="15"/>
      <c r="FU262" s="15"/>
      <c r="FV262" s="15"/>
      <c r="FW262" s="15"/>
      <c r="FX262" s="15"/>
      <c r="FY262" s="15"/>
      <c r="GA262" s="15"/>
      <c r="GB262" s="15"/>
      <c r="GC262" s="15"/>
      <c r="GF262" s="15"/>
      <c r="GG262" s="15"/>
      <c r="GH262" s="15"/>
      <c r="GI262" s="166"/>
      <c r="GJ262" s="167"/>
      <c r="GK262" s="15"/>
      <c r="GN262" s="15"/>
      <c r="GO262" s="15"/>
      <c r="GP262" s="166"/>
      <c r="GQ262" s="167"/>
      <c r="GR262" s="166"/>
      <c r="GV262" s="167"/>
      <c r="GW262" s="166"/>
      <c r="GX262" s="167"/>
      <c r="GY262" s="166"/>
      <c r="HC262" s="166"/>
      <c r="HD262" s="167"/>
      <c r="HE262" s="166"/>
      <c r="HF262" s="166"/>
      <c r="HI262" s="167"/>
      <c r="HJ262" s="167"/>
      <c r="HK262" s="167"/>
      <c r="HL262" s="167"/>
      <c r="HM262" s="166"/>
      <c r="HN262" s="166"/>
      <c r="HO262" s="166"/>
      <c r="HR262" s="167"/>
      <c r="HS262" s="167"/>
      <c r="HT262" s="167"/>
      <c r="HU262" s="167"/>
      <c r="HV262" s="166"/>
      <c r="HW262" s="166"/>
      <c r="HZ262" s="167"/>
      <c r="IA262" s="167"/>
      <c r="IB262" s="166"/>
      <c r="IC262" s="166"/>
      <c r="IE262" s="167"/>
      <c r="IF262" s="168"/>
      <c r="IG262" s="166"/>
      <c r="IH262" s="166"/>
      <c r="IK262" s="166"/>
      <c r="IL262" s="166"/>
      <c r="IO262" s="166"/>
      <c r="IP262" s="166"/>
      <c r="IS262" s="15"/>
      <c r="IT262" s="15"/>
      <c r="IU262" s="15"/>
      <c r="IX262" s="167"/>
      <c r="IY262" s="166"/>
      <c r="IZ262" s="166"/>
      <c r="JA262" s="166"/>
      <c r="JD262" s="166"/>
      <c r="JE262" s="166"/>
      <c r="JH262" s="166"/>
      <c r="JI262" s="166"/>
      <c r="JJ262" s="166"/>
      <c r="JM262" s="166"/>
      <c r="JN262" s="166"/>
      <c r="JQ262" s="166"/>
      <c r="JR262" s="166"/>
      <c r="JS262" s="166"/>
      <c r="JV262" s="166"/>
      <c r="JW262" s="166"/>
      <c r="JY262" s="166"/>
      <c r="JZ262" s="166"/>
      <c r="KB262" s="166"/>
      <c r="KC262" s="166"/>
      <c r="KD262" s="166"/>
    </row>
    <row r="263" spans="2:290" s="60" customFormat="1" x14ac:dyDescent="0.25">
      <c r="B263" s="34" t="s">
        <v>231</v>
      </c>
      <c r="C263" s="99"/>
      <c r="D263" s="99"/>
      <c r="E263" s="99"/>
      <c r="F263" s="99"/>
      <c r="G263" s="99"/>
      <c r="H263" s="196"/>
      <c r="I263" s="196"/>
      <c r="J263" s="196"/>
      <c r="K263" s="196"/>
      <c r="L263" s="196"/>
      <c r="M263" s="196"/>
      <c r="N263" s="196"/>
      <c r="O263" s="196"/>
      <c r="P263" s="196"/>
      <c r="Q263" s="196"/>
      <c r="R263" s="196"/>
      <c r="S263" s="196"/>
      <c r="T263" s="196"/>
      <c r="U263" s="196"/>
      <c r="V263" s="196"/>
      <c r="W263" s="196"/>
      <c r="X263" s="196"/>
      <c r="Y263" s="196"/>
      <c r="Z263" s="196"/>
      <c r="AA263" s="196"/>
      <c r="AB263" s="196"/>
      <c r="AC263" s="196"/>
      <c r="AD263" s="196"/>
      <c r="AE263" s="196"/>
      <c r="AF263" s="196"/>
      <c r="AG263" s="196"/>
      <c r="AH263" s="196"/>
      <c r="AI263" s="196"/>
      <c r="AJ263" s="196"/>
      <c r="AK263" s="196"/>
      <c r="AL263" s="196"/>
      <c r="AM263" s="196"/>
      <c r="AN263" s="196"/>
      <c r="AO263" s="196"/>
      <c r="AP263" s="196"/>
      <c r="AQ263" s="196"/>
      <c r="AR263" s="196"/>
      <c r="AS263" s="196"/>
      <c r="AT263" s="196"/>
      <c r="AU263" s="196"/>
      <c r="AV263" s="196"/>
      <c r="AW263" s="196"/>
      <c r="AX263" s="196"/>
      <c r="AY263" s="196"/>
      <c r="AZ263" s="196"/>
      <c r="BA263" s="196"/>
      <c r="BB263" s="196"/>
      <c r="BC263" s="196"/>
      <c r="BD263" s="196"/>
      <c r="BE263" s="196"/>
      <c r="BF263" s="196"/>
      <c r="BG263" s="196"/>
      <c r="BH263" s="196"/>
      <c r="BI263" s="196"/>
      <c r="BJ263" s="196"/>
      <c r="BK263" s="196"/>
      <c r="BL263" s="196"/>
      <c r="BM263" s="196"/>
      <c r="BN263" s="196"/>
      <c r="BO263" s="196"/>
      <c r="BP263" s="196"/>
      <c r="BQ263" s="196"/>
      <c r="BR263" s="196"/>
      <c r="BS263" s="196"/>
      <c r="BT263" s="196"/>
      <c r="BU263" s="196"/>
      <c r="BV263" s="196"/>
      <c r="BW263" s="196"/>
      <c r="BX263" s="196"/>
      <c r="BY263" s="196"/>
      <c r="BZ263" s="196"/>
      <c r="CA263" s="196"/>
      <c r="CB263" s="196"/>
      <c r="CC263" s="196"/>
      <c r="CD263" s="196"/>
      <c r="CE263" s="196"/>
      <c r="CF263" s="196"/>
      <c r="CG263" s="196"/>
      <c r="CH263" s="196"/>
      <c r="CI263" s="196"/>
      <c r="CJ263" s="196"/>
      <c r="CK263" s="196"/>
      <c r="CL263" s="196"/>
      <c r="CM263" s="196"/>
      <c r="CN263" s="196"/>
      <c r="CO263" s="148"/>
      <c r="CP263" s="148"/>
      <c r="CQ263" s="58"/>
      <c r="CR263" s="58"/>
      <c r="CS263" s="58"/>
      <c r="CT263" s="143"/>
      <c r="CU263" s="143"/>
      <c r="CV263" s="143"/>
      <c r="CW263" s="143"/>
      <c r="CX263" s="143"/>
      <c r="CY263" s="143"/>
      <c r="CZ263" s="143"/>
      <c r="DA263" s="143"/>
      <c r="DB263" s="143"/>
      <c r="DC263" s="143"/>
      <c r="DD263" s="143"/>
      <c r="DE263" s="143"/>
      <c r="DF263" s="143"/>
      <c r="DG263" s="143"/>
      <c r="DH263" s="143"/>
      <c r="DI263" s="143"/>
      <c r="DK263" s="143"/>
      <c r="DL263" s="143"/>
      <c r="DM263" s="58"/>
      <c r="DN263" s="143"/>
      <c r="DO263" s="143"/>
      <c r="DQ263" s="4"/>
      <c r="DR263" s="143"/>
      <c r="DS263" s="143"/>
      <c r="DT263" s="143"/>
      <c r="DV263" s="143"/>
      <c r="DW263" s="143"/>
      <c r="DX263" s="143"/>
      <c r="EA263" s="119"/>
      <c r="EB263" s="119"/>
      <c r="EC263" s="119"/>
      <c r="ED263" s="143"/>
      <c r="EE263" s="143"/>
      <c r="EF263" s="143"/>
      <c r="EJ263" s="119"/>
      <c r="EK263" s="119"/>
      <c r="EL263" s="143"/>
      <c r="EM263" s="143"/>
      <c r="EN263" s="143"/>
      <c r="EP263" s="119" t="s">
        <v>81</v>
      </c>
      <c r="EQ263" s="143" t="s">
        <v>82</v>
      </c>
      <c r="ER263" s="143" t="s">
        <v>87</v>
      </c>
      <c r="ES263" s="143"/>
      <c r="EV263" s="119" t="s">
        <v>87</v>
      </c>
      <c r="EW263" s="119" t="s">
        <v>87</v>
      </c>
      <c r="EX263" s="119" t="s">
        <v>87</v>
      </c>
      <c r="EY263" s="119" t="s">
        <v>87</v>
      </c>
      <c r="EZ263" s="143" t="s">
        <v>87</v>
      </c>
      <c r="FA263" s="143"/>
      <c r="FD263" s="119" t="s">
        <v>87</v>
      </c>
      <c r="FE263" s="119" t="s">
        <v>87</v>
      </c>
      <c r="FF263" s="119" t="s">
        <v>87</v>
      </c>
      <c r="FG263" s="143" t="s">
        <v>87</v>
      </c>
      <c r="FH263" s="143"/>
      <c r="FK263" s="143" t="s">
        <v>87</v>
      </c>
      <c r="FL263" s="143"/>
      <c r="FO263" s="119" t="s">
        <v>85</v>
      </c>
      <c r="FP263" s="119" t="s">
        <v>86</v>
      </c>
      <c r="FQ263" s="143" t="s">
        <v>87</v>
      </c>
      <c r="FR263" s="143" t="s">
        <v>92</v>
      </c>
      <c r="FU263" s="119" t="s">
        <v>86</v>
      </c>
      <c r="FV263" s="143" t="s">
        <v>87</v>
      </c>
      <c r="FW263" s="143" t="s">
        <v>92</v>
      </c>
      <c r="FX263" s="143" t="s">
        <v>92</v>
      </c>
      <c r="FY263" s="143" t="s">
        <v>102</v>
      </c>
      <c r="GA263" s="143" t="s">
        <v>92</v>
      </c>
      <c r="GB263" s="143" t="s">
        <v>97</v>
      </c>
      <c r="GC263" s="143" t="s">
        <v>102</v>
      </c>
      <c r="GF263" s="119" t="s">
        <v>89</v>
      </c>
      <c r="GG263" s="119" t="s">
        <v>90</v>
      </c>
      <c r="GH263" s="119" t="s">
        <v>91</v>
      </c>
      <c r="GI263" s="143" t="s">
        <v>92</v>
      </c>
      <c r="GJ263" s="143" t="s">
        <v>97</v>
      </c>
      <c r="GK263" s="143" t="s">
        <v>102</v>
      </c>
      <c r="GN263" s="119" t="s">
        <v>90</v>
      </c>
      <c r="GO263" s="119" t="s">
        <v>91</v>
      </c>
      <c r="GP263" s="143" t="s">
        <v>92</v>
      </c>
      <c r="GQ263" s="143" t="s">
        <v>97</v>
      </c>
      <c r="GR263" s="143" t="s">
        <v>102</v>
      </c>
      <c r="GV263" s="119" t="s">
        <v>91</v>
      </c>
      <c r="GW263" s="143" t="s">
        <v>92</v>
      </c>
      <c r="GX263" s="143" t="s">
        <v>97</v>
      </c>
      <c r="GY263" s="143" t="s">
        <v>102</v>
      </c>
      <c r="HC263" s="143" t="s">
        <v>96</v>
      </c>
      <c r="HD263" s="143" t="s">
        <v>97</v>
      </c>
      <c r="HE263" s="143" t="s">
        <v>102</v>
      </c>
      <c r="HF263" s="143" t="s">
        <v>107</v>
      </c>
      <c r="HI263" s="119" t="s">
        <v>98</v>
      </c>
      <c r="HJ263" s="119" t="s">
        <v>99</v>
      </c>
      <c r="HK263" s="119" t="s">
        <v>100</v>
      </c>
      <c r="HL263" s="119" t="s">
        <v>101</v>
      </c>
      <c r="HM263" s="143" t="s">
        <v>102</v>
      </c>
      <c r="HN263" s="143" t="s">
        <v>107</v>
      </c>
      <c r="HO263" s="143" t="s">
        <v>107</v>
      </c>
      <c r="HR263" s="119" t="s">
        <v>99</v>
      </c>
      <c r="HS263" s="119" t="s">
        <v>100</v>
      </c>
      <c r="HT263" s="119" t="s">
        <v>101</v>
      </c>
      <c r="HU263" s="143" t="s">
        <v>102</v>
      </c>
      <c r="HV263" s="143" t="s">
        <v>107</v>
      </c>
      <c r="HW263" s="143" t="s">
        <v>107</v>
      </c>
      <c r="HZ263" s="119" t="s">
        <v>100</v>
      </c>
      <c r="IA263" s="143" t="s">
        <v>102</v>
      </c>
      <c r="IB263" s="143" t="s">
        <v>107</v>
      </c>
      <c r="IC263" s="143" t="s">
        <v>107</v>
      </c>
      <c r="IE263" s="119" t="s">
        <v>101</v>
      </c>
      <c r="IF263" s="143" t="s">
        <v>102</v>
      </c>
      <c r="IG263" s="143" t="s">
        <v>107</v>
      </c>
      <c r="IH263" s="143" t="s">
        <v>107</v>
      </c>
      <c r="IK263" s="143" t="s">
        <v>107</v>
      </c>
      <c r="IL263" s="143" t="s">
        <v>107</v>
      </c>
      <c r="IO263" s="143" t="s">
        <v>107</v>
      </c>
      <c r="IP263" s="143" t="s">
        <v>27</v>
      </c>
      <c r="IS263" s="157">
        <v>0.20226840618281106</v>
      </c>
      <c r="IT263" s="157">
        <v>0.14563741153524612</v>
      </c>
      <c r="IU263" s="157">
        <v>0.14620955709707739</v>
      </c>
      <c r="IX263" s="143" t="s">
        <v>106</v>
      </c>
      <c r="IY263" s="143" t="s">
        <v>107</v>
      </c>
      <c r="IZ263" s="143" t="s">
        <v>27</v>
      </c>
      <c r="JA263" s="143" t="s">
        <v>28</v>
      </c>
      <c r="JD263" s="143" t="s">
        <v>27</v>
      </c>
      <c r="JE263" s="143" t="s">
        <v>28</v>
      </c>
      <c r="JH263" s="143" t="s">
        <v>27</v>
      </c>
      <c r="JI263" s="143" t="s">
        <v>28</v>
      </c>
      <c r="JJ263" s="143" t="s">
        <v>28</v>
      </c>
      <c r="JM263" s="143" t="s">
        <v>28</v>
      </c>
      <c r="JN263" s="143" t="s">
        <v>28</v>
      </c>
      <c r="JQ263" s="143" t="s">
        <v>27</v>
      </c>
      <c r="JR263" s="143" t="s">
        <v>28</v>
      </c>
      <c r="JS263" s="143" t="s">
        <v>28</v>
      </c>
      <c r="JV263" s="143" t="s">
        <v>28</v>
      </c>
      <c r="JW263" s="143" t="s">
        <v>28</v>
      </c>
      <c r="JY263" s="143" t="s">
        <v>28</v>
      </c>
      <c r="JZ263" s="143" t="s">
        <v>28</v>
      </c>
      <c r="KB263" s="143" t="s">
        <v>28</v>
      </c>
      <c r="KC263" s="143" t="s">
        <v>28</v>
      </c>
      <c r="KD263" s="143" t="s">
        <v>28</v>
      </c>
    </row>
    <row r="264" spans="2:290" x14ac:dyDescent="0.25">
      <c r="B264" s="11" t="str">
        <f>B247</f>
        <v>Plastic Piping System</v>
      </c>
      <c r="C264" s="23"/>
      <c r="D264" s="23"/>
      <c r="E264" s="23"/>
      <c r="F264" s="23"/>
      <c r="G264" s="23"/>
      <c r="H264" s="197"/>
      <c r="I264" s="198"/>
      <c r="J264" s="198"/>
      <c r="K264" s="198"/>
      <c r="L264" s="198"/>
      <c r="M264" s="197"/>
      <c r="N264" s="198"/>
      <c r="O264" s="198"/>
      <c r="P264" s="198"/>
      <c r="Q264" s="198"/>
      <c r="R264" s="197"/>
      <c r="S264" s="198"/>
      <c r="T264" s="198"/>
      <c r="U264" s="198"/>
      <c r="V264" s="198"/>
      <c r="W264" s="197"/>
      <c r="X264" s="198"/>
      <c r="Y264" s="198"/>
      <c r="Z264" s="198"/>
      <c r="AA264" s="198"/>
      <c r="AB264" s="42">
        <v>3.9862569572770568E-2</v>
      </c>
      <c r="AC264" s="24">
        <v>-6.96106627083527E-2</v>
      </c>
      <c r="AD264" s="24">
        <v>0.12472869680098131</v>
      </c>
      <c r="AE264" s="24">
        <v>0.18196393578907788</v>
      </c>
      <c r="AF264" s="24">
        <v>6.5130372378598089E-2</v>
      </c>
      <c r="AG264" s="42">
        <v>8.6793898409691872E-2</v>
      </c>
      <c r="AH264" s="24">
        <v>0.25862527421392012</v>
      </c>
      <c r="AI264" s="24">
        <v>4.2768746722601003E-2</v>
      </c>
      <c r="AJ264" s="24">
        <v>0.26352279197508133</v>
      </c>
      <c r="AK264" s="42"/>
      <c r="AL264" s="24"/>
      <c r="AM264" s="24"/>
      <c r="AN264" s="24"/>
      <c r="AO264" s="24"/>
      <c r="AP264" s="42">
        <f t="shared" ref="AP264:AY267" si="358">(AP247/AK247-1)</f>
        <v>0.44302003913366161</v>
      </c>
      <c r="AQ264" s="24">
        <f t="shared" si="358"/>
        <v>-6.6641268766226447E-2</v>
      </c>
      <c r="AR264" s="24">
        <f t="shared" si="358"/>
        <v>0.17012768965669589</v>
      </c>
      <c r="AS264" s="24">
        <f t="shared" si="358"/>
        <v>0.24946674423114223</v>
      </c>
      <c r="AT264" s="24">
        <f t="shared" si="358"/>
        <v>7.7425276465972859E-2</v>
      </c>
      <c r="AU264" s="42">
        <f t="shared" si="358"/>
        <v>8.9574380358501626E-2</v>
      </c>
      <c r="AV264" s="207">
        <f t="shared" si="358"/>
        <v>5.2457331176586131E-2</v>
      </c>
      <c r="AW264" s="207">
        <f t="shared" si="358"/>
        <v>6.9099628070308006E-2</v>
      </c>
      <c r="AX264" s="207">
        <f t="shared" si="358"/>
        <v>8.6769612788081041E-2</v>
      </c>
      <c r="AY264" s="207">
        <f t="shared" si="358"/>
        <v>0.14697921103615053</v>
      </c>
      <c r="AZ264" s="42">
        <f t="shared" ref="AZ264:BI267" si="359">(AZ247/AU247-1)</f>
        <v>9.1358795302929785E-2</v>
      </c>
      <c r="BA264" s="207">
        <f t="shared" si="359"/>
        <v>0.22400494117985037</v>
      </c>
      <c r="BB264" s="207">
        <f t="shared" si="359"/>
        <v>0.1975206173733377</v>
      </c>
      <c r="BC264" s="207">
        <f t="shared" si="359"/>
        <v>5.7835661040184227E-3</v>
      </c>
      <c r="BD264" s="207">
        <f t="shared" si="359"/>
        <v>-7.3805644736211651E-2</v>
      </c>
      <c r="BE264" s="42">
        <f t="shared" si="359"/>
        <v>7.5153352302786747E-2</v>
      </c>
      <c r="BF264" s="207">
        <f t="shared" si="359"/>
        <v>-0.11995681460792829</v>
      </c>
      <c r="BG264" s="207">
        <f t="shared" si="359"/>
        <v>-1.7740222969385933E-2</v>
      </c>
      <c r="BH264" s="207">
        <f t="shared" si="359"/>
        <v>8.9846800414590255E-2</v>
      </c>
      <c r="BI264" s="207">
        <f t="shared" si="359"/>
        <v>-1.7047144797257996E-2</v>
      </c>
      <c r="BJ264" s="42">
        <f t="shared" ref="BJ264:BN267" si="360">(BJ247/BE247-1)</f>
        <v>-2.1328448126820332E-2</v>
      </c>
      <c r="BK264" s="207">
        <f t="shared" si="360"/>
        <v>-0.3584515681672712</v>
      </c>
      <c r="BL264" s="207">
        <f t="shared" si="360"/>
        <v>8.8141242174480938E-2</v>
      </c>
      <c r="BM264" s="207">
        <f t="shared" si="360"/>
        <v>-0.25484959418439534</v>
      </c>
      <c r="BN264" s="207">
        <f t="shared" si="360"/>
        <v>0.26987907417398049</v>
      </c>
      <c r="BO264" s="42">
        <f t="shared" ref="BO264:BX267" si="361">BO247/BJ247-1</f>
        <v>-6.8155335188223809E-2</v>
      </c>
      <c r="BP264" s="207">
        <f t="shared" si="361"/>
        <v>0.65084907817339066</v>
      </c>
      <c r="BQ264" s="207">
        <f t="shared" si="361"/>
        <v>9.2991169977924892E-2</v>
      </c>
      <c r="BR264" s="207">
        <f t="shared" si="361"/>
        <v>0.82018287672430379</v>
      </c>
      <c r="BS264" s="207">
        <f t="shared" si="361"/>
        <v>0.16357362678354948</v>
      </c>
      <c r="BT264" s="42">
        <f t="shared" si="361"/>
        <v>0.36730891922929687</v>
      </c>
      <c r="BU264" s="207">
        <f t="shared" si="361"/>
        <v>0.47655620467365023</v>
      </c>
      <c r="BV264" s="207">
        <f t="shared" si="361"/>
        <v>0.29928048472607927</v>
      </c>
      <c r="BW264" s="207">
        <f t="shared" si="361"/>
        <v>0.17187755141246197</v>
      </c>
      <c r="BX264" s="207">
        <f t="shared" si="361"/>
        <v>0.41411307917679641</v>
      </c>
      <c r="BY264" s="42">
        <f t="shared" ref="BY264:CH267" si="362">BY247/BT247-1</f>
        <v>0.33583880377340369</v>
      </c>
      <c r="BZ264" s="207">
        <f t="shared" si="362"/>
        <v>0.19509013080478188</v>
      </c>
      <c r="CA264" s="207">
        <f t="shared" si="362"/>
        <v>-6.7133655238076351E-3</v>
      </c>
      <c r="CB264" s="207">
        <f t="shared" si="362"/>
        <v>3.6982697146791477E-2</v>
      </c>
      <c r="CC264" s="207">
        <f t="shared" si="362"/>
        <v>2.1612771182971668E-2</v>
      </c>
      <c r="CD264" s="42">
        <f t="shared" si="362"/>
        <v>6.014359252775936E-2</v>
      </c>
      <c r="CE264" s="207">
        <f t="shared" si="362"/>
        <v>6.1468537954949332E-2</v>
      </c>
      <c r="CF264" s="207">
        <f t="shared" si="362"/>
        <v>0.17236252665349472</v>
      </c>
      <c r="CG264" s="207">
        <f t="shared" si="362"/>
        <v>0.1618069003675453</v>
      </c>
      <c r="CH264" s="207">
        <f t="shared" si="362"/>
        <v>0.18274393288416846</v>
      </c>
      <c r="CI264" s="42">
        <f t="shared" ref="CI264:CI267" si="363">CI247/CD247-1</f>
        <v>0.14375683679982232</v>
      </c>
      <c r="CJ264" s="208">
        <v>0.12</v>
      </c>
      <c r="CK264" s="208">
        <v>0.18</v>
      </c>
      <c r="CL264" s="208">
        <v>0.18</v>
      </c>
      <c r="CM264" s="208">
        <v>0.1</v>
      </c>
      <c r="CN264" s="208">
        <v>0.1</v>
      </c>
      <c r="CO264" s="74"/>
      <c r="CP264" s="74"/>
      <c r="CQ264" s="6"/>
      <c r="CR264" s="6"/>
      <c r="CS264" s="6"/>
      <c r="CT264" s="124"/>
      <c r="CU264" s="124"/>
      <c r="CV264" s="124"/>
      <c r="CW264" s="124"/>
      <c r="CX264" s="124"/>
      <c r="CY264" s="124"/>
      <c r="CZ264" s="124"/>
      <c r="DA264" s="124"/>
      <c r="DB264" s="124"/>
      <c r="DC264" s="124"/>
      <c r="DD264" s="124"/>
      <c r="DE264" s="124"/>
      <c r="DF264" s="124"/>
      <c r="DG264" s="124"/>
      <c r="DH264" s="124"/>
      <c r="DI264" s="124"/>
      <c r="DK264" s="124"/>
      <c r="DL264" s="124"/>
      <c r="DM264" s="6"/>
      <c r="DN264" s="124"/>
      <c r="DO264" s="124"/>
      <c r="DQ264" s="136"/>
      <c r="DR264" s="124"/>
      <c r="DS264" s="124"/>
      <c r="DT264" s="124"/>
      <c r="DV264" s="124"/>
      <c r="DW264" s="124"/>
      <c r="DX264" s="124"/>
      <c r="EA264" s="111"/>
      <c r="EB264" s="111"/>
      <c r="EC264" s="111"/>
      <c r="ED264" s="124"/>
      <c r="EE264" s="124"/>
      <c r="EF264" s="124"/>
      <c r="EJ264" s="111"/>
      <c r="EK264" s="111"/>
      <c r="EL264" s="124"/>
      <c r="EM264" s="124"/>
      <c r="EN264" s="124"/>
      <c r="EP264" s="111"/>
      <c r="EQ264" s="124"/>
      <c r="ER264" s="124"/>
      <c r="ES264" s="124"/>
      <c r="EV264" s="111"/>
      <c r="EW264" s="111"/>
      <c r="EX264" s="111"/>
      <c r="EY264" s="111"/>
      <c r="EZ264" s="124"/>
      <c r="FA264" s="124"/>
      <c r="FD264" s="111"/>
      <c r="FE264" s="111"/>
      <c r="FF264" s="111"/>
      <c r="FG264" s="124"/>
      <c r="FH264" s="124"/>
      <c r="FK264" s="124"/>
      <c r="FL264" s="124"/>
      <c r="FO264" s="111">
        <v>0.1</v>
      </c>
      <c r="FP264" s="111">
        <v>9.7987445493314729E-2</v>
      </c>
      <c r="FQ264" s="124">
        <v>0.15</v>
      </c>
      <c r="FR264" s="124">
        <v>0.15</v>
      </c>
      <c r="FU264" s="111">
        <v>-5.7563371507978078E-2</v>
      </c>
      <c r="FV264" s="124">
        <v>0.08</v>
      </c>
      <c r="FW264" s="124">
        <v>-0.12</v>
      </c>
      <c r="FX264" s="124">
        <v>0.12</v>
      </c>
      <c r="FY264" s="124">
        <v>0.12</v>
      </c>
      <c r="GA264" s="124">
        <v>-0.08</v>
      </c>
      <c r="GB264" s="124">
        <v>0.15</v>
      </c>
      <c r="GC264" s="124">
        <v>0.12</v>
      </c>
      <c r="GF264" s="111"/>
      <c r="GG264" s="111"/>
      <c r="GH264" s="111"/>
      <c r="GI264" s="124">
        <v>-0.02</v>
      </c>
      <c r="GJ264" s="124">
        <v>0.22</v>
      </c>
      <c r="GK264" s="124">
        <v>0.12</v>
      </c>
      <c r="GN264" s="111"/>
      <c r="GO264" s="111"/>
      <c r="GP264" s="124">
        <v>0.02</v>
      </c>
      <c r="GQ264" s="124">
        <v>0.22</v>
      </c>
      <c r="GR264" s="124">
        <v>0.12</v>
      </c>
      <c r="GV264" s="111">
        <v>2.7022958028842581E-2</v>
      </c>
      <c r="GW264" s="124">
        <v>-0.01</v>
      </c>
      <c r="GX264" s="124">
        <v>0.16</v>
      </c>
      <c r="GY264" s="124">
        <v>0.15</v>
      </c>
      <c r="HC264" s="124">
        <v>0.10780333434214517</v>
      </c>
      <c r="HD264" s="124">
        <v>-0.11</v>
      </c>
      <c r="HE264" s="124">
        <v>0.16500000000000001</v>
      </c>
      <c r="HF264" s="124">
        <v>0.11</v>
      </c>
      <c r="HI264" s="111">
        <v>0.90562761114921742</v>
      </c>
      <c r="HJ264" s="111">
        <v>5.0000000000000044E-2</v>
      </c>
      <c r="HK264" s="111">
        <v>0.30000000000000004</v>
      </c>
      <c r="HL264" s="111">
        <v>1.5305107401535567E-2</v>
      </c>
      <c r="HM264" s="124">
        <v>0.24</v>
      </c>
      <c r="HN264" s="124">
        <v>0.11</v>
      </c>
      <c r="HO264" s="124">
        <v>0.08</v>
      </c>
      <c r="HR264" s="111">
        <v>5.0000000000000044E-2</v>
      </c>
      <c r="HS264" s="111">
        <v>0.30000000000000004</v>
      </c>
      <c r="HT264" s="111">
        <v>0.14231817381122602</v>
      </c>
      <c r="HU264" s="124">
        <v>0.24</v>
      </c>
      <c r="HV264" s="124">
        <v>0.11</v>
      </c>
      <c r="HW264" s="124">
        <v>0.08</v>
      </c>
      <c r="HZ264" s="111">
        <v>0.30000000000000004</v>
      </c>
      <c r="IA264" s="124">
        <v>0.24</v>
      </c>
      <c r="IB264" s="124">
        <v>0.11</v>
      </c>
      <c r="IC264" s="124">
        <v>0.08</v>
      </c>
      <c r="IE264" s="111">
        <v>0.14280000414477656</v>
      </c>
      <c r="IF264" s="124">
        <v>0.36</v>
      </c>
      <c r="IG264" s="124">
        <v>0.11</v>
      </c>
      <c r="IH264" s="124">
        <v>0.08</v>
      </c>
      <c r="IK264" s="124">
        <v>0.11</v>
      </c>
      <c r="IL264" s="124">
        <v>0.08</v>
      </c>
      <c r="IO264" s="124">
        <v>0.22</v>
      </c>
      <c r="IP264" s="124">
        <v>0.12</v>
      </c>
      <c r="IS264" s="160">
        <v>0.15</v>
      </c>
      <c r="IT264" s="160">
        <v>0.1</v>
      </c>
      <c r="IU264" s="160">
        <v>0.1</v>
      </c>
      <c r="IX264" s="124">
        <v>0.29441550230201341</v>
      </c>
      <c r="IY264" s="124">
        <v>0.3</v>
      </c>
      <c r="IZ264" s="124">
        <v>0.16</v>
      </c>
      <c r="JA264" s="124">
        <v>0.16</v>
      </c>
      <c r="JD264" s="124">
        <v>0.25</v>
      </c>
      <c r="JE264" s="124">
        <v>0.2</v>
      </c>
      <c r="JH264" s="124">
        <v>0.25</v>
      </c>
      <c r="JI264" s="124">
        <v>0.2</v>
      </c>
      <c r="JJ264" s="124">
        <v>0.15</v>
      </c>
      <c r="JM264" s="124">
        <v>0.18</v>
      </c>
      <c r="JN264" s="124">
        <v>0.15</v>
      </c>
      <c r="JQ264" s="124">
        <v>7.0000000000000007E-2</v>
      </c>
      <c r="JR264" s="124">
        <v>0.12</v>
      </c>
      <c r="JS264" s="124">
        <v>0.12</v>
      </c>
      <c r="JV264" s="124">
        <v>0.12</v>
      </c>
      <c r="JW264" s="124">
        <v>0.12</v>
      </c>
      <c r="JY264" s="124">
        <v>0.16</v>
      </c>
      <c r="JZ264" s="124">
        <v>0.12</v>
      </c>
      <c r="KB264" s="124">
        <v>0.15</v>
      </c>
      <c r="KC264" s="124">
        <v>0.14000000000000001</v>
      </c>
      <c r="KD264" s="124">
        <v>0.14000000000000001</v>
      </c>
    </row>
    <row r="265" spans="2:290" x14ac:dyDescent="0.25">
      <c r="B265" s="11" t="str">
        <f>B248</f>
        <v>Packaging Products</v>
      </c>
      <c r="C265" s="23"/>
      <c r="D265" s="23"/>
      <c r="E265" s="23"/>
      <c r="F265" s="23"/>
      <c r="G265" s="23"/>
      <c r="H265" s="197"/>
      <c r="I265" s="198"/>
      <c r="J265" s="198"/>
      <c r="K265" s="198"/>
      <c r="L265" s="198"/>
      <c r="M265" s="197"/>
      <c r="N265" s="198"/>
      <c r="O265" s="198"/>
      <c r="P265" s="198"/>
      <c r="Q265" s="198"/>
      <c r="R265" s="197"/>
      <c r="S265" s="198"/>
      <c r="T265" s="198"/>
      <c r="U265" s="198"/>
      <c r="V265" s="198"/>
      <c r="W265" s="197"/>
      <c r="X265" s="198"/>
      <c r="Y265" s="198"/>
      <c r="Z265" s="198"/>
      <c r="AA265" s="198"/>
      <c r="AB265" s="42">
        <v>-6.2725446050306277E-2</v>
      </c>
      <c r="AC265" s="24">
        <v>8.1995661605205994E-2</v>
      </c>
      <c r="AD265" s="24">
        <v>5.863917525773199E-2</v>
      </c>
      <c r="AE265" s="24">
        <v>0.24450677886863015</v>
      </c>
      <c r="AF265" s="24">
        <v>0.18084532374100726</v>
      </c>
      <c r="AG265" s="42">
        <v>0.13898646554396121</v>
      </c>
      <c r="AH265" s="24">
        <v>3.8626035819299576E-2</v>
      </c>
      <c r="AI265" s="24">
        <v>0.13477718915550008</v>
      </c>
      <c r="AJ265" s="24">
        <v>2.0661157024793431E-2</v>
      </c>
      <c r="AK265" s="42"/>
      <c r="AL265" s="24"/>
      <c r="AM265" s="24"/>
      <c r="AN265" s="24"/>
      <c r="AO265" s="24"/>
      <c r="AP265" s="42">
        <f t="shared" si="358"/>
        <v>0.43400090347839182</v>
      </c>
      <c r="AQ265" s="24">
        <f t="shared" si="358"/>
        <v>-2.3000255558395133E-2</v>
      </c>
      <c r="AR265" s="24">
        <f t="shared" si="358"/>
        <v>0.29545728401012172</v>
      </c>
      <c r="AS265" s="24">
        <f t="shared" si="358"/>
        <v>0.14041609600208704</v>
      </c>
      <c r="AT265" s="24">
        <f t="shared" si="358"/>
        <v>-0.16496529195590037</v>
      </c>
      <c r="AU265" s="42">
        <f t="shared" si="358"/>
        <v>4.8618111559139754E-2</v>
      </c>
      <c r="AV265" s="207">
        <f t="shared" si="358"/>
        <v>0.10271165751155298</v>
      </c>
      <c r="AW265" s="207">
        <f t="shared" si="358"/>
        <v>-2.8648497814156793E-2</v>
      </c>
      <c r="AX265" s="207">
        <f t="shared" si="358"/>
        <v>-0.10402607800526131</v>
      </c>
      <c r="AY265" s="207">
        <f t="shared" si="358"/>
        <v>0.32293398533007345</v>
      </c>
      <c r="AZ265" s="42">
        <f t="shared" si="359"/>
        <v>4.712503254491196E-2</v>
      </c>
      <c r="BA265" s="207">
        <f t="shared" si="359"/>
        <v>7.7488732505732738E-3</v>
      </c>
      <c r="BB265" s="207">
        <f t="shared" si="359"/>
        <v>5.9274154936320933E-2</v>
      </c>
      <c r="BC265" s="207">
        <f t="shared" si="359"/>
        <v>4.6722410161485817E-2</v>
      </c>
      <c r="BD265" s="207">
        <f t="shared" si="359"/>
        <v>-0.17594440748133366</v>
      </c>
      <c r="BE265" s="42">
        <f t="shared" si="359"/>
        <v>-1.7806594751740512E-2</v>
      </c>
      <c r="BF265" s="207">
        <f t="shared" si="359"/>
        <v>-0.20109846998823067</v>
      </c>
      <c r="BG265" s="207">
        <f t="shared" si="359"/>
        <v>0.10640028927861156</v>
      </c>
      <c r="BH265" s="207">
        <f t="shared" si="359"/>
        <v>2.3538020611012955E-2</v>
      </c>
      <c r="BI265" s="207">
        <f t="shared" si="359"/>
        <v>0.40190185700188397</v>
      </c>
      <c r="BJ265" s="42">
        <f t="shared" si="360"/>
        <v>6.7766245399489833E-2</v>
      </c>
      <c r="BK265" s="207">
        <f t="shared" si="360"/>
        <v>0.13258691809074841</v>
      </c>
      <c r="BL265" s="207">
        <f t="shared" si="360"/>
        <v>5.4416210474711901E-2</v>
      </c>
      <c r="BM265" s="207">
        <f t="shared" si="360"/>
        <v>-1.1379207625856425E-2</v>
      </c>
      <c r="BN265" s="207">
        <f t="shared" si="360"/>
        <v>-0.15972355538491068</v>
      </c>
      <c r="BO265" s="42">
        <f t="shared" si="361"/>
        <v>-1.2237156456878173E-2</v>
      </c>
      <c r="BP265" s="207">
        <f t="shared" si="361"/>
        <v>0.11567811307665621</v>
      </c>
      <c r="BQ265" s="207">
        <f t="shared" si="361"/>
        <v>3.0375823324293005E-2</v>
      </c>
      <c r="BR265" s="207">
        <f t="shared" si="361"/>
        <v>-0.12335784018319873</v>
      </c>
      <c r="BS265" s="207">
        <f t="shared" si="361"/>
        <v>3.0538420531566413E-2</v>
      </c>
      <c r="BT265" s="42">
        <f t="shared" si="361"/>
        <v>1.4770503304899485E-3</v>
      </c>
      <c r="BU265" s="207">
        <f t="shared" si="361"/>
        <v>5.4562412560236195E-2</v>
      </c>
      <c r="BV265" s="207">
        <f t="shared" si="361"/>
        <v>0.11980145897570882</v>
      </c>
      <c r="BW265" s="207">
        <f t="shared" si="361"/>
        <v>3.100295593593172E-2</v>
      </c>
      <c r="BX265" s="207">
        <f t="shared" si="361"/>
        <v>0.11225243866390788</v>
      </c>
      <c r="BY265" s="42">
        <f t="shared" si="362"/>
        <v>7.8629106596364462E-2</v>
      </c>
      <c r="BZ265" s="207">
        <f t="shared" si="362"/>
        <v>8.468455188679247E-2</v>
      </c>
      <c r="CA265" s="207">
        <f t="shared" si="362"/>
        <v>0.11437206178643389</v>
      </c>
      <c r="CB265" s="207">
        <f t="shared" si="362"/>
        <v>8.5544739298573091E-2</v>
      </c>
      <c r="CC265" s="207">
        <f t="shared" si="362"/>
        <v>5.0561424490067175E-2</v>
      </c>
      <c r="CD265" s="42">
        <f t="shared" si="362"/>
        <v>4.8712119917274865E-2</v>
      </c>
      <c r="CE265" s="207">
        <f t="shared" si="362"/>
        <v>-4.6205068967860585E-3</v>
      </c>
      <c r="CF265" s="207">
        <f t="shared" si="362"/>
        <v>-1.9887904538058221E-2</v>
      </c>
      <c r="CG265" s="207">
        <f t="shared" si="362"/>
        <v>1.5478164731896005E-2</v>
      </c>
      <c r="CH265" s="207">
        <f t="shared" si="362"/>
        <v>4.5345307361497555E-2</v>
      </c>
      <c r="CI265" s="42">
        <f t="shared" si="363"/>
        <v>-1.3022149062046684E-2</v>
      </c>
      <c r="CJ265" s="208">
        <v>0.08</v>
      </c>
      <c r="CK265" s="208">
        <v>0.08</v>
      </c>
      <c r="CL265" s="208">
        <v>0.08</v>
      </c>
      <c r="CM265" s="208">
        <v>0.08</v>
      </c>
      <c r="CN265" s="208">
        <v>0.08</v>
      </c>
      <c r="CO265" s="74"/>
      <c r="CP265" s="74"/>
      <c r="CQ265" s="6"/>
      <c r="CR265" s="6"/>
      <c r="CS265" s="6"/>
      <c r="CT265" s="124"/>
      <c r="CU265" s="124"/>
      <c r="CV265" s="124"/>
      <c r="CW265" s="124"/>
      <c r="CX265" s="124"/>
      <c r="CY265" s="124"/>
      <c r="CZ265" s="124"/>
      <c r="DA265" s="124"/>
      <c r="DB265" s="124"/>
      <c r="DC265" s="124"/>
      <c r="DD265" s="124"/>
      <c r="DE265" s="124"/>
      <c r="DF265" s="124"/>
      <c r="DG265" s="124"/>
      <c r="DH265" s="124"/>
      <c r="DI265" s="124"/>
      <c r="DK265" s="124"/>
      <c r="DL265" s="124"/>
      <c r="DM265" s="6"/>
      <c r="DN265" s="124"/>
      <c r="DO265" s="124"/>
      <c r="DQ265" s="136"/>
      <c r="DR265" s="124"/>
      <c r="DS265" s="124"/>
      <c r="DT265" s="124"/>
      <c r="DV265" s="124"/>
      <c r="DW265" s="124"/>
      <c r="DX265" s="124"/>
      <c r="EA265" s="111"/>
      <c r="EB265" s="111"/>
      <c r="EC265" s="111"/>
      <c r="ED265" s="124"/>
      <c r="EE265" s="124"/>
      <c r="EF265" s="124"/>
      <c r="EJ265" s="111"/>
      <c r="EK265" s="111"/>
      <c r="EL265" s="124"/>
      <c r="EM265" s="124"/>
      <c r="EN265" s="124"/>
      <c r="EP265" s="111"/>
      <c r="EQ265" s="124"/>
      <c r="ER265" s="124"/>
      <c r="ES265" s="124"/>
      <c r="EV265" s="111"/>
      <c r="EW265" s="111"/>
      <c r="EX265" s="111"/>
      <c r="EY265" s="111"/>
      <c r="EZ265" s="124"/>
      <c r="FA265" s="124"/>
      <c r="FD265" s="111"/>
      <c r="FE265" s="111"/>
      <c r="FF265" s="111"/>
      <c r="FG265" s="124"/>
      <c r="FH265" s="124"/>
      <c r="FK265" s="124"/>
      <c r="FL265" s="124"/>
      <c r="FO265" s="111">
        <v>0.05</v>
      </c>
      <c r="FP265" s="111">
        <v>8.2342721963480692E-2</v>
      </c>
      <c r="FQ265" s="124">
        <v>0.05</v>
      </c>
      <c r="FR265" s="124">
        <v>0.1</v>
      </c>
      <c r="FU265" s="111">
        <v>8.8356620093150706E-3</v>
      </c>
      <c r="FV265" s="124">
        <v>0.03</v>
      </c>
      <c r="FW265" s="124">
        <v>-0.15</v>
      </c>
      <c r="FX265" s="124">
        <v>0.1</v>
      </c>
      <c r="FY265" s="124">
        <v>0.1</v>
      </c>
      <c r="GA265" s="124">
        <v>-0.15</v>
      </c>
      <c r="GB265" s="124">
        <v>0.1</v>
      </c>
      <c r="GC265" s="124">
        <v>0.1</v>
      </c>
      <c r="GF265" s="111"/>
      <c r="GG265" s="111"/>
      <c r="GH265" s="111"/>
      <c r="GI265" s="124">
        <v>-0.1</v>
      </c>
      <c r="GJ265" s="124">
        <v>0.1</v>
      </c>
      <c r="GK265" s="124">
        <v>0.1</v>
      </c>
      <c r="GN265" s="111"/>
      <c r="GO265" s="111"/>
      <c r="GP265" s="124">
        <v>-0.03</v>
      </c>
      <c r="GQ265" s="124">
        <v>0.1</v>
      </c>
      <c r="GR265" s="124">
        <v>0.1</v>
      </c>
      <c r="GV265" s="111">
        <v>0.32005472324392237</v>
      </c>
      <c r="GW265" s="124">
        <v>0.05</v>
      </c>
      <c r="GX265" s="124">
        <v>0.1</v>
      </c>
      <c r="GY265" s="124">
        <v>0.15</v>
      </c>
      <c r="HC265" s="124">
        <v>9.1613873424201797E-2</v>
      </c>
      <c r="HD265" s="124">
        <v>0.05</v>
      </c>
      <c r="HE265" s="124">
        <v>0.18</v>
      </c>
      <c r="HF265" s="124">
        <v>0.1</v>
      </c>
      <c r="HI265" s="111">
        <v>0.17999999999999994</v>
      </c>
      <c r="HJ265" s="111">
        <v>0.17999999999999994</v>
      </c>
      <c r="HK265" s="111">
        <v>0.17999999999999994</v>
      </c>
      <c r="HL265" s="111">
        <v>0.18000000000000016</v>
      </c>
      <c r="HM265" s="124">
        <v>0.18</v>
      </c>
      <c r="HN265" s="124">
        <v>0.1</v>
      </c>
      <c r="HO265" s="124">
        <v>0.1</v>
      </c>
      <c r="HR265" s="111">
        <v>0.17999999999999994</v>
      </c>
      <c r="HS265" s="111">
        <v>0.17999999999999994</v>
      </c>
      <c r="HT265" s="111">
        <v>0.23648922397380279</v>
      </c>
      <c r="HU265" s="124">
        <v>0.18</v>
      </c>
      <c r="HV265" s="124">
        <v>0.1</v>
      </c>
      <c r="HW265" s="124">
        <v>0.1</v>
      </c>
      <c r="HZ265" s="111">
        <v>0.17999999999999994</v>
      </c>
      <c r="IA265" s="124">
        <v>0.18</v>
      </c>
      <c r="IB265" s="124">
        <v>0.1</v>
      </c>
      <c r="IC265" s="124">
        <v>0.1</v>
      </c>
      <c r="IE265" s="111">
        <v>0.23068311628969651</v>
      </c>
      <c r="IF265" s="124">
        <v>0.05</v>
      </c>
      <c r="IG265" s="124">
        <v>0.1</v>
      </c>
      <c r="IH265" s="124">
        <v>0.1</v>
      </c>
      <c r="IK265" s="124">
        <v>0.1</v>
      </c>
      <c r="IL265" s="124">
        <v>0.1</v>
      </c>
      <c r="IO265" s="124">
        <v>0.19</v>
      </c>
      <c r="IP265" s="124">
        <v>0.1</v>
      </c>
      <c r="IS265" s="160">
        <v>0.08</v>
      </c>
      <c r="IT265" s="160">
        <v>0.1</v>
      </c>
      <c r="IU265" s="160">
        <v>0.1</v>
      </c>
      <c r="IX265" s="124">
        <v>0.39833727460833557</v>
      </c>
      <c r="IY265" s="124">
        <v>0.15</v>
      </c>
      <c r="IZ265" s="124">
        <v>0.1</v>
      </c>
      <c r="JA265" s="124">
        <v>0.1</v>
      </c>
      <c r="JD265" s="124">
        <v>0.1</v>
      </c>
      <c r="JE265" s="124">
        <v>0.14000000000000001</v>
      </c>
      <c r="JH265" s="124">
        <v>7.0000000000000007E-2</v>
      </c>
      <c r="JI265" s="124">
        <v>0.14000000000000001</v>
      </c>
      <c r="JJ265" s="124">
        <v>0.12</v>
      </c>
      <c r="JM265" s="124">
        <v>0.14000000000000001</v>
      </c>
      <c r="JN265" s="124">
        <v>0.12</v>
      </c>
      <c r="JQ265" s="124">
        <v>0.1</v>
      </c>
      <c r="JR265" s="124">
        <v>0.14000000000000001</v>
      </c>
      <c r="JS265" s="124">
        <v>0.12</v>
      </c>
      <c r="JV265" s="124">
        <v>0.14000000000000001</v>
      </c>
      <c r="JW265" s="124">
        <v>0.12</v>
      </c>
      <c r="JY265" s="124">
        <v>0.14000000000000001</v>
      </c>
      <c r="JZ265" s="124">
        <v>0.12</v>
      </c>
      <c r="KB265" s="124">
        <v>0.05</v>
      </c>
      <c r="KC265" s="124">
        <v>0.1</v>
      </c>
      <c r="KD265" s="124">
        <v>0.1</v>
      </c>
    </row>
    <row r="266" spans="2:290" x14ac:dyDescent="0.25">
      <c r="B266" s="11" t="str">
        <f>B249</f>
        <v>Industrial Products</v>
      </c>
      <c r="C266" s="23"/>
      <c r="D266" s="23"/>
      <c r="E266" s="23"/>
      <c r="F266" s="23"/>
      <c r="G266" s="23"/>
      <c r="H266" s="197"/>
      <c r="I266" s="198"/>
      <c r="J266" s="198"/>
      <c r="K266" s="198"/>
      <c r="L266" s="198"/>
      <c r="M266" s="197"/>
      <c r="N266" s="198"/>
      <c r="O266" s="198"/>
      <c r="P266" s="198"/>
      <c r="Q266" s="198"/>
      <c r="R266" s="197"/>
      <c r="S266" s="198"/>
      <c r="T266" s="198"/>
      <c r="U266" s="198"/>
      <c r="V266" s="198"/>
      <c r="W266" s="197"/>
      <c r="X266" s="198"/>
      <c r="Y266" s="198"/>
      <c r="Z266" s="198"/>
      <c r="AA266" s="198"/>
      <c r="AB266" s="42">
        <v>-0.1601928409062523</v>
      </c>
      <c r="AC266" s="24">
        <v>0.13799091637723748</v>
      </c>
      <c r="AD266" s="24">
        <v>0.12766232089841223</v>
      </c>
      <c r="AE266" s="24">
        <v>0.13704050817452873</v>
      </c>
      <c r="AF266" s="24">
        <v>5.8287795992713942E-2</v>
      </c>
      <c r="AG266" s="42">
        <v>0.1145151695419393</v>
      </c>
      <c r="AH266" s="24">
        <v>-1.8664162460382716E-2</v>
      </c>
      <c r="AI266" s="24">
        <v>-0.12316849816849818</v>
      </c>
      <c r="AJ266" s="24">
        <v>-8.2425130506456612E-2</v>
      </c>
      <c r="AK266" s="42"/>
      <c r="AL266" s="24"/>
      <c r="AM266" s="24"/>
      <c r="AN266" s="24"/>
      <c r="AO266" s="24"/>
      <c r="AP266" s="42">
        <f t="shared" si="358"/>
        <v>0.49713890702407926</v>
      </c>
      <c r="AQ266" s="24">
        <f t="shared" si="358"/>
        <v>5.7545570156846138E-2</v>
      </c>
      <c r="AR266" s="24">
        <f t="shared" si="358"/>
        <v>0.17023163027817789</v>
      </c>
      <c r="AS266" s="24">
        <f t="shared" si="358"/>
        <v>-3.6052740008241102E-3</v>
      </c>
      <c r="AT266" s="24">
        <f t="shared" si="358"/>
        <v>0.31986687621336785</v>
      </c>
      <c r="AU266" s="42">
        <f t="shared" si="358"/>
        <v>0.14118612764210958</v>
      </c>
      <c r="AV266" s="207">
        <f t="shared" si="358"/>
        <v>0.23038380599258446</v>
      </c>
      <c r="AW266" s="207">
        <f t="shared" si="358"/>
        <v>8.4667108627710874E-2</v>
      </c>
      <c r="AX266" s="207">
        <f t="shared" si="358"/>
        <v>2.1916675281711928E-2</v>
      </c>
      <c r="AY266" s="207">
        <f t="shared" si="358"/>
        <v>-0.23604398683196748</v>
      </c>
      <c r="AZ266" s="42">
        <f t="shared" si="359"/>
        <v>7.8672900557452685E-4</v>
      </c>
      <c r="BA266" s="207">
        <f t="shared" si="359"/>
        <v>-0.15548134875386865</v>
      </c>
      <c r="BB266" s="207">
        <f t="shared" si="359"/>
        <v>-0.13097005151488694</v>
      </c>
      <c r="BC266" s="207">
        <f t="shared" si="359"/>
        <v>-0.10966110268082951</v>
      </c>
      <c r="BD266" s="207">
        <f t="shared" si="359"/>
        <v>-0.12954983038415702</v>
      </c>
      <c r="BE266" s="42">
        <f t="shared" si="359"/>
        <v>-0.13265054017024913</v>
      </c>
      <c r="BF266" s="207">
        <f t="shared" si="359"/>
        <v>-0.53997492525798052</v>
      </c>
      <c r="BG266" s="207">
        <f t="shared" si="359"/>
        <v>0.13382899628252787</v>
      </c>
      <c r="BH266" s="207">
        <f t="shared" si="359"/>
        <v>0.32394046131121468</v>
      </c>
      <c r="BI266" s="207">
        <f t="shared" si="359"/>
        <v>0.44765114809353279</v>
      </c>
      <c r="BJ266" s="42">
        <f t="shared" si="360"/>
        <v>7.3387368257503249E-2</v>
      </c>
      <c r="BK266" s="207">
        <f t="shared" si="360"/>
        <v>0.99412997903563949</v>
      </c>
      <c r="BL266" s="207">
        <f t="shared" si="360"/>
        <v>9.7917589720868392E-2</v>
      </c>
      <c r="BM266" s="207">
        <f t="shared" si="360"/>
        <v>6.1191211809131563E-2</v>
      </c>
      <c r="BN266" s="207">
        <f t="shared" si="360"/>
        <v>1.3824214202560192E-3</v>
      </c>
      <c r="BO266" s="42">
        <f t="shared" si="361"/>
        <v>0.15871752189331989</v>
      </c>
      <c r="BP266" s="207">
        <f t="shared" si="361"/>
        <v>0.35628679562657695</v>
      </c>
      <c r="BQ266" s="207">
        <f t="shared" si="361"/>
        <v>0.19176755447941884</v>
      </c>
      <c r="BR266" s="207">
        <f t="shared" si="361"/>
        <v>0.19571370804690669</v>
      </c>
      <c r="BS266" s="207">
        <f t="shared" si="361"/>
        <v>0.19944779481217756</v>
      </c>
      <c r="BT266" s="42">
        <f t="shared" si="361"/>
        <v>0.22756610451800952</v>
      </c>
      <c r="BU266" s="207">
        <f t="shared" si="361"/>
        <v>3.937679249670567E-2</v>
      </c>
      <c r="BV266" s="207">
        <f t="shared" si="361"/>
        <v>4.4629554381687697E-2</v>
      </c>
      <c r="BW266" s="207">
        <f t="shared" si="361"/>
        <v>9.7801826175177631E-2</v>
      </c>
      <c r="BX266" s="207">
        <f t="shared" si="361"/>
        <v>2.1989338502544253E-2</v>
      </c>
      <c r="BY266" s="42">
        <f t="shared" si="362"/>
        <v>5.0474898236092303E-2</v>
      </c>
      <c r="BZ266" s="207">
        <f t="shared" si="362"/>
        <v>0.11589231113431286</v>
      </c>
      <c r="CA266" s="207">
        <f t="shared" si="362"/>
        <v>-2.0421393841166924E-2</v>
      </c>
      <c r="CB266" s="207">
        <f t="shared" si="362"/>
        <v>0</v>
      </c>
      <c r="CC266" s="207">
        <f t="shared" si="362"/>
        <v>-1.1261928753482309E-2</v>
      </c>
      <c r="CD266" s="42">
        <f t="shared" si="362"/>
        <v>3.7716352363730277E-2</v>
      </c>
      <c r="CE266" s="207">
        <f t="shared" si="362"/>
        <v>8.1200294058678013E-2</v>
      </c>
      <c r="CF266" s="207">
        <f t="shared" si="362"/>
        <v>-7.8292521508934509E-2</v>
      </c>
      <c r="CG266" s="207">
        <f t="shared" si="362"/>
        <v>-4.7932967777709279E-2</v>
      </c>
      <c r="CH266" s="207">
        <f t="shared" si="362"/>
        <v>0.10143276781967514</v>
      </c>
      <c r="CI266" s="42">
        <f t="shared" si="363"/>
        <v>4.7843539955190417E-2</v>
      </c>
      <c r="CJ266" s="208">
        <v>0.05</v>
      </c>
      <c r="CK266" s="208">
        <v>0.05</v>
      </c>
      <c r="CL266" s="208">
        <v>0.08</v>
      </c>
      <c r="CM266" s="208">
        <v>0.08</v>
      </c>
      <c r="CN266" s="208">
        <v>0.08</v>
      </c>
      <c r="CO266" s="74"/>
      <c r="CP266" s="74"/>
      <c r="CQ266" s="6"/>
      <c r="CR266" s="6"/>
      <c r="CS266" s="6"/>
      <c r="CT266" s="124"/>
      <c r="CU266" s="124"/>
      <c r="CV266" s="124"/>
      <c r="CW266" s="124"/>
      <c r="CX266" s="124"/>
      <c r="CY266" s="124"/>
      <c r="CZ266" s="124"/>
      <c r="DA266" s="124"/>
      <c r="DB266" s="124"/>
      <c r="DC266" s="124"/>
      <c r="DD266" s="124"/>
      <c r="DE266" s="124"/>
      <c r="DF266" s="124"/>
      <c r="DG266" s="124"/>
      <c r="DH266" s="124"/>
      <c r="DI266" s="124"/>
      <c r="DK266" s="124"/>
      <c r="DL266" s="124"/>
      <c r="DM266" s="6"/>
      <c r="DN266" s="124"/>
      <c r="DO266" s="124"/>
      <c r="DQ266" s="136"/>
      <c r="DR266" s="124"/>
      <c r="DS266" s="124"/>
      <c r="DT266" s="124"/>
      <c r="DV266" s="124"/>
      <c r="DW266" s="124"/>
      <c r="DX266" s="124"/>
      <c r="EA266" s="111"/>
      <c r="EB266" s="111"/>
      <c r="EC266" s="111"/>
      <c r="ED266" s="124"/>
      <c r="EE266" s="124"/>
      <c r="EF266" s="124"/>
      <c r="EJ266" s="111"/>
      <c r="EK266" s="111"/>
      <c r="EL266" s="124"/>
      <c r="EM266" s="124"/>
      <c r="EN266" s="124"/>
      <c r="EP266" s="111"/>
      <c r="EQ266" s="124"/>
      <c r="ER266" s="124"/>
      <c r="ES266" s="124"/>
      <c r="EV266" s="111"/>
      <c r="EW266" s="111"/>
      <c r="EX266" s="111"/>
      <c r="EY266" s="111"/>
      <c r="EZ266" s="124"/>
      <c r="FA266" s="124"/>
      <c r="FD266" s="111"/>
      <c r="FE266" s="111"/>
      <c r="FF266" s="111"/>
      <c r="FG266" s="124"/>
      <c r="FH266" s="124"/>
      <c r="FK266" s="124"/>
      <c r="FL266" s="124"/>
      <c r="FO266" s="111">
        <v>0</v>
      </c>
      <c r="FP266" s="111">
        <v>0.10844870266801121</v>
      </c>
      <c r="FQ266" s="124">
        <v>-0.05</v>
      </c>
      <c r="FR266" s="124">
        <v>7.0000000000000007E-2</v>
      </c>
      <c r="FU266" s="111">
        <v>-7.7909599339873625E-2</v>
      </c>
      <c r="FV266" s="124">
        <v>-0.12</v>
      </c>
      <c r="FW266" s="124">
        <v>-0.15</v>
      </c>
      <c r="FX266" s="124">
        <v>7.0000000000000007E-2</v>
      </c>
      <c r="FY266" s="124">
        <v>7.0000000000000007E-2</v>
      </c>
      <c r="GA266" s="124">
        <v>-0.3</v>
      </c>
      <c r="GB266" s="124">
        <v>7.0000000000000007E-2</v>
      </c>
      <c r="GC266" s="124">
        <v>7.0000000000000007E-2</v>
      </c>
      <c r="GF266" s="111"/>
      <c r="GG266" s="111"/>
      <c r="GH266" s="111"/>
      <c r="GI266" s="124">
        <v>-0.25</v>
      </c>
      <c r="GJ266" s="124">
        <v>7.0000000000000007E-2</v>
      </c>
      <c r="GK266" s="124">
        <v>7.0000000000000007E-2</v>
      </c>
      <c r="GN266" s="111"/>
      <c r="GO266" s="111"/>
      <c r="GP266" s="124">
        <v>-0.1</v>
      </c>
      <c r="GQ266" s="124">
        <v>7.0000000000000007E-2</v>
      </c>
      <c r="GR266" s="124">
        <v>7.0000000000000007E-2</v>
      </c>
      <c r="GV266" s="111">
        <v>0.39319780914261693</v>
      </c>
      <c r="GW266" s="124">
        <v>0.06</v>
      </c>
      <c r="GX266" s="124">
        <v>0.12</v>
      </c>
      <c r="GY266" s="124">
        <v>0.15</v>
      </c>
      <c r="HC266" s="124">
        <v>-6.2379947613504516E-2</v>
      </c>
      <c r="HD266" s="124">
        <v>0.15</v>
      </c>
      <c r="HE266" s="124">
        <v>0.15</v>
      </c>
      <c r="HF266" s="124">
        <v>0.1</v>
      </c>
      <c r="HI266" s="111">
        <v>0.14999999999999991</v>
      </c>
      <c r="HJ266" s="111">
        <v>0.14999999999999991</v>
      </c>
      <c r="HK266" s="111">
        <v>0.14999999999999991</v>
      </c>
      <c r="HL266" s="111">
        <v>0.14999999999999991</v>
      </c>
      <c r="HM266" s="124">
        <v>0.15</v>
      </c>
      <c r="HN266" s="124">
        <v>0.1</v>
      </c>
      <c r="HO266" s="124">
        <v>0.1</v>
      </c>
      <c r="HR266" s="111">
        <v>0.14999999999999991</v>
      </c>
      <c r="HS266" s="111">
        <v>0.14999999999999991</v>
      </c>
      <c r="HT266" s="111">
        <v>7.4293395335316426E-3</v>
      </c>
      <c r="HU266" s="124">
        <v>0.15</v>
      </c>
      <c r="HV266" s="124">
        <v>0.1</v>
      </c>
      <c r="HW266" s="124">
        <v>0.1</v>
      </c>
      <c r="HZ266" s="111">
        <v>0.14999999999999991</v>
      </c>
      <c r="IA266" s="124">
        <v>0.15</v>
      </c>
      <c r="IB266" s="124">
        <v>0.1</v>
      </c>
      <c r="IC266" s="124">
        <v>0.1</v>
      </c>
      <c r="IE266" s="111">
        <v>0.10324783840732388</v>
      </c>
      <c r="IF266" s="124">
        <v>0.2</v>
      </c>
      <c r="IG266" s="124">
        <v>0.1</v>
      </c>
      <c r="IH266" s="124">
        <v>0.1</v>
      </c>
      <c r="IK266" s="124">
        <v>0.1</v>
      </c>
      <c r="IL266" s="124">
        <v>0.1</v>
      </c>
      <c r="IO266" s="124">
        <v>0.1</v>
      </c>
      <c r="IP266" s="124">
        <v>0.1</v>
      </c>
      <c r="IS266" s="160">
        <v>0.08</v>
      </c>
      <c r="IT266" s="160">
        <v>0.1</v>
      </c>
      <c r="IU266" s="160">
        <v>0.1</v>
      </c>
      <c r="IX266" s="124">
        <v>0.12744124061061313</v>
      </c>
      <c r="IY266" s="124">
        <v>0.08</v>
      </c>
      <c r="IZ266" s="124">
        <v>0.1</v>
      </c>
      <c r="JA266" s="124">
        <v>0.1</v>
      </c>
      <c r="JD266" s="124">
        <v>0.1</v>
      </c>
      <c r="JE266" s="124">
        <v>0.12</v>
      </c>
      <c r="JH266" s="124">
        <v>7.0000000000000007E-2</v>
      </c>
      <c r="JI266" s="124">
        <v>0.12</v>
      </c>
      <c r="JJ266" s="124">
        <v>0.12</v>
      </c>
      <c r="JM266" s="124">
        <v>0.12</v>
      </c>
      <c r="JN266" s="124">
        <v>0.12</v>
      </c>
      <c r="JQ266" s="124">
        <v>0.04</v>
      </c>
      <c r="JR266" s="124">
        <v>0.1</v>
      </c>
      <c r="JS266" s="124">
        <v>0.1</v>
      </c>
      <c r="JV266" s="124">
        <v>0.1</v>
      </c>
      <c r="JW266" s="124">
        <v>0.1</v>
      </c>
      <c r="JY266" s="124">
        <v>0.1</v>
      </c>
      <c r="JZ266" s="124">
        <v>0.1</v>
      </c>
      <c r="KB266" s="124">
        <v>0</v>
      </c>
      <c r="KC266" s="124">
        <v>7.0000000000000007E-2</v>
      </c>
      <c r="KD266" s="124">
        <v>7.0000000000000007E-2</v>
      </c>
    </row>
    <row r="267" spans="2:290" x14ac:dyDescent="0.25">
      <c r="B267" s="11" t="str">
        <f>B250</f>
        <v>Consumer Products</v>
      </c>
      <c r="C267" s="23"/>
      <c r="D267" s="23"/>
      <c r="E267" s="23"/>
      <c r="F267" s="23"/>
      <c r="G267" s="23"/>
      <c r="H267" s="197"/>
      <c r="I267" s="198"/>
      <c r="J267" s="198"/>
      <c r="K267" s="198"/>
      <c r="L267" s="198"/>
      <c r="M267" s="197"/>
      <c r="N267" s="198"/>
      <c r="O267" s="198"/>
      <c r="P267" s="198"/>
      <c r="Q267" s="198"/>
      <c r="R267" s="197"/>
      <c r="S267" s="198"/>
      <c r="T267" s="198"/>
      <c r="U267" s="198"/>
      <c r="V267" s="198"/>
      <c r="W267" s="197"/>
      <c r="X267" s="198"/>
      <c r="Y267" s="198"/>
      <c r="Z267" s="198"/>
      <c r="AA267" s="198"/>
      <c r="AB267" s="42">
        <v>-0.21635856655995045</v>
      </c>
      <c r="AC267" s="24">
        <v>-9.6913580246913544E-2</v>
      </c>
      <c r="AD267" s="24">
        <v>-6.4317397732873371E-2</v>
      </c>
      <c r="AE267" s="24">
        <v>0.20795857181793398</v>
      </c>
      <c r="AF267" s="24">
        <v>0.14706581135661678</v>
      </c>
      <c r="AG267" s="42">
        <v>5.3176067474960398E-2</v>
      </c>
      <c r="AH267" s="24">
        <v>0.10321257689678753</v>
      </c>
      <c r="AI267" s="24">
        <v>0.22912825915196211</v>
      </c>
      <c r="AJ267" s="24">
        <v>0.15749097472924189</v>
      </c>
      <c r="AK267" s="42"/>
      <c r="AL267" s="24"/>
      <c r="AM267" s="24"/>
      <c r="AN267" s="24"/>
      <c r="AO267" s="24"/>
      <c r="AP267" s="42">
        <f t="shared" si="358"/>
        <v>0.44314779270633387</v>
      </c>
      <c r="AQ267" s="24">
        <f t="shared" si="358"/>
        <v>-7.8778135048231501E-2</v>
      </c>
      <c r="AR267" s="24">
        <f t="shared" si="358"/>
        <v>0.12910128388017128</v>
      </c>
      <c r="AS267" s="24">
        <f t="shared" si="358"/>
        <v>0.12760359570269686</v>
      </c>
      <c r="AT267" s="24">
        <f t="shared" si="358"/>
        <v>0.16917293233082709</v>
      </c>
      <c r="AU267" s="42">
        <f t="shared" si="358"/>
        <v>8.448156620737346E-2</v>
      </c>
      <c r="AV267" s="207">
        <f t="shared" si="358"/>
        <v>0.15074171029668415</v>
      </c>
      <c r="AW267" s="207">
        <f t="shared" si="358"/>
        <v>-2.0846493998736615E-2</v>
      </c>
      <c r="AX267" s="207">
        <f t="shared" si="358"/>
        <v>5.0748590316935571E-2</v>
      </c>
      <c r="AY267" s="207">
        <f t="shared" si="358"/>
        <v>3.2154340836012762E-2</v>
      </c>
      <c r="AZ267" s="42">
        <f t="shared" si="359"/>
        <v>5.1165072357125307E-2</v>
      </c>
      <c r="BA267" s="207">
        <f t="shared" si="359"/>
        <v>-3.3175355450236976E-2</v>
      </c>
      <c r="BB267" s="207">
        <f t="shared" si="359"/>
        <v>4.9462365591397273E-3</v>
      </c>
      <c r="BC267" s="207">
        <f t="shared" si="359"/>
        <v>6.6247224278312311E-2</v>
      </c>
      <c r="BD267" s="207">
        <f t="shared" si="359"/>
        <v>-0.14018691588785048</v>
      </c>
      <c r="BE267" s="42">
        <f t="shared" si="359"/>
        <v>-3.0287474332648889E-2</v>
      </c>
      <c r="BF267" s="207">
        <f t="shared" si="359"/>
        <v>-0.7045098039215687</v>
      </c>
      <c r="BG267" s="207">
        <f t="shared" si="359"/>
        <v>6.4198587631072446E-3</v>
      </c>
      <c r="BH267" s="207">
        <f t="shared" si="359"/>
        <v>0.10864283234987848</v>
      </c>
      <c r="BI267" s="207">
        <f t="shared" si="359"/>
        <v>0.11937452326468345</v>
      </c>
      <c r="BJ267" s="42">
        <f t="shared" si="360"/>
        <v>-0.11121805669185236</v>
      </c>
      <c r="BK267" s="207">
        <f t="shared" si="360"/>
        <v>0.39946914399469136</v>
      </c>
      <c r="BL267" s="207">
        <f t="shared" si="360"/>
        <v>4.1462896023814588E-2</v>
      </c>
      <c r="BM267" s="207">
        <f t="shared" si="360"/>
        <v>-0.1848778960551033</v>
      </c>
      <c r="BN267" s="207">
        <f t="shared" si="360"/>
        <v>-0.1131175468483816</v>
      </c>
      <c r="BO267" s="42">
        <f t="shared" si="361"/>
        <v>-5.6746805284817015E-2</v>
      </c>
      <c r="BP267" s="207">
        <f t="shared" si="361"/>
        <v>0.7690848743480323</v>
      </c>
      <c r="BQ267" s="207">
        <f t="shared" si="361"/>
        <v>-7.717435688035934E-2</v>
      </c>
      <c r="BR267" s="207">
        <f t="shared" si="361"/>
        <v>-5.4926061071634336E-2</v>
      </c>
      <c r="BS267" s="207">
        <f t="shared" si="361"/>
        <v>-2.4010756819054957E-2</v>
      </c>
      <c r="BT267" s="42">
        <f t="shared" si="361"/>
        <v>4.7818599311136634E-2</v>
      </c>
      <c r="BU267" s="207">
        <f t="shared" si="361"/>
        <v>0.15062985794693118</v>
      </c>
      <c r="BV267" s="207">
        <f t="shared" si="361"/>
        <v>-2.2123893805314765E-4</v>
      </c>
      <c r="BW267" s="207">
        <f t="shared" si="361"/>
        <v>-2.6010973379394398E-2</v>
      </c>
      <c r="BX267" s="207">
        <f t="shared" si="361"/>
        <v>-8.4432198386144464E-2</v>
      </c>
      <c r="BY267" s="42">
        <f t="shared" si="362"/>
        <v>2.1914205883954985E-4</v>
      </c>
      <c r="BZ267" s="207">
        <f t="shared" si="362"/>
        <v>-6.7784765897973442E-2</v>
      </c>
      <c r="CA267" s="207">
        <f t="shared" si="362"/>
        <v>-8.4753263996459438E-2</v>
      </c>
      <c r="CB267" s="207">
        <f t="shared" si="362"/>
        <v>0</v>
      </c>
      <c r="CC267" s="207">
        <f t="shared" si="362"/>
        <v>0.10791057609630261</v>
      </c>
      <c r="CD267" s="42">
        <f t="shared" si="362"/>
        <v>-2.7879717368680557E-2</v>
      </c>
      <c r="CE267" s="207">
        <f t="shared" si="362"/>
        <v>4.8975512243877972E-2</v>
      </c>
      <c r="CF267" s="207">
        <f t="shared" si="362"/>
        <v>5.9235976789168365E-2</v>
      </c>
      <c r="CG267" s="207">
        <f t="shared" si="362"/>
        <v>6.0504902983518072E-3</v>
      </c>
      <c r="CH267" s="207">
        <f t="shared" si="362"/>
        <v>-8.1490104772992122E-3</v>
      </c>
      <c r="CI267" s="42">
        <f t="shared" si="363"/>
        <v>4.31034482758621E-2</v>
      </c>
      <c r="CJ267" s="208">
        <v>0.05</v>
      </c>
      <c r="CK267" s="208">
        <v>0.05</v>
      </c>
      <c r="CL267" s="208">
        <v>0.05</v>
      </c>
      <c r="CM267" s="208">
        <v>0.05</v>
      </c>
      <c r="CN267" s="208">
        <v>0.05</v>
      </c>
      <c r="CO267" s="74"/>
      <c r="CP267" s="74"/>
      <c r="CQ267" s="6"/>
      <c r="CR267" s="6"/>
      <c r="CS267" s="6"/>
      <c r="CT267" s="124"/>
      <c r="CU267" s="124"/>
      <c r="CV267" s="124"/>
      <c r="CW267" s="124"/>
      <c r="CX267" s="124"/>
      <c r="CY267" s="124"/>
      <c r="CZ267" s="124"/>
      <c r="DA267" s="124"/>
      <c r="DB267" s="124"/>
      <c r="DC267" s="124"/>
      <c r="DD267" s="124"/>
      <c r="DE267" s="124"/>
      <c r="DF267" s="124"/>
      <c r="DG267" s="124"/>
      <c r="DH267" s="124"/>
      <c r="DI267" s="124"/>
      <c r="DK267" s="124"/>
      <c r="DL267" s="124"/>
      <c r="DM267" s="6"/>
      <c r="DN267" s="124"/>
      <c r="DO267" s="124"/>
      <c r="DQ267" s="136"/>
      <c r="DR267" s="124"/>
      <c r="DS267" s="124"/>
      <c r="DT267" s="124"/>
      <c r="DV267" s="124"/>
      <c r="DW267" s="124"/>
      <c r="DX267" s="124"/>
      <c r="EA267" s="111"/>
      <c r="EB267" s="111"/>
      <c r="EC267" s="111"/>
      <c r="ED267" s="124"/>
      <c r="EE267" s="124"/>
      <c r="EF267" s="124"/>
      <c r="EJ267" s="111"/>
      <c r="EK267" s="111"/>
      <c r="EL267" s="124"/>
      <c r="EM267" s="124"/>
      <c r="EN267" s="124"/>
      <c r="EP267" s="111"/>
      <c r="EQ267" s="124"/>
      <c r="ER267" s="124"/>
      <c r="ES267" s="124"/>
      <c r="EV267" s="111"/>
      <c r="EW267" s="111"/>
      <c r="EX267" s="111"/>
      <c r="EY267" s="111"/>
      <c r="EZ267" s="124"/>
      <c r="FA267" s="124"/>
      <c r="FD267" s="111"/>
      <c r="FE267" s="111"/>
      <c r="FF267" s="111"/>
      <c r="FG267" s="124"/>
      <c r="FH267" s="124"/>
      <c r="FK267" s="124"/>
      <c r="FL267" s="124"/>
      <c r="FO267" s="111">
        <v>0.02</v>
      </c>
      <c r="FP267" s="111">
        <v>0.1126020659124447</v>
      </c>
      <c r="FQ267" s="124">
        <v>0.03</v>
      </c>
      <c r="FR267" s="124">
        <v>0.08</v>
      </c>
      <c r="FU267" s="111">
        <v>-0.13917691424823742</v>
      </c>
      <c r="FV267" s="124">
        <v>-0.03</v>
      </c>
      <c r="FW267" s="124">
        <v>-0.2</v>
      </c>
      <c r="FX267" s="124">
        <v>0.08</v>
      </c>
      <c r="FY267" s="124">
        <v>0.08</v>
      </c>
      <c r="GA267" s="124">
        <v>-0.35</v>
      </c>
      <c r="GB267" s="124">
        <v>0.08</v>
      </c>
      <c r="GC267" s="124">
        <v>0.08</v>
      </c>
      <c r="GF267" s="111"/>
      <c r="GG267" s="111"/>
      <c r="GH267" s="111"/>
      <c r="GI267" s="124">
        <v>-0.1</v>
      </c>
      <c r="GJ267" s="124">
        <v>0.08</v>
      </c>
      <c r="GK267" s="124">
        <v>0.08</v>
      </c>
      <c r="GN267" s="111"/>
      <c r="GO267" s="111"/>
      <c r="GP267" s="124">
        <v>-0.05</v>
      </c>
      <c r="GQ267" s="124">
        <v>0.08</v>
      </c>
      <c r="GR267" s="124">
        <v>0.08</v>
      </c>
      <c r="GV267" s="111">
        <v>0.36194698703279915</v>
      </c>
      <c r="GW267" s="124">
        <v>-0.05</v>
      </c>
      <c r="GX267" s="124">
        <v>0.08</v>
      </c>
      <c r="GY267" s="124">
        <v>0.08</v>
      </c>
      <c r="HC267" s="124">
        <v>0.22272572402044322</v>
      </c>
      <c r="HD267" s="124">
        <v>0.05</v>
      </c>
      <c r="HE267" s="124">
        <v>0.08</v>
      </c>
      <c r="HF267" s="124">
        <v>0.1</v>
      </c>
      <c r="HI267" s="111">
        <v>8.0000000000000071E-2</v>
      </c>
      <c r="HJ267" s="111">
        <v>8.0000000000000071E-2</v>
      </c>
      <c r="HK267" s="111">
        <v>8.0000000000000071E-2</v>
      </c>
      <c r="HL267" s="111">
        <v>8.0000000000000071E-2</v>
      </c>
      <c r="HM267" s="124">
        <v>0.08</v>
      </c>
      <c r="HN267" s="124">
        <v>0.1</v>
      </c>
      <c r="HO267" s="124">
        <v>0.1</v>
      </c>
      <c r="HR267" s="111">
        <v>8.0000000000000071E-2</v>
      </c>
      <c r="HS267" s="111">
        <v>8.0000000000000071E-2</v>
      </c>
      <c r="HT267" s="111">
        <v>-0.19915482135996898</v>
      </c>
      <c r="HU267" s="124">
        <v>0.08</v>
      </c>
      <c r="HV267" s="124">
        <v>0.1</v>
      </c>
      <c r="HW267" s="124">
        <v>0.1</v>
      </c>
      <c r="HZ267" s="111">
        <v>8.0000000000000071E-2</v>
      </c>
      <c r="IA267" s="124">
        <v>0.08</v>
      </c>
      <c r="IB267" s="124">
        <v>0.1</v>
      </c>
      <c r="IC267" s="124">
        <v>0.1</v>
      </c>
      <c r="IE267" s="111">
        <v>-1.6711486746062265E-2</v>
      </c>
      <c r="IF267" s="124">
        <v>0.05</v>
      </c>
      <c r="IG267" s="124">
        <v>0.1</v>
      </c>
      <c r="IH267" s="124">
        <v>0.1</v>
      </c>
      <c r="IK267" s="124">
        <v>0.1</v>
      </c>
      <c r="IL267" s="124">
        <v>0.1</v>
      </c>
      <c r="IO267" s="124">
        <v>0.08</v>
      </c>
      <c r="IP267" s="124">
        <v>0.1</v>
      </c>
      <c r="IS267" s="160"/>
      <c r="IT267" s="160"/>
      <c r="IU267" s="160"/>
      <c r="IX267" s="124">
        <v>0.20217280062979759</v>
      </c>
      <c r="IY267" s="124">
        <v>0.08</v>
      </c>
      <c r="IZ267" s="124">
        <v>0.1</v>
      </c>
      <c r="JA267" s="124">
        <v>0.1</v>
      </c>
      <c r="JD267" s="124">
        <v>0.1</v>
      </c>
      <c r="JE267" s="124">
        <v>0.12</v>
      </c>
      <c r="JH267" s="124">
        <v>7.0000000000000007E-2</v>
      </c>
      <c r="JI267" s="124">
        <v>0.12</v>
      </c>
      <c r="JJ267" s="124">
        <v>0.12</v>
      </c>
      <c r="JM267" s="124">
        <v>0.12</v>
      </c>
      <c r="JN267" s="124">
        <v>0.12</v>
      </c>
      <c r="JQ267" s="124">
        <v>-0.03</v>
      </c>
      <c r="JR267" s="124">
        <v>7.0000000000000007E-2</v>
      </c>
      <c r="JS267" s="124">
        <v>7.0000000000000007E-2</v>
      </c>
      <c r="JV267" s="124">
        <v>7.0000000000000007E-2</v>
      </c>
      <c r="JW267" s="124">
        <v>7.0000000000000007E-2</v>
      </c>
      <c r="JY267" s="124">
        <v>7.0000000000000007E-2</v>
      </c>
      <c r="JZ267" s="124">
        <v>7.0000000000000007E-2</v>
      </c>
      <c r="KB267" s="124">
        <v>0.02</v>
      </c>
      <c r="KC267" s="124">
        <v>7.0000000000000007E-2</v>
      </c>
      <c r="KD267" s="124">
        <v>7.0000000000000007E-2</v>
      </c>
    </row>
    <row r="268" spans="2:290" x14ac:dyDescent="0.25">
      <c r="B268" s="11" t="s">
        <v>226</v>
      </c>
      <c r="C268" s="23"/>
      <c r="D268" s="23"/>
      <c r="E268" s="23"/>
      <c r="F268" s="23"/>
      <c r="G268" s="23"/>
      <c r="H268" s="197"/>
      <c r="I268" s="198"/>
      <c r="J268" s="198"/>
      <c r="K268" s="198"/>
      <c r="L268" s="198"/>
      <c r="M268" s="197"/>
      <c r="N268" s="198"/>
      <c r="O268" s="198"/>
      <c r="P268" s="198"/>
      <c r="Q268" s="198"/>
      <c r="R268" s="197"/>
      <c r="S268" s="198"/>
      <c r="T268" s="198"/>
      <c r="U268" s="198"/>
      <c r="V268" s="198"/>
      <c r="W268" s="197"/>
      <c r="X268" s="198"/>
      <c r="Y268" s="198"/>
      <c r="Z268" s="198"/>
      <c r="AA268" s="198"/>
      <c r="AB268" s="42"/>
      <c r="AC268" s="24"/>
      <c r="AD268" s="24"/>
      <c r="AE268" s="24"/>
      <c r="AF268" s="24"/>
      <c r="AG268" s="42"/>
      <c r="AH268" s="24"/>
      <c r="AI268" s="24"/>
      <c r="AJ268" s="24"/>
      <c r="AK268" s="42"/>
      <c r="AL268" s="24"/>
      <c r="AM268" s="24"/>
      <c r="AN268" s="24"/>
      <c r="AO268" s="24"/>
      <c r="AP268" s="42"/>
      <c r="AQ268" s="24"/>
      <c r="AR268" s="24"/>
      <c r="AS268" s="24"/>
      <c r="AT268" s="24"/>
      <c r="AU268" s="42"/>
      <c r="AV268" s="207"/>
      <c r="AW268" s="207"/>
      <c r="AX268" s="207"/>
      <c r="AY268" s="207"/>
      <c r="AZ268" s="42"/>
      <c r="BA268" s="207"/>
      <c r="BB268" s="207"/>
      <c r="BC268" s="207"/>
      <c r="BD268" s="207"/>
      <c r="BE268" s="42"/>
      <c r="BF268" s="207"/>
      <c r="BG268" s="207"/>
      <c r="BH268" s="207"/>
      <c r="BI268" s="207"/>
      <c r="BJ268" s="42"/>
      <c r="BK268" s="207"/>
      <c r="BL268" s="207"/>
      <c r="BM268" s="207"/>
      <c r="BN268" s="207"/>
      <c r="BO268" s="42"/>
      <c r="BP268" s="207"/>
      <c r="BQ268" s="207"/>
      <c r="BR268" s="207"/>
      <c r="BS268" s="207"/>
      <c r="BT268" s="42"/>
      <c r="BU268" s="207"/>
      <c r="BV268" s="207"/>
      <c r="BW268" s="207"/>
      <c r="BX268" s="207"/>
      <c r="BY268" s="42"/>
      <c r="BZ268" s="207"/>
      <c r="CA268" s="207"/>
      <c r="CB268" s="207"/>
      <c r="CC268" s="207"/>
      <c r="CD268" s="42"/>
      <c r="CE268" s="207"/>
      <c r="CF268" s="207"/>
      <c r="CG268" s="207"/>
      <c r="CH268" s="207"/>
      <c r="CI268" s="42"/>
      <c r="CJ268" s="208"/>
      <c r="CK268" s="208"/>
      <c r="CL268" s="208">
        <v>0.3</v>
      </c>
      <c r="CM268" s="208">
        <v>0.2</v>
      </c>
      <c r="CN268" s="208">
        <v>0.2</v>
      </c>
      <c r="CO268" s="74"/>
      <c r="CP268" s="74"/>
      <c r="CQ268" s="6"/>
      <c r="CR268" s="6"/>
      <c r="CS268" s="6"/>
      <c r="CT268" s="124"/>
      <c r="CU268" s="124"/>
      <c r="CV268" s="124"/>
      <c r="CW268" s="124"/>
      <c r="CX268" s="124"/>
      <c r="CY268" s="124"/>
      <c r="CZ268" s="124"/>
      <c r="DA268" s="124"/>
      <c r="DB268" s="124"/>
      <c r="DC268" s="124"/>
      <c r="DD268" s="124"/>
      <c r="DE268" s="124"/>
      <c r="DF268" s="124"/>
      <c r="DG268" s="124"/>
      <c r="DH268" s="124"/>
      <c r="DI268" s="124"/>
      <c r="DK268" s="124"/>
      <c r="DL268" s="124"/>
      <c r="DM268" s="6"/>
      <c r="DN268" s="124"/>
      <c r="DO268" s="124"/>
      <c r="DQ268" s="136"/>
      <c r="DR268" s="124"/>
      <c r="DS268" s="124"/>
      <c r="DT268" s="124"/>
      <c r="DV268" s="124"/>
      <c r="DW268" s="124"/>
      <c r="DX268" s="124"/>
      <c r="EA268" s="111"/>
      <c r="EB268" s="111"/>
      <c r="EC268" s="111"/>
      <c r="ED268" s="124"/>
      <c r="EE268" s="124"/>
      <c r="EF268" s="124"/>
      <c r="EJ268" s="111"/>
      <c r="EK268" s="111"/>
      <c r="EL268" s="124"/>
      <c r="EM268" s="124"/>
      <c r="EN268" s="124"/>
      <c r="EP268" s="111"/>
      <c r="EQ268" s="124"/>
      <c r="ER268" s="124"/>
      <c r="ES268" s="124"/>
      <c r="EV268" s="111"/>
      <c r="EW268" s="111"/>
      <c r="EX268" s="111"/>
      <c r="EY268" s="111"/>
      <c r="EZ268" s="124"/>
      <c r="FA268" s="124"/>
      <c r="FD268" s="111"/>
      <c r="FE268" s="111"/>
      <c r="FF268" s="111"/>
      <c r="FG268" s="124"/>
      <c r="FH268" s="124"/>
      <c r="FK268" s="124"/>
      <c r="FL268" s="124"/>
      <c r="FO268" s="111"/>
      <c r="FP268" s="111"/>
      <c r="FQ268" s="124"/>
      <c r="FR268" s="124"/>
      <c r="FU268" s="111"/>
      <c r="FV268" s="124"/>
      <c r="FW268" s="124"/>
      <c r="FX268" s="124"/>
      <c r="FY268" s="124"/>
      <c r="GA268" s="124"/>
      <c r="GB268" s="124"/>
      <c r="GC268" s="124"/>
      <c r="GF268" s="111"/>
      <c r="GG268" s="111"/>
      <c r="GH268" s="111"/>
      <c r="GI268" s="124"/>
      <c r="GJ268" s="124"/>
      <c r="GK268" s="124"/>
      <c r="GN268" s="111"/>
      <c r="GO268" s="111"/>
      <c r="GP268" s="124"/>
      <c r="GQ268" s="124"/>
      <c r="GR268" s="124"/>
      <c r="GV268" s="111"/>
      <c r="GW268" s="124"/>
      <c r="GX268" s="124"/>
      <c r="GY268" s="124"/>
      <c r="HC268" s="124"/>
      <c r="HD268" s="124"/>
      <c r="HE268" s="124"/>
      <c r="HF268" s="124"/>
      <c r="HI268" s="111"/>
      <c r="HJ268" s="111"/>
      <c r="HK268" s="111"/>
      <c r="HL268" s="111"/>
      <c r="HM268" s="124"/>
      <c r="HN268" s="124"/>
      <c r="HO268" s="124"/>
      <c r="HR268" s="111"/>
      <c r="HS268" s="111"/>
      <c r="HT268" s="111"/>
      <c r="HU268" s="124"/>
      <c r="HV268" s="124"/>
      <c r="HW268" s="124"/>
      <c r="HZ268" s="111"/>
      <c r="IA268" s="124"/>
      <c r="IB268" s="124"/>
      <c r="IC268" s="124"/>
      <c r="IE268" s="111"/>
      <c r="IF268" s="124"/>
      <c r="IG268" s="124"/>
      <c r="IH268" s="124"/>
      <c r="IK268" s="124"/>
      <c r="IL268" s="124"/>
      <c r="IO268" s="124"/>
      <c r="IP268" s="124"/>
      <c r="IS268" s="160"/>
      <c r="IT268" s="160"/>
      <c r="IU268" s="160"/>
      <c r="IX268" s="124"/>
      <c r="IY268" s="124"/>
      <c r="IZ268" s="124"/>
      <c r="JA268" s="124"/>
      <c r="JD268" s="124"/>
      <c r="JE268" s="124"/>
      <c r="JH268" s="124"/>
      <c r="JI268" s="124"/>
      <c r="JJ268" s="124"/>
      <c r="JM268" s="124"/>
      <c r="JN268" s="124"/>
      <c r="JQ268" s="124"/>
      <c r="JR268" s="124"/>
      <c r="JS268" s="124"/>
      <c r="JV268" s="124"/>
      <c r="JW268" s="124"/>
      <c r="JY268" s="124"/>
      <c r="JZ268" s="124"/>
      <c r="KB268" s="124"/>
      <c r="KC268" s="124"/>
      <c r="KD268" s="124"/>
    </row>
    <row r="269" spans="2:290" s="60" customFormat="1" x14ac:dyDescent="0.25">
      <c r="B269" s="34" t="s">
        <v>231</v>
      </c>
      <c r="C269" s="99"/>
      <c r="D269" s="99"/>
      <c r="E269" s="99"/>
      <c r="F269" s="99"/>
      <c r="G269" s="99"/>
      <c r="H269" s="83"/>
      <c r="I269" s="62"/>
      <c r="J269" s="62"/>
      <c r="K269" s="62"/>
      <c r="L269" s="62"/>
      <c r="M269" s="83"/>
      <c r="N269" s="62"/>
      <c r="O269" s="62"/>
      <c r="P269" s="62"/>
      <c r="Q269" s="62"/>
      <c r="R269" s="83"/>
      <c r="S269" s="62"/>
      <c r="T269" s="62"/>
      <c r="U269" s="62"/>
      <c r="V269" s="62"/>
      <c r="W269" s="83"/>
      <c r="X269" s="62"/>
      <c r="Y269" s="62"/>
      <c r="Z269" s="62"/>
      <c r="AA269" s="62"/>
      <c r="AB269" s="206">
        <v>-2.1278939215212511E-2</v>
      </c>
      <c r="AC269" s="81">
        <v>-1.7367641762375485E-2</v>
      </c>
      <c r="AD269" s="81">
        <v>0.10142042884284819</v>
      </c>
      <c r="AE269" s="81">
        <v>0.18497836874041096</v>
      </c>
      <c r="AF269" s="81">
        <v>8.3231587919555761E-2</v>
      </c>
      <c r="AG269" s="206">
        <v>9.6081869434370581E-2</v>
      </c>
      <c r="AH269" s="81">
        <v>0.16526165750356347</v>
      </c>
      <c r="AI269" s="81">
        <v>4.886096051694877E-2</v>
      </c>
      <c r="AJ269" s="81">
        <v>0.18353706900573874</v>
      </c>
      <c r="AK269" s="206"/>
      <c r="AL269" s="81"/>
      <c r="AM269" s="81"/>
      <c r="AN269" s="81"/>
      <c r="AO269" s="81"/>
      <c r="AP269" s="206">
        <f t="shared" ref="AP269:BN269" si="364">(AP252/AK252-1)</f>
        <v>0.44770639082726316</v>
      </c>
      <c r="AQ269" s="81">
        <f t="shared" si="364"/>
        <v>-4.9905692464673357E-2</v>
      </c>
      <c r="AR269" s="81">
        <f t="shared" si="364"/>
        <v>0.18313022127736023</v>
      </c>
      <c r="AS269" s="81">
        <f t="shared" si="364"/>
        <v>0.19175331395062334</v>
      </c>
      <c r="AT269" s="81">
        <f t="shared" si="364"/>
        <v>7.865990696702041E-2</v>
      </c>
      <c r="AU269" s="206">
        <f t="shared" si="364"/>
        <v>8.9474951123427182E-2</v>
      </c>
      <c r="AV269" s="209">
        <f t="shared" si="364"/>
        <v>8.2858723598138395E-2</v>
      </c>
      <c r="AW269" s="209">
        <f t="shared" si="364"/>
        <v>5.2476400172095206E-2</v>
      </c>
      <c r="AX269" s="209">
        <f t="shared" si="364"/>
        <v>4.3881865263549535E-2</v>
      </c>
      <c r="AY269" s="209">
        <f t="shared" si="364"/>
        <v>0.10484543075879449</v>
      </c>
      <c r="AZ269" s="206">
        <f t="shared" si="364"/>
        <v>7.2343142907952407E-2</v>
      </c>
      <c r="BA269" s="209">
        <f>BA252/AV252-1</f>
        <v>0.13633676955289076</v>
      </c>
      <c r="BB269" s="209">
        <f>BB252/AW252-1</f>
        <v>0.12416288939920417</v>
      </c>
      <c r="BC269" s="209">
        <f>BC252/AX252-1</f>
        <v>4.0700322829811952E-3</v>
      </c>
      <c r="BD269" s="209">
        <f>BD252/AY252-1</f>
        <v>-9.480830460753098E-2</v>
      </c>
      <c r="BE269" s="206">
        <f t="shared" si="364"/>
        <v>3.4016528344175567E-2</v>
      </c>
      <c r="BF269" s="209">
        <f t="shared" si="364"/>
        <v>-0.19375286525372926</v>
      </c>
      <c r="BG269" s="209">
        <f t="shared" si="364"/>
        <v>1.4288770053475952E-2</v>
      </c>
      <c r="BH269" s="209">
        <f t="shared" si="364"/>
        <v>0.10050989713293812</v>
      </c>
      <c r="BI269" s="209">
        <f t="shared" si="364"/>
        <v>7.7887596899224754E-2</v>
      </c>
      <c r="BJ269" s="206">
        <f t="shared" si="364"/>
        <v>-5.8611832688976184E-3</v>
      </c>
      <c r="BK269" s="209">
        <f t="shared" si="364"/>
        <v>-0.22074116193371318</v>
      </c>
      <c r="BL269" s="209">
        <f t="shared" si="364"/>
        <v>8.2637395082036269E-2</v>
      </c>
      <c r="BM269" s="209">
        <f t="shared" si="364"/>
        <v>-0.18121773731000856</v>
      </c>
      <c r="BN269" s="209">
        <f t="shared" si="364"/>
        <v>0.15614268505366868</v>
      </c>
      <c r="BO269" s="206">
        <f t="shared" ref="BO269:CI269" si="365">BO252/BJ252-1</f>
        <v>-3.7158801199680291E-2</v>
      </c>
      <c r="BP269" s="209">
        <f t="shared" si="365"/>
        <v>0.52842950157162094</v>
      </c>
      <c r="BQ269" s="209">
        <f t="shared" si="365"/>
        <v>8.8923085913531263E-2</v>
      </c>
      <c r="BR269" s="209">
        <f t="shared" si="365"/>
        <v>0.51442049845123305</v>
      </c>
      <c r="BS269" s="209">
        <f t="shared" si="365"/>
        <v>0.14623620798245818</v>
      </c>
      <c r="BT269" s="206">
        <f t="shared" si="365"/>
        <v>0.28583904322593923</v>
      </c>
      <c r="BU269" s="209">
        <f t="shared" si="365"/>
        <v>0.3637648959806099</v>
      </c>
      <c r="BV269" s="209">
        <f t="shared" si="365"/>
        <v>0.23219412717011179</v>
      </c>
      <c r="BW269" s="209">
        <f t="shared" si="365"/>
        <v>0.14211271881007792</v>
      </c>
      <c r="BX269" s="209">
        <f t="shared" si="365"/>
        <v>0.32530831535675042</v>
      </c>
      <c r="BY269" s="206">
        <f t="shared" si="365"/>
        <v>0.26298072461851008</v>
      </c>
      <c r="BZ269" s="209">
        <f t="shared" si="365"/>
        <v>0.17025931710469622</v>
      </c>
      <c r="CA269" s="209">
        <f t="shared" si="365"/>
        <v>2.2792767288748461E-3</v>
      </c>
      <c r="CB269" s="209">
        <f t="shared" si="365"/>
        <v>3.6671412751146937E-2</v>
      </c>
      <c r="CC269" s="209">
        <f t="shared" si="365"/>
        <v>2.3058929512870474E-2</v>
      </c>
      <c r="CD269" s="206">
        <f t="shared" si="365"/>
        <v>5.4414484266868346E-2</v>
      </c>
      <c r="CE269" s="209">
        <f t="shared" si="365"/>
        <v>5.7284206287571582E-2</v>
      </c>
      <c r="CF269" s="209">
        <f t="shared" si="365"/>
        <v>0.1184411596428081</v>
      </c>
      <c r="CG269" s="209">
        <f t="shared" si="365"/>
        <v>0.12192650470028088</v>
      </c>
      <c r="CH269" s="209">
        <f t="shared" si="365"/>
        <v>0.16016590451984758</v>
      </c>
      <c r="CI269" s="206">
        <f t="shared" si="365"/>
        <v>0.11770766927102638</v>
      </c>
      <c r="CJ269" s="206">
        <f>CJ252/CI252-1</f>
        <v>0.10881487720601402</v>
      </c>
      <c r="CK269" s="206">
        <f>CK252/CJ252-1</f>
        <v>0.15815617100669344</v>
      </c>
      <c r="CL269" s="206">
        <f t="shared" ref="CL269:CN269" si="366">CL252/CK252-1</f>
        <v>0.16229420862256405</v>
      </c>
      <c r="CM269" s="206">
        <f t="shared" si="366"/>
        <v>9.6266630006557774E-2</v>
      </c>
      <c r="CN269" s="206">
        <f t="shared" si="366"/>
        <v>9.6348085708309217E-2</v>
      </c>
      <c r="CO269" s="129"/>
      <c r="CP269" s="129"/>
      <c r="CQ269" s="58"/>
      <c r="CR269" s="58"/>
      <c r="CS269" s="58"/>
      <c r="CT269" s="143"/>
      <c r="CU269" s="143"/>
      <c r="CV269" s="143"/>
      <c r="CW269" s="143"/>
      <c r="CX269" s="143"/>
      <c r="CY269" s="143"/>
      <c r="CZ269" s="143"/>
      <c r="DA269" s="143"/>
      <c r="DB269" s="143"/>
      <c r="DC269" s="143"/>
      <c r="DD269" s="143"/>
      <c r="DE269" s="143"/>
      <c r="DF269" s="143"/>
      <c r="DG269" s="143"/>
      <c r="DH269" s="143"/>
      <c r="DI269" s="143"/>
      <c r="DK269" s="143"/>
      <c r="DL269" s="143"/>
      <c r="DM269" s="58"/>
      <c r="DN269" s="143"/>
      <c r="DO269" s="143"/>
      <c r="DQ269" s="4"/>
      <c r="DR269" s="143"/>
      <c r="DS269" s="143"/>
      <c r="DT269" s="143"/>
      <c r="DV269" s="143"/>
      <c r="DW269" s="143"/>
      <c r="DX269" s="143"/>
      <c r="EA269" s="119"/>
      <c r="EB269" s="119"/>
      <c r="EC269" s="119"/>
      <c r="ED269" s="143"/>
      <c r="EE269" s="143"/>
      <c r="EF269" s="143"/>
      <c r="EJ269" s="119"/>
      <c r="EK269" s="119"/>
      <c r="EL269" s="143"/>
      <c r="EM269" s="143"/>
      <c r="EN269" s="143"/>
      <c r="EP269" s="119">
        <v>7.7815736694732074E-2</v>
      </c>
      <c r="EQ269" s="143"/>
      <c r="ER269" s="143">
        <v>0.12000000000000011</v>
      </c>
      <c r="ES269" s="143"/>
      <c r="EV269" s="119">
        <v>0.1353585906611281</v>
      </c>
      <c r="EW269" s="119">
        <v>0.10000000000000009</v>
      </c>
      <c r="EX269" s="119">
        <v>0.10000000000000009</v>
      </c>
      <c r="EY269" s="119">
        <v>0.10000000000000009</v>
      </c>
      <c r="EZ269" s="143">
        <v>0.10000000000000009</v>
      </c>
      <c r="FA269" s="143"/>
      <c r="FD269" s="119">
        <v>0.10000000000000009</v>
      </c>
      <c r="FE269" s="119">
        <v>0.10000000000000009</v>
      </c>
      <c r="FF269" s="119">
        <v>0.10000000000000009</v>
      </c>
      <c r="FG269" s="143">
        <v>0.10000000000000009</v>
      </c>
      <c r="FH269" s="143"/>
      <c r="FK269" s="143">
        <v>0.10000000000000009</v>
      </c>
      <c r="FL269" s="143"/>
      <c r="FO269" s="119">
        <v>7.8172644629736165E-2</v>
      </c>
      <c r="FP269" s="119">
        <v>9.791384890666488E-2</v>
      </c>
      <c r="FQ269" s="143">
        <v>0.10802745343394049</v>
      </c>
      <c r="FR269" s="143">
        <v>0.13259856492446098</v>
      </c>
      <c r="FU269" s="119">
        <v>-5.5997684393337299E-2</v>
      </c>
      <c r="FV269" s="143">
        <v>4.5134490669199501E-2</v>
      </c>
      <c r="FW269" s="143">
        <v>-0.13070763553401765</v>
      </c>
      <c r="FX269" s="143">
        <v>0.11102330918299819</v>
      </c>
      <c r="FY269" s="143">
        <v>0.11126983911421728</v>
      </c>
      <c r="GA269" s="143">
        <v>-0.12301306616187269</v>
      </c>
      <c r="GB269" s="143">
        <v>0.13534075809782986</v>
      </c>
      <c r="GC269" s="143">
        <v>0.11270278352795682</v>
      </c>
      <c r="GF269" s="119">
        <v>-0.04</v>
      </c>
      <c r="GG269" s="119">
        <v>0</v>
      </c>
      <c r="GH269" s="119">
        <v>2.7462306201550213E-2</v>
      </c>
      <c r="GI269" s="143">
        <v>-5.5605643454404552E-2</v>
      </c>
      <c r="GJ269" s="143">
        <v>0.18781404041924787</v>
      </c>
      <c r="GK269" s="143">
        <v>0.11269071446870282</v>
      </c>
      <c r="GN269" s="119">
        <v>7.0000000000000007E-2</v>
      </c>
      <c r="GO269" s="119">
        <v>0.12710939922480557</v>
      </c>
      <c r="GP269" s="143">
        <v>-1.034698107751586E-3</v>
      </c>
      <c r="GQ269" s="143">
        <v>0.1860555725291857</v>
      </c>
      <c r="GR269" s="143">
        <v>0.11218992157083041</v>
      </c>
      <c r="GV269" s="119">
        <v>0.1093798449612402</v>
      </c>
      <c r="GW269" s="143">
        <v>2.0363480843019754E-3</v>
      </c>
      <c r="GX269" s="143">
        <v>0.14435391539896059</v>
      </c>
      <c r="GY269" s="143">
        <v>0.14683747326037633</v>
      </c>
      <c r="HC269" s="143">
        <v>9.0557453388231179E-2</v>
      </c>
      <c r="HD269" s="143">
        <v>-5.4989183811649078E-2</v>
      </c>
      <c r="HE269" s="143">
        <v>0.16112097572755224</v>
      </c>
      <c r="HF269" s="143">
        <v>0.10679887437184155</v>
      </c>
      <c r="HI269" s="119">
        <v>0.66291437471935333</v>
      </c>
      <c r="HJ269" s="119">
        <v>7.9687843931705471E-2</v>
      </c>
      <c r="HK269" s="119">
        <v>0.24535188914670991</v>
      </c>
      <c r="HL269" s="119">
        <v>4.9154089590768724E-2</v>
      </c>
      <c r="HM269" s="143">
        <v>0.21365803690201779</v>
      </c>
      <c r="HN269" s="143">
        <v>0.10711456643311856</v>
      </c>
      <c r="HO269" s="143">
        <v>8.5733782247659818E-2</v>
      </c>
      <c r="HR269" s="119">
        <v>7.9687843931705471E-2</v>
      </c>
      <c r="HS269" s="119">
        <v>0.24535188914670991</v>
      </c>
      <c r="HT269" s="119">
        <v>0.12367514987520112</v>
      </c>
      <c r="HU269" s="143">
        <v>0.21365803690201779</v>
      </c>
      <c r="HV269" s="143">
        <v>0.10711456643311856</v>
      </c>
      <c r="HW269" s="143">
        <v>8.5733782247659818E-2</v>
      </c>
      <c r="HZ269" s="119">
        <v>0.24535188914670991</v>
      </c>
      <c r="IA269" s="143">
        <v>0.21369725925850691</v>
      </c>
      <c r="IB269" s="143">
        <v>0.10711433651576585</v>
      </c>
      <c r="IC269" s="143">
        <v>8.5734240318208643E-2</v>
      </c>
      <c r="IE269" s="119">
        <v>0.14108330028692029</v>
      </c>
      <c r="IF269" s="143">
        <v>0.28415340637915443</v>
      </c>
      <c r="IG269" s="143">
        <v>0.10737471243280705</v>
      </c>
      <c r="IH269" s="143">
        <v>8.5215608215520877E-2</v>
      </c>
      <c r="IK269" s="143">
        <v>0.10737471243280705</v>
      </c>
      <c r="IL269" s="143">
        <v>8.5215608215520877E-2</v>
      </c>
      <c r="IO269" s="143">
        <v>0.19777323243192013</v>
      </c>
      <c r="IP269" s="143">
        <v>0.11508410176718842</v>
      </c>
      <c r="IS269" s="157">
        <v>0.23499999999999999</v>
      </c>
      <c r="IT269" s="157">
        <v>0.16</v>
      </c>
      <c r="IU269" s="157">
        <v>0.16</v>
      </c>
      <c r="IX269" s="143">
        <v>0.28207727895586587</v>
      </c>
      <c r="IY269" s="143">
        <v>0.25039859743613535</v>
      </c>
      <c r="IZ269" s="143">
        <v>0.14619025454956081</v>
      </c>
      <c r="JA269" s="143">
        <v>0.14674677268002712</v>
      </c>
      <c r="JD269" s="143">
        <v>0.21747699315774072</v>
      </c>
      <c r="JE269" s="143">
        <v>0.18598080625047175</v>
      </c>
      <c r="JH269" s="143">
        <v>0.21097239178928895</v>
      </c>
      <c r="JI269" s="143">
        <v>0.18628989908801952</v>
      </c>
      <c r="JJ269" s="143">
        <v>0.1445329064237888</v>
      </c>
      <c r="JM269" s="143">
        <v>0.1692608457582343</v>
      </c>
      <c r="JN269" s="143">
        <v>0.14392530848963481</v>
      </c>
      <c r="JQ269" s="143">
        <v>6.6985200898544761E-2</v>
      </c>
      <c r="JR269" s="143">
        <v>0.11870108072431185</v>
      </c>
      <c r="JS269" s="143">
        <v>0.11690331038873492</v>
      </c>
      <c r="JV269" s="143">
        <v>0.1185979451750161</v>
      </c>
      <c r="JW269" s="143">
        <v>0.11686748207932207</v>
      </c>
      <c r="JY269" s="143">
        <v>0.15009535811181451</v>
      </c>
      <c r="JZ269" s="143">
        <v>0.11695327167040559</v>
      </c>
      <c r="KB269" s="143">
        <v>0.1231898118634267</v>
      </c>
      <c r="KC269" s="143">
        <v>0.12898731414336484</v>
      </c>
      <c r="KD269" s="143">
        <v>0.12947231820687355</v>
      </c>
    </row>
    <row r="270" spans="2:290" s="6" customFormat="1" x14ac:dyDescent="0.25">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row>
    <row r="271" spans="2:290" s="60" customFormat="1" x14ac:dyDescent="0.25">
      <c r="B271" s="34" t="s">
        <v>232</v>
      </c>
      <c r="C271" s="99"/>
      <c r="D271" s="99"/>
      <c r="E271" s="99"/>
      <c r="F271" s="99"/>
      <c r="G271" s="99"/>
      <c r="H271" s="196"/>
      <c r="I271" s="196"/>
      <c r="J271" s="196"/>
      <c r="K271" s="196"/>
      <c r="L271" s="196"/>
      <c r="M271" s="196"/>
      <c r="N271" s="196"/>
      <c r="O271" s="196"/>
      <c r="P271" s="196"/>
      <c r="Q271" s="196"/>
      <c r="R271" s="196"/>
      <c r="S271" s="196"/>
      <c r="T271" s="196"/>
      <c r="U271" s="196"/>
      <c r="V271" s="196"/>
      <c r="W271" s="196"/>
      <c r="X271" s="196"/>
      <c r="Y271" s="196"/>
      <c r="Z271" s="196"/>
      <c r="AA271" s="196"/>
      <c r="AB271" s="196"/>
      <c r="AC271" s="196"/>
      <c r="AD271" s="196"/>
      <c r="AE271" s="196"/>
      <c r="AF271" s="196"/>
      <c r="AG271" s="196"/>
      <c r="AH271" s="196"/>
      <c r="AI271" s="196"/>
      <c r="AJ271" s="196"/>
      <c r="AK271" s="196"/>
      <c r="AL271" s="196"/>
      <c r="AM271" s="196"/>
      <c r="AN271" s="196"/>
      <c r="AO271" s="196"/>
      <c r="AP271" s="196"/>
      <c r="AQ271" s="196"/>
      <c r="AR271" s="196"/>
      <c r="AS271" s="196"/>
      <c r="AT271" s="196"/>
      <c r="AU271" s="196"/>
      <c r="AV271" s="196"/>
      <c r="AW271" s="196"/>
      <c r="AX271" s="196"/>
      <c r="AY271" s="196"/>
      <c r="AZ271" s="196"/>
      <c r="BA271" s="196"/>
      <c r="BB271" s="196"/>
      <c r="BC271" s="196"/>
      <c r="BD271" s="196"/>
      <c r="BE271" s="196"/>
      <c r="BF271" s="196"/>
      <c r="BG271" s="196"/>
      <c r="BH271" s="196"/>
      <c r="BI271" s="196"/>
      <c r="BJ271" s="196"/>
      <c r="BK271" s="196"/>
      <c r="BL271" s="196"/>
      <c r="BM271" s="196"/>
      <c r="BN271" s="196"/>
      <c r="BO271" s="196"/>
      <c r="BP271" s="196"/>
      <c r="BQ271" s="196"/>
      <c r="BR271" s="196"/>
      <c r="BS271" s="196"/>
      <c r="BT271" s="196"/>
      <c r="BU271" s="196"/>
      <c r="BV271" s="196"/>
      <c r="BW271" s="196"/>
      <c r="BX271" s="196"/>
      <c r="BY271" s="196"/>
      <c r="BZ271" s="196"/>
      <c r="CA271" s="196"/>
      <c r="CB271" s="196"/>
      <c r="CC271" s="196"/>
      <c r="CD271" s="196"/>
      <c r="CE271" s="196"/>
      <c r="CF271" s="196"/>
      <c r="CG271" s="196"/>
      <c r="CH271" s="196"/>
      <c r="CI271" s="196"/>
      <c r="CJ271" s="196"/>
      <c r="CK271" s="196"/>
      <c r="CL271" s="196"/>
      <c r="CM271" s="196"/>
      <c r="CN271" s="196"/>
      <c r="CO271" s="148"/>
      <c r="CP271" s="148"/>
      <c r="CQ271" s="58"/>
      <c r="CR271" s="58"/>
      <c r="CS271" s="58"/>
      <c r="CT271" s="143"/>
      <c r="CU271" s="143"/>
      <c r="CV271" s="143"/>
      <c r="CW271" s="143"/>
      <c r="CX271" s="143"/>
      <c r="CY271" s="143"/>
      <c r="CZ271" s="143"/>
      <c r="DA271" s="143"/>
      <c r="DB271" s="143"/>
      <c r="DC271" s="143"/>
      <c r="DD271" s="143"/>
      <c r="DE271" s="143"/>
      <c r="DF271" s="143"/>
      <c r="DG271" s="143"/>
      <c r="DH271" s="143"/>
      <c r="DI271" s="143"/>
      <c r="DK271" s="143"/>
      <c r="DL271" s="143"/>
      <c r="DM271" s="58"/>
      <c r="DN271" s="143"/>
      <c r="DO271" s="143"/>
      <c r="DQ271" s="4"/>
      <c r="DR271" s="143"/>
      <c r="DS271" s="143"/>
      <c r="DT271" s="143"/>
      <c r="DV271" s="143"/>
      <c r="DW271" s="143"/>
      <c r="DX271" s="143"/>
      <c r="EA271" s="119"/>
      <c r="EB271" s="119"/>
      <c r="EC271" s="119"/>
      <c r="ED271" s="143"/>
      <c r="EE271" s="143"/>
      <c r="EF271" s="143"/>
      <c r="EJ271" s="119"/>
      <c r="EK271" s="119"/>
      <c r="EL271" s="143"/>
      <c r="EM271" s="143"/>
      <c r="EN271" s="143"/>
      <c r="EP271" s="119"/>
      <c r="EQ271" s="143"/>
      <c r="ER271" s="143"/>
      <c r="ES271" s="143"/>
      <c r="EV271" s="119"/>
      <c r="EW271" s="119"/>
      <c r="EX271" s="119"/>
      <c r="EY271" s="119"/>
      <c r="EZ271" s="143"/>
      <c r="FA271" s="143"/>
      <c r="FD271" s="119"/>
      <c r="FE271" s="119"/>
      <c r="FF271" s="119"/>
      <c r="FG271" s="143"/>
      <c r="FH271" s="143"/>
      <c r="FK271" s="143"/>
      <c r="FL271" s="143"/>
      <c r="FO271" s="119" t="s">
        <v>85</v>
      </c>
      <c r="FP271" s="119" t="s">
        <v>86</v>
      </c>
      <c r="FQ271" s="143" t="s">
        <v>87</v>
      </c>
      <c r="FR271" s="143" t="s">
        <v>92</v>
      </c>
      <c r="FU271" s="119" t="s">
        <v>86</v>
      </c>
      <c r="FV271" s="143" t="s">
        <v>87</v>
      </c>
      <c r="FW271" s="143" t="s">
        <v>92</v>
      </c>
      <c r="FX271" s="143" t="s">
        <v>92</v>
      </c>
      <c r="FY271" s="143" t="s">
        <v>92</v>
      </c>
      <c r="GA271" s="143" t="s">
        <v>92</v>
      </c>
      <c r="GB271" s="143" t="s">
        <v>92</v>
      </c>
      <c r="GC271" s="143" t="s">
        <v>92</v>
      </c>
      <c r="GF271" s="119"/>
      <c r="GG271" s="119"/>
      <c r="GH271" s="119"/>
      <c r="GI271" s="143" t="s">
        <v>92</v>
      </c>
      <c r="GJ271" s="143" t="s">
        <v>92</v>
      </c>
      <c r="GK271" s="143" t="s">
        <v>92</v>
      </c>
      <c r="GN271" s="119"/>
      <c r="GO271" s="119"/>
      <c r="GP271" s="143" t="s">
        <v>92</v>
      </c>
      <c r="GQ271" s="143" t="s">
        <v>92</v>
      </c>
      <c r="GR271" s="143" t="s">
        <v>92</v>
      </c>
      <c r="GV271" s="119"/>
      <c r="GW271" s="143" t="s">
        <v>92</v>
      </c>
      <c r="GX271" s="143" t="s">
        <v>92</v>
      </c>
      <c r="GY271" s="143" t="s">
        <v>92</v>
      </c>
      <c r="HC271" s="143"/>
      <c r="HD271" s="143" t="s">
        <v>97</v>
      </c>
      <c r="HE271" s="143" t="s">
        <v>102</v>
      </c>
      <c r="HF271" s="143" t="s">
        <v>107</v>
      </c>
      <c r="HI271" s="119"/>
      <c r="HJ271" s="119"/>
      <c r="HK271" s="119"/>
      <c r="HL271" s="119"/>
      <c r="HM271" s="143" t="s">
        <v>102</v>
      </c>
      <c r="HN271" s="143" t="s">
        <v>107</v>
      </c>
      <c r="HO271" s="143" t="s">
        <v>107</v>
      </c>
      <c r="HR271" s="119"/>
      <c r="HS271" s="119"/>
      <c r="HT271" s="119"/>
      <c r="HU271" s="143" t="s">
        <v>102</v>
      </c>
      <c r="HV271" s="143" t="s">
        <v>107</v>
      </c>
      <c r="HW271" s="143" t="s">
        <v>107</v>
      </c>
      <c r="HZ271" s="119"/>
      <c r="IA271" s="143" t="s">
        <v>102</v>
      </c>
      <c r="IB271" s="143" t="s">
        <v>107</v>
      </c>
      <c r="IC271" s="143" t="s">
        <v>107</v>
      </c>
      <c r="IE271" s="119"/>
      <c r="IF271" s="143" t="s">
        <v>102</v>
      </c>
      <c r="IG271" s="143" t="s">
        <v>107</v>
      </c>
      <c r="IH271" s="143" t="s">
        <v>107</v>
      </c>
      <c r="IK271" s="143" t="s">
        <v>107</v>
      </c>
      <c r="IL271" s="143" t="s">
        <v>107</v>
      </c>
      <c r="IO271" s="143" t="s">
        <v>107</v>
      </c>
      <c r="IP271" s="143" t="s">
        <v>107</v>
      </c>
      <c r="IS271" s="157">
        <v>7642.4998649999989</v>
      </c>
      <c r="IT271" s="157">
        <v>8972.7580233199988</v>
      </c>
      <c r="IU271" s="157">
        <v>10533.050795758398</v>
      </c>
      <c r="IX271" s="143" t="s">
        <v>106</v>
      </c>
      <c r="IY271" s="143" t="s">
        <v>107</v>
      </c>
      <c r="IZ271" s="143" t="s">
        <v>107</v>
      </c>
      <c r="JA271" s="143" t="s">
        <v>107</v>
      </c>
      <c r="JD271" s="143" t="s">
        <v>107</v>
      </c>
      <c r="JE271" s="143" t="s">
        <v>107</v>
      </c>
      <c r="JH271" s="143" t="s">
        <v>107</v>
      </c>
      <c r="JI271" s="143" t="s">
        <v>107</v>
      </c>
      <c r="JJ271" s="143" t="s">
        <v>107</v>
      </c>
      <c r="JM271" s="143" t="s">
        <v>107</v>
      </c>
      <c r="JN271" s="143" t="s">
        <v>107</v>
      </c>
      <c r="JQ271" s="143" t="s">
        <v>107</v>
      </c>
      <c r="JR271" s="143" t="s">
        <v>107</v>
      </c>
      <c r="JS271" s="143" t="s">
        <v>107</v>
      </c>
      <c r="JV271" s="143" t="s">
        <v>28</v>
      </c>
      <c r="JW271" s="143" t="s">
        <v>118</v>
      </c>
      <c r="JY271" s="143" t="s">
        <v>28</v>
      </c>
      <c r="JZ271" s="143" t="s">
        <v>118</v>
      </c>
      <c r="KB271" s="143" t="s">
        <v>28</v>
      </c>
      <c r="KC271" s="143" t="s">
        <v>118</v>
      </c>
      <c r="KD271" s="143" t="s">
        <v>118</v>
      </c>
    </row>
    <row r="272" spans="2:290" x14ac:dyDescent="0.25">
      <c r="B272" s="11" t="s">
        <v>233</v>
      </c>
      <c r="C272" s="23"/>
      <c r="D272" s="23"/>
      <c r="E272" s="23"/>
      <c r="F272" s="23"/>
      <c r="G272" s="23"/>
      <c r="H272" s="197"/>
      <c r="I272" s="198"/>
      <c r="J272" s="198"/>
      <c r="K272" s="198"/>
      <c r="L272" s="198"/>
      <c r="M272" s="197"/>
      <c r="N272" s="198"/>
      <c r="O272" s="198"/>
      <c r="P272" s="198"/>
      <c r="Q272" s="198"/>
      <c r="R272" s="197"/>
      <c r="S272" s="198"/>
      <c r="T272" s="198"/>
      <c r="U272" s="198"/>
      <c r="V272" s="198"/>
      <c r="W272" s="197">
        <v>1691</v>
      </c>
      <c r="X272" s="198">
        <v>367</v>
      </c>
      <c r="Y272" s="198">
        <v>457</v>
      </c>
      <c r="Z272" s="198">
        <v>542</v>
      </c>
      <c r="AA272" s="198">
        <v>694</v>
      </c>
      <c r="AB272" s="197">
        <v>2060</v>
      </c>
      <c r="AC272" s="198">
        <v>351.76</v>
      </c>
      <c r="AD272" s="198">
        <v>492</v>
      </c>
      <c r="AE272" s="198">
        <v>568</v>
      </c>
      <c r="AF272" s="198">
        <v>702</v>
      </c>
      <c r="AG272" s="197">
        <v>2113.7600000000002</v>
      </c>
      <c r="AH272" s="198">
        <v>401.48</v>
      </c>
      <c r="AI272" s="198">
        <v>492</v>
      </c>
      <c r="AJ272" s="198">
        <v>711.84000000000015</v>
      </c>
      <c r="AK272" s="197">
        <v>1605.3200000000002</v>
      </c>
      <c r="AL272" s="198">
        <v>772.12</v>
      </c>
      <c r="AM272" s="198">
        <v>483.28</v>
      </c>
      <c r="AN272" s="198">
        <v>561.88</v>
      </c>
      <c r="AO272" s="198">
        <v>818.58</v>
      </c>
      <c r="AP272" s="197">
        <v>2467.02</v>
      </c>
      <c r="AQ272" s="198">
        <v>664.89</v>
      </c>
      <c r="AR272" s="198">
        <v>567.05999999999995</v>
      </c>
      <c r="AS272" s="198">
        <v>666.45</v>
      </c>
      <c r="AT272" s="198">
        <v>828.78</v>
      </c>
      <c r="AU272" s="197">
        <v>2727.19</v>
      </c>
      <c r="AV272" s="199">
        <v>747</v>
      </c>
      <c r="AW272" s="199">
        <v>680.2</v>
      </c>
      <c r="AX272" s="199">
        <v>799.72</v>
      </c>
      <c r="AY272" s="199">
        <v>940.75</v>
      </c>
      <c r="AZ272" s="197">
        <v>3173</v>
      </c>
      <c r="BA272" s="199">
        <v>897.96</v>
      </c>
      <c r="BB272" s="199">
        <v>811.52</v>
      </c>
      <c r="BC272" s="199">
        <v>798.37</v>
      </c>
      <c r="BD272" s="199">
        <v>937.02</v>
      </c>
      <c r="BE272" s="197">
        <f>SUM(BA272:BD272)</f>
        <v>3444.87</v>
      </c>
      <c r="BF272" s="199">
        <v>764.59</v>
      </c>
      <c r="BG272" s="199">
        <v>847.25</v>
      </c>
      <c r="BH272" s="199">
        <v>1140</v>
      </c>
      <c r="BI272" s="199">
        <v>1346.75</v>
      </c>
      <c r="BJ272" s="197">
        <v>4098.79</v>
      </c>
      <c r="BK272" s="199">
        <v>831.05</v>
      </c>
      <c r="BL272" s="199">
        <v>1267.28</v>
      </c>
      <c r="BM272" s="199">
        <v>1148</v>
      </c>
      <c r="BN272" s="199">
        <v>1799.73</v>
      </c>
      <c r="BO272" s="197">
        <v>5045.99</v>
      </c>
      <c r="BP272" s="199">
        <v>1463.34</v>
      </c>
      <c r="BQ272" s="199">
        <v>1294.71</v>
      </c>
      <c r="BR272" s="199">
        <v>1508.68</v>
      </c>
      <c r="BS272" s="199">
        <v>1770.8</v>
      </c>
      <c r="BT272" s="197">
        <v>6037.53</v>
      </c>
      <c r="BU272" s="199">
        <v>1626.11</v>
      </c>
      <c r="BV272" s="199">
        <v>1509.28</v>
      </c>
      <c r="BW272" s="199">
        <v>1643.65</v>
      </c>
      <c r="BX272" s="199">
        <v>2152.5300000000002</v>
      </c>
      <c r="BY272" s="197">
        <v>6931.57</v>
      </c>
      <c r="BZ272" s="199">
        <v>1858.37</v>
      </c>
      <c r="CA272" s="199">
        <v>1437.93</v>
      </c>
      <c r="CB272" s="199">
        <v>1664.93</v>
      </c>
      <c r="CC272" s="199">
        <v>2074</v>
      </c>
      <c r="CD272" s="197">
        <v>7035</v>
      </c>
      <c r="CE272" s="199">
        <v>1792.31</v>
      </c>
      <c r="CF272" s="199">
        <v>1602.09</v>
      </c>
      <c r="CG272" s="199">
        <v>1823</v>
      </c>
      <c r="CH272" s="199">
        <v>2558.2600000000002</v>
      </c>
      <c r="CI272" s="197">
        <v>7775.86</v>
      </c>
      <c r="CJ272" s="197">
        <f t="shared" ref="CJ272:CN275" si="367">CJ247*CJ293/10000</f>
        <v>8981.087808000002</v>
      </c>
      <c r="CK272" s="197">
        <f t="shared" si="367"/>
        <v>10597.683613440002</v>
      </c>
      <c r="CL272" s="197">
        <f t="shared" si="367"/>
        <v>12789.477269855999</v>
      </c>
      <c r="CM272" s="197">
        <f t="shared" si="367"/>
        <v>14068.424996841601</v>
      </c>
      <c r="CN272" s="197">
        <f t="shared" si="367"/>
        <v>15475.267496525761</v>
      </c>
      <c r="CO272" s="201"/>
      <c r="CP272" s="201"/>
      <c r="CQ272" s="32"/>
      <c r="CR272" s="6"/>
      <c r="CS272" s="6"/>
      <c r="CT272" s="124"/>
      <c r="CU272" s="124"/>
      <c r="CV272" s="124"/>
      <c r="CW272" s="124"/>
      <c r="CX272" s="124"/>
      <c r="CY272" s="124"/>
      <c r="CZ272" s="124"/>
      <c r="DA272" s="124"/>
      <c r="DB272" s="124"/>
      <c r="DC272" s="124"/>
      <c r="DD272" s="124"/>
      <c r="DE272" s="124"/>
      <c r="DF272" s="124"/>
      <c r="DG272" s="124"/>
      <c r="DH272" s="124"/>
      <c r="DI272" s="124"/>
      <c r="DK272" s="124"/>
      <c r="DL272" s="124"/>
      <c r="DM272" s="6"/>
      <c r="DN272" s="124"/>
      <c r="DO272" s="124"/>
      <c r="DQ272" s="136"/>
      <c r="DR272" s="124"/>
      <c r="DS272" s="124"/>
      <c r="DT272" s="124"/>
      <c r="DV272" s="124"/>
      <c r="DW272" s="124"/>
      <c r="DX272" s="124"/>
      <c r="EA272" s="111"/>
      <c r="EB272" s="111"/>
      <c r="EC272" s="111"/>
      <c r="ED272" s="124"/>
      <c r="EE272" s="124"/>
      <c r="EF272" s="124"/>
      <c r="EJ272" s="111"/>
      <c r="EK272" s="111">
        <v>0.54913919819584001</v>
      </c>
      <c r="EL272" s="124"/>
      <c r="EM272" s="124"/>
      <c r="EN272" s="124"/>
      <c r="EP272" s="111"/>
      <c r="EQ272" s="124"/>
      <c r="ER272" s="124"/>
      <c r="ES272" s="124"/>
      <c r="EV272" s="111"/>
      <c r="EW272" s="111"/>
      <c r="EX272" s="111"/>
      <c r="EY272" s="111"/>
      <c r="EZ272" s="124"/>
      <c r="FA272" s="124"/>
      <c r="FD272" s="111"/>
      <c r="FE272" s="111"/>
      <c r="FF272" s="111"/>
      <c r="FG272" s="124"/>
      <c r="FH272" s="124"/>
      <c r="FK272" s="124"/>
      <c r="FL272" s="124"/>
      <c r="FO272" s="111">
        <v>894.85691726951006</v>
      </c>
      <c r="FP272" s="111">
        <v>1083.1128720568624</v>
      </c>
      <c r="FQ272" s="124"/>
      <c r="FR272" s="124"/>
      <c r="FU272" s="111">
        <v>915.37388806650506</v>
      </c>
      <c r="FV272" s="124">
        <v>3423.223888066505</v>
      </c>
      <c r="FW272" s="124">
        <v>2801.0974484726876</v>
      </c>
      <c r="FX272" s="124">
        <v>3424.4377896960004</v>
      </c>
      <c r="FY272" s="124">
        <v>3835.3703244595213</v>
      </c>
      <c r="GA272" s="124">
        <v>2975.583232</v>
      </c>
      <c r="GB272" s="124">
        <v>3421.9207167999998</v>
      </c>
      <c r="GC272" s="124">
        <v>3903.8317606399996</v>
      </c>
      <c r="GF272" s="111"/>
      <c r="GG272" s="111"/>
      <c r="GH272" s="111"/>
      <c r="GI272" s="124">
        <v>3169.643008</v>
      </c>
      <c r="GJ272" s="124">
        <v>3866.9644697600002</v>
      </c>
      <c r="GK272" s="124">
        <v>4411.5512788480009</v>
      </c>
      <c r="GN272" s="111"/>
      <c r="GO272" s="111"/>
      <c r="GP272" s="124">
        <v>3513.7674000000002</v>
      </c>
      <c r="GQ272" s="124">
        <v>4286.7962280000002</v>
      </c>
      <c r="GR272" s="124">
        <v>4885.050646963201</v>
      </c>
      <c r="GV272" s="111">
        <v>1254.10986</v>
      </c>
      <c r="GW272" s="124">
        <v>4005.9498600000002</v>
      </c>
      <c r="GX272" s="124">
        <v>4405.1172422399995</v>
      </c>
      <c r="GY272" s="124">
        <v>5145.3283384799997</v>
      </c>
      <c r="HC272" s="124"/>
      <c r="HD272" s="124">
        <v>4669.6362470000004</v>
      </c>
      <c r="HE272" s="124">
        <v>5501.1670388450011</v>
      </c>
      <c r="HF272" s="124">
        <v>6174.0507134278523</v>
      </c>
      <c r="HI272" s="111"/>
      <c r="HJ272" s="111"/>
      <c r="HK272" s="111"/>
      <c r="HL272" s="111"/>
      <c r="HM272" s="124">
        <v>5952.2015000000001</v>
      </c>
      <c r="HN272" s="124">
        <v>6682.4515926000004</v>
      </c>
      <c r="HO272" s="124">
        <v>7298.5962818160015</v>
      </c>
      <c r="HR272" s="111"/>
      <c r="HS272" s="111"/>
      <c r="HT272" s="111"/>
      <c r="HU272" s="124">
        <v>4591.6983</v>
      </c>
      <c r="HV272" s="124">
        <v>5172.2930406000005</v>
      </c>
      <c r="HW272" s="124">
        <v>5667.625045656001</v>
      </c>
      <c r="HZ272" s="111"/>
      <c r="IA272" s="124">
        <v>5782.1386000000002</v>
      </c>
      <c r="IB272" s="124">
        <v>6040.6342080000004</v>
      </c>
      <c r="IC272" s="124">
        <v>6605.433506448001</v>
      </c>
      <c r="IE272" s="111"/>
      <c r="IF272" s="124">
        <v>6341.7003999999988</v>
      </c>
      <c r="IG272" s="124">
        <v>6625.2117119999994</v>
      </c>
      <c r="IH272" s="124">
        <v>7244.6690070720006</v>
      </c>
      <c r="IK272" s="124">
        <v>6625.2117119999994</v>
      </c>
      <c r="IL272" s="124">
        <v>7244.6690070720006</v>
      </c>
      <c r="IO272" s="124">
        <v>7549.67598</v>
      </c>
      <c r="IP272" s="124">
        <v>8558.1296684800018</v>
      </c>
      <c r="IS272" s="160">
        <v>1391.0360899999998</v>
      </c>
      <c r="IT272" s="160">
        <v>1543.8629250000001</v>
      </c>
      <c r="IU272" s="160">
        <v>1713.3447661000002</v>
      </c>
      <c r="IX272" s="124">
        <v>1998.0412200000005</v>
      </c>
      <c r="IY272" s="124">
        <v>6777.08122</v>
      </c>
      <c r="IZ272" s="124">
        <v>7974.5280887999979</v>
      </c>
      <c r="JA272" s="124">
        <v>9381.6646763839981</v>
      </c>
      <c r="JD272" s="124">
        <v>8789.7127500000006</v>
      </c>
      <c r="JE272" s="124">
        <v>10697.955599999999</v>
      </c>
      <c r="JH272" s="124">
        <v>8789.7127500000006</v>
      </c>
      <c r="JI272" s="124">
        <v>10697.955599999999</v>
      </c>
      <c r="JJ272" s="124">
        <v>12475.494284999999</v>
      </c>
      <c r="JM272" s="124">
        <v>9593.9265820799992</v>
      </c>
      <c r="JN272" s="124">
        <v>11188.023274787998</v>
      </c>
      <c r="JQ272" s="124">
        <v>7523.9941140000019</v>
      </c>
      <c r="JR272" s="124">
        <v>8426.873407680001</v>
      </c>
      <c r="JS272" s="124">
        <v>9438.098216601602</v>
      </c>
      <c r="JV272" s="124">
        <v>8349.2484562565587</v>
      </c>
      <c r="JW272" s="124">
        <v>9351.1582710073471</v>
      </c>
      <c r="JY272" s="124">
        <v>8647.4359011228626</v>
      </c>
      <c r="JZ272" s="124">
        <v>9685.1282092576075</v>
      </c>
      <c r="KB272" s="124">
        <v>8572.8890399062875</v>
      </c>
      <c r="KC272" s="124">
        <v>9773.0935054931688</v>
      </c>
      <c r="KD272" s="124">
        <v>11141.326596262212</v>
      </c>
    </row>
    <row r="273" spans="2:290" x14ac:dyDescent="0.25">
      <c r="B273" s="11" t="s">
        <v>224</v>
      </c>
      <c r="C273" s="23"/>
      <c r="D273" s="23"/>
      <c r="E273" s="23"/>
      <c r="F273" s="23"/>
      <c r="G273" s="23"/>
      <c r="H273" s="197"/>
      <c r="I273" s="198"/>
      <c r="J273" s="198"/>
      <c r="K273" s="198"/>
      <c r="L273" s="198"/>
      <c r="M273" s="197"/>
      <c r="N273" s="198"/>
      <c r="O273" s="198"/>
      <c r="P273" s="198"/>
      <c r="Q273" s="198"/>
      <c r="R273" s="197"/>
      <c r="S273" s="198"/>
      <c r="T273" s="198"/>
      <c r="U273" s="198"/>
      <c r="V273" s="198"/>
      <c r="W273" s="197">
        <v>606.5</v>
      </c>
      <c r="X273" s="198">
        <v>134</v>
      </c>
      <c r="Y273" s="198">
        <v>134</v>
      </c>
      <c r="Z273" s="198">
        <v>167</v>
      </c>
      <c r="AA273" s="198">
        <v>165</v>
      </c>
      <c r="AB273" s="197">
        <v>600</v>
      </c>
      <c r="AC273" s="198">
        <v>158.76</v>
      </c>
      <c r="AD273" s="198">
        <v>158</v>
      </c>
      <c r="AE273" s="198">
        <v>177</v>
      </c>
      <c r="AF273" s="198">
        <v>154</v>
      </c>
      <c r="AG273" s="197">
        <v>647.76</v>
      </c>
      <c r="AH273" s="198">
        <v>140.38</v>
      </c>
      <c r="AI273" s="198">
        <v>125</v>
      </c>
      <c r="AJ273" s="198">
        <v>150.28000000000003</v>
      </c>
      <c r="AK273" s="197">
        <v>415.66</v>
      </c>
      <c r="AL273" s="198">
        <v>172.8</v>
      </c>
      <c r="AM273" s="198">
        <v>157.61000000000001</v>
      </c>
      <c r="AN273" s="198">
        <v>149.85</v>
      </c>
      <c r="AO273" s="198">
        <v>187.79</v>
      </c>
      <c r="AP273" s="197">
        <v>624.07000000000005</v>
      </c>
      <c r="AQ273" s="198">
        <v>166.12</v>
      </c>
      <c r="AR273" s="198">
        <v>185.2</v>
      </c>
      <c r="AS273" s="198">
        <v>192.73</v>
      </c>
      <c r="AT273" s="198">
        <v>255.75</v>
      </c>
      <c r="AU273" s="197">
        <v>799.81</v>
      </c>
      <c r="AV273" s="199">
        <v>228</v>
      </c>
      <c r="AW273" s="199">
        <v>254.42</v>
      </c>
      <c r="AX273" s="199">
        <v>198.97</v>
      </c>
      <c r="AY273" s="199">
        <v>200.4</v>
      </c>
      <c r="AZ273" s="197">
        <v>885</v>
      </c>
      <c r="BA273" s="199">
        <v>188.26</v>
      </c>
      <c r="BB273" s="199">
        <v>169.1</v>
      </c>
      <c r="BC273" s="199">
        <v>156.56</v>
      </c>
      <c r="BD273" s="199">
        <v>159.27000000000001</v>
      </c>
      <c r="BE273" s="197">
        <f t="shared" ref="BE273:BE279" si="368">SUM(BA273:BD273)</f>
        <v>673.19</v>
      </c>
      <c r="BF273" s="199">
        <v>70.48</v>
      </c>
      <c r="BG273" s="199">
        <v>181.45</v>
      </c>
      <c r="BH273" s="199">
        <v>216</v>
      </c>
      <c r="BI273" s="199">
        <v>293.08999999999997</v>
      </c>
      <c r="BJ273" s="197">
        <v>761.12</v>
      </c>
      <c r="BK273" s="199">
        <v>198.92</v>
      </c>
      <c r="BL273" s="199">
        <v>252.95</v>
      </c>
      <c r="BM273" s="199">
        <v>272</v>
      </c>
      <c r="BN273" s="199">
        <v>300.27999999999997</v>
      </c>
      <c r="BO273" s="197">
        <v>1023.67</v>
      </c>
      <c r="BP273" s="199">
        <v>302.26</v>
      </c>
      <c r="BQ273" s="199">
        <v>334.86</v>
      </c>
      <c r="BR273" s="199">
        <v>335.84</v>
      </c>
      <c r="BS273" s="199">
        <v>368.67</v>
      </c>
      <c r="BT273" s="197">
        <v>1341.63</v>
      </c>
      <c r="BU273" s="199">
        <v>298.5</v>
      </c>
      <c r="BV273" s="199">
        <v>325.81</v>
      </c>
      <c r="BW273" s="199">
        <v>331.95</v>
      </c>
      <c r="BX273" s="199">
        <v>351.56</v>
      </c>
      <c r="BY273" s="197">
        <v>1307.82</v>
      </c>
      <c r="BZ273" s="199">
        <v>306.38</v>
      </c>
      <c r="CA273" s="199">
        <v>327.56</v>
      </c>
      <c r="CB273" s="199">
        <v>332.36</v>
      </c>
      <c r="CC273" s="199">
        <v>346</v>
      </c>
      <c r="CD273" s="197">
        <v>1312</v>
      </c>
      <c r="CE273" s="199">
        <v>301.58999999999997</v>
      </c>
      <c r="CF273" s="199">
        <v>282.56</v>
      </c>
      <c r="CG273" s="199">
        <v>336</v>
      </c>
      <c r="CH273" s="199">
        <v>358.51</v>
      </c>
      <c r="CI273" s="197">
        <v>1278.18</v>
      </c>
      <c r="CJ273" s="197">
        <f t="shared" si="367"/>
        <v>1308.0528000000002</v>
      </c>
      <c r="CK273" s="197">
        <f t="shared" si="367"/>
        <v>1412.6970240000001</v>
      </c>
      <c r="CL273" s="197">
        <f t="shared" si="367"/>
        <v>1487.5699662720003</v>
      </c>
      <c r="CM273" s="197">
        <f t="shared" si="367"/>
        <v>1647.7698087936003</v>
      </c>
      <c r="CN273" s="197">
        <f t="shared" si="367"/>
        <v>1779.5913934970881</v>
      </c>
      <c r="CO273" s="201"/>
      <c r="CP273" s="137"/>
      <c r="CQ273" s="32"/>
      <c r="CR273" s="6"/>
      <c r="CS273" s="6"/>
      <c r="CT273" s="124"/>
      <c r="CU273" s="124"/>
      <c r="CV273" s="124"/>
      <c r="CW273" s="124"/>
      <c r="CX273" s="124"/>
      <c r="CY273" s="124"/>
      <c r="CZ273" s="124"/>
      <c r="DA273" s="124"/>
      <c r="DB273" s="124"/>
      <c r="DC273" s="124"/>
      <c r="DD273" s="124"/>
      <c r="DE273" s="124"/>
      <c r="DF273" s="124"/>
      <c r="DG273" s="124"/>
      <c r="DH273" s="124"/>
      <c r="DI273" s="124"/>
      <c r="DK273" s="124"/>
      <c r="DL273" s="124"/>
      <c r="DM273" s="6"/>
      <c r="DN273" s="124"/>
      <c r="DO273" s="124"/>
      <c r="DQ273" s="136"/>
      <c r="DR273" s="124"/>
      <c r="DS273" s="124"/>
      <c r="DT273" s="124"/>
      <c r="DV273" s="124"/>
      <c r="DW273" s="124"/>
      <c r="DX273" s="124"/>
      <c r="EA273" s="111"/>
      <c r="EB273" s="111"/>
      <c r="EC273" s="111"/>
      <c r="ED273" s="124"/>
      <c r="EE273" s="124"/>
      <c r="EF273" s="124"/>
      <c r="EJ273" s="111"/>
      <c r="EK273" s="111">
        <v>0.16104745987958841</v>
      </c>
      <c r="EL273" s="124"/>
      <c r="EM273" s="124"/>
      <c r="EN273" s="124"/>
      <c r="EP273" s="111"/>
      <c r="EQ273" s="124"/>
      <c r="ER273" s="124"/>
      <c r="ES273" s="124"/>
      <c r="EV273" s="111"/>
      <c r="EW273" s="111"/>
      <c r="EX273" s="111"/>
      <c r="EY273" s="111"/>
      <c r="EZ273" s="124"/>
      <c r="FA273" s="124"/>
      <c r="FD273" s="111"/>
      <c r="FE273" s="111"/>
      <c r="FF273" s="111"/>
      <c r="FG273" s="124"/>
      <c r="FH273" s="124"/>
      <c r="FK273" s="124"/>
      <c r="FL273" s="124"/>
      <c r="FO273" s="111">
        <v>279.48901687933289</v>
      </c>
      <c r="FP273" s="111">
        <v>248.74587913192008</v>
      </c>
      <c r="FQ273" s="124"/>
      <c r="FR273" s="124"/>
      <c r="FU273" s="111">
        <v>246.8503667715033</v>
      </c>
      <c r="FV273" s="124">
        <v>760.7703667715034</v>
      </c>
      <c r="FW273" s="124">
        <v>777.66024907696851</v>
      </c>
      <c r="FX273" s="124">
        <v>931.51396469999997</v>
      </c>
      <c r="FY273" s="124">
        <v>1024.6653611700003</v>
      </c>
      <c r="GA273" s="124">
        <v>726.00849301654716</v>
      </c>
      <c r="GB273" s="124">
        <v>798.60934231820204</v>
      </c>
      <c r="GC273" s="124">
        <v>889.03358865002224</v>
      </c>
      <c r="GF273" s="111"/>
      <c r="GG273" s="111"/>
      <c r="GH273" s="111"/>
      <c r="GI273" s="124">
        <v>768.71487495869712</v>
      </c>
      <c r="GJ273" s="124">
        <v>845.58636245456694</v>
      </c>
      <c r="GK273" s="124">
        <v>941.32968210002366</v>
      </c>
      <c r="GN273" s="111"/>
      <c r="GO273" s="111"/>
      <c r="GP273" s="124">
        <v>868.35373767770682</v>
      </c>
      <c r="GQ273" s="124">
        <v>955.18911144547747</v>
      </c>
      <c r="GR273" s="124">
        <v>1062.7626258100252</v>
      </c>
      <c r="GV273" s="111">
        <v>256.35794078514658</v>
      </c>
      <c r="GW273" s="124">
        <v>724.28794078514659</v>
      </c>
      <c r="GX273" s="124">
        <v>1004.3112373636612</v>
      </c>
      <c r="GY273" s="124">
        <v>1168.5998474182104</v>
      </c>
      <c r="HC273" s="124"/>
      <c r="HD273" s="124">
        <v>1316.2671174440904</v>
      </c>
      <c r="HE273" s="124">
        <v>1566.7828159840269</v>
      </c>
      <c r="HF273" s="124">
        <v>1738.4074767224297</v>
      </c>
      <c r="HI273" s="111"/>
      <c r="HJ273" s="111"/>
      <c r="HK273" s="111"/>
      <c r="HL273" s="111"/>
      <c r="HM273" s="124">
        <v>1392.6761199999999</v>
      </c>
      <c r="HN273" s="124">
        <v>1545.8704932000003</v>
      </c>
      <c r="HO273" s="124">
        <v>1715.7769798400004</v>
      </c>
      <c r="HR273" s="111"/>
      <c r="HS273" s="111"/>
      <c r="HT273" s="111"/>
      <c r="HU273" s="124">
        <v>1392.6761199999999</v>
      </c>
      <c r="HV273" s="124">
        <v>1392.6761200000003</v>
      </c>
      <c r="HW273" s="124">
        <v>1547.2631693200003</v>
      </c>
      <c r="HZ273" s="111"/>
      <c r="IA273" s="124">
        <v>1406.0455199999999</v>
      </c>
      <c r="IB273" s="124">
        <v>1406.0455199999999</v>
      </c>
      <c r="IC273" s="124">
        <v>1562.1165727200002</v>
      </c>
      <c r="IE273" s="111"/>
      <c r="IF273" s="124">
        <v>1251.1422000000002</v>
      </c>
      <c r="IG273" s="124">
        <v>1251.1422000000002</v>
      </c>
      <c r="IH273" s="124">
        <v>1390.0189842000002</v>
      </c>
      <c r="IK273" s="124">
        <v>1251.1422000000002</v>
      </c>
      <c r="IL273" s="124">
        <v>1390.0189842000002</v>
      </c>
      <c r="IO273" s="124">
        <v>1439.419954</v>
      </c>
      <c r="IP273" s="124">
        <v>1597.5625050000001</v>
      </c>
      <c r="IS273" s="160">
        <v>1521.8755200000001</v>
      </c>
      <c r="IT273" s="160">
        <v>1688.0719680000004</v>
      </c>
      <c r="IU273" s="160">
        <v>1872.2889504000004</v>
      </c>
      <c r="IX273" s="124">
        <v>397.34910999999994</v>
      </c>
      <c r="IY273" s="124">
        <v>1353.6091099999999</v>
      </c>
      <c r="IZ273" s="124">
        <v>1502.6932470000002</v>
      </c>
      <c r="JA273" s="124">
        <v>1668.0581203000004</v>
      </c>
      <c r="JD273" s="124">
        <v>1371.8273526776027</v>
      </c>
      <c r="JE273" s="124">
        <v>1578.5567376524673</v>
      </c>
      <c r="JH273" s="124">
        <v>1334.413879422759</v>
      </c>
      <c r="JI273" s="124">
        <v>1535.5051902619455</v>
      </c>
      <c r="JJ273" s="124">
        <v>1735.7519849397793</v>
      </c>
      <c r="JM273" s="124">
        <v>1635.95880083983</v>
      </c>
      <c r="JN273" s="124">
        <v>1849.30585311341</v>
      </c>
      <c r="JQ273" s="124">
        <v>1371.8273526776027</v>
      </c>
      <c r="JR273" s="124">
        <v>1563.8831820524674</v>
      </c>
      <c r="JS273" s="124">
        <v>1751.5491638987635</v>
      </c>
      <c r="JV273" s="124">
        <v>1490.9665883211057</v>
      </c>
      <c r="JW273" s="124">
        <v>1669.8825789196385</v>
      </c>
      <c r="JY273" s="124">
        <v>1490.9665883211057</v>
      </c>
      <c r="JZ273" s="124">
        <v>1669.8825789196385</v>
      </c>
      <c r="KB273" s="124">
        <v>1373.2586997694395</v>
      </c>
      <c r="KC273" s="124">
        <v>1510.5845697463835</v>
      </c>
      <c r="KD273" s="124">
        <v>1661.6430267210217</v>
      </c>
    </row>
    <row r="274" spans="2:290" x14ac:dyDescent="0.25">
      <c r="B274" s="11" t="s">
        <v>223</v>
      </c>
      <c r="C274" s="23"/>
      <c r="D274" s="23"/>
      <c r="E274" s="23"/>
      <c r="F274" s="23"/>
      <c r="G274" s="23"/>
      <c r="H274" s="197"/>
      <c r="I274" s="198"/>
      <c r="J274" s="198"/>
      <c r="K274" s="198"/>
      <c r="L274" s="198"/>
      <c r="M274" s="197"/>
      <c r="N274" s="198"/>
      <c r="O274" s="198"/>
      <c r="P274" s="198"/>
      <c r="Q274" s="198"/>
      <c r="R274" s="197"/>
      <c r="S274" s="198"/>
      <c r="T274" s="198"/>
      <c r="U274" s="198"/>
      <c r="V274" s="198"/>
      <c r="W274" s="197">
        <v>700</v>
      </c>
      <c r="X274" s="198">
        <v>129</v>
      </c>
      <c r="Y274" s="198">
        <v>246</v>
      </c>
      <c r="Z274" s="198">
        <v>196</v>
      </c>
      <c r="AA274" s="198">
        <v>239</v>
      </c>
      <c r="AB274" s="197">
        <v>810</v>
      </c>
      <c r="AC274" s="198">
        <v>159.37</v>
      </c>
      <c r="AD274" s="198">
        <v>267</v>
      </c>
      <c r="AE274" s="198">
        <v>217</v>
      </c>
      <c r="AF274" s="198">
        <v>269</v>
      </c>
      <c r="AG274" s="197">
        <v>912.37</v>
      </c>
      <c r="AH274" s="198">
        <v>158.47999999999999</v>
      </c>
      <c r="AI274" s="198">
        <v>303</v>
      </c>
      <c r="AJ274" s="198">
        <v>221.23000000000002</v>
      </c>
      <c r="AK274" s="197">
        <v>682.71</v>
      </c>
      <c r="AL274" s="198">
        <v>280.48</v>
      </c>
      <c r="AM274" s="198">
        <v>162.80000000000001</v>
      </c>
      <c r="AN274" s="198">
        <v>310.58999999999997</v>
      </c>
      <c r="AO274" s="198">
        <v>285.43</v>
      </c>
      <c r="AP274" s="197">
        <v>981.26</v>
      </c>
      <c r="AQ274" s="198">
        <v>237.81</v>
      </c>
      <c r="AR274" s="198">
        <v>215.25</v>
      </c>
      <c r="AS274" s="198">
        <v>319.19</v>
      </c>
      <c r="AT274" s="198">
        <v>246.42</v>
      </c>
      <c r="AU274" s="197">
        <v>1019.58</v>
      </c>
      <c r="AV274" s="199">
        <v>260</v>
      </c>
      <c r="AW274" s="199">
        <v>207.66</v>
      </c>
      <c r="AX274" s="199">
        <v>306.95</v>
      </c>
      <c r="AY274" s="199">
        <v>267.44</v>
      </c>
      <c r="AZ274" s="197">
        <v>1042</v>
      </c>
      <c r="BA274" s="199">
        <v>245.11</v>
      </c>
      <c r="BB274" s="199">
        <v>197.95</v>
      </c>
      <c r="BC274" s="199">
        <v>308.63</v>
      </c>
      <c r="BD274" s="199">
        <v>207.58</v>
      </c>
      <c r="BE274" s="197">
        <f t="shared" si="368"/>
        <v>959.2700000000001</v>
      </c>
      <c r="BF274" s="199">
        <v>187.57</v>
      </c>
      <c r="BG274" s="199">
        <v>219.84</v>
      </c>
      <c r="BH274" s="199">
        <v>318</v>
      </c>
      <c r="BI274" s="199">
        <v>309.73</v>
      </c>
      <c r="BJ274" s="197">
        <v>1035.06</v>
      </c>
      <c r="BK274" s="199">
        <v>244.13</v>
      </c>
      <c r="BL274" s="199">
        <v>277.27999999999997</v>
      </c>
      <c r="BM274" s="199">
        <v>370</v>
      </c>
      <c r="BN274" s="199">
        <v>318.97000000000003</v>
      </c>
      <c r="BO274" s="197">
        <v>1210.1099999999999</v>
      </c>
      <c r="BP274" s="199">
        <v>326.33</v>
      </c>
      <c r="BQ274" s="199">
        <v>327.82</v>
      </c>
      <c r="BR274" s="199">
        <v>341.91</v>
      </c>
      <c r="BS274" s="199">
        <v>323.07</v>
      </c>
      <c r="BT274" s="197">
        <v>1319.13</v>
      </c>
      <c r="BU274" s="199">
        <v>323.10000000000002</v>
      </c>
      <c r="BV274" s="199">
        <v>352.21</v>
      </c>
      <c r="BW274" s="199">
        <v>353.95</v>
      </c>
      <c r="BX274" s="199">
        <v>376.41</v>
      </c>
      <c r="BY274" s="197">
        <v>1405.67</v>
      </c>
      <c r="BZ274" s="199">
        <v>368.09</v>
      </c>
      <c r="CA274" s="199">
        <v>399.86</v>
      </c>
      <c r="CB274" s="199">
        <v>398.24</v>
      </c>
      <c r="CC274" s="199">
        <v>426</v>
      </c>
      <c r="CD274" s="197">
        <v>1592</v>
      </c>
      <c r="CE274" s="199">
        <v>401.55</v>
      </c>
      <c r="CF274" s="199">
        <v>393.51</v>
      </c>
      <c r="CG274" s="199">
        <v>390</v>
      </c>
      <c r="CH274" s="199">
        <v>456.92</v>
      </c>
      <c r="CI274" s="197">
        <v>1642.27</v>
      </c>
      <c r="CJ274" s="197">
        <f t="shared" si="367"/>
        <v>1767.8587500000001</v>
      </c>
      <c r="CK274" s="197">
        <f t="shared" si="367"/>
        <v>1856.2516874999999</v>
      </c>
      <c r="CL274" s="197">
        <f t="shared" si="367"/>
        <v>2044.8468589500003</v>
      </c>
      <c r="CM274" s="197">
        <f t="shared" si="367"/>
        <v>2208.4346076660004</v>
      </c>
      <c r="CN274" s="197">
        <f t="shared" si="367"/>
        <v>2385.1093762792807</v>
      </c>
      <c r="CO274" s="201"/>
      <c r="CP274" s="137"/>
      <c r="CQ274" s="32"/>
      <c r="CR274" s="6"/>
      <c r="CS274" s="6"/>
      <c r="CT274" s="124"/>
      <c r="CU274" s="124"/>
      <c r="CV274" s="124"/>
      <c r="CW274" s="124"/>
      <c r="CX274" s="124"/>
      <c r="CY274" s="124"/>
      <c r="CZ274" s="124"/>
      <c r="DA274" s="124"/>
      <c r="DB274" s="124"/>
      <c r="DC274" s="124"/>
      <c r="DD274" s="124"/>
      <c r="DE274" s="124"/>
      <c r="DF274" s="124"/>
      <c r="DG274" s="124"/>
      <c r="DH274" s="124"/>
      <c r="DI274" s="124"/>
      <c r="DK274" s="124"/>
      <c r="DL274" s="124"/>
      <c r="DM274" s="6"/>
      <c r="DN274" s="124"/>
      <c r="DO274" s="124"/>
      <c r="DQ274" s="136"/>
      <c r="DR274" s="124"/>
      <c r="DS274" s="124"/>
      <c r="DT274" s="124"/>
      <c r="DV274" s="124"/>
      <c r="DW274" s="124"/>
      <c r="DX274" s="124"/>
      <c r="EA274" s="111"/>
      <c r="EB274" s="111"/>
      <c r="EC274" s="111"/>
      <c r="ED274" s="124"/>
      <c r="EE274" s="124"/>
      <c r="EF274" s="124"/>
      <c r="EJ274" s="111"/>
      <c r="EK274" s="111">
        <v>0.20529972011356543</v>
      </c>
      <c r="EL274" s="124"/>
      <c r="EM274" s="124"/>
      <c r="EN274" s="124"/>
      <c r="EP274" s="111"/>
      <c r="EQ274" s="124"/>
      <c r="ER274" s="124"/>
      <c r="ES274" s="124"/>
      <c r="EV274" s="111"/>
      <c r="EW274" s="111"/>
      <c r="EX274" s="111"/>
      <c r="EY274" s="111"/>
      <c r="EZ274" s="124"/>
      <c r="FA274" s="124"/>
      <c r="FD274" s="111"/>
      <c r="FE274" s="111"/>
      <c r="FF274" s="111"/>
      <c r="FG274" s="124"/>
      <c r="FH274" s="124"/>
      <c r="FK274" s="124"/>
      <c r="FL274" s="124"/>
      <c r="FO274" s="111">
        <v>182.81906273729888</v>
      </c>
      <c r="FP274" s="111">
        <v>223.59686855179891</v>
      </c>
      <c r="FQ274" s="124"/>
      <c r="FR274" s="124"/>
      <c r="FU274" s="111">
        <v>191.28920769266415</v>
      </c>
      <c r="FV274" s="124">
        <v>942.9792076926642</v>
      </c>
      <c r="FW274" s="124">
        <v>593.46476054174025</v>
      </c>
      <c r="FX274" s="124">
        <v>684.18102297600001</v>
      </c>
      <c r="FY274" s="124">
        <v>732.07369458432004</v>
      </c>
      <c r="GA274" s="124">
        <v>483.32824536911181</v>
      </c>
      <c r="GB274" s="124">
        <v>517.16122254494974</v>
      </c>
      <c r="GC274" s="124">
        <v>559.55227258509626</v>
      </c>
      <c r="GF274" s="111"/>
      <c r="GG274" s="111"/>
      <c r="GH274" s="111"/>
      <c r="GI274" s="124">
        <v>517.85169146690566</v>
      </c>
      <c r="GJ274" s="124">
        <v>554.10130986958904</v>
      </c>
      <c r="GK274" s="124">
        <v>599.52029205546035</v>
      </c>
      <c r="GN274" s="111"/>
      <c r="GO274" s="111"/>
      <c r="GP274" s="124">
        <v>649.22626976028675</v>
      </c>
      <c r="GQ274" s="124">
        <v>694.67210864350682</v>
      </c>
      <c r="GR274" s="124">
        <v>751.25742484255238</v>
      </c>
      <c r="GV274" s="111">
        <v>284.83839327322664</v>
      </c>
      <c r="GW274" s="124">
        <v>1010.2483932732267</v>
      </c>
      <c r="GX274" s="124">
        <v>902.24768846601398</v>
      </c>
      <c r="GY274" s="124">
        <v>1048.129445287916</v>
      </c>
      <c r="HC274" s="124"/>
      <c r="HD274" s="124">
        <v>1114.3304352037092</v>
      </c>
      <c r="HE274" s="124">
        <v>1292.4437899842655</v>
      </c>
      <c r="HF274" s="124">
        <v>1433.7483374326921</v>
      </c>
      <c r="HI274" s="111"/>
      <c r="HJ274" s="111"/>
      <c r="HK274" s="111"/>
      <c r="HL274" s="111"/>
      <c r="HM274" s="124">
        <v>1316.2043352347125</v>
      </c>
      <c r="HN274" s="124">
        <v>1460.1066537581837</v>
      </c>
      <c r="HO274" s="124">
        <v>1619.6273926340025</v>
      </c>
      <c r="HR274" s="111"/>
      <c r="HS274" s="111"/>
      <c r="HT274" s="111"/>
      <c r="HU274" s="124">
        <v>1316.2043352347125</v>
      </c>
      <c r="HV274" s="124">
        <v>1228.1885</v>
      </c>
      <c r="HW274" s="124">
        <v>1364.5174235000002</v>
      </c>
      <c r="HZ274" s="111"/>
      <c r="IA274" s="124">
        <v>1302.2411004495466</v>
      </c>
      <c r="IB274" s="124">
        <v>1215.1590000000001</v>
      </c>
      <c r="IC274" s="124">
        <v>1350.0416489999998</v>
      </c>
      <c r="IE274" s="111"/>
      <c r="IF274" s="124">
        <v>1358.8602787299619</v>
      </c>
      <c r="IG274" s="124">
        <v>1267.9920000000002</v>
      </c>
      <c r="IH274" s="124">
        <v>1408.7391120000002</v>
      </c>
      <c r="IK274" s="124">
        <v>1267.9920000000002</v>
      </c>
      <c r="IL274" s="124">
        <v>1408.7391120000002</v>
      </c>
      <c r="IO274" s="124">
        <v>1550.0584000000001</v>
      </c>
      <c r="IP274" s="124">
        <v>1719.3325600000005</v>
      </c>
      <c r="IS274" s="160">
        <v>469.17511200000001</v>
      </c>
      <c r="IT274" s="160">
        <v>520.42953599999998</v>
      </c>
      <c r="IU274" s="160">
        <v>577.24309368000013</v>
      </c>
      <c r="IX274" s="124">
        <v>448.0417599999999</v>
      </c>
      <c r="IY274" s="124">
        <v>1477.3017600000001</v>
      </c>
      <c r="IZ274" s="124">
        <v>1639.0408320000001</v>
      </c>
      <c r="JA274" s="124">
        <v>1818.3547008000005</v>
      </c>
      <c r="JD274" s="124">
        <v>1650.4853527516366</v>
      </c>
      <c r="JE274" s="124">
        <v>1863.8046254818335</v>
      </c>
      <c r="JH274" s="124">
        <v>1605.4721158584102</v>
      </c>
      <c r="JI274" s="124">
        <v>1812.97359024142</v>
      </c>
      <c r="JJ274" s="124">
        <v>2047.1566200079906</v>
      </c>
      <c r="JM274" s="124">
        <v>1812.97359024142</v>
      </c>
      <c r="JN274" s="124">
        <v>2047.1566200079906</v>
      </c>
      <c r="JQ274" s="124">
        <v>1560.4588789651837</v>
      </c>
      <c r="JR274" s="124">
        <v>1730.6757236617025</v>
      </c>
      <c r="JS274" s="124">
        <v>1919.3313485078727</v>
      </c>
      <c r="JV274" s="124">
        <v>1726.8754798871935</v>
      </c>
      <c r="JW274" s="124">
        <v>1915.1168518759127</v>
      </c>
      <c r="JY274" s="124">
        <v>1726.8754798871935</v>
      </c>
      <c r="JZ274" s="124">
        <v>1915.1168518759127</v>
      </c>
      <c r="KB274" s="124">
        <v>1569.8867998974481</v>
      </c>
      <c r="KC274" s="124">
        <v>1693.5330838902696</v>
      </c>
      <c r="KD274" s="124">
        <v>1826.7974023225888</v>
      </c>
    </row>
    <row r="275" spans="2:290" x14ac:dyDescent="0.25">
      <c r="B275" s="11" t="s">
        <v>225</v>
      </c>
      <c r="C275" s="23"/>
      <c r="D275" s="23"/>
      <c r="E275" s="23"/>
      <c r="F275" s="23"/>
      <c r="G275" s="23"/>
      <c r="H275" s="197"/>
      <c r="I275" s="198"/>
      <c r="J275" s="198"/>
      <c r="K275" s="198"/>
      <c r="L275" s="198"/>
      <c r="M275" s="197"/>
      <c r="N275" s="198"/>
      <c r="O275" s="198"/>
      <c r="P275" s="198"/>
      <c r="Q275" s="198"/>
      <c r="R275" s="197"/>
      <c r="S275" s="198"/>
      <c r="T275" s="198"/>
      <c r="U275" s="198"/>
      <c r="V275" s="198"/>
      <c r="W275" s="197">
        <v>276.2</v>
      </c>
      <c r="X275" s="198">
        <v>50.4</v>
      </c>
      <c r="Y275" s="198">
        <v>68</v>
      </c>
      <c r="Z275" s="198">
        <v>63</v>
      </c>
      <c r="AA275" s="198">
        <v>78</v>
      </c>
      <c r="AB275" s="197">
        <v>259.39999999999998</v>
      </c>
      <c r="AC275" s="198">
        <v>50.5</v>
      </c>
      <c r="AD275" s="198">
        <v>66</v>
      </c>
      <c r="AE275" s="198">
        <v>73</v>
      </c>
      <c r="AF275" s="198">
        <v>86</v>
      </c>
      <c r="AG275" s="197">
        <v>275.5</v>
      </c>
      <c r="AH275" s="198">
        <v>58.11</v>
      </c>
      <c r="AI275" s="198">
        <v>74</v>
      </c>
      <c r="AJ275" s="198">
        <v>85.270000000000024</v>
      </c>
      <c r="AK275" s="197">
        <v>217.38000000000005</v>
      </c>
      <c r="AL275" s="198">
        <v>92.46</v>
      </c>
      <c r="AM275" s="198">
        <v>73</v>
      </c>
      <c r="AN275" s="198">
        <v>78.180000000000007</v>
      </c>
      <c r="AO275" s="198">
        <v>93.25</v>
      </c>
      <c r="AP275" s="197">
        <v>314.74</v>
      </c>
      <c r="AQ275" s="198">
        <v>80.959999999999994</v>
      </c>
      <c r="AR275" s="198">
        <v>84.23</v>
      </c>
      <c r="AS275" s="198">
        <v>91.34</v>
      </c>
      <c r="AT275" s="198">
        <v>95.34</v>
      </c>
      <c r="AU275" s="197">
        <v>351.78</v>
      </c>
      <c r="AV275" s="199">
        <v>100</v>
      </c>
      <c r="AW275" s="199">
        <v>92.85</v>
      </c>
      <c r="AX275" s="199">
        <v>108.25</v>
      </c>
      <c r="AY275" s="199">
        <v>98.32</v>
      </c>
      <c r="AZ275" s="197">
        <v>399</v>
      </c>
      <c r="BA275" s="199">
        <v>97.37</v>
      </c>
      <c r="BB275" s="199">
        <v>86.3</v>
      </c>
      <c r="BC275" s="199">
        <v>104.55</v>
      </c>
      <c r="BD275" s="199">
        <v>94.98</v>
      </c>
      <c r="BE275" s="197">
        <f t="shared" si="368"/>
        <v>383.20000000000005</v>
      </c>
      <c r="BF275" s="199">
        <v>28</v>
      </c>
      <c r="BG275" s="199">
        <v>85.47</v>
      </c>
      <c r="BH275" s="199">
        <v>117</v>
      </c>
      <c r="BI275" s="199">
        <v>124</v>
      </c>
      <c r="BJ275" s="197">
        <v>354.21</v>
      </c>
      <c r="BK275" s="199">
        <v>48.46</v>
      </c>
      <c r="BL275" s="199">
        <v>111.17</v>
      </c>
      <c r="BM275" s="199">
        <v>127</v>
      </c>
      <c r="BN275" s="199">
        <v>118</v>
      </c>
      <c r="BO275" s="197">
        <v>405.09</v>
      </c>
      <c r="BP275" s="199">
        <v>95.77</v>
      </c>
      <c r="BQ275" s="199">
        <v>111.91</v>
      </c>
      <c r="BR275" s="199">
        <v>115.87</v>
      </c>
      <c r="BS275" s="199">
        <v>121.05</v>
      </c>
      <c r="BT275" s="197">
        <v>444.6</v>
      </c>
      <c r="BU275" s="199">
        <v>104.92</v>
      </c>
      <c r="BV275" s="199">
        <v>105.44</v>
      </c>
      <c r="BW275" s="199">
        <v>112.33</v>
      </c>
      <c r="BX275" s="199">
        <v>118.35</v>
      </c>
      <c r="BY275" s="197">
        <v>441.04</v>
      </c>
      <c r="BZ275" s="199">
        <v>97.19</v>
      </c>
      <c r="CA275" s="199">
        <v>103.89</v>
      </c>
      <c r="CB275" s="199">
        <v>106.42</v>
      </c>
      <c r="CC275" s="199">
        <v>136</v>
      </c>
      <c r="CD275" s="197">
        <v>443</v>
      </c>
      <c r="CE275" s="199">
        <v>98.39</v>
      </c>
      <c r="CF275" s="199">
        <v>103.31</v>
      </c>
      <c r="CG275" s="199">
        <v>112</v>
      </c>
      <c r="CH275" s="199">
        <v>123.48</v>
      </c>
      <c r="CI275" s="197">
        <v>431.09</v>
      </c>
      <c r="CJ275" s="197">
        <f t="shared" si="367"/>
        <v>452.64449999999999</v>
      </c>
      <c r="CK275" s="197">
        <f t="shared" si="367"/>
        <v>475.27672500000011</v>
      </c>
      <c r="CL275" s="197">
        <f t="shared" si="367"/>
        <v>499.04056125000017</v>
      </c>
      <c r="CM275" s="197">
        <f t="shared" si="367"/>
        <v>523.99258931250017</v>
      </c>
      <c r="CN275" s="197">
        <f t="shared" si="367"/>
        <v>550.19221877812515</v>
      </c>
      <c r="CO275" s="201"/>
      <c r="CP275" s="137"/>
      <c r="CQ275" s="32"/>
      <c r="CR275" s="6"/>
      <c r="CS275" s="6"/>
      <c r="CT275" s="124"/>
      <c r="CU275" s="124"/>
      <c r="CV275" s="124"/>
      <c r="CW275" s="124"/>
      <c r="CX275" s="124"/>
      <c r="CY275" s="124"/>
      <c r="CZ275" s="124"/>
      <c r="DA275" s="124"/>
      <c r="DB275" s="124"/>
      <c r="DC275" s="124"/>
      <c r="DD275" s="124"/>
      <c r="DE275" s="124"/>
      <c r="DF275" s="124"/>
      <c r="DG275" s="124"/>
      <c r="DH275" s="124"/>
      <c r="DI275" s="124"/>
      <c r="DK275" s="124"/>
      <c r="DL275" s="124"/>
      <c r="DM275" s="6"/>
      <c r="DN275" s="124"/>
      <c r="DO275" s="124"/>
      <c r="DQ275" s="136"/>
      <c r="DR275" s="124"/>
      <c r="DS275" s="124"/>
      <c r="DT275" s="124"/>
      <c r="DV275" s="124"/>
      <c r="DW275" s="124"/>
      <c r="DX275" s="124"/>
      <c r="EA275" s="111"/>
      <c r="EB275" s="111"/>
      <c r="EC275" s="111"/>
      <c r="ED275" s="124"/>
      <c r="EE275" s="124"/>
      <c r="EF275" s="124"/>
      <c r="EJ275" s="111"/>
      <c r="EK275" s="111">
        <v>7.0833417232144646E-2</v>
      </c>
      <c r="EL275" s="124"/>
      <c r="EM275" s="124"/>
      <c r="EN275" s="124"/>
      <c r="EP275" s="111"/>
      <c r="EQ275" s="124"/>
      <c r="ER275" s="124"/>
      <c r="ES275" s="124"/>
      <c r="EV275" s="111"/>
      <c r="EW275" s="111"/>
      <c r="EX275" s="111"/>
      <c r="EY275" s="111"/>
      <c r="EZ275" s="124"/>
      <c r="FA275" s="124"/>
      <c r="FD275" s="111"/>
      <c r="FE275" s="111"/>
      <c r="FF275" s="111"/>
      <c r="FG275" s="124"/>
      <c r="FH275" s="124"/>
      <c r="FK275" s="124"/>
      <c r="FL275" s="124"/>
      <c r="FO275" s="111">
        <v>104.55199634496041</v>
      </c>
      <c r="FP275" s="111">
        <v>128.71089583565163</v>
      </c>
      <c r="FQ275" s="124"/>
      <c r="FR275" s="124"/>
      <c r="FU275" s="111">
        <v>96.312827557098231</v>
      </c>
      <c r="FV275" s="124">
        <v>384.53282755709824</v>
      </c>
      <c r="FW275" s="124">
        <v>285.08495467962513</v>
      </c>
      <c r="FX275" s="124">
        <v>332.22999744000003</v>
      </c>
      <c r="FY275" s="124">
        <v>358.80839723520006</v>
      </c>
      <c r="GA275" s="124">
        <v>238.27492000000001</v>
      </c>
      <c r="GB275" s="124">
        <v>257.33691360000006</v>
      </c>
      <c r="GC275" s="124">
        <v>281.07462801600008</v>
      </c>
      <c r="GF275" s="111"/>
      <c r="GG275" s="111"/>
      <c r="GH275" s="111"/>
      <c r="GI275" s="124">
        <v>329.91912000000008</v>
      </c>
      <c r="GJ275" s="124">
        <v>356.3126496000001</v>
      </c>
      <c r="GK275" s="124">
        <v>389.18025417600006</v>
      </c>
      <c r="GN275" s="111"/>
      <c r="GO275" s="111"/>
      <c r="GP275" s="124">
        <v>364.04</v>
      </c>
      <c r="GQ275" s="124">
        <v>393.16320000000007</v>
      </c>
      <c r="GR275" s="124">
        <v>429.22121486400005</v>
      </c>
      <c r="GV275" s="111">
        <v>133.57000000000002</v>
      </c>
      <c r="GW275" s="124">
        <v>364.04</v>
      </c>
      <c r="GX275" s="124">
        <v>393.16320000000007</v>
      </c>
      <c r="GY275" s="124">
        <v>429.22121486400005</v>
      </c>
      <c r="HC275" s="124"/>
      <c r="HD275" s="124">
        <v>449.48610000000008</v>
      </c>
      <c r="HE275" s="124">
        <v>489.63353040000015</v>
      </c>
      <c r="HF275" s="124">
        <v>543.20428008000022</v>
      </c>
      <c r="HI275" s="111"/>
      <c r="HJ275" s="111"/>
      <c r="HK275" s="111"/>
      <c r="HL275" s="111"/>
      <c r="HM275" s="124">
        <v>439.85561122807025</v>
      </c>
      <c r="HN275" s="124">
        <v>487.98016435087732</v>
      </c>
      <c r="HO275" s="124">
        <v>541.33107198596508</v>
      </c>
      <c r="HR275" s="111"/>
      <c r="HS275" s="111"/>
      <c r="HT275" s="111"/>
      <c r="HU275" s="124">
        <v>439.85561122807025</v>
      </c>
      <c r="HV275" s="124">
        <v>413.89920000000006</v>
      </c>
      <c r="HW275" s="124">
        <v>459.84201120000017</v>
      </c>
      <c r="HZ275" s="111"/>
      <c r="IA275" s="124">
        <v>439.85561122807025</v>
      </c>
      <c r="IB275" s="124">
        <v>413.89920000000006</v>
      </c>
      <c r="IC275" s="124">
        <v>459.84201120000017</v>
      </c>
      <c r="IE275" s="111"/>
      <c r="IF275" s="124">
        <v>427.63739980506824</v>
      </c>
      <c r="IG275" s="124">
        <v>402.40200000000004</v>
      </c>
      <c r="IH275" s="124">
        <v>447.06862200000006</v>
      </c>
      <c r="IK275" s="124">
        <v>402.40200000000004</v>
      </c>
      <c r="IL275" s="124">
        <v>447.06862200000006</v>
      </c>
      <c r="IO275" s="124">
        <v>469.17511200000001</v>
      </c>
      <c r="IP275" s="124">
        <v>520.42953599999998</v>
      </c>
      <c r="IS275" s="160">
        <v>0</v>
      </c>
      <c r="IT275" s="160">
        <v>0</v>
      </c>
      <c r="IU275" s="160">
        <v>0</v>
      </c>
      <c r="IX275" s="124">
        <v>146.48511200000002</v>
      </c>
      <c r="IY275" s="124">
        <v>469.17511200000001</v>
      </c>
      <c r="IZ275" s="124">
        <v>520.42953599999998</v>
      </c>
      <c r="JA275" s="124">
        <v>577.24309368000013</v>
      </c>
      <c r="JD275" s="124">
        <v>489.16054000000003</v>
      </c>
      <c r="JE275" s="124">
        <v>552.35832960000005</v>
      </c>
      <c r="JH275" s="124">
        <v>475.81979800000005</v>
      </c>
      <c r="JI275" s="124">
        <v>537.29401152000003</v>
      </c>
      <c r="JJ275" s="124">
        <v>606.67023119360022</v>
      </c>
      <c r="JM275" s="124">
        <v>512.18681472000003</v>
      </c>
      <c r="JN275" s="124">
        <v>578.32115496960012</v>
      </c>
      <c r="JQ275" s="124">
        <v>431.35065800000001</v>
      </c>
      <c r="JR275" s="124">
        <v>461.54520406000006</v>
      </c>
      <c r="JS275" s="124">
        <v>493.85336834420002</v>
      </c>
      <c r="JV275" s="124">
        <v>462.55407651333735</v>
      </c>
      <c r="JW275" s="124">
        <v>494.93286186927099</v>
      </c>
      <c r="JY275" s="124">
        <v>462.55407651333735</v>
      </c>
      <c r="JZ275" s="124">
        <v>494.93286186927099</v>
      </c>
      <c r="KB275" s="124">
        <v>440.93940004075154</v>
      </c>
      <c r="KC275" s="124">
        <v>471.80515804360408</v>
      </c>
      <c r="KD275" s="124">
        <v>504.8315191066564</v>
      </c>
    </row>
    <row r="276" spans="2:290" x14ac:dyDescent="0.25">
      <c r="B276" s="11" t="s">
        <v>226</v>
      </c>
      <c r="C276" s="23"/>
      <c r="D276" s="23"/>
      <c r="E276" s="23"/>
      <c r="F276" s="23"/>
      <c r="G276" s="23"/>
      <c r="H276" s="197"/>
      <c r="I276" s="198"/>
      <c r="J276" s="198"/>
      <c r="K276" s="198"/>
      <c r="L276" s="198"/>
      <c r="M276" s="197"/>
      <c r="N276" s="198"/>
      <c r="O276" s="198"/>
      <c r="P276" s="198"/>
      <c r="Q276" s="198"/>
      <c r="R276" s="197"/>
      <c r="S276" s="198"/>
      <c r="T276" s="198"/>
      <c r="U276" s="198"/>
      <c r="V276" s="198"/>
      <c r="W276" s="197"/>
      <c r="X276" s="198"/>
      <c r="Y276" s="198"/>
      <c r="Z276" s="198"/>
      <c r="AA276" s="198"/>
      <c r="AB276" s="197"/>
      <c r="AC276" s="198"/>
      <c r="AD276" s="198"/>
      <c r="AE276" s="198"/>
      <c r="AF276" s="198"/>
      <c r="AG276" s="197"/>
      <c r="AH276" s="198"/>
      <c r="AI276" s="198"/>
      <c r="AJ276" s="198"/>
      <c r="AK276" s="197"/>
      <c r="AL276" s="198"/>
      <c r="AM276" s="198"/>
      <c r="AN276" s="198"/>
      <c r="AO276" s="198"/>
      <c r="AP276" s="197"/>
      <c r="AQ276" s="198"/>
      <c r="AR276" s="198"/>
      <c r="AS276" s="198"/>
      <c r="AT276" s="198"/>
      <c r="AU276" s="197"/>
      <c r="AV276" s="199"/>
      <c r="AW276" s="199"/>
      <c r="AX276" s="199"/>
      <c r="AY276" s="199"/>
      <c r="AZ276" s="197"/>
      <c r="BA276" s="199"/>
      <c r="BB276" s="199"/>
      <c r="BC276" s="199"/>
      <c r="BD276" s="199"/>
      <c r="BE276" s="197"/>
      <c r="BF276" s="199"/>
      <c r="BG276" s="199"/>
      <c r="BH276" s="199"/>
      <c r="BI276" s="199"/>
      <c r="BJ276" s="197"/>
      <c r="BK276" s="199"/>
      <c r="BL276" s="199"/>
      <c r="BM276" s="199"/>
      <c r="BN276" s="199"/>
      <c r="BO276" s="197"/>
      <c r="BP276" s="199"/>
      <c r="BQ276" s="199"/>
      <c r="BR276" s="199"/>
      <c r="BS276" s="199"/>
      <c r="BT276" s="197"/>
      <c r="BU276" s="199"/>
      <c r="BV276" s="199"/>
      <c r="BW276" s="199"/>
      <c r="BX276" s="199"/>
      <c r="BY276" s="197"/>
      <c r="BZ276" s="199"/>
      <c r="CA276" s="199"/>
      <c r="CB276" s="199"/>
      <c r="CC276" s="199"/>
      <c r="CD276" s="197"/>
      <c r="CE276" s="199"/>
      <c r="CF276" s="199"/>
      <c r="CG276" s="199"/>
      <c r="CH276" s="199"/>
      <c r="CI276" s="197"/>
      <c r="CJ276" s="197"/>
      <c r="CK276" s="197"/>
      <c r="CL276" s="197">
        <v>300</v>
      </c>
      <c r="CM276" s="197">
        <v>400</v>
      </c>
      <c r="CN276" s="197">
        <v>500</v>
      </c>
      <c r="CO276" s="201"/>
      <c r="CP276" s="137"/>
      <c r="CQ276" s="32"/>
      <c r="CR276" s="6"/>
      <c r="CS276" s="6"/>
      <c r="CT276" s="124"/>
      <c r="CU276" s="124"/>
      <c r="CV276" s="124"/>
      <c r="CW276" s="124"/>
      <c r="CX276" s="124"/>
      <c r="CY276" s="124"/>
      <c r="CZ276" s="124"/>
      <c r="DA276" s="124"/>
      <c r="DB276" s="124"/>
      <c r="DC276" s="124"/>
      <c r="DD276" s="124"/>
      <c r="DE276" s="124"/>
      <c r="DF276" s="124"/>
      <c r="DG276" s="124"/>
      <c r="DH276" s="124"/>
      <c r="DI276" s="124"/>
      <c r="DK276" s="124"/>
      <c r="DL276" s="124"/>
      <c r="DM276" s="6"/>
      <c r="DN276" s="124"/>
      <c r="DO276" s="124"/>
      <c r="DQ276" s="136"/>
      <c r="DR276" s="124"/>
      <c r="DS276" s="124"/>
      <c r="DT276" s="124"/>
      <c r="DV276" s="124"/>
      <c r="DW276" s="124"/>
      <c r="DX276" s="124"/>
      <c r="EA276" s="111"/>
      <c r="EB276" s="111"/>
      <c r="EC276" s="111"/>
      <c r="ED276" s="124"/>
      <c r="EE276" s="124"/>
      <c r="EF276" s="124"/>
      <c r="EJ276" s="111"/>
      <c r="EK276" s="111"/>
      <c r="EL276" s="124"/>
      <c r="EM276" s="124"/>
      <c r="EN276" s="124"/>
      <c r="EP276" s="111"/>
      <c r="EQ276" s="124"/>
      <c r="ER276" s="124"/>
      <c r="ES276" s="124"/>
      <c r="EV276" s="111"/>
      <c r="EW276" s="111"/>
      <c r="EX276" s="111"/>
      <c r="EY276" s="111"/>
      <c r="EZ276" s="124"/>
      <c r="FA276" s="124"/>
      <c r="FD276" s="111"/>
      <c r="FE276" s="111"/>
      <c r="FF276" s="111"/>
      <c r="FG276" s="124"/>
      <c r="FH276" s="124"/>
      <c r="FK276" s="124"/>
      <c r="FL276" s="124"/>
      <c r="FO276" s="111"/>
      <c r="FP276" s="111"/>
      <c r="FQ276" s="124"/>
      <c r="FR276" s="124"/>
      <c r="FU276" s="111"/>
      <c r="FV276" s="124"/>
      <c r="FW276" s="124"/>
      <c r="FX276" s="124"/>
      <c r="FY276" s="124"/>
      <c r="GA276" s="124"/>
      <c r="GB276" s="124"/>
      <c r="GC276" s="124"/>
      <c r="GF276" s="111"/>
      <c r="GG276" s="111"/>
      <c r="GH276" s="111"/>
      <c r="GI276" s="124"/>
      <c r="GJ276" s="124"/>
      <c r="GK276" s="124"/>
      <c r="GN276" s="111"/>
      <c r="GO276" s="111"/>
      <c r="GP276" s="124"/>
      <c r="GQ276" s="124"/>
      <c r="GR276" s="124"/>
      <c r="GV276" s="111"/>
      <c r="GW276" s="124"/>
      <c r="GX276" s="124"/>
      <c r="GY276" s="124"/>
      <c r="HC276" s="124"/>
      <c r="HD276" s="124"/>
      <c r="HE276" s="124"/>
      <c r="HF276" s="124"/>
      <c r="HI276" s="111"/>
      <c r="HJ276" s="111"/>
      <c r="HK276" s="111"/>
      <c r="HL276" s="111"/>
      <c r="HM276" s="124"/>
      <c r="HN276" s="124"/>
      <c r="HO276" s="124"/>
      <c r="HR276" s="111"/>
      <c r="HS276" s="111"/>
      <c r="HT276" s="111"/>
      <c r="HU276" s="124"/>
      <c r="HV276" s="124"/>
      <c r="HW276" s="124"/>
      <c r="HZ276" s="111"/>
      <c r="IA276" s="124"/>
      <c r="IB276" s="124"/>
      <c r="IC276" s="124"/>
      <c r="IE276" s="111"/>
      <c r="IF276" s="124"/>
      <c r="IG276" s="124"/>
      <c r="IH276" s="124"/>
      <c r="IK276" s="124"/>
      <c r="IL276" s="124"/>
      <c r="IO276" s="124"/>
      <c r="IP276" s="124"/>
      <c r="IS276" s="160"/>
      <c r="IT276" s="160"/>
      <c r="IU276" s="160"/>
      <c r="IX276" s="124"/>
      <c r="IY276" s="124"/>
      <c r="IZ276" s="124"/>
      <c r="JA276" s="124"/>
      <c r="JD276" s="124"/>
      <c r="JE276" s="124"/>
      <c r="JH276" s="124"/>
      <c r="JI276" s="124"/>
      <c r="JJ276" s="124"/>
      <c r="JM276" s="124"/>
      <c r="JN276" s="124"/>
      <c r="JQ276" s="124"/>
      <c r="JR276" s="124"/>
      <c r="JS276" s="124"/>
      <c r="JV276" s="124"/>
      <c r="JW276" s="124"/>
      <c r="JY276" s="124"/>
      <c r="JZ276" s="124"/>
      <c r="KB276" s="124"/>
      <c r="KC276" s="124"/>
      <c r="KD276" s="124"/>
    </row>
    <row r="277" spans="2:290" x14ac:dyDescent="0.25">
      <c r="B277" s="11" t="s">
        <v>234</v>
      </c>
      <c r="C277" s="23"/>
      <c r="D277" s="23"/>
      <c r="E277" s="23"/>
      <c r="F277" s="23"/>
      <c r="G277" s="23"/>
      <c r="H277" s="197"/>
      <c r="I277" s="198"/>
      <c r="J277" s="198"/>
      <c r="K277" s="198"/>
      <c r="L277" s="198"/>
      <c r="M277" s="197"/>
      <c r="N277" s="198"/>
      <c r="O277" s="198"/>
      <c r="P277" s="198"/>
      <c r="Q277" s="198"/>
      <c r="R277" s="197"/>
      <c r="S277" s="198"/>
      <c r="T277" s="198"/>
      <c r="U277" s="198"/>
      <c r="V277" s="198"/>
      <c r="W277" s="197">
        <v>0.3</v>
      </c>
      <c r="X277" s="198">
        <v>0</v>
      </c>
      <c r="Y277" s="198">
        <v>0</v>
      </c>
      <c r="Z277" s="198">
        <v>0</v>
      </c>
      <c r="AA277" s="198">
        <v>0</v>
      </c>
      <c r="AB277" s="197">
        <v>0</v>
      </c>
      <c r="AC277" s="198"/>
      <c r="AD277" s="198"/>
      <c r="AE277" s="198"/>
      <c r="AF277" s="198"/>
      <c r="AG277" s="197">
        <v>0</v>
      </c>
      <c r="AH277" s="198">
        <v>0</v>
      </c>
      <c r="AI277" s="198">
        <v>0</v>
      </c>
      <c r="AJ277" s="198">
        <v>0</v>
      </c>
      <c r="AK277" s="197">
        <v>0</v>
      </c>
      <c r="AL277" s="198">
        <v>16.97</v>
      </c>
      <c r="AM277" s="198">
        <v>6.19</v>
      </c>
      <c r="AN277" s="198">
        <v>6.92</v>
      </c>
      <c r="AO277" s="198">
        <v>46.06</v>
      </c>
      <c r="AP277" s="197">
        <v>75.17</v>
      </c>
      <c r="AQ277" s="198">
        <v>11.08</v>
      </c>
      <c r="AR277" s="198">
        <v>3.32</v>
      </c>
      <c r="AS277" s="198">
        <v>8.59</v>
      </c>
      <c r="AT277" s="198">
        <v>44.96</v>
      </c>
      <c r="AU277" s="197">
        <v>67.930000000000007</v>
      </c>
      <c r="AV277" s="199">
        <v>3</v>
      </c>
      <c r="AW277" s="199">
        <v>81.040000000000006</v>
      </c>
      <c r="AX277" s="199">
        <v>0.66</v>
      </c>
      <c r="AY277" s="199">
        <v>24</v>
      </c>
      <c r="AZ277" s="197">
        <v>113.02</v>
      </c>
      <c r="BA277" s="199">
        <v>8.1300000000000008</v>
      </c>
      <c r="BB277" s="199">
        <v>6.03</v>
      </c>
      <c r="BC277" s="199">
        <v>5.21</v>
      </c>
      <c r="BD277" s="199">
        <v>31.64</v>
      </c>
      <c r="BE277" s="197">
        <f t="shared" si="368"/>
        <v>51.010000000000005</v>
      </c>
      <c r="BF277" s="199">
        <v>3.25</v>
      </c>
      <c r="BG277" s="199">
        <v>40.770000000000003</v>
      </c>
      <c r="BH277" s="199">
        <v>52.84</v>
      </c>
      <c r="BI277" s="199">
        <v>11.02</v>
      </c>
      <c r="BJ277" s="197">
        <v>107.88</v>
      </c>
      <c r="BK277" s="199">
        <v>19.52</v>
      </c>
      <c r="BL277" s="199">
        <v>19.86</v>
      </c>
      <c r="BM277" s="199">
        <v>28.1099999999999</v>
      </c>
      <c r="BN277" s="199">
        <v>20.11</v>
      </c>
      <c r="BO277" s="197">
        <v>87.96</v>
      </c>
      <c r="BP277" s="199">
        <v>18.28</v>
      </c>
      <c r="BQ277" s="199">
        <v>17.3</v>
      </c>
      <c r="BR277" s="199">
        <v>8.41</v>
      </c>
      <c r="BS277" s="199">
        <v>14.71</v>
      </c>
      <c r="BT277" s="197">
        <v>58.7</v>
      </c>
      <c r="BU277" s="199">
        <v>15.95</v>
      </c>
      <c r="BV277" s="199">
        <v>15.95</v>
      </c>
      <c r="BW277" s="199">
        <v>7.22</v>
      </c>
      <c r="BX277" s="199">
        <v>9.0399999999999991</v>
      </c>
      <c r="BY277" s="197">
        <v>48.16</v>
      </c>
      <c r="BZ277" s="199">
        <v>6.32</v>
      </c>
      <c r="CA277" s="199">
        <v>3.71</v>
      </c>
      <c r="CB277" s="199">
        <v>7.93</v>
      </c>
      <c r="CC277" s="199">
        <v>44</v>
      </c>
      <c r="CD277" s="197">
        <v>62</v>
      </c>
      <c r="CE277" s="199">
        <v>15.37</v>
      </c>
      <c r="CF277" s="199">
        <v>12.4</v>
      </c>
      <c r="CG277" s="199">
        <v>26</v>
      </c>
      <c r="CH277" s="199">
        <v>30.49</v>
      </c>
      <c r="CI277" s="197">
        <v>84.3</v>
      </c>
      <c r="CJ277" s="197">
        <f>CI277</f>
        <v>84.3</v>
      </c>
      <c r="CK277" s="197">
        <f t="shared" ref="CK277:CN277" si="369">CJ277</f>
        <v>84.3</v>
      </c>
      <c r="CL277" s="197">
        <f t="shared" si="369"/>
        <v>84.3</v>
      </c>
      <c r="CM277" s="197">
        <f t="shared" si="369"/>
        <v>84.3</v>
      </c>
      <c r="CN277" s="197">
        <f t="shared" si="369"/>
        <v>84.3</v>
      </c>
      <c r="CO277" s="200"/>
      <c r="CP277" s="137"/>
      <c r="CQ277" s="32"/>
      <c r="CR277" s="6"/>
      <c r="CS277" s="6"/>
      <c r="CT277" s="124"/>
      <c r="CU277" s="124"/>
      <c r="CV277" s="124"/>
      <c r="CW277" s="124"/>
      <c r="CX277" s="124"/>
      <c r="CY277" s="124"/>
      <c r="CZ277" s="124"/>
      <c r="DA277" s="124"/>
      <c r="DB277" s="124"/>
      <c r="DC277" s="124"/>
      <c r="DD277" s="124"/>
      <c r="DE277" s="124"/>
      <c r="DF277" s="124"/>
      <c r="DG277" s="124"/>
      <c r="DH277" s="124"/>
      <c r="DI277" s="124"/>
      <c r="DK277" s="124"/>
      <c r="DL277" s="124"/>
      <c r="DM277" s="6"/>
      <c r="DN277" s="124"/>
      <c r="DO277" s="124"/>
      <c r="DQ277" s="136"/>
      <c r="DR277" s="124"/>
      <c r="DS277" s="124"/>
      <c r="DT277" s="124"/>
      <c r="DV277" s="124"/>
      <c r="DW277" s="124"/>
      <c r="DX277" s="124"/>
      <c r="EA277" s="111"/>
      <c r="EB277" s="111"/>
      <c r="EC277" s="111"/>
      <c r="ED277" s="124"/>
      <c r="EE277" s="124"/>
      <c r="EF277" s="124"/>
      <c r="EJ277" s="111"/>
      <c r="EK277" s="111"/>
      <c r="EL277" s="124"/>
      <c r="EM277" s="124"/>
      <c r="EN277" s="124"/>
      <c r="EP277" s="111"/>
      <c r="EQ277" s="124"/>
      <c r="ER277" s="124"/>
      <c r="ES277" s="124"/>
      <c r="EV277" s="111"/>
      <c r="EW277" s="111"/>
      <c r="EX277" s="111"/>
      <c r="EY277" s="111"/>
      <c r="EZ277" s="124"/>
      <c r="FA277" s="124"/>
      <c r="FD277" s="111"/>
      <c r="FE277" s="111"/>
      <c r="FF277" s="111"/>
      <c r="FG277" s="124"/>
      <c r="FH277" s="124"/>
      <c r="FK277" s="124"/>
      <c r="FL277" s="124"/>
      <c r="FO277" s="111">
        <v>0</v>
      </c>
      <c r="FP277" s="111">
        <v>0</v>
      </c>
      <c r="FQ277" s="124"/>
      <c r="FR277" s="124"/>
      <c r="FU277" s="111">
        <v>0</v>
      </c>
      <c r="FV277" s="124">
        <v>19.37</v>
      </c>
      <c r="FW277" s="124">
        <v>0</v>
      </c>
      <c r="FX277" s="124">
        <v>0</v>
      </c>
      <c r="FY277" s="124">
        <v>0</v>
      </c>
      <c r="GA277" s="124">
        <v>0</v>
      </c>
      <c r="GB277" s="124">
        <v>0</v>
      </c>
      <c r="GC277" s="124">
        <v>0</v>
      </c>
      <c r="GF277" s="111"/>
      <c r="GG277" s="111"/>
      <c r="GH277" s="111"/>
      <c r="GI277" s="124">
        <v>0</v>
      </c>
      <c r="GJ277" s="124">
        <v>0</v>
      </c>
      <c r="GK277" s="124">
        <v>0</v>
      </c>
      <c r="GN277" s="111"/>
      <c r="GO277" s="111"/>
      <c r="GP277" s="124">
        <v>0</v>
      </c>
      <c r="GQ277" s="124">
        <v>0</v>
      </c>
      <c r="GR277" s="124">
        <v>0</v>
      </c>
      <c r="GV277" s="111">
        <v>-96.860000000000014</v>
      </c>
      <c r="GW277" s="124">
        <v>0</v>
      </c>
      <c r="GX277" s="124">
        <v>0</v>
      </c>
      <c r="GY277" s="124">
        <v>0</v>
      </c>
      <c r="HC277" s="124"/>
      <c r="HD277" s="124">
        <v>0</v>
      </c>
      <c r="HE277" s="124">
        <v>0</v>
      </c>
      <c r="HF277" s="124">
        <v>0</v>
      </c>
      <c r="HI277" s="111"/>
      <c r="HJ277" s="111"/>
      <c r="HK277" s="111"/>
      <c r="HL277" s="111"/>
      <c r="HM277" s="124">
        <v>0</v>
      </c>
      <c r="HN277" s="124">
        <v>0</v>
      </c>
      <c r="HO277" s="124">
        <v>0</v>
      </c>
      <c r="HR277" s="111"/>
      <c r="HS277" s="111"/>
      <c r="HT277" s="111"/>
      <c r="HU277" s="124">
        <v>0</v>
      </c>
      <c r="HV277" s="124">
        <v>0</v>
      </c>
      <c r="HW277" s="124">
        <v>0</v>
      </c>
      <c r="HZ277" s="111"/>
      <c r="IA277" s="124">
        <v>0</v>
      </c>
      <c r="IB277" s="124">
        <v>0</v>
      </c>
      <c r="IC277" s="124">
        <v>0</v>
      </c>
      <c r="IE277" s="111"/>
      <c r="IF277" s="124">
        <v>0</v>
      </c>
      <c r="IG277" s="124">
        <v>0</v>
      </c>
      <c r="IH277" s="124">
        <v>0</v>
      </c>
      <c r="IK277" s="124">
        <v>0</v>
      </c>
      <c r="IL277" s="124">
        <v>0</v>
      </c>
      <c r="IO277" s="124">
        <v>0</v>
      </c>
      <c r="IP277" s="124">
        <v>0</v>
      </c>
      <c r="IS277" s="160"/>
      <c r="IT277" s="160"/>
      <c r="IU277" s="160"/>
      <c r="IX277" s="124">
        <v>-39.119999999999997</v>
      </c>
      <c r="IY277" s="124">
        <v>0</v>
      </c>
      <c r="IZ277" s="124">
        <v>0</v>
      </c>
      <c r="JA277" s="124">
        <v>0</v>
      </c>
      <c r="JD277" s="124">
        <v>0</v>
      </c>
      <c r="JE277" s="124">
        <v>0</v>
      </c>
      <c r="JH277" s="124">
        <v>0</v>
      </c>
      <c r="JI277" s="124">
        <v>0</v>
      </c>
      <c r="JJ277" s="124">
        <v>0</v>
      </c>
      <c r="JM277" s="124">
        <v>0</v>
      </c>
      <c r="JN277" s="124">
        <v>0</v>
      </c>
      <c r="JQ277" s="124">
        <v>0</v>
      </c>
      <c r="JR277" s="124">
        <v>0</v>
      </c>
      <c r="JS277" s="124">
        <v>0</v>
      </c>
      <c r="JV277" s="124">
        <v>0</v>
      </c>
      <c r="JW277" s="124">
        <v>0</v>
      </c>
      <c r="JY277" s="124">
        <v>0</v>
      </c>
      <c r="JZ277" s="124">
        <v>0</v>
      </c>
      <c r="KB277" s="124">
        <v>0</v>
      </c>
      <c r="KC277" s="124">
        <v>0</v>
      </c>
      <c r="KD277" s="124">
        <v>0</v>
      </c>
    </row>
    <row r="278" spans="2:290" hidden="1" x14ac:dyDescent="0.25">
      <c r="B278" s="11" t="s">
        <v>138</v>
      </c>
      <c r="C278" s="23"/>
      <c r="D278" s="23"/>
      <c r="E278" s="23"/>
      <c r="F278" s="23"/>
      <c r="G278" s="23"/>
      <c r="H278" s="197"/>
      <c r="I278" s="198"/>
      <c r="J278" s="198"/>
      <c r="K278" s="198"/>
      <c r="L278" s="198"/>
      <c r="M278" s="197"/>
      <c r="N278" s="198"/>
      <c r="O278" s="198"/>
      <c r="P278" s="198"/>
      <c r="Q278" s="198"/>
      <c r="R278" s="197"/>
      <c r="S278" s="198"/>
      <c r="T278" s="198"/>
      <c r="U278" s="198"/>
      <c r="V278" s="198"/>
      <c r="W278" s="197"/>
      <c r="X278" s="198"/>
      <c r="Y278" s="198"/>
      <c r="Z278" s="198"/>
      <c r="AA278" s="198"/>
      <c r="AB278" s="197">
        <v>0</v>
      </c>
      <c r="AC278" s="198">
        <v>0</v>
      </c>
      <c r="AD278" s="198">
        <v>0</v>
      </c>
      <c r="AE278" s="198">
        <v>0</v>
      </c>
      <c r="AF278" s="198">
        <v>0</v>
      </c>
      <c r="AG278" s="197">
        <v>0</v>
      </c>
      <c r="AH278" s="198">
        <v>0</v>
      </c>
      <c r="AI278" s="198">
        <v>0</v>
      </c>
      <c r="AJ278" s="198">
        <v>0</v>
      </c>
      <c r="AK278" s="197">
        <v>0</v>
      </c>
      <c r="AL278" s="198">
        <v>-145.49</v>
      </c>
      <c r="AM278" s="198"/>
      <c r="AN278" s="198"/>
      <c r="AO278" s="198">
        <v>-148.5</v>
      </c>
      <c r="AP278" s="197"/>
      <c r="AQ278" s="198"/>
      <c r="AR278" s="198"/>
      <c r="AS278" s="198"/>
      <c r="AT278" s="198"/>
      <c r="AU278" s="197"/>
      <c r="AV278" s="199"/>
      <c r="AW278" s="199"/>
      <c r="AX278" s="199"/>
      <c r="AY278" s="199"/>
      <c r="AZ278" s="197"/>
      <c r="BA278" s="199"/>
      <c r="BB278" s="199"/>
      <c r="BC278" s="199"/>
      <c r="BD278" s="199"/>
      <c r="BE278" s="197">
        <f t="shared" si="368"/>
        <v>0</v>
      </c>
      <c r="BF278" s="199"/>
      <c r="BG278" s="199"/>
      <c r="BH278" s="199"/>
      <c r="BI278" s="199"/>
      <c r="BJ278" s="197"/>
      <c r="BK278" s="199"/>
      <c r="BL278" s="199"/>
      <c r="BM278" s="199"/>
      <c r="BN278" s="199"/>
      <c r="BO278" s="197"/>
      <c r="BP278" s="199"/>
      <c r="BQ278" s="199"/>
      <c r="BR278" s="199"/>
      <c r="BS278" s="199"/>
      <c r="BT278" s="197"/>
      <c r="BU278" s="199"/>
      <c r="BV278" s="199"/>
      <c r="BW278" s="199"/>
      <c r="BX278" s="199"/>
      <c r="BY278" s="197"/>
      <c r="BZ278" s="199"/>
      <c r="CA278" s="199"/>
      <c r="CB278" s="199"/>
      <c r="CC278" s="199"/>
      <c r="CD278" s="197"/>
      <c r="CE278" s="199"/>
      <c r="CF278" s="199"/>
      <c r="CG278" s="199"/>
      <c r="CH278" s="199"/>
      <c r="CI278" s="197"/>
      <c r="CJ278" s="197"/>
      <c r="CK278" s="197"/>
      <c r="CL278" s="197"/>
      <c r="CM278" s="197"/>
      <c r="CN278" s="197"/>
      <c r="CO278" s="201"/>
      <c r="CP278" s="137"/>
      <c r="CQ278" s="6"/>
      <c r="CR278" s="6"/>
      <c r="CS278" s="6"/>
      <c r="CT278" s="124"/>
      <c r="CU278" s="124"/>
      <c r="CV278" s="124"/>
      <c r="CW278" s="124"/>
      <c r="CX278" s="124"/>
      <c r="CY278" s="124"/>
      <c r="CZ278" s="124"/>
      <c r="DA278" s="124"/>
      <c r="DB278" s="124"/>
      <c r="DC278" s="124"/>
      <c r="DD278" s="124"/>
      <c r="DE278" s="124"/>
      <c r="DF278" s="124"/>
      <c r="DG278" s="124"/>
      <c r="DH278" s="124"/>
      <c r="DI278" s="124"/>
      <c r="DK278" s="124"/>
      <c r="DL278" s="124"/>
      <c r="DM278" s="6"/>
      <c r="DN278" s="124"/>
      <c r="DO278" s="124"/>
      <c r="DQ278" s="136"/>
      <c r="DR278" s="124"/>
      <c r="DS278" s="124"/>
      <c r="DT278" s="124"/>
      <c r="DV278" s="124"/>
      <c r="DW278" s="124"/>
      <c r="DX278" s="124"/>
      <c r="EA278" s="111"/>
      <c r="EB278" s="111"/>
      <c r="EC278" s="111"/>
      <c r="ED278" s="124"/>
      <c r="EE278" s="124"/>
      <c r="EF278" s="124"/>
      <c r="EJ278" s="111"/>
      <c r="EK278" s="111"/>
      <c r="EL278" s="124"/>
      <c r="EM278" s="124"/>
      <c r="EN278" s="124"/>
      <c r="EP278" s="111"/>
      <c r="EQ278" s="124"/>
      <c r="ER278" s="124"/>
      <c r="ES278" s="124"/>
      <c r="EV278" s="111"/>
      <c r="EW278" s="111"/>
      <c r="EX278" s="111"/>
      <c r="EY278" s="111"/>
      <c r="EZ278" s="124"/>
      <c r="FA278" s="124"/>
      <c r="FD278" s="111"/>
      <c r="FE278" s="111"/>
      <c r="FF278" s="111"/>
      <c r="FG278" s="124"/>
      <c r="FH278" s="124"/>
      <c r="FK278" s="124"/>
      <c r="FL278" s="124"/>
      <c r="FO278" s="111"/>
      <c r="FP278" s="111"/>
      <c r="FQ278" s="124"/>
      <c r="FR278" s="124"/>
      <c r="FU278" s="111"/>
      <c r="FV278" s="124">
        <v>0</v>
      </c>
      <c r="FW278" s="124"/>
      <c r="FX278" s="124"/>
      <c r="FY278" s="124"/>
      <c r="GA278" s="124"/>
      <c r="GB278" s="124"/>
      <c r="GC278" s="124"/>
      <c r="GF278" s="111"/>
      <c r="GG278" s="111"/>
      <c r="GH278" s="111"/>
      <c r="GI278" s="124"/>
      <c r="GJ278" s="124"/>
      <c r="GK278" s="124"/>
      <c r="GN278" s="111"/>
      <c r="GO278" s="111"/>
      <c r="GP278" s="124"/>
      <c r="GQ278" s="124"/>
      <c r="GR278" s="124"/>
      <c r="GV278" s="111"/>
      <c r="GW278" s="124"/>
      <c r="GX278" s="124"/>
      <c r="GY278" s="124"/>
      <c r="HC278" s="124"/>
      <c r="HD278" s="124"/>
      <c r="HE278" s="124"/>
      <c r="HF278" s="124"/>
      <c r="HI278" s="111"/>
      <c r="HJ278" s="111"/>
      <c r="HK278" s="111"/>
      <c r="HL278" s="111"/>
      <c r="HM278" s="124"/>
      <c r="HN278" s="124"/>
      <c r="HO278" s="124"/>
      <c r="HR278" s="111"/>
      <c r="HS278" s="111"/>
      <c r="HT278" s="111"/>
      <c r="HU278" s="124"/>
      <c r="HV278" s="124"/>
      <c r="HW278" s="124"/>
      <c r="HZ278" s="111"/>
      <c r="IA278" s="124"/>
      <c r="IB278" s="124"/>
      <c r="IC278" s="124"/>
      <c r="IE278" s="111"/>
      <c r="IF278" s="124"/>
      <c r="IG278" s="124"/>
      <c r="IH278" s="124"/>
      <c r="IK278" s="124"/>
      <c r="IL278" s="124"/>
      <c r="IO278" s="124"/>
      <c r="IP278" s="124"/>
      <c r="IS278" s="160">
        <v>11024.586587</v>
      </c>
      <c r="IT278" s="160">
        <v>12725.122452319998</v>
      </c>
      <c r="IU278" s="160">
        <v>14695.927605938399</v>
      </c>
      <c r="IX278" s="124"/>
      <c r="IY278" s="124"/>
      <c r="IZ278" s="124"/>
      <c r="JA278" s="124"/>
      <c r="JD278" s="124"/>
      <c r="JE278" s="124"/>
      <c r="JH278" s="124"/>
      <c r="JI278" s="124"/>
      <c r="JJ278" s="124"/>
      <c r="JM278" s="124"/>
      <c r="JN278" s="124"/>
      <c r="JQ278" s="124"/>
      <c r="JR278" s="124"/>
      <c r="JS278" s="124"/>
      <c r="JV278" s="124"/>
      <c r="JW278" s="124"/>
      <c r="JY278" s="124"/>
      <c r="JZ278" s="124"/>
      <c r="KB278" s="124"/>
      <c r="KC278" s="124"/>
      <c r="KD278" s="124"/>
    </row>
    <row r="279" spans="2:290" s="60" customFormat="1" x14ac:dyDescent="0.25">
      <c r="B279" s="34" t="s">
        <v>235</v>
      </c>
      <c r="C279" s="99"/>
      <c r="D279" s="99"/>
      <c r="E279" s="99"/>
      <c r="F279" s="99"/>
      <c r="G279" s="99"/>
      <c r="H279" s="83"/>
      <c r="I279" s="62"/>
      <c r="J279" s="62"/>
      <c r="K279" s="62"/>
      <c r="L279" s="62"/>
      <c r="M279" s="83"/>
      <c r="N279" s="62"/>
      <c r="O279" s="62"/>
      <c r="P279" s="62"/>
      <c r="Q279" s="62"/>
      <c r="R279" s="83"/>
      <c r="S279" s="62"/>
      <c r="T279" s="62"/>
      <c r="U279" s="62"/>
      <c r="V279" s="62"/>
      <c r="W279" s="83">
        <v>3274</v>
      </c>
      <c r="X279" s="62">
        <v>680.4</v>
      </c>
      <c r="Y279" s="62">
        <v>905</v>
      </c>
      <c r="Z279" s="62">
        <v>968</v>
      </c>
      <c r="AA279" s="62">
        <v>1176</v>
      </c>
      <c r="AB279" s="83">
        <v>3729.4</v>
      </c>
      <c r="AC279" s="62">
        <v>720.39</v>
      </c>
      <c r="AD279" s="62">
        <v>983</v>
      </c>
      <c r="AE279" s="62">
        <v>1035</v>
      </c>
      <c r="AF279" s="62">
        <v>1211</v>
      </c>
      <c r="AG279" s="83">
        <v>3949.3900000000003</v>
      </c>
      <c r="AH279" s="62">
        <v>758.45</v>
      </c>
      <c r="AI279" s="62">
        <v>994</v>
      </c>
      <c r="AJ279" s="62">
        <v>1168.6200000000001</v>
      </c>
      <c r="AK279" s="83">
        <v>2921.0700000000006</v>
      </c>
      <c r="AL279" s="62">
        <f t="shared" ref="AL279:BD279" si="370">SUM(AL272:AL278)</f>
        <v>1189.3400000000001</v>
      </c>
      <c r="AM279" s="62">
        <f t="shared" si="370"/>
        <v>882.88000000000011</v>
      </c>
      <c r="AN279" s="62">
        <f t="shared" si="370"/>
        <v>1107.42</v>
      </c>
      <c r="AO279" s="62">
        <f t="shared" si="370"/>
        <v>1282.6099999999999</v>
      </c>
      <c r="AP279" s="83">
        <f t="shared" si="370"/>
        <v>4462.26</v>
      </c>
      <c r="AQ279" s="62">
        <f t="shared" si="370"/>
        <v>1160.8599999999999</v>
      </c>
      <c r="AR279" s="62">
        <f t="shared" si="370"/>
        <v>1055.06</v>
      </c>
      <c r="AS279" s="62">
        <f t="shared" si="370"/>
        <v>1278.3</v>
      </c>
      <c r="AT279" s="62">
        <f t="shared" si="370"/>
        <v>1471.25</v>
      </c>
      <c r="AU279" s="83">
        <f t="shared" si="370"/>
        <v>4966.29</v>
      </c>
      <c r="AV279" s="196">
        <f t="shared" si="370"/>
        <v>1338</v>
      </c>
      <c r="AW279" s="196">
        <f t="shared" si="370"/>
        <v>1316.1699999999998</v>
      </c>
      <c r="AX279" s="196">
        <f t="shared" si="370"/>
        <v>1414.5500000000002</v>
      </c>
      <c r="AY279" s="196">
        <f t="shared" si="370"/>
        <v>1530.91</v>
      </c>
      <c r="AZ279" s="83">
        <f t="shared" si="370"/>
        <v>5612.02</v>
      </c>
      <c r="BA279" s="196">
        <f t="shared" si="370"/>
        <v>1436.83</v>
      </c>
      <c r="BB279" s="196">
        <f t="shared" si="370"/>
        <v>1270.8999999999999</v>
      </c>
      <c r="BC279" s="196">
        <f t="shared" si="370"/>
        <v>1373.32</v>
      </c>
      <c r="BD279" s="196">
        <f t="shared" si="370"/>
        <v>1430.49</v>
      </c>
      <c r="BE279" s="83">
        <f t="shared" si="368"/>
        <v>5511.5399999999991</v>
      </c>
      <c r="BF279" s="196">
        <f t="shared" ref="BF279:CC279" si="371">SUM(BF272:BF278)</f>
        <v>1053.8900000000001</v>
      </c>
      <c r="BG279" s="196">
        <f t="shared" si="371"/>
        <v>1374.78</v>
      </c>
      <c r="BH279" s="196">
        <f t="shared" si="371"/>
        <v>1843.84</v>
      </c>
      <c r="BI279" s="196">
        <f t="shared" si="371"/>
        <v>2084.5899999999997</v>
      </c>
      <c r="BJ279" s="83">
        <f t="shared" si="371"/>
        <v>6357.0599999999995</v>
      </c>
      <c r="BK279" s="196">
        <f t="shared" si="371"/>
        <v>1342.08</v>
      </c>
      <c r="BL279" s="196">
        <f t="shared" si="371"/>
        <v>1928.54</v>
      </c>
      <c r="BM279" s="196">
        <f t="shared" si="371"/>
        <v>1945.11</v>
      </c>
      <c r="BN279" s="196">
        <f t="shared" si="371"/>
        <v>2557.0900000000006</v>
      </c>
      <c r="BO279" s="83">
        <f t="shared" si="371"/>
        <v>7772.82</v>
      </c>
      <c r="BP279" s="196">
        <f t="shared" si="371"/>
        <v>2205.98</v>
      </c>
      <c r="BQ279" s="196">
        <f t="shared" si="371"/>
        <v>2086.6000000000004</v>
      </c>
      <c r="BR279" s="196">
        <f t="shared" si="371"/>
        <v>2310.7099999999996</v>
      </c>
      <c r="BS279" s="196">
        <f t="shared" si="371"/>
        <v>2598.3000000000002</v>
      </c>
      <c r="BT279" s="83">
        <f t="shared" si="371"/>
        <v>9201.590000000002</v>
      </c>
      <c r="BU279" s="196">
        <f t="shared" si="371"/>
        <v>2368.58</v>
      </c>
      <c r="BV279" s="196">
        <f t="shared" si="371"/>
        <v>2308.6899999999996</v>
      </c>
      <c r="BW279" s="196">
        <f t="shared" si="371"/>
        <v>2449.1</v>
      </c>
      <c r="BX279" s="196">
        <f t="shared" si="371"/>
        <v>3007.89</v>
      </c>
      <c r="BY279" s="83">
        <f t="shared" si="371"/>
        <v>10134.26</v>
      </c>
      <c r="BZ279" s="196">
        <f t="shared" si="371"/>
        <v>2636.3500000000004</v>
      </c>
      <c r="CA279" s="196">
        <f t="shared" si="371"/>
        <v>2272.9499999999998</v>
      </c>
      <c r="CB279" s="196">
        <f t="shared" si="371"/>
        <v>2509.8799999999997</v>
      </c>
      <c r="CC279" s="196">
        <f t="shared" si="371"/>
        <v>3026</v>
      </c>
      <c r="CD279" s="83">
        <f>SUM(CD272:CD278)</f>
        <v>10444</v>
      </c>
      <c r="CE279" s="196">
        <f>SUM(CE272:CE278)</f>
        <v>2609.21</v>
      </c>
      <c r="CF279" s="196">
        <f>SUM(CF272:CF278)</f>
        <v>2393.87</v>
      </c>
      <c r="CG279" s="196">
        <f t="shared" ref="CG279:CH279" si="372">SUM(CG272:CG278)</f>
        <v>2687</v>
      </c>
      <c r="CH279" s="196">
        <f t="shared" si="372"/>
        <v>3527.6600000000003</v>
      </c>
      <c r="CI279" s="83">
        <f>SUM(CI272:CI278)</f>
        <v>11211.699999999999</v>
      </c>
      <c r="CJ279" s="83">
        <f>SUM(CJ272:CJ278)</f>
        <v>12593.943858000001</v>
      </c>
      <c r="CK279" s="83">
        <f t="shared" ref="CK279:CN279" si="373">SUM(CK272:CK278)</f>
        <v>14426.20904994</v>
      </c>
      <c r="CL279" s="83">
        <f t="shared" si="373"/>
        <v>17205.234656328001</v>
      </c>
      <c r="CM279" s="83">
        <f t="shared" si="373"/>
        <v>18932.922002613701</v>
      </c>
      <c r="CN279" s="83">
        <f t="shared" si="373"/>
        <v>20774.460485080253</v>
      </c>
      <c r="CO279" s="201"/>
      <c r="CP279" s="148"/>
      <c r="CQ279" s="58"/>
      <c r="CR279" s="58"/>
      <c r="CS279" s="58"/>
      <c r="CT279" s="143"/>
      <c r="CU279" s="143"/>
      <c r="CV279" s="143"/>
      <c r="CW279" s="143"/>
      <c r="CX279" s="143"/>
      <c r="CY279" s="143"/>
      <c r="CZ279" s="143"/>
      <c r="DA279" s="143"/>
      <c r="DB279" s="143"/>
      <c r="DC279" s="143"/>
      <c r="DD279" s="143"/>
      <c r="DE279" s="143"/>
      <c r="DF279" s="143"/>
      <c r="DG279" s="143"/>
      <c r="DH279" s="143"/>
      <c r="DI279" s="143"/>
      <c r="DK279" s="143"/>
      <c r="DL279" s="143"/>
      <c r="DM279" s="58"/>
      <c r="DN279" s="143"/>
      <c r="DO279" s="143"/>
      <c r="DQ279" s="4"/>
      <c r="DR279" s="143"/>
      <c r="DS279" s="143"/>
      <c r="DT279" s="143"/>
      <c r="DV279" s="143"/>
      <c r="DW279" s="143"/>
      <c r="DX279" s="143"/>
      <c r="EA279" s="119"/>
      <c r="EB279" s="119"/>
      <c r="EC279" s="119"/>
      <c r="ED279" s="143"/>
      <c r="EE279" s="143"/>
      <c r="EF279" s="143"/>
      <c r="EJ279" s="119"/>
      <c r="EK279" s="119"/>
      <c r="EL279" s="143"/>
      <c r="EM279" s="143"/>
      <c r="EN279" s="143"/>
      <c r="EP279" s="119"/>
      <c r="EQ279" s="143"/>
      <c r="ER279" s="143"/>
      <c r="ES279" s="143"/>
      <c r="EV279" s="119"/>
      <c r="EW279" s="119"/>
      <c r="EX279" s="119"/>
      <c r="EY279" s="119"/>
      <c r="EZ279" s="143"/>
      <c r="FA279" s="143"/>
      <c r="FD279" s="119"/>
      <c r="FE279" s="119"/>
      <c r="FF279" s="119"/>
      <c r="FG279" s="143"/>
      <c r="FH279" s="143"/>
      <c r="FK279" s="143"/>
      <c r="FL279" s="143"/>
      <c r="FO279" s="119">
        <v>1461.7169932311022</v>
      </c>
      <c r="FP279" s="119">
        <v>1684.166515576233</v>
      </c>
      <c r="FQ279" s="143"/>
      <c r="FR279" s="143"/>
      <c r="FU279" s="119">
        <v>1449.8262900877708</v>
      </c>
      <c r="FV279" s="143">
        <v>5530.87629008777</v>
      </c>
      <c r="FW279" s="143">
        <v>4457.3074127710215</v>
      </c>
      <c r="FX279" s="143">
        <v>5372.3627748120007</v>
      </c>
      <c r="FY279" s="143">
        <v>5950.9177774490418</v>
      </c>
      <c r="GA279" s="143">
        <v>4423.1948903856592</v>
      </c>
      <c r="GB279" s="143">
        <v>4995.0281952631522</v>
      </c>
      <c r="GC279" s="143">
        <v>5633.4922498911183</v>
      </c>
      <c r="GF279" s="119"/>
      <c r="GG279" s="119"/>
      <c r="GH279" s="119"/>
      <c r="GI279" s="143">
        <v>4786.1286944256035</v>
      </c>
      <c r="GJ279" s="143">
        <v>5622.9647916841568</v>
      </c>
      <c r="GK279" s="143">
        <v>6341.581507179485</v>
      </c>
      <c r="GN279" s="119"/>
      <c r="GO279" s="119"/>
      <c r="GP279" s="143">
        <v>5395.3874074379937</v>
      </c>
      <c r="GQ279" s="143">
        <v>6329.8206480889849</v>
      </c>
      <c r="GR279" s="143">
        <v>7128.2919124797791</v>
      </c>
      <c r="GV279" s="119">
        <v>1832.0161940583735</v>
      </c>
      <c r="GW279" s="143">
        <v>6104.5261940583732</v>
      </c>
      <c r="GX279" s="143">
        <v>6704.8393680696745</v>
      </c>
      <c r="GY279" s="143">
        <v>7791.278846050126</v>
      </c>
      <c r="HC279" s="143"/>
      <c r="HD279" s="143">
        <v>7549.7198996478</v>
      </c>
      <c r="HE279" s="143">
        <v>8850.027175213294</v>
      </c>
      <c r="HF279" s="143">
        <v>9889.4108076629745</v>
      </c>
      <c r="HI279" s="119"/>
      <c r="HJ279" s="119"/>
      <c r="HK279" s="119"/>
      <c r="HL279" s="119"/>
      <c r="HM279" s="143">
        <v>9100.9375664627823</v>
      </c>
      <c r="HN279" s="143">
        <v>10176.408903909063</v>
      </c>
      <c r="HO279" s="143">
        <v>11175.331726275968</v>
      </c>
      <c r="HR279" s="119"/>
      <c r="HS279" s="119"/>
      <c r="HT279" s="119"/>
      <c r="HU279" s="143">
        <v>7740.4343664627831</v>
      </c>
      <c r="HV279" s="143">
        <v>8207.0568606000015</v>
      </c>
      <c r="HW279" s="143">
        <v>9039.2476496760009</v>
      </c>
      <c r="HZ279" s="119"/>
      <c r="IA279" s="143">
        <v>8930.2808316776154</v>
      </c>
      <c r="IB279" s="143">
        <v>9075.7379280000005</v>
      </c>
      <c r="IC279" s="143">
        <v>9977.4337393680016</v>
      </c>
      <c r="IE279" s="119"/>
      <c r="IF279" s="143">
        <v>9379.3402785350281</v>
      </c>
      <c r="IG279" s="143">
        <v>9546.7479120000007</v>
      </c>
      <c r="IH279" s="143">
        <v>10490.495725272003</v>
      </c>
      <c r="IK279" s="143">
        <v>9546.7479120000007</v>
      </c>
      <c r="IL279" s="143">
        <v>10490.495725272003</v>
      </c>
      <c r="IO279" s="143">
        <v>11008.329446000002</v>
      </c>
      <c r="IP279" s="143">
        <v>12395.454269480002</v>
      </c>
      <c r="IS279" s="157"/>
      <c r="IT279" s="157"/>
      <c r="IU279" s="157"/>
      <c r="IX279" s="143"/>
      <c r="IY279" s="143">
        <v>10077.167202000001</v>
      </c>
      <c r="IZ279" s="143">
        <v>11636.691703799997</v>
      </c>
      <c r="JA279" s="143">
        <v>13445.320591164</v>
      </c>
      <c r="JD279" s="143">
        <v>12301.185995429241</v>
      </c>
      <c r="JE279" s="143">
        <v>14692.675292734299</v>
      </c>
      <c r="JH279" s="143">
        <v>12205.41854328117</v>
      </c>
      <c r="JI279" s="143">
        <v>14583.728392023364</v>
      </c>
      <c r="JJ279" s="143">
        <v>16865.073121141369</v>
      </c>
      <c r="JM279" s="143">
        <v>13555.045787881249</v>
      </c>
      <c r="JN279" s="143">
        <v>15662.806902879</v>
      </c>
      <c r="JQ279" s="143">
        <v>10887.631003642788</v>
      </c>
      <c r="JR279" s="143">
        <v>12182.97751745417</v>
      </c>
      <c r="JS279" s="143">
        <v>13602.832097352439</v>
      </c>
      <c r="JV279" s="143">
        <v>12029.644600978196</v>
      </c>
      <c r="JW279" s="143">
        <v>13431.090563672169</v>
      </c>
      <c r="JY279" s="143">
        <v>12327.8320458445</v>
      </c>
      <c r="JZ279" s="143">
        <v>13765.060501922429</v>
      </c>
      <c r="KB279" s="143">
        <v>11956.973939613927</v>
      </c>
      <c r="KC279" s="143">
        <v>13449.016317173426</v>
      </c>
      <c r="KD279" s="143">
        <v>15134.598544412478</v>
      </c>
    </row>
    <row r="280" spans="2:290" x14ac:dyDescent="0.25">
      <c r="B280" s="11"/>
      <c r="C280" s="11"/>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24"/>
      <c r="BC280" s="12"/>
      <c r="BD280" s="12"/>
      <c r="BE280" s="12"/>
      <c r="BF280" s="12"/>
      <c r="BG280" s="24"/>
      <c r="BH280" s="12"/>
      <c r="BI280" s="12"/>
      <c r="BJ280" s="12"/>
      <c r="BK280" s="12"/>
      <c r="BL280" s="24"/>
      <c r="BM280" s="12"/>
      <c r="BN280" s="12"/>
      <c r="BO280" s="12"/>
      <c r="BP280" s="12"/>
      <c r="BQ280" s="24"/>
      <c r="BR280" s="12"/>
      <c r="BS280" s="12"/>
      <c r="BT280" s="12"/>
      <c r="BU280" s="12"/>
      <c r="BV280" s="24"/>
      <c r="BW280" s="12"/>
      <c r="BX280" s="12"/>
      <c r="BY280" s="12"/>
      <c r="BZ280" s="12"/>
      <c r="CA280" s="24"/>
      <c r="CB280" s="12"/>
      <c r="CC280" s="12"/>
      <c r="CD280" s="12"/>
      <c r="CE280" s="12"/>
      <c r="CF280" s="24"/>
      <c r="CG280" s="12"/>
      <c r="CH280" s="12"/>
      <c r="CI280" s="12"/>
      <c r="CJ280" s="12"/>
      <c r="CK280" s="210"/>
      <c r="CL280" s="12"/>
      <c r="CM280" s="12"/>
      <c r="CN280" s="12"/>
      <c r="CO280" s="15"/>
      <c r="CP280" s="15"/>
      <c r="CQ280" s="6"/>
      <c r="CR280" s="6"/>
      <c r="CS280" s="6"/>
      <c r="CT280" s="15"/>
      <c r="CU280" s="15"/>
      <c r="CV280" s="15"/>
      <c r="CW280" s="15"/>
      <c r="CX280" s="15"/>
      <c r="DK280" s="6"/>
      <c r="DL280" s="6"/>
      <c r="DM280" s="6"/>
      <c r="DN280" s="6"/>
      <c r="DO280" s="6"/>
      <c r="EA280" s="15"/>
      <c r="EB280" s="15"/>
      <c r="EC280" s="15"/>
      <c r="ED280" s="15"/>
      <c r="EE280" s="15"/>
      <c r="EF280" s="15"/>
      <c r="EJ280" s="15"/>
      <c r="EK280" s="15"/>
      <c r="EL280" s="15"/>
      <c r="EM280" s="15"/>
      <c r="EN280" s="15"/>
      <c r="EP280" s="15"/>
      <c r="EQ280" s="15"/>
      <c r="ER280" s="15"/>
      <c r="ES280" s="15"/>
      <c r="EV280" s="15"/>
      <c r="EW280" s="15"/>
      <c r="EX280" s="15"/>
      <c r="EY280" s="15"/>
      <c r="EZ280" s="15"/>
      <c r="FA280" s="15"/>
      <c r="FD280" s="15"/>
      <c r="FE280" s="15"/>
      <c r="FF280" s="15"/>
      <c r="FG280" s="15"/>
      <c r="FH280" s="15"/>
      <c r="FK280" s="15"/>
      <c r="FL280" s="15"/>
      <c r="FO280" s="15"/>
      <c r="FP280" s="15"/>
      <c r="FQ280" s="15"/>
      <c r="FR280" s="15"/>
      <c r="FU280" s="15"/>
      <c r="FV280" s="15"/>
      <c r="FW280" s="15"/>
      <c r="FX280" s="15"/>
      <c r="FY280" s="15"/>
      <c r="GA280" s="15"/>
      <c r="GB280" s="15"/>
      <c r="GC280" s="15"/>
      <c r="GF280" s="15"/>
      <c r="GG280" s="15"/>
      <c r="GH280" s="15"/>
      <c r="GI280" s="15"/>
      <c r="GJ280" s="15"/>
      <c r="GK280" s="15"/>
      <c r="GN280" s="15"/>
      <c r="GO280" s="15"/>
      <c r="GP280" s="15"/>
      <c r="GQ280" s="15"/>
      <c r="GR280" s="15"/>
      <c r="GV280" s="15"/>
      <c r="GW280" s="15"/>
      <c r="GX280" s="15"/>
      <c r="GY280" s="15"/>
      <c r="HC280" s="15"/>
      <c r="HD280" s="15"/>
      <c r="HE280" s="15"/>
      <c r="HF280" s="15"/>
      <c r="HI280" s="15"/>
      <c r="HJ280" s="15"/>
      <c r="HK280" s="15"/>
      <c r="HL280" s="15"/>
      <c r="HM280" s="15"/>
      <c r="HN280" s="15"/>
      <c r="HO280" s="15"/>
      <c r="HR280" s="15"/>
      <c r="HS280" s="15"/>
      <c r="HT280" s="15"/>
      <c r="HU280" s="15"/>
      <c r="HV280" s="15"/>
      <c r="HW280" s="15"/>
      <c r="HZ280" s="15"/>
      <c r="IA280" s="15"/>
      <c r="IB280" s="15"/>
      <c r="IC280" s="15"/>
      <c r="IE280" s="15"/>
      <c r="IF280" s="15"/>
      <c r="IG280" s="15"/>
      <c r="IH280" s="15"/>
      <c r="IK280" s="15"/>
      <c r="IL280" s="15"/>
      <c r="IO280" s="15"/>
      <c r="IP280" s="15"/>
      <c r="IS280" s="15"/>
      <c r="IT280" s="15"/>
      <c r="IU280" s="15"/>
      <c r="IX280" s="15"/>
      <c r="IY280" s="15"/>
      <c r="IZ280" s="15"/>
      <c r="JA280" s="15"/>
      <c r="JD280" s="15"/>
      <c r="JE280" s="15"/>
      <c r="JH280" s="15"/>
      <c r="JI280" s="15"/>
      <c r="JJ280" s="15"/>
      <c r="JM280" s="15"/>
      <c r="JN280" s="15"/>
      <c r="JQ280" s="15"/>
      <c r="JR280" s="15"/>
      <c r="JS280" s="15"/>
      <c r="JV280" s="15"/>
      <c r="JW280" s="15"/>
      <c r="JY280" s="15"/>
      <c r="JZ280" s="15"/>
      <c r="KB280" s="15"/>
      <c r="KC280" s="15"/>
      <c r="KD280" s="15"/>
    </row>
    <row r="281" spans="2:290" s="60" customFormat="1" x14ac:dyDescent="0.25">
      <c r="B281" s="34" t="s">
        <v>236</v>
      </c>
      <c r="C281" s="99"/>
      <c r="D281" s="99"/>
      <c r="E281" s="99"/>
      <c r="F281" s="99"/>
      <c r="G281" s="99"/>
      <c r="H281" s="196"/>
      <c r="I281" s="196"/>
      <c r="J281" s="196"/>
      <c r="K281" s="196"/>
      <c r="L281" s="196"/>
      <c r="M281" s="196"/>
      <c r="N281" s="196"/>
      <c r="O281" s="196"/>
      <c r="P281" s="196"/>
      <c r="Q281" s="196"/>
      <c r="R281" s="196"/>
      <c r="S281" s="196"/>
      <c r="T281" s="196"/>
      <c r="U281" s="196"/>
      <c r="V281" s="196"/>
      <c r="W281" s="196"/>
      <c r="X281" s="196"/>
      <c r="Y281" s="196"/>
      <c r="Z281" s="196"/>
      <c r="AA281" s="196"/>
      <c r="AB281" s="196"/>
      <c r="AC281" s="196"/>
      <c r="AD281" s="196"/>
      <c r="AE281" s="196"/>
      <c r="AF281" s="196"/>
      <c r="AG281" s="196"/>
      <c r="AH281" s="196"/>
      <c r="AI281" s="196"/>
      <c r="AJ281" s="196"/>
      <c r="AK281" s="196"/>
      <c r="AL281" s="196"/>
      <c r="AM281" s="196"/>
      <c r="AN281" s="196"/>
      <c r="AO281" s="196"/>
      <c r="AP281" s="196"/>
      <c r="AQ281" s="196"/>
      <c r="AR281" s="196"/>
      <c r="AS281" s="196"/>
      <c r="AT281" s="196"/>
      <c r="AU281" s="196"/>
      <c r="AV281" s="196"/>
      <c r="AW281" s="196"/>
      <c r="AX281" s="196"/>
      <c r="AY281" s="196"/>
      <c r="AZ281" s="196"/>
      <c r="BA281" s="196"/>
      <c r="BB281" s="196"/>
      <c r="BC281" s="196"/>
      <c r="BD281" s="196"/>
      <c r="BE281" s="196"/>
      <c r="BF281" s="196"/>
      <c r="BG281" s="196"/>
      <c r="BH281" s="196"/>
      <c r="BI281" s="196"/>
      <c r="BJ281" s="196"/>
      <c r="BK281" s="196"/>
      <c r="BL281" s="196"/>
      <c r="BM281" s="196"/>
      <c r="BN281" s="196"/>
      <c r="BO281" s="196"/>
      <c r="BP281" s="196"/>
      <c r="BQ281" s="196"/>
      <c r="BR281" s="196"/>
      <c r="BS281" s="196"/>
      <c r="BT281" s="196"/>
      <c r="BU281" s="196"/>
      <c r="BV281" s="196"/>
      <c r="BW281" s="196"/>
      <c r="BX281" s="196"/>
      <c r="BY281" s="196"/>
      <c r="BZ281" s="196"/>
      <c r="CA281" s="196"/>
      <c r="CB281" s="196"/>
      <c r="CC281" s="196"/>
      <c r="CD281" s="196"/>
      <c r="CE281" s="196"/>
      <c r="CF281" s="196"/>
      <c r="CG281" s="196"/>
      <c r="CH281" s="196"/>
      <c r="CI281" s="196"/>
      <c r="CJ281" s="196"/>
      <c r="CK281" s="196"/>
      <c r="CL281" s="196"/>
      <c r="CM281" s="196"/>
      <c r="CN281" s="196"/>
      <c r="CO281" s="148"/>
      <c r="CP281" s="148"/>
      <c r="CQ281" s="58"/>
      <c r="CR281" s="58"/>
      <c r="CS281" s="58"/>
      <c r="CT281" s="143"/>
      <c r="CU281" s="143"/>
      <c r="CV281" s="143"/>
      <c r="CW281" s="143"/>
      <c r="CX281" s="143"/>
      <c r="CY281" s="143"/>
      <c r="CZ281" s="143"/>
      <c r="DA281" s="143"/>
      <c r="DB281" s="143"/>
      <c r="DC281" s="143"/>
      <c r="DD281" s="143"/>
      <c r="DE281" s="143"/>
      <c r="DF281" s="143"/>
      <c r="DG281" s="143"/>
      <c r="DH281" s="143"/>
      <c r="DI281" s="143"/>
      <c r="DK281" s="143"/>
      <c r="DL281" s="143"/>
      <c r="DM281" s="58"/>
      <c r="DN281" s="143"/>
      <c r="DO281" s="143"/>
      <c r="DQ281" s="4"/>
      <c r="DR281" s="143"/>
      <c r="DS281" s="143"/>
      <c r="DT281" s="143"/>
      <c r="DV281" s="143"/>
      <c r="DW281" s="143"/>
      <c r="DX281" s="143"/>
      <c r="EA281" s="119"/>
      <c r="EB281" s="119"/>
      <c r="EC281" s="119"/>
      <c r="ED281" s="143"/>
      <c r="EE281" s="143"/>
      <c r="EF281" s="143"/>
      <c r="EJ281" s="119"/>
      <c r="EK281" s="119"/>
      <c r="EL281" s="143"/>
      <c r="EM281" s="143"/>
      <c r="EN281" s="143"/>
      <c r="EP281" s="119"/>
      <c r="EQ281" s="143"/>
      <c r="ER281" s="143"/>
      <c r="ES281" s="143"/>
      <c r="EV281" s="119"/>
      <c r="EW281" s="119"/>
      <c r="EX281" s="119"/>
      <c r="EY281" s="119"/>
      <c r="EZ281" s="143"/>
      <c r="FA281" s="143"/>
      <c r="FD281" s="119"/>
      <c r="FE281" s="119"/>
      <c r="FF281" s="119"/>
      <c r="FG281" s="143"/>
      <c r="FH281" s="143"/>
      <c r="FK281" s="143"/>
      <c r="FL281" s="143"/>
      <c r="FO281" s="119"/>
      <c r="FP281" s="119"/>
      <c r="FQ281" s="143"/>
      <c r="FR281" s="143"/>
      <c r="FU281" s="119"/>
      <c r="FV281" s="143"/>
      <c r="FW281" s="143"/>
      <c r="FX281" s="143"/>
      <c r="FY281" s="143"/>
      <c r="GA281" s="143"/>
      <c r="GB281" s="143"/>
      <c r="GC281" s="143"/>
      <c r="GF281" s="119"/>
      <c r="GG281" s="119"/>
      <c r="GH281" s="119"/>
      <c r="GI281" s="143"/>
      <c r="GJ281" s="143"/>
      <c r="GK281" s="143"/>
      <c r="GN281" s="119"/>
      <c r="GO281" s="119"/>
      <c r="GP281" s="143"/>
      <c r="GQ281" s="143"/>
      <c r="GR281" s="143"/>
      <c r="GV281" s="119"/>
      <c r="GW281" s="143"/>
      <c r="GX281" s="143"/>
      <c r="GY281" s="143"/>
      <c r="HC281" s="143"/>
      <c r="HD281" s="143"/>
      <c r="HE281" s="143"/>
      <c r="HF281" s="143"/>
      <c r="HI281" s="119"/>
      <c r="HJ281" s="119"/>
      <c r="HK281" s="119"/>
      <c r="HL281" s="119"/>
      <c r="HM281" s="143"/>
      <c r="HN281" s="143"/>
      <c r="HO281" s="143"/>
      <c r="HR281" s="119"/>
      <c r="HS281" s="119"/>
      <c r="HT281" s="119"/>
      <c r="HU281" s="143"/>
      <c r="HV281" s="143"/>
      <c r="HW281" s="143"/>
      <c r="HZ281" s="119"/>
      <c r="IA281" s="143"/>
      <c r="IB281" s="143"/>
      <c r="IC281" s="143"/>
      <c r="IE281" s="119"/>
      <c r="IF281" s="143"/>
      <c r="IG281" s="143"/>
      <c r="IH281" s="143"/>
      <c r="IK281" s="143"/>
      <c r="IL281" s="143"/>
      <c r="IO281" s="143"/>
      <c r="IP281" s="143"/>
      <c r="IS281" s="157"/>
      <c r="IT281" s="157"/>
      <c r="IU281" s="157"/>
      <c r="IX281" s="143" t="s">
        <v>106</v>
      </c>
      <c r="IY281" s="143"/>
      <c r="IZ281" s="143"/>
      <c r="JA281" s="143"/>
      <c r="JD281" s="143"/>
      <c r="JE281" s="143"/>
      <c r="JH281" s="143"/>
      <c r="JI281" s="143"/>
      <c r="JJ281" s="143"/>
      <c r="JM281" s="143"/>
      <c r="JN281" s="143"/>
      <c r="JQ281" s="143"/>
      <c r="JR281" s="143"/>
      <c r="JS281" s="143"/>
      <c r="JV281" s="143"/>
      <c r="JW281" s="143"/>
      <c r="JY281" s="143"/>
      <c r="JZ281" s="143"/>
      <c r="KB281" s="143"/>
      <c r="KC281" s="143"/>
      <c r="KD281" s="143"/>
    </row>
    <row r="282" spans="2:290" x14ac:dyDescent="0.25">
      <c r="B282" s="11" t="s">
        <v>233</v>
      </c>
      <c r="C282" s="23"/>
      <c r="D282" s="23"/>
      <c r="E282" s="23"/>
      <c r="F282" s="23"/>
      <c r="G282" s="23"/>
      <c r="H282" s="197"/>
      <c r="I282" s="198"/>
      <c r="J282" s="198"/>
      <c r="K282" s="198"/>
      <c r="L282" s="198"/>
      <c r="M282" s="197"/>
      <c r="N282" s="198"/>
      <c r="O282" s="198"/>
      <c r="P282" s="198"/>
      <c r="Q282" s="198"/>
      <c r="R282" s="197"/>
      <c r="S282" s="198"/>
      <c r="T282" s="198"/>
      <c r="U282" s="198"/>
      <c r="V282" s="198"/>
      <c r="W282" s="197"/>
      <c r="X282" s="198"/>
      <c r="Y282" s="198"/>
      <c r="Z282" s="198"/>
      <c r="AA282" s="198"/>
      <c r="AB282" s="42">
        <v>0.21821407451212305</v>
      </c>
      <c r="AC282" s="24">
        <v>-4.1525885558583164E-2</v>
      </c>
      <c r="AD282" s="24">
        <v>7.6586433260393827E-2</v>
      </c>
      <c r="AE282" s="24">
        <v>4.7970479704797064E-2</v>
      </c>
      <c r="AF282" s="24">
        <v>1.1527377521613813E-2</v>
      </c>
      <c r="AG282" s="42">
        <v>2.6097087378640804E-2</v>
      </c>
      <c r="AH282" s="24">
        <v>0.14134637252672277</v>
      </c>
      <c r="AI282" s="24">
        <v>0</v>
      </c>
      <c r="AJ282" s="24">
        <v>0.25323943661971859</v>
      </c>
      <c r="AK282" s="42"/>
      <c r="AL282" s="24"/>
      <c r="AM282" s="24"/>
      <c r="AN282" s="24"/>
      <c r="AO282" s="24"/>
      <c r="AP282" s="42"/>
      <c r="AQ282" s="24">
        <f t="shared" ref="AQ282:AZ285" si="374">(AQ272/AL272-1)</f>
        <v>-0.13887737657358967</v>
      </c>
      <c r="AR282" s="24">
        <f t="shared" si="374"/>
        <v>0.17335706008938923</v>
      </c>
      <c r="AS282" s="24">
        <f t="shared" si="374"/>
        <v>0.1861073538833915</v>
      </c>
      <c r="AT282" s="24">
        <f t="shared" si="374"/>
        <v>1.2460602506779939E-2</v>
      </c>
      <c r="AU282" s="42">
        <f t="shared" si="374"/>
        <v>0.10545921800390756</v>
      </c>
      <c r="AV282" s="207">
        <f t="shared" si="374"/>
        <v>0.12349411180796821</v>
      </c>
      <c r="AW282" s="207">
        <f t="shared" si="374"/>
        <v>0.19952033294536742</v>
      </c>
      <c r="AX282" s="207">
        <f t="shared" si="374"/>
        <v>0.19996999024683015</v>
      </c>
      <c r="AY282" s="207">
        <f t="shared" si="374"/>
        <v>0.1351021984121239</v>
      </c>
      <c r="AZ282" s="42">
        <f t="shared" si="374"/>
        <v>0.16346862521496486</v>
      </c>
      <c r="BA282" s="207">
        <f t="shared" ref="BA282:BJ285" si="375">(BA272/AV272-1)</f>
        <v>0.20208835341365461</v>
      </c>
      <c r="BB282" s="207">
        <f t="shared" si="375"/>
        <v>0.19306086445163184</v>
      </c>
      <c r="BC282" s="207">
        <f t="shared" si="375"/>
        <v>-1.6880908317911114E-3</v>
      </c>
      <c r="BD282" s="207">
        <f t="shared" si="375"/>
        <v>-3.9649216051023117E-3</v>
      </c>
      <c r="BE282" s="42">
        <f t="shared" si="375"/>
        <v>8.5682319571383614E-2</v>
      </c>
      <c r="BF282" s="207">
        <f t="shared" si="375"/>
        <v>-0.14852554679495744</v>
      </c>
      <c r="BG282" s="207">
        <f t="shared" si="375"/>
        <v>4.4028489747634181E-2</v>
      </c>
      <c r="BH282" s="207">
        <f t="shared" si="375"/>
        <v>0.42790936533186374</v>
      </c>
      <c r="BI282" s="207">
        <f t="shared" si="375"/>
        <v>0.43726921517150119</v>
      </c>
      <c r="BJ282" s="42">
        <f t="shared" si="375"/>
        <v>0.18982428945069052</v>
      </c>
      <c r="BK282" s="207">
        <f t="shared" ref="BK282:BT285" si="376">(BK272/BF272-1)</f>
        <v>8.6922402856432823E-2</v>
      </c>
      <c r="BL282" s="207">
        <f t="shared" si="376"/>
        <v>0.49575686043080558</v>
      </c>
      <c r="BM282" s="207">
        <f t="shared" si="376"/>
        <v>7.0175438596491446E-3</v>
      </c>
      <c r="BN282" s="207">
        <f t="shared" si="376"/>
        <v>0.33635047336179702</v>
      </c>
      <c r="BO282" s="42">
        <f t="shared" si="376"/>
        <v>0.23109259074019395</v>
      </c>
      <c r="BP282" s="207">
        <f t="shared" si="376"/>
        <v>0.76083268154743999</v>
      </c>
      <c r="BQ282" s="207">
        <f t="shared" si="376"/>
        <v>2.164478252635571E-2</v>
      </c>
      <c r="BR282" s="207">
        <f t="shared" si="376"/>
        <v>0.3141811846689897</v>
      </c>
      <c r="BS282" s="207">
        <f t="shared" si="376"/>
        <v>-1.6074633417234807E-2</v>
      </c>
      <c r="BT282" s="42">
        <f t="shared" si="376"/>
        <v>0.19650058759529854</v>
      </c>
      <c r="BU282" s="207">
        <f t="shared" ref="BU282:CD285" si="377">(BU272/BP272-1)</f>
        <v>0.11123183949048077</v>
      </c>
      <c r="BV282" s="207">
        <f t="shared" si="377"/>
        <v>0.16572823257717939</v>
      </c>
      <c r="BW282" s="207">
        <f t="shared" si="377"/>
        <v>8.9462311424556518E-2</v>
      </c>
      <c r="BX282" s="207">
        <f t="shared" si="377"/>
        <v>0.21556923424440955</v>
      </c>
      <c r="BY282" s="42">
        <f t="shared" si="377"/>
        <v>0.14808042361694262</v>
      </c>
      <c r="BZ282" s="207">
        <f t="shared" si="377"/>
        <v>0.14283166575446926</v>
      </c>
      <c r="CA282" s="207">
        <f t="shared" si="377"/>
        <v>-4.7274196968090654E-2</v>
      </c>
      <c r="CB282" s="207">
        <f t="shared" si="377"/>
        <v>1.2946795242296139E-2</v>
      </c>
      <c r="CC282" s="207">
        <f t="shared" si="377"/>
        <v>-3.6482650648306914E-2</v>
      </c>
      <c r="CD282" s="42">
        <f t="shared" si="377"/>
        <v>1.4921583421937612E-2</v>
      </c>
      <c r="CE282" s="207">
        <f t="shared" ref="CE282:CI285" si="378">(CE272/BZ272-1)</f>
        <v>-3.5547280681457405E-2</v>
      </c>
      <c r="CF282" s="207">
        <f t="shared" si="378"/>
        <v>0.11416411090943224</v>
      </c>
      <c r="CG282" s="207">
        <f t="shared" si="378"/>
        <v>9.4940928447442285E-2</v>
      </c>
      <c r="CH282" s="207">
        <f t="shared" si="378"/>
        <v>0.2334908389585344</v>
      </c>
      <c r="CI282" s="42">
        <f t="shared" si="378"/>
        <v>0.10531058990760478</v>
      </c>
      <c r="CJ282" s="42">
        <f t="shared" ref="CJ282:CN285" si="379">(CJ272/CI272-1)</f>
        <v>0.15499607863310327</v>
      </c>
      <c r="CK282" s="42">
        <f t="shared" si="379"/>
        <v>0.17999999999999994</v>
      </c>
      <c r="CL282" s="42">
        <f t="shared" si="379"/>
        <v>0.20681818181818157</v>
      </c>
      <c r="CM282" s="42">
        <f t="shared" si="379"/>
        <v>0.10000000000000009</v>
      </c>
      <c r="CN282" s="42">
        <f t="shared" si="379"/>
        <v>0.10000000000000009</v>
      </c>
      <c r="CO282" s="74"/>
      <c r="CP282" s="74"/>
      <c r="CQ282" s="6"/>
      <c r="CR282" s="6"/>
      <c r="CS282" s="6"/>
      <c r="CT282" s="124"/>
      <c r="CU282" s="124"/>
      <c r="CV282" s="124"/>
      <c r="CW282" s="124"/>
      <c r="CX282" s="124"/>
      <c r="CY282" s="124"/>
      <c r="CZ282" s="124"/>
      <c r="DA282" s="124"/>
      <c r="DB282" s="124"/>
      <c r="DC282" s="124"/>
      <c r="DD282" s="124"/>
      <c r="DE282" s="124"/>
      <c r="DF282" s="124"/>
      <c r="DG282" s="124"/>
      <c r="DH282" s="124"/>
      <c r="DI282" s="124"/>
      <c r="DK282" s="124"/>
      <c r="DL282" s="124"/>
      <c r="DM282" s="6"/>
      <c r="DN282" s="124"/>
      <c r="DO282" s="124"/>
      <c r="DQ282" s="136"/>
      <c r="DR282" s="124"/>
      <c r="DS282" s="124"/>
      <c r="DT282" s="124"/>
      <c r="DV282" s="124"/>
      <c r="DW282" s="124"/>
      <c r="DX282" s="124"/>
      <c r="EA282" s="111"/>
      <c r="EB282" s="111"/>
      <c r="EC282" s="111"/>
      <c r="ED282" s="124"/>
      <c r="EE282" s="124"/>
      <c r="EF282" s="124"/>
      <c r="EJ282" s="111"/>
      <c r="EK282" s="111"/>
      <c r="EL282" s="124"/>
      <c r="EM282" s="124"/>
      <c r="EN282" s="124"/>
      <c r="EP282" s="111"/>
      <c r="EQ282" s="124"/>
      <c r="ER282" s="124"/>
      <c r="ES282" s="124"/>
      <c r="EV282" s="111"/>
      <c r="EW282" s="111"/>
      <c r="EX282" s="111"/>
      <c r="EY282" s="111"/>
      <c r="EZ282" s="124"/>
      <c r="FA282" s="124"/>
      <c r="FD282" s="111"/>
      <c r="FE282" s="111"/>
      <c r="FF282" s="111"/>
      <c r="FG282" s="124"/>
      <c r="FH282" s="124"/>
      <c r="FK282" s="124"/>
      <c r="FL282" s="124"/>
      <c r="FO282" s="111"/>
      <c r="FP282" s="111"/>
      <c r="FQ282" s="124"/>
      <c r="FR282" s="124"/>
      <c r="FU282" s="111"/>
      <c r="FV282" s="124"/>
      <c r="FW282" s="124"/>
      <c r="FX282" s="124"/>
      <c r="FY282" s="124"/>
      <c r="GA282" s="124"/>
      <c r="GB282" s="124"/>
      <c r="GC282" s="124"/>
      <c r="GF282" s="111"/>
      <c r="GG282" s="111"/>
      <c r="GH282" s="111"/>
      <c r="GI282" s="124"/>
      <c r="GJ282" s="124"/>
      <c r="GK282" s="124"/>
      <c r="GN282" s="111"/>
      <c r="GO282" s="111"/>
      <c r="GP282" s="124"/>
      <c r="GQ282" s="124"/>
      <c r="GR282" s="124"/>
      <c r="GV282" s="111"/>
      <c r="GW282" s="124"/>
      <c r="GX282" s="124"/>
      <c r="GY282" s="124"/>
      <c r="HC282" s="124"/>
      <c r="HD282" s="124"/>
      <c r="HE282" s="124"/>
      <c r="HF282" s="124"/>
      <c r="HI282" s="111"/>
      <c r="HJ282" s="111"/>
      <c r="HK282" s="111"/>
      <c r="HL282" s="111"/>
      <c r="HM282" s="124"/>
      <c r="HN282" s="124"/>
      <c r="HO282" s="124"/>
      <c r="HR282" s="111"/>
      <c r="HS282" s="111"/>
      <c r="HT282" s="111"/>
      <c r="HU282" s="124"/>
      <c r="HV282" s="124"/>
      <c r="HW282" s="124"/>
      <c r="HZ282" s="111"/>
      <c r="IA282" s="124"/>
      <c r="IB282" s="124"/>
      <c r="IC282" s="124"/>
      <c r="IE282" s="111"/>
      <c r="IF282" s="124"/>
      <c r="IG282" s="124"/>
      <c r="IH282" s="124"/>
      <c r="IK282" s="124"/>
      <c r="IL282" s="124"/>
      <c r="IO282" s="124"/>
      <c r="IP282" s="124"/>
      <c r="IS282" s="160"/>
      <c r="IT282" s="160"/>
      <c r="IU282" s="160"/>
      <c r="IX282" s="124"/>
      <c r="IY282" s="124"/>
      <c r="IZ282" s="124"/>
      <c r="JA282" s="124"/>
      <c r="JD282" s="124"/>
      <c r="JE282" s="124"/>
      <c r="JH282" s="124"/>
      <c r="JI282" s="124"/>
      <c r="JJ282" s="124"/>
      <c r="JM282" s="124"/>
      <c r="JN282" s="124"/>
      <c r="JQ282" s="124"/>
      <c r="JR282" s="124"/>
      <c r="JS282" s="124"/>
      <c r="JV282" s="124"/>
      <c r="JW282" s="124"/>
      <c r="JY282" s="124"/>
      <c r="JZ282" s="124"/>
      <c r="KB282" s="124"/>
      <c r="KC282" s="124"/>
      <c r="KD282" s="124"/>
    </row>
    <row r="283" spans="2:290" x14ac:dyDescent="0.25">
      <c r="B283" s="11" t="s">
        <v>224</v>
      </c>
      <c r="C283" s="23"/>
      <c r="D283" s="23"/>
      <c r="E283" s="23"/>
      <c r="F283" s="23"/>
      <c r="G283" s="23"/>
      <c r="H283" s="197"/>
      <c r="I283" s="198"/>
      <c r="J283" s="198"/>
      <c r="K283" s="198"/>
      <c r="L283" s="198"/>
      <c r="M283" s="197"/>
      <c r="N283" s="198"/>
      <c r="O283" s="198"/>
      <c r="P283" s="198"/>
      <c r="Q283" s="198"/>
      <c r="R283" s="197"/>
      <c r="S283" s="198"/>
      <c r="T283" s="198"/>
      <c r="U283" s="198"/>
      <c r="V283" s="198"/>
      <c r="W283" s="197"/>
      <c r="X283" s="198"/>
      <c r="Y283" s="198"/>
      <c r="Z283" s="198"/>
      <c r="AA283" s="198"/>
      <c r="AB283" s="42">
        <v>-1.0717230008243983E-2</v>
      </c>
      <c r="AC283" s="24">
        <v>0.18477611940298511</v>
      </c>
      <c r="AD283" s="24">
        <v>0.17910447761194037</v>
      </c>
      <c r="AE283" s="24">
        <v>5.9880239520958112E-2</v>
      </c>
      <c r="AF283" s="24">
        <v>-6.6666666666666652E-2</v>
      </c>
      <c r="AG283" s="42">
        <v>7.9599999999999893E-2</v>
      </c>
      <c r="AH283" s="24">
        <v>-0.11577223481985388</v>
      </c>
      <c r="AI283" s="24">
        <v>-0.20886075949367089</v>
      </c>
      <c r="AJ283" s="24">
        <v>-0.15096045197740093</v>
      </c>
      <c r="AK283" s="42"/>
      <c r="AL283" s="24"/>
      <c r="AM283" s="24"/>
      <c r="AN283" s="24"/>
      <c r="AO283" s="24"/>
      <c r="AP283" s="42"/>
      <c r="AQ283" s="24">
        <f t="shared" si="374"/>
        <v>-3.8657407407407418E-2</v>
      </c>
      <c r="AR283" s="24">
        <f t="shared" si="374"/>
        <v>0.17505234439439099</v>
      </c>
      <c r="AS283" s="24">
        <f t="shared" si="374"/>
        <v>0.2861528194861529</v>
      </c>
      <c r="AT283" s="24">
        <f t="shared" si="374"/>
        <v>0.36189360455828323</v>
      </c>
      <c r="AU283" s="42">
        <f t="shared" si="374"/>
        <v>0.2816030253016486</v>
      </c>
      <c r="AV283" s="207">
        <f t="shared" si="374"/>
        <v>0.37250180592342885</v>
      </c>
      <c r="AW283" s="207">
        <f t="shared" si="374"/>
        <v>0.37375809935205195</v>
      </c>
      <c r="AX283" s="207">
        <f t="shared" si="374"/>
        <v>3.2376900326882119E-2</v>
      </c>
      <c r="AY283" s="207">
        <f t="shared" si="374"/>
        <v>-0.21642228739002933</v>
      </c>
      <c r="AZ283" s="42">
        <f t="shared" si="374"/>
        <v>0.10651279678923742</v>
      </c>
      <c r="BA283" s="207">
        <f t="shared" si="375"/>
        <v>-0.17429824561403517</v>
      </c>
      <c r="BB283" s="207">
        <f t="shared" si="375"/>
        <v>-0.33535099441867777</v>
      </c>
      <c r="BC283" s="207">
        <f t="shared" si="375"/>
        <v>-0.21314771071015726</v>
      </c>
      <c r="BD283" s="207">
        <f t="shared" si="375"/>
        <v>-0.20523952095808384</v>
      </c>
      <c r="BE283" s="42">
        <f t="shared" si="375"/>
        <v>-0.23933333333333329</v>
      </c>
      <c r="BF283" s="207">
        <f t="shared" si="375"/>
        <v>-0.62562413683204077</v>
      </c>
      <c r="BG283" s="207">
        <f t="shared" si="375"/>
        <v>7.3033707865168607E-2</v>
      </c>
      <c r="BH283" s="207">
        <f t="shared" si="375"/>
        <v>0.37966274910577402</v>
      </c>
      <c r="BI283" s="207">
        <f t="shared" si="375"/>
        <v>0.84020845105795172</v>
      </c>
      <c r="BJ283" s="42">
        <f t="shared" si="375"/>
        <v>0.13061691350138882</v>
      </c>
      <c r="BK283" s="207">
        <f t="shared" si="376"/>
        <v>1.8223609534619749</v>
      </c>
      <c r="BL283" s="207">
        <f t="shared" si="376"/>
        <v>0.39404794709286306</v>
      </c>
      <c r="BM283" s="207">
        <f t="shared" si="376"/>
        <v>0.2592592592592593</v>
      </c>
      <c r="BN283" s="207">
        <f t="shared" si="376"/>
        <v>2.4531713808045197E-2</v>
      </c>
      <c r="BO283" s="42">
        <f t="shared" si="376"/>
        <v>0.34495217574101322</v>
      </c>
      <c r="BP283" s="207">
        <f t="shared" si="376"/>
        <v>0.51950532877538724</v>
      </c>
      <c r="BQ283" s="207">
        <f t="shared" si="376"/>
        <v>0.32381893654872518</v>
      </c>
      <c r="BR283" s="207">
        <f t="shared" si="376"/>
        <v>0.2347058823529411</v>
      </c>
      <c r="BS283" s="207">
        <f t="shared" si="376"/>
        <v>0.22775409617690179</v>
      </c>
      <c r="BT283" s="42">
        <f t="shared" si="376"/>
        <v>0.31060791075248884</v>
      </c>
      <c r="BU283" s="207">
        <f t="shared" si="377"/>
        <v>-1.2439621517898458E-2</v>
      </c>
      <c r="BV283" s="207">
        <f t="shared" si="377"/>
        <v>-2.702621991279941E-2</v>
      </c>
      <c r="BW283" s="207">
        <f t="shared" si="377"/>
        <v>-1.1582896617436833E-2</v>
      </c>
      <c r="BX283" s="207">
        <f t="shared" si="377"/>
        <v>-4.6410068625057699E-2</v>
      </c>
      <c r="BY283" s="42">
        <f t="shared" si="377"/>
        <v>-2.520068871447434E-2</v>
      </c>
      <c r="BZ283" s="207">
        <f t="shared" si="377"/>
        <v>2.6398659966499149E-2</v>
      </c>
      <c r="CA283" s="207">
        <f t="shared" si="377"/>
        <v>5.3712286301832446E-3</v>
      </c>
      <c r="CB283" s="207">
        <f t="shared" si="377"/>
        <v>1.2351257719536157E-3</v>
      </c>
      <c r="CC283" s="207">
        <f t="shared" si="377"/>
        <v>-1.5815223574923154E-2</v>
      </c>
      <c r="CD283" s="42">
        <f t="shared" si="377"/>
        <v>3.1961584927588937E-3</v>
      </c>
      <c r="CE283" s="207">
        <f t="shared" si="378"/>
        <v>-1.5634179776747859E-2</v>
      </c>
      <c r="CF283" s="207">
        <f t="shared" si="378"/>
        <v>-0.13737941140554399</v>
      </c>
      <c r="CG283" s="207">
        <f t="shared" si="378"/>
        <v>1.0951979780960297E-2</v>
      </c>
      <c r="CH283" s="207">
        <f t="shared" si="378"/>
        <v>3.6156069364161825E-2</v>
      </c>
      <c r="CI283" s="42">
        <f t="shared" si="378"/>
        <v>-2.5777439024390225E-2</v>
      </c>
      <c r="CJ283" s="42">
        <f t="shared" si="379"/>
        <v>2.3371356147021682E-2</v>
      </c>
      <c r="CK283" s="42">
        <f t="shared" si="379"/>
        <v>7.9999999999999849E-2</v>
      </c>
      <c r="CL283" s="42">
        <f t="shared" si="379"/>
        <v>5.3000000000000158E-2</v>
      </c>
      <c r="CM283" s="42">
        <f t="shared" si="379"/>
        <v>0.10769230769230775</v>
      </c>
      <c r="CN283" s="42">
        <f t="shared" si="379"/>
        <v>7.9999999999999849E-2</v>
      </c>
      <c r="CO283" s="74"/>
      <c r="CP283" s="74"/>
      <c r="CQ283" s="6"/>
      <c r="CR283" s="6"/>
      <c r="CS283" s="6"/>
      <c r="CT283" s="124"/>
      <c r="CU283" s="124"/>
      <c r="CV283" s="124"/>
      <c r="CW283" s="124"/>
      <c r="CX283" s="124"/>
      <c r="CY283" s="124"/>
      <c r="CZ283" s="124"/>
      <c r="DA283" s="124"/>
      <c r="DB283" s="124"/>
      <c r="DC283" s="124"/>
      <c r="DD283" s="124"/>
      <c r="DE283" s="124"/>
      <c r="DF283" s="124"/>
      <c r="DG283" s="124"/>
      <c r="DH283" s="124"/>
      <c r="DI283" s="124"/>
      <c r="DK283" s="124"/>
      <c r="DL283" s="124"/>
      <c r="DM283" s="6"/>
      <c r="DN283" s="124"/>
      <c r="DO283" s="124"/>
      <c r="DQ283" s="136"/>
      <c r="DR283" s="124"/>
      <c r="DS283" s="124"/>
      <c r="DT283" s="124"/>
      <c r="DV283" s="124"/>
      <c r="DW283" s="124"/>
      <c r="DX283" s="124"/>
      <c r="EA283" s="111"/>
      <c r="EB283" s="111"/>
      <c r="EC283" s="111"/>
      <c r="ED283" s="124"/>
      <c r="EE283" s="124"/>
      <c r="EF283" s="124"/>
      <c r="EJ283" s="111"/>
      <c r="EK283" s="111"/>
      <c r="EL283" s="124"/>
      <c r="EM283" s="124"/>
      <c r="EN283" s="124"/>
      <c r="EP283" s="111"/>
      <c r="EQ283" s="124"/>
      <c r="ER283" s="124"/>
      <c r="ES283" s="124"/>
      <c r="EV283" s="111"/>
      <c r="EW283" s="111"/>
      <c r="EX283" s="111"/>
      <c r="EY283" s="111"/>
      <c r="EZ283" s="124"/>
      <c r="FA283" s="124"/>
      <c r="FD283" s="111"/>
      <c r="FE283" s="111"/>
      <c r="FF283" s="111"/>
      <c r="FG283" s="124"/>
      <c r="FH283" s="124"/>
      <c r="FK283" s="124"/>
      <c r="FL283" s="124"/>
      <c r="FO283" s="111"/>
      <c r="FP283" s="111"/>
      <c r="FQ283" s="124"/>
      <c r="FR283" s="124"/>
      <c r="FU283" s="111"/>
      <c r="FV283" s="124"/>
      <c r="FW283" s="124"/>
      <c r="FX283" s="124"/>
      <c r="FY283" s="124"/>
      <c r="GA283" s="124"/>
      <c r="GB283" s="124"/>
      <c r="GC283" s="124"/>
      <c r="GF283" s="111"/>
      <c r="GG283" s="111"/>
      <c r="GH283" s="111"/>
      <c r="GI283" s="124"/>
      <c r="GJ283" s="124"/>
      <c r="GK283" s="124"/>
      <c r="GN283" s="111"/>
      <c r="GO283" s="111"/>
      <c r="GP283" s="124"/>
      <c r="GQ283" s="124"/>
      <c r="GR283" s="124"/>
      <c r="GV283" s="111"/>
      <c r="GW283" s="124"/>
      <c r="GX283" s="124"/>
      <c r="GY283" s="124"/>
      <c r="HC283" s="124"/>
      <c r="HD283" s="124"/>
      <c r="HE283" s="124"/>
      <c r="HF283" s="124"/>
      <c r="HI283" s="111"/>
      <c r="HJ283" s="111"/>
      <c r="HK283" s="111"/>
      <c r="HL283" s="111"/>
      <c r="HM283" s="124"/>
      <c r="HN283" s="124"/>
      <c r="HO283" s="124"/>
      <c r="HR283" s="111"/>
      <c r="HS283" s="111"/>
      <c r="HT283" s="111"/>
      <c r="HU283" s="124"/>
      <c r="HV283" s="124"/>
      <c r="HW283" s="124"/>
      <c r="HZ283" s="111"/>
      <c r="IA283" s="124"/>
      <c r="IB283" s="124"/>
      <c r="IC283" s="124"/>
      <c r="IE283" s="111"/>
      <c r="IF283" s="124"/>
      <c r="IG283" s="124"/>
      <c r="IH283" s="124"/>
      <c r="IK283" s="124"/>
      <c r="IL283" s="124"/>
      <c r="IO283" s="124"/>
      <c r="IP283" s="124"/>
      <c r="IS283" s="160"/>
      <c r="IT283" s="160"/>
      <c r="IU283" s="160"/>
      <c r="IX283" s="124"/>
      <c r="IY283" s="124"/>
      <c r="IZ283" s="124"/>
      <c r="JA283" s="124"/>
      <c r="JD283" s="124"/>
      <c r="JE283" s="124"/>
      <c r="JH283" s="124"/>
      <c r="JI283" s="124"/>
      <c r="JJ283" s="124"/>
      <c r="JM283" s="124"/>
      <c r="JN283" s="124"/>
      <c r="JQ283" s="124"/>
      <c r="JR283" s="124"/>
      <c r="JS283" s="124"/>
      <c r="JV283" s="124"/>
      <c r="JW283" s="124"/>
      <c r="JY283" s="124"/>
      <c r="JZ283" s="124"/>
      <c r="KB283" s="124"/>
      <c r="KC283" s="124"/>
      <c r="KD283" s="124"/>
    </row>
    <row r="284" spans="2:290" x14ac:dyDescent="0.25">
      <c r="B284" s="11" t="s">
        <v>223</v>
      </c>
      <c r="C284" s="23"/>
      <c r="D284" s="23"/>
      <c r="E284" s="23"/>
      <c r="F284" s="23"/>
      <c r="G284" s="23"/>
      <c r="H284" s="197"/>
      <c r="I284" s="198"/>
      <c r="J284" s="198"/>
      <c r="K284" s="198"/>
      <c r="L284" s="198"/>
      <c r="M284" s="197"/>
      <c r="N284" s="198"/>
      <c r="O284" s="198"/>
      <c r="P284" s="198"/>
      <c r="Q284" s="198"/>
      <c r="R284" s="197"/>
      <c r="S284" s="198"/>
      <c r="T284" s="198"/>
      <c r="U284" s="198"/>
      <c r="V284" s="198"/>
      <c r="W284" s="197"/>
      <c r="X284" s="198"/>
      <c r="Y284" s="198"/>
      <c r="Z284" s="198"/>
      <c r="AA284" s="198"/>
      <c r="AB284" s="42">
        <v>0.15714285714285725</v>
      </c>
      <c r="AC284" s="24">
        <v>0.23542635658914723</v>
      </c>
      <c r="AD284" s="24">
        <v>8.5365853658536661E-2</v>
      </c>
      <c r="AE284" s="24">
        <v>0.10714285714285721</v>
      </c>
      <c r="AF284" s="24">
        <v>0.12552301255230125</v>
      </c>
      <c r="AG284" s="42">
        <v>0.12638271604938267</v>
      </c>
      <c r="AH284" s="24">
        <v>-5.5844889251428498E-3</v>
      </c>
      <c r="AI284" s="24">
        <v>0.13483146067415741</v>
      </c>
      <c r="AJ284" s="24">
        <v>1.9493087557603817E-2</v>
      </c>
      <c r="AK284" s="42"/>
      <c r="AL284" s="24"/>
      <c r="AM284" s="24"/>
      <c r="AN284" s="24"/>
      <c r="AO284" s="24"/>
      <c r="AP284" s="42"/>
      <c r="AQ284" s="24">
        <f t="shared" si="374"/>
        <v>-0.15213205932686824</v>
      </c>
      <c r="AR284" s="24">
        <f t="shared" si="374"/>
        <v>0.32217444717444699</v>
      </c>
      <c r="AS284" s="24">
        <f t="shared" si="374"/>
        <v>2.7689236614185875E-2</v>
      </c>
      <c r="AT284" s="24">
        <f t="shared" si="374"/>
        <v>-0.13667098763269458</v>
      </c>
      <c r="AU284" s="42">
        <f t="shared" si="374"/>
        <v>3.9051831318916541E-2</v>
      </c>
      <c r="AV284" s="207">
        <f t="shared" si="374"/>
        <v>9.3309785122576816E-2</v>
      </c>
      <c r="AW284" s="207">
        <f t="shared" si="374"/>
        <v>-3.5261324041811815E-2</v>
      </c>
      <c r="AX284" s="207">
        <f t="shared" si="374"/>
        <v>-3.8347066010839925E-2</v>
      </c>
      <c r="AY284" s="207">
        <f t="shared" si="374"/>
        <v>8.5301517733950227E-2</v>
      </c>
      <c r="AZ284" s="42">
        <f t="shared" si="374"/>
        <v>2.1989446634888887E-2</v>
      </c>
      <c r="BA284" s="207">
        <f t="shared" si="375"/>
        <v>-5.7269230769230739E-2</v>
      </c>
      <c r="BB284" s="207">
        <f t="shared" si="375"/>
        <v>-4.6759125493595288E-2</v>
      </c>
      <c r="BC284" s="207">
        <f t="shared" si="375"/>
        <v>5.47320410490304E-3</v>
      </c>
      <c r="BD284" s="207">
        <f t="shared" si="375"/>
        <v>-0.22382590487585996</v>
      </c>
      <c r="BE284" s="42">
        <f t="shared" si="375"/>
        <v>-7.9395393474088194E-2</v>
      </c>
      <c r="BF284" s="207">
        <f t="shared" si="375"/>
        <v>-0.23475174411488731</v>
      </c>
      <c r="BG284" s="207">
        <f t="shared" si="375"/>
        <v>0.11058348067693879</v>
      </c>
      <c r="BH284" s="207">
        <f t="shared" si="375"/>
        <v>3.0359977967145069E-2</v>
      </c>
      <c r="BI284" s="207">
        <f t="shared" si="375"/>
        <v>0.49209943154446467</v>
      </c>
      <c r="BJ284" s="42">
        <f t="shared" si="375"/>
        <v>7.9007995663368913E-2</v>
      </c>
      <c r="BK284" s="207">
        <f t="shared" si="376"/>
        <v>0.30154075811696979</v>
      </c>
      <c r="BL284" s="207">
        <f t="shared" si="376"/>
        <v>0.26128093158660826</v>
      </c>
      <c r="BM284" s="207">
        <f t="shared" si="376"/>
        <v>0.16352201257861632</v>
      </c>
      <c r="BN284" s="207">
        <f t="shared" si="376"/>
        <v>2.9832434701191346E-2</v>
      </c>
      <c r="BO284" s="42">
        <f t="shared" si="376"/>
        <v>0.16912063068807592</v>
      </c>
      <c r="BP284" s="207">
        <f t="shared" si="376"/>
        <v>0.33670585343874171</v>
      </c>
      <c r="BQ284" s="207">
        <f t="shared" si="376"/>
        <v>0.18227062896710922</v>
      </c>
      <c r="BR284" s="207">
        <f t="shared" si="376"/>
        <v>-7.5918918918918887E-2</v>
      </c>
      <c r="BS284" s="207">
        <f t="shared" si="376"/>
        <v>1.2853873405022309E-2</v>
      </c>
      <c r="BT284" s="42">
        <f t="shared" si="376"/>
        <v>9.0090983464313323E-2</v>
      </c>
      <c r="BU284" s="207">
        <f t="shared" si="377"/>
        <v>-9.8979560567522551E-3</v>
      </c>
      <c r="BV284" s="207">
        <f t="shared" si="377"/>
        <v>7.4400585687267373E-2</v>
      </c>
      <c r="BW284" s="207">
        <f t="shared" si="377"/>
        <v>3.521394519025467E-2</v>
      </c>
      <c r="BX284" s="207">
        <f t="shared" si="377"/>
        <v>0.16510353793295574</v>
      </c>
      <c r="BY284" s="42">
        <f t="shared" si="377"/>
        <v>6.5603844958419533E-2</v>
      </c>
      <c r="BZ284" s="207">
        <f t="shared" si="377"/>
        <v>0.13924481584648696</v>
      </c>
      <c r="CA284" s="207">
        <f t="shared" si="377"/>
        <v>0.13528860622923844</v>
      </c>
      <c r="CB284" s="207">
        <f t="shared" si="377"/>
        <v>0.12513066817347096</v>
      </c>
      <c r="CC284" s="207">
        <f t="shared" si="377"/>
        <v>0.13174464015302445</v>
      </c>
      <c r="CD284" s="42">
        <f t="shared" si="377"/>
        <v>0.13255600532130574</v>
      </c>
      <c r="CE284" s="207">
        <f t="shared" si="378"/>
        <v>9.0901681653943411E-2</v>
      </c>
      <c r="CF284" s="207">
        <f t="shared" si="378"/>
        <v>-1.5880558195368488E-2</v>
      </c>
      <c r="CG284" s="207">
        <f t="shared" si="378"/>
        <v>-2.069104057854565E-2</v>
      </c>
      <c r="CH284" s="207">
        <f t="shared" si="378"/>
        <v>7.2582159624413167E-2</v>
      </c>
      <c r="CI284" s="42">
        <f t="shared" si="378"/>
        <v>3.1576633165829149E-2</v>
      </c>
      <c r="CJ284" s="42">
        <f t="shared" si="379"/>
        <v>7.6472656749499324E-2</v>
      </c>
      <c r="CK284" s="42">
        <f t="shared" si="379"/>
        <v>4.9999999999999822E-2</v>
      </c>
      <c r="CL284" s="42">
        <f t="shared" si="379"/>
        <v>0.10160000000000013</v>
      </c>
      <c r="CM284" s="42">
        <f t="shared" si="379"/>
        <v>8.0000000000000071E-2</v>
      </c>
      <c r="CN284" s="42">
        <f t="shared" si="379"/>
        <v>8.0000000000000071E-2</v>
      </c>
      <c r="CO284" s="74"/>
      <c r="CP284" s="74"/>
      <c r="CQ284" s="6"/>
      <c r="CR284" s="6"/>
      <c r="CS284" s="6"/>
      <c r="CT284" s="124"/>
      <c r="CU284" s="124"/>
      <c r="CV284" s="124"/>
      <c r="CW284" s="124"/>
      <c r="CX284" s="124"/>
      <c r="CY284" s="124"/>
      <c r="CZ284" s="124"/>
      <c r="DA284" s="124"/>
      <c r="DB284" s="124"/>
      <c r="DC284" s="124"/>
      <c r="DD284" s="124"/>
      <c r="DE284" s="124"/>
      <c r="DF284" s="124"/>
      <c r="DG284" s="124"/>
      <c r="DH284" s="124"/>
      <c r="DI284" s="124"/>
      <c r="DK284" s="124"/>
      <c r="DL284" s="124"/>
      <c r="DM284" s="6"/>
      <c r="DN284" s="124"/>
      <c r="DO284" s="124"/>
      <c r="DQ284" s="136"/>
      <c r="DR284" s="124"/>
      <c r="DS284" s="124"/>
      <c r="DT284" s="124"/>
      <c r="DV284" s="124"/>
      <c r="DW284" s="124"/>
      <c r="DX284" s="124"/>
      <c r="EA284" s="111"/>
      <c r="EB284" s="111"/>
      <c r="EC284" s="111"/>
      <c r="ED284" s="124"/>
      <c r="EE284" s="124"/>
      <c r="EF284" s="124"/>
      <c r="EJ284" s="111"/>
      <c r="EK284" s="111"/>
      <c r="EL284" s="124"/>
      <c r="EM284" s="124"/>
      <c r="EN284" s="124"/>
      <c r="EP284" s="111"/>
      <c r="EQ284" s="124"/>
      <c r="ER284" s="124"/>
      <c r="ES284" s="124"/>
      <c r="EV284" s="111"/>
      <c r="EW284" s="111"/>
      <c r="EX284" s="111"/>
      <c r="EY284" s="111"/>
      <c r="EZ284" s="124"/>
      <c r="FA284" s="124"/>
      <c r="FD284" s="111"/>
      <c r="FE284" s="111"/>
      <c r="FF284" s="111"/>
      <c r="FG284" s="124"/>
      <c r="FH284" s="124"/>
      <c r="FK284" s="124"/>
      <c r="FL284" s="124"/>
      <c r="FO284" s="111"/>
      <c r="FP284" s="111"/>
      <c r="FQ284" s="124"/>
      <c r="FR284" s="124"/>
      <c r="FU284" s="111"/>
      <c r="FV284" s="124"/>
      <c r="FW284" s="124"/>
      <c r="FX284" s="124"/>
      <c r="FY284" s="124"/>
      <c r="GA284" s="124"/>
      <c r="GB284" s="124"/>
      <c r="GC284" s="124"/>
      <c r="GF284" s="111"/>
      <c r="GG284" s="111"/>
      <c r="GH284" s="111"/>
      <c r="GI284" s="124"/>
      <c r="GJ284" s="124"/>
      <c r="GK284" s="124"/>
      <c r="GN284" s="111"/>
      <c r="GO284" s="111"/>
      <c r="GP284" s="124"/>
      <c r="GQ284" s="124"/>
      <c r="GR284" s="124"/>
      <c r="GV284" s="111"/>
      <c r="GW284" s="124"/>
      <c r="GX284" s="124"/>
      <c r="GY284" s="124"/>
      <c r="HC284" s="124"/>
      <c r="HD284" s="124"/>
      <c r="HE284" s="124"/>
      <c r="HF284" s="124"/>
      <c r="HI284" s="111"/>
      <c r="HJ284" s="111"/>
      <c r="HK284" s="111"/>
      <c r="HL284" s="111"/>
      <c r="HM284" s="124"/>
      <c r="HN284" s="124"/>
      <c r="HO284" s="124"/>
      <c r="HR284" s="111"/>
      <c r="HS284" s="111"/>
      <c r="HT284" s="111"/>
      <c r="HU284" s="124"/>
      <c r="HV284" s="124"/>
      <c r="HW284" s="124"/>
      <c r="HZ284" s="111"/>
      <c r="IA284" s="124"/>
      <c r="IB284" s="124"/>
      <c r="IC284" s="124"/>
      <c r="IE284" s="111"/>
      <c r="IF284" s="124"/>
      <c r="IG284" s="124"/>
      <c r="IH284" s="124"/>
      <c r="IK284" s="124"/>
      <c r="IL284" s="124"/>
      <c r="IO284" s="124"/>
      <c r="IP284" s="124"/>
      <c r="IS284" s="160"/>
      <c r="IT284" s="160"/>
      <c r="IU284" s="160"/>
      <c r="IX284" s="124"/>
      <c r="IY284" s="124"/>
      <c r="IZ284" s="124"/>
      <c r="JA284" s="124"/>
      <c r="JD284" s="124"/>
      <c r="JE284" s="124"/>
      <c r="JH284" s="124"/>
      <c r="JI284" s="124"/>
      <c r="JJ284" s="124"/>
      <c r="JM284" s="124"/>
      <c r="JN284" s="124"/>
      <c r="JQ284" s="124"/>
      <c r="JR284" s="124"/>
      <c r="JS284" s="124"/>
      <c r="JV284" s="124"/>
      <c r="JW284" s="124"/>
      <c r="JY284" s="124"/>
      <c r="JZ284" s="124"/>
      <c r="KB284" s="124"/>
      <c r="KC284" s="124"/>
      <c r="KD284" s="124"/>
    </row>
    <row r="285" spans="2:290" x14ac:dyDescent="0.25">
      <c r="B285" s="11" t="s">
        <v>225</v>
      </c>
      <c r="C285" s="23"/>
      <c r="D285" s="23"/>
      <c r="E285" s="23"/>
      <c r="F285" s="23"/>
      <c r="G285" s="23"/>
      <c r="H285" s="197"/>
      <c r="I285" s="198"/>
      <c r="J285" s="198"/>
      <c r="K285" s="198"/>
      <c r="L285" s="198"/>
      <c r="M285" s="197"/>
      <c r="N285" s="198"/>
      <c r="O285" s="198"/>
      <c r="P285" s="198"/>
      <c r="Q285" s="198"/>
      <c r="R285" s="197"/>
      <c r="S285" s="198"/>
      <c r="T285" s="198"/>
      <c r="U285" s="198"/>
      <c r="V285" s="198"/>
      <c r="W285" s="197"/>
      <c r="X285" s="198"/>
      <c r="Y285" s="198"/>
      <c r="Z285" s="198"/>
      <c r="AA285" s="198"/>
      <c r="AB285" s="42">
        <v>-6.0825488776249159E-2</v>
      </c>
      <c r="AC285" s="24">
        <v>1.9841269841269771E-3</v>
      </c>
      <c r="AD285" s="24">
        <v>-2.9411764705882359E-2</v>
      </c>
      <c r="AE285" s="24">
        <v>0.15873015873015883</v>
      </c>
      <c r="AF285" s="24">
        <v>0.10256410256410264</v>
      </c>
      <c r="AG285" s="42">
        <v>6.2066306861989329E-2</v>
      </c>
      <c r="AH285" s="24">
        <v>0.1506930693069306</v>
      </c>
      <c r="AI285" s="24">
        <v>0.1212121212121211</v>
      </c>
      <c r="AJ285" s="24">
        <v>0.16808219178082218</v>
      </c>
      <c r="AK285" s="42"/>
      <c r="AL285" s="24"/>
      <c r="AM285" s="24"/>
      <c r="AN285" s="24"/>
      <c r="AO285" s="24"/>
      <c r="AP285" s="42"/>
      <c r="AQ285" s="24">
        <f t="shared" si="374"/>
        <v>-0.12437810945273631</v>
      </c>
      <c r="AR285" s="24">
        <f t="shared" si="374"/>
        <v>0.1538356164383563</v>
      </c>
      <c r="AS285" s="24">
        <f t="shared" si="374"/>
        <v>0.16832949603479141</v>
      </c>
      <c r="AT285" s="24">
        <f t="shared" si="374"/>
        <v>2.2412868632707861E-2</v>
      </c>
      <c r="AU285" s="42">
        <f t="shared" si="374"/>
        <v>0.11768443794878292</v>
      </c>
      <c r="AV285" s="207">
        <f t="shared" si="374"/>
        <v>0.23517786561264842</v>
      </c>
      <c r="AW285" s="207">
        <f t="shared" si="374"/>
        <v>0.10233883414460387</v>
      </c>
      <c r="AX285" s="207">
        <f t="shared" si="374"/>
        <v>0.18513247208232975</v>
      </c>
      <c r="AY285" s="207">
        <f t="shared" si="374"/>
        <v>3.1256555485630333E-2</v>
      </c>
      <c r="AZ285" s="42">
        <f t="shared" si="374"/>
        <v>0.13423162203650008</v>
      </c>
      <c r="BA285" s="207">
        <f t="shared" si="375"/>
        <v>-2.629999999999999E-2</v>
      </c>
      <c r="BB285" s="207">
        <f t="shared" si="375"/>
        <v>-7.0543887991383891E-2</v>
      </c>
      <c r="BC285" s="207">
        <f t="shared" si="375"/>
        <v>-3.4180138568129403E-2</v>
      </c>
      <c r="BD285" s="207">
        <f t="shared" si="375"/>
        <v>-3.3970707892595486E-2</v>
      </c>
      <c r="BE285" s="42">
        <f t="shared" si="375"/>
        <v>-3.9598997493734189E-2</v>
      </c>
      <c r="BF285" s="207">
        <f t="shared" si="375"/>
        <v>-0.71243709561466573</v>
      </c>
      <c r="BG285" s="207">
        <f t="shared" si="375"/>
        <v>-9.6176129779838027E-3</v>
      </c>
      <c r="BH285" s="207">
        <f t="shared" si="375"/>
        <v>0.1190817790530847</v>
      </c>
      <c r="BI285" s="207">
        <f t="shared" si="375"/>
        <v>0.30553800800168451</v>
      </c>
      <c r="BJ285" s="42">
        <f t="shared" si="375"/>
        <v>-7.5652400835073186E-2</v>
      </c>
      <c r="BK285" s="207">
        <f t="shared" si="376"/>
        <v>0.73071428571428565</v>
      </c>
      <c r="BL285" s="207">
        <f t="shared" si="376"/>
        <v>0.30069030069030078</v>
      </c>
      <c r="BM285" s="207">
        <f t="shared" si="376"/>
        <v>8.5470085470085388E-2</v>
      </c>
      <c r="BN285" s="207">
        <f t="shared" si="376"/>
        <v>-4.8387096774193505E-2</v>
      </c>
      <c r="BO285" s="42">
        <f t="shared" si="376"/>
        <v>0.14364360125349362</v>
      </c>
      <c r="BP285" s="207">
        <f t="shared" si="376"/>
        <v>0.9762690879075524</v>
      </c>
      <c r="BQ285" s="207">
        <f t="shared" si="376"/>
        <v>6.6564720698030211E-3</v>
      </c>
      <c r="BR285" s="207">
        <f t="shared" si="376"/>
        <v>-8.7637795275590569E-2</v>
      </c>
      <c r="BS285" s="207">
        <f t="shared" si="376"/>
        <v>2.5847457627118597E-2</v>
      </c>
      <c r="BT285" s="42">
        <f t="shared" si="376"/>
        <v>9.7533881359697983E-2</v>
      </c>
      <c r="BU285" s="207">
        <f t="shared" si="377"/>
        <v>9.5541401273885329E-2</v>
      </c>
      <c r="BV285" s="207">
        <f t="shared" si="377"/>
        <v>-5.7814315074613543E-2</v>
      </c>
      <c r="BW285" s="207">
        <f t="shared" si="377"/>
        <v>-3.0551480107016582E-2</v>
      </c>
      <c r="BX285" s="207">
        <f t="shared" si="377"/>
        <v>-2.2304832713754719E-2</v>
      </c>
      <c r="BY285" s="42">
        <f t="shared" si="377"/>
        <v>-8.0071974808817448E-3</v>
      </c>
      <c r="BZ285" s="207">
        <f t="shared" si="377"/>
        <v>-7.3675181090354647E-2</v>
      </c>
      <c r="CA285" s="207">
        <f t="shared" si="377"/>
        <v>-1.4700303490136513E-2</v>
      </c>
      <c r="CB285" s="207">
        <f t="shared" si="377"/>
        <v>-5.2612837176177263E-2</v>
      </c>
      <c r="CC285" s="207">
        <f t="shared" si="377"/>
        <v>0.14913392479932419</v>
      </c>
      <c r="CD285" s="42">
        <f t="shared" si="377"/>
        <v>4.4440413567929937E-3</v>
      </c>
      <c r="CE285" s="207">
        <f t="shared" si="378"/>
        <v>1.2346949274616659E-2</v>
      </c>
      <c r="CF285" s="207">
        <f t="shared" si="378"/>
        <v>-5.5828279911445122E-3</v>
      </c>
      <c r="CG285" s="207">
        <f t="shared" si="378"/>
        <v>5.243375305393716E-2</v>
      </c>
      <c r="CH285" s="207">
        <f t="shared" si="378"/>
        <v>-9.2058823529411749E-2</v>
      </c>
      <c r="CI285" s="42">
        <f t="shared" si="378"/>
        <v>-2.6884875846501233E-2</v>
      </c>
      <c r="CJ285" s="42">
        <f t="shared" si="379"/>
        <v>5.0000000000000044E-2</v>
      </c>
      <c r="CK285" s="42">
        <f t="shared" si="379"/>
        <v>5.0000000000000266E-2</v>
      </c>
      <c r="CL285" s="42">
        <f t="shared" si="379"/>
        <v>5.0000000000000044E-2</v>
      </c>
      <c r="CM285" s="42">
        <f t="shared" si="379"/>
        <v>5.0000000000000044E-2</v>
      </c>
      <c r="CN285" s="42">
        <f t="shared" si="379"/>
        <v>5.0000000000000044E-2</v>
      </c>
      <c r="CO285" s="74"/>
      <c r="CP285" s="74"/>
      <c r="CQ285" s="6"/>
      <c r="CR285" s="6"/>
      <c r="CS285" s="6"/>
      <c r="CT285" s="124"/>
      <c r="CU285" s="124"/>
      <c r="CV285" s="124"/>
      <c r="CW285" s="124"/>
      <c r="CX285" s="124"/>
      <c r="CY285" s="124"/>
      <c r="CZ285" s="124"/>
      <c r="DA285" s="124"/>
      <c r="DB285" s="124"/>
      <c r="DC285" s="124"/>
      <c r="DD285" s="124"/>
      <c r="DE285" s="124"/>
      <c r="DF285" s="124"/>
      <c r="DG285" s="124"/>
      <c r="DH285" s="124"/>
      <c r="DI285" s="124"/>
      <c r="DK285" s="124"/>
      <c r="DL285" s="124"/>
      <c r="DM285" s="6"/>
      <c r="DN285" s="124"/>
      <c r="DO285" s="124"/>
      <c r="DQ285" s="136"/>
      <c r="DR285" s="124"/>
      <c r="DS285" s="124"/>
      <c r="DT285" s="124"/>
      <c r="DV285" s="124"/>
      <c r="DW285" s="124"/>
      <c r="DX285" s="124"/>
      <c r="EA285" s="111"/>
      <c r="EB285" s="111"/>
      <c r="EC285" s="111"/>
      <c r="ED285" s="124"/>
      <c r="EE285" s="124"/>
      <c r="EF285" s="124"/>
      <c r="EJ285" s="111"/>
      <c r="EK285" s="111"/>
      <c r="EL285" s="124"/>
      <c r="EM285" s="124"/>
      <c r="EN285" s="124"/>
      <c r="EP285" s="111"/>
      <c r="EQ285" s="124"/>
      <c r="ER285" s="124"/>
      <c r="ES285" s="124"/>
      <c r="EV285" s="111"/>
      <c r="EW285" s="111"/>
      <c r="EX285" s="111"/>
      <c r="EY285" s="111"/>
      <c r="EZ285" s="124"/>
      <c r="FA285" s="124"/>
      <c r="FD285" s="111"/>
      <c r="FE285" s="111"/>
      <c r="FF285" s="111"/>
      <c r="FG285" s="124"/>
      <c r="FH285" s="124"/>
      <c r="FK285" s="124"/>
      <c r="FL285" s="124"/>
      <c r="FO285" s="111"/>
      <c r="FP285" s="111"/>
      <c r="FQ285" s="124"/>
      <c r="FR285" s="124"/>
      <c r="FU285" s="111"/>
      <c r="FV285" s="124"/>
      <c r="FW285" s="124"/>
      <c r="FX285" s="124"/>
      <c r="FY285" s="124"/>
      <c r="GA285" s="124"/>
      <c r="GB285" s="124"/>
      <c r="GC285" s="124"/>
      <c r="GF285" s="111"/>
      <c r="GG285" s="111"/>
      <c r="GH285" s="111"/>
      <c r="GI285" s="124"/>
      <c r="GJ285" s="124"/>
      <c r="GK285" s="124"/>
      <c r="GN285" s="111"/>
      <c r="GO285" s="111"/>
      <c r="GP285" s="124"/>
      <c r="GQ285" s="124"/>
      <c r="GR285" s="124"/>
      <c r="GV285" s="111"/>
      <c r="GW285" s="124"/>
      <c r="GX285" s="124"/>
      <c r="GY285" s="124"/>
      <c r="HC285" s="124"/>
      <c r="HD285" s="124"/>
      <c r="HE285" s="124"/>
      <c r="HF285" s="124"/>
      <c r="HI285" s="111"/>
      <c r="HJ285" s="111"/>
      <c r="HK285" s="111"/>
      <c r="HL285" s="111"/>
      <c r="HM285" s="124"/>
      <c r="HN285" s="124"/>
      <c r="HO285" s="124"/>
      <c r="HR285" s="111"/>
      <c r="HS285" s="111"/>
      <c r="HT285" s="111"/>
      <c r="HU285" s="124"/>
      <c r="HV285" s="124"/>
      <c r="HW285" s="124"/>
      <c r="HZ285" s="111"/>
      <c r="IA285" s="124"/>
      <c r="IB285" s="124"/>
      <c r="IC285" s="124"/>
      <c r="IE285" s="111"/>
      <c r="IF285" s="124"/>
      <c r="IG285" s="124"/>
      <c r="IH285" s="124"/>
      <c r="IK285" s="124"/>
      <c r="IL285" s="124"/>
      <c r="IO285" s="124"/>
      <c r="IP285" s="124"/>
      <c r="IS285" s="160"/>
      <c r="IT285" s="160"/>
      <c r="IU285" s="160"/>
      <c r="IX285" s="124"/>
      <c r="IY285" s="124"/>
      <c r="IZ285" s="124"/>
      <c r="JA285" s="124"/>
      <c r="JD285" s="124"/>
      <c r="JE285" s="124"/>
      <c r="JH285" s="124"/>
      <c r="JI285" s="124"/>
      <c r="JJ285" s="124"/>
      <c r="JM285" s="124"/>
      <c r="JN285" s="124"/>
      <c r="JQ285" s="124"/>
      <c r="JR285" s="124"/>
      <c r="JS285" s="124"/>
      <c r="JV285" s="124"/>
      <c r="JW285" s="124"/>
      <c r="JY285" s="124"/>
      <c r="JZ285" s="124"/>
      <c r="KB285" s="124"/>
      <c r="KC285" s="124"/>
      <c r="KD285" s="124"/>
    </row>
    <row r="286" spans="2:290" x14ac:dyDescent="0.25">
      <c r="B286" s="11" t="s">
        <v>226</v>
      </c>
      <c r="C286" s="23"/>
      <c r="D286" s="23"/>
      <c r="E286" s="23"/>
      <c r="F286" s="23"/>
      <c r="G286" s="23"/>
      <c r="H286" s="197"/>
      <c r="I286" s="198"/>
      <c r="J286" s="198"/>
      <c r="K286" s="198"/>
      <c r="L286" s="198"/>
      <c r="M286" s="197"/>
      <c r="N286" s="198"/>
      <c r="O286" s="198"/>
      <c r="P286" s="198"/>
      <c r="Q286" s="198"/>
      <c r="R286" s="197"/>
      <c r="S286" s="198"/>
      <c r="T286" s="198"/>
      <c r="U286" s="198"/>
      <c r="V286" s="198"/>
      <c r="W286" s="197"/>
      <c r="X286" s="198"/>
      <c r="Y286" s="198"/>
      <c r="Z286" s="198"/>
      <c r="AA286" s="198"/>
      <c r="AB286" s="42"/>
      <c r="AC286" s="24"/>
      <c r="AD286" s="24"/>
      <c r="AE286" s="24"/>
      <c r="AF286" s="24"/>
      <c r="AG286" s="42"/>
      <c r="AH286" s="24"/>
      <c r="AI286" s="24"/>
      <c r="AJ286" s="24"/>
      <c r="AK286" s="42"/>
      <c r="AL286" s="24"/>
      <c r="AM286" s="24"/>
      <c r="AN286" s="24"/>
      <c r="AO286" s="24"/>
      <c r="AP286" s="42"/>
      <c r="AQ286" s="24"/>
      <c r="AR286" s="24"/>
      <c r="AS286" s="24"/>
      <c r="AT286" s="24"/>
      <c r="AU286" s="42"/>
      <c r="AV286" s="207"/>
      <c r="AW286" s="207"/>
      <c r="AX286" s="207"/>
      <c r="AY286" s="207"/>
      <c r="AZ286" s="42"/>
      <c r="BA286" s="207"/>
      <c r="BB286" s="207"/>
      <c r="BC286" s="207"/>
      <c r="BD286" s="207"/>
      <c r="BE286" s="42"/>
      <c r="BF286" s="207"/>
      <c r="BG286" s="207"/>
      <c r="BH286" s="207"/>
      <c r="BI286" s="207"/>
      <c r="BJ286" s="42"/>
      <c r="BK286" s="207"/>
      <c r="BL286" s="207"/>
      <c r="BM286" s="207"/>
      <c r="BN286" s="207"/>
      <c r="BO286" s="42"/>
      <c r="BP286" s="207"/>
      <c r="BQ286" s="207"/>
      <c r="BR286" s="207"/>
      <c r="BS286" s="207"/>
      <c r="BT286" s="42"/>
      <c r="BU286" s="207"/>
      <c r="BV286" s="207"/>
      <c r="BW286" s="207"/>
      <c r="BX286" s="207"/>
      <c r="BY286" s="42"/>
      <c r="BZ286" s="207"/>
      <c r="CA286" s="207"/>
      <c r="CB286" s="207"/>
      <c r="CC286" s="207"/>
      <c r="CD286" s="42"/>
      <c r="CE286" s="207"/>
      <c r="CF286" s="207"/>
      <c r="CG286" s="207"/>
      <c r="CH286" s="207"/>
      <c r="CI286" s="42"/>
      <c r="CJ286" s="42"/>
      <c r="CK286" s="42"/>
      <c r="CL286" s="42">
        <v>0.3</v>
      </c>
      <c r="CM286" s="42">
        <v>0.2</v>
      </c>
      <c r="CN286" s="42">
        <v>0.2</v>
      </c>
      <c r="CO286" s="74"/>
      <c r="CP286" s="74"/>
      <c r="CQ286" s="6"/>
      <c r="CR286" s="6"/>
      <c r="CS286" s="6"/>
      <c r="CT286" s="124"/>
      <c r="CU286" s="124"/>
      <c r="CV286" s="124"/>
      <c r="CW286" s="124"/>
      <c r="CX286" s="124"/>
      <c r="CY286" s="124"/>
      <c r="CZ286" s="124"/>
      <c r="DA286" s="124"/>
      <c r="DB286" s="124"/>
      <c r="DC286" s="124"/>
      <c r="DD286" s="124"/>
      <c r="DE286" s="124"/>
      <c r="DF286" s="124"/>
      <c r="DG286" s="124"/>
      <c r="DH286" s="124"/>
      <c r="DI286" s="124"/>
      <c r="DK286" s="124"/>
      <c r="DL286" s="124"/>
      <c r="DM286" s="6"/>
      <c r="DN286" s="124"/>
      <c r="DO286" s="124"/>
      <c r="DQ286" s="136"/>
      <c r="DR286" s="124"/>
      <c r="DS286" s="124"/>
      <c r="DT286" s="124"/>
      <c r="DV286" s="124"/>
      <c r="DW286" s="124"/>
      <c r="DX286" s="124"/>
      <c r="EA286" s="111"/>
      <c r="EB286" s="111"/>
      <c r="EC286" s="111"/>
      <c r="ED286" s="124"/>
      <c r="EE286" s="124"/>
      <c r="EF286" s="124"/>
      <c r="EJ286" s="111"/>
      <c r="EK286" s="111"/>
      <c r="EL286" s="124"/>
      <c r="EM286" s="124"/>
      <c r="EN286" s="124"/>
      <c r="EP286" s="111"/>
      <c r="EQ286" s="124"/>
      <c r="ER286" s="124"/>
      <c r="ES286" s="124"/>
      <c r="EV286" s="111"/>
      <c r="EW286" s="111"/>
      <c r="EX286" s="111"/>
      <c r="EY286" s="111"/>
      <c r="EZ286" s="124"/>
      <c r="FA286" s="124"/>
      <c r="FD286" s="111"/>
      <c r="FE286" s="111"/>
      <c r="FF286" s="111"/>
      <c r="FG286" s="124"/>
      <c r="FH286" s="124"/>
      <c r="FK286" s="124"/>
      <c r="FL286" s="124"/>
      <c r="FO286" s="111"/>
      <c r="FP286" s="111"/>
      <c r="FQ286" s="124"/>
      <c r="FR286" s="124"/>
      <c r="FU286" s="111"/>
      <c r="FV286" s="124"/>
      <c r="FW286" s="124"/>
      <c r="FX286" s="124"/>
      <c r="FY286" s="124"/>
      <c r="GA286" s="124"/>
      <c r="GB286" s="124"/>
      <c r="GC286" s="124"/>
      <c r="GF286" s="111"/>
      <c r="GG286" s="111"/>
      <c r="GH286" s="111"/>
      <c r="GI286" s="124"/>
      <c r="GJ286" s="124"/>
      <c r="GK286" s="124"/>
      <c r="GN286" s="111"/>
      <c r="GO286" s="111"/>
      <c r="GP286" s="124"/>
      <c r="GQ286" s="124"/>
      <c r="GR286" s="124"/>
      <c r="GV286" s="111"/>
      <c r="GW286" s="124"/>
      <c r="GX286" s="124"/>
      <c r="GY286" s="124"/>
      <c r="HC286" s="124"/>
      <c r="HD286" s="124"/>
      <c r="HE286" s="124"/>
      <c r="HF286" s="124"/>
      <c r="HI286" s="111"/>
      <c r="HJ286" s="111"/>
      <c r="HK286" s="111"/>
      <c r="HL286" s="111"/>
      <c r="HM286" s="124"/>
      <c r="HN286" s="124"/>
      <c r="HO286" s="124"/>
      <c r="HR286" s="111"/>
      <c r="HS286" s="111"/>
      <c r="HT286" s="111"/>
      <c r="HU286" s="124"/>
      <c r="HV286" s="124"/>
      <c r="HW286" s="124"/>
      <c r="HZ286" s="111"/>
      <c r="IA286" s="124"/>
      <c r="IB286" s="124"/>
      <c r="IC286" s="124"/>
      <c r="IE286" s="111"/>
      <c r="IF286" s="124"/>
      <c r="IG286" s="124"/>
      <c r="IH286" s="124"/>
      <c r="IK286" s="124"/>
      <c r="IL286" s="124"/>
      <c r="IO286" s="124"/>
      <c r="IP286" s="124"/>
      <c r="IS286" s="160"/>
      <c r="IT286" s="160"/>
      <c r="IU286" s="160"/>
      <c r="IX286" s="124"/>
      <c r="IY286" s="124"/>
      <c r="IZ286" s="124"/>
      <c r="JA286" s="124"/>
      <c r="JD286" s="124"/>
      <c r="JE286" s="124"/>
      <c r="JH286" s="124"/>
      <c r="JI286" s="124"/>
      <c r="JJ286" s="124"/>
      <c r="JM286" s="124"/>
      <c r="JN286" s="124"/>
      <c r="JQ286" s="124"/>
      <c r="JR286" s="124"/>
      <c r="JS286" s="124"/>
      <c r="JV286" s="124"/>
      <c r="JW286" s="124"/>
      <c r="JY286" s="124"/>
      <c r="JZ286" s="124"/>
      <c r="KB286" s="124"/>
      <c r="KC286" s="124"/>
      <c r="KD286" s="124"/>
    </row>
    <row r="287" spans="2:290" x14ac:dyDescent="0.25">
      <c r="B287" s="11" t="s">
        <v>234</v>
      </c>
      <c r="C287" s="23"/>
      <c r="D287" s="23"/>
      <c r="E287" s="23"/>
      <c r="F287" s="23"/>
      <c r="G287" s="23"/>
      <c r="H287" s="197"/>
      <c r="I287" s="198"/>
      <c r="J287" s="198"/>
      <c r="K287" s="198"/>
      <c r="L287" s="198"/>
      <c r="M287" s="197"/>
      <c r="N287" s="198"/>
      <c r="O287" s="198"/>
      <c r="P287" s="198"/>
      <c r="Q287" s="198"/>
      <c r="R287" s="197"/>
      <c r="S287" s="198"/>
      <c r="T287" s="198"/>
      <c r="U287" s="198"/>
      <c r="V287" s="198"/>
      <c r="W287" s="197"/>
      <c r="X287" s="198"/>
      <c r="Y287" s="198"/>
      <c r="Z287" s="198"/>
      <c r="AA287" s="198"/>
      <c r="AB287" s="42">
        <v>-1</v>
      </c>
      <c r="AC287" s="24" t="e">
        <v>#DIV/0!</v>
      </c>
      <c r="AD287" s="24" t="e">
        <v>#DIV/0!</v>
      </c>
      <c r="AE287" s="24" t="e">
        <v>#DIV/0!</v>
      </c>
      <c r="AF287" s="24" t="e">
        <v>#DIV/0!</v>
      </c>
      <c r="AG287" s="42" t="e">
        <v>#DIV/0!</v>
      </c>
      <c r="AH287" s="24" t="e">
        <v>#DIV/0!</v>
      </c>
      <c r="AI287" s="24" t="e">
        <v>#DIV/0!</v>
      </c>
      <c r="AJ287" s="24" t="e">
        <v>#DIV/0!</v>
      </c>
      <c r="AK287" s="42"/>
      <c r="AL287" s="24"/>
      <c r="AM287" s="24"/>
      <c r="AN287" s="24"/>
      <c r="AO287" s="24"/>
      <c r="AP287" s="42"/>
      <c r="AQ287" s="24">
        <f t="shared" ref="AQ287:AZ288" si="380">(AQ277/AL277-1)</f>
        <v>-0.34708308780200348</v>
      </c>
      <c r="AR287" s="24">
        <f t="shared" si="380"/>
        <v>-0.46365105008077545</v>
      </c>
      <c r="AS287" s="24">
        <f t="shared" si="380"/>
        <v>0.24132947976878616</v>
      </c>
      <c r="AT287" s="24">
        <f t="shared" si="380"/>
        <v>-2.3881893182805092E-2</v>
      </c>
      <c r="AU287" s="42">
        <f t="shared" si="380"/>
        <v>-9.6315019289610171E-2</v>
      </c>
      <c r="AV287" s="207">
        <f t="shared" si="380"/>
        <v>-0.72924187725631762</v>
      </c>
      <c r="AW287" s="207">
        <f t="shared" si="380"/>
        <v>23.409638554216869</v>
      </c>
      <c r="AX287" s="207">
        <f t="shared" si="380"/>
        <v>-0.92316647264260765</v>
      </c>
      <c r="AY287" s="207">
        <f t="shared" si="380"/>
        <v>-0.46619217081850539</v>
      </c>
      <c r="AZ287" s="42">
        <f t="shared" si="380"/>
        <v>0.66377152951567764</v>
      </c>
      <c r="BA287" s="207">
        <f t="shared" ref="BA287:BJ288" si="381">(BA277/AV277-1)</f>
        <v>1.7100000000000004</v>
      </c>
      <c r="BB287" s="207">
        <f t="shared" si="381"/>
        <v>-0.92559230009871674</v>
      </c>
      <c r="BC287" s="207">
        <f t="shared" si="381"/>
        <v>6.8939393939393936</v>
      </c>
      <c r="BD287" s="207">
        <f t="shared" si="381"/>
        <v>0.31833333333333336</v>
      </c>
      <c r="BE287" s="42">
        <f t="shared" si="381"/>
        <v>-0.54866395328260475</v>
      </c>
      <c r="BF287" s="207">
        <f t="shared" si="381"/>
        <v>-0.60024600246002469</v>
      </c>
      <c r="BG287" s="207">
        <f t="shared" si="381"/>
        <v>5.7611940298507465</v>
      </c>
      <c r="BH287" s="207">
        <f t="shared" si="381"/>
        <v>9.1420345489443378</v>
      </c>
      <c r="BI287" s="207">
        <f t="shared" si="381"/>
        <v>-0.6517067003792667</v>
      </c>
      <c r="BJ287" s="42">
        <f t="shared" si="381"/>
        <v>1.1148794354048221</v>
      </c>
      <c r="BK287" s="207">
        <f t="shared" ref="BK287:BT288" si="382">(BK277/BF277-1)</f>
        <v>5.006153846153846</v>
      </c>
      <c r="BL287" s="207">
        <f t="shared" si="382"/>
        <v>-0.51287711552612225</v>
      </c>
      <c r="BM287" s="207">
        <f t="shared" si="382"/>
        <v>-0.46801665404996406</v>
      </c>
      <c r="BN287" s="207">
        <f t="shared" si="382"/>
        <v>0.82486388384754994</v>
      </c>
      <c r="BO287" s="42">
        <f t="shared" si="382"/>
        <v>-0.18464961067853169</v>
      </c>
      <c r="BP287" s="207">
        <f t="shared" si="382"/>
        <v>-6.3524590163934302E-2</v>
      </c>
      <c r="BQ287" s="207">
        <f t="shared" si="382"/>
        <v>-0.12890231621349435</v>
      </c>
      <c r="BR287" s="207">
        <f t="shared" si="382"/>
        <v>-0.7008182141586613</v>
      </c>
      <c r="BS287" s="207">
        <f t="shared" si="382"/>
        <v>-0.26852312282446533</v>
      </c>
      <c r="BT287" s="42">
        <f t="shared" si="382"/>
        <v>-0.3326512050932241</v>
      </c>
      <c r="BU287" s="207">
        <f t="shared" ref="BU287:CD288" si="383">(BU277/BP277-1)</f>
        <v>-0.12746170678336988</v>
      </c>
      <c r="BV287" s="207">
        <f t="shared" si="383"/>
        <v>-7.80346820809249E-2</v>
      </c>
      <c r="BW287" s="207">
        <f t="shared" si="383"/>
        <v>-0.14149821640903693</v>
      </c>
      <c r="BX287" s="207">
        <f t="shared" si="383"/>
        <v>-0.38545207341944265</v>
      </c>
      <c r="BY287" s="42">
        <f t="shared" si="383"/>
        <v>-0.17955706984667807</v>
      </c>
      <c r="BZ287" s="207">
        <f t="shared" si="383"/>
        <v>-0.60376175548589339</v>
      </c>
      <c r="CA287" s="207">
        <f t="shared" si="383"/>
        <v>-0.76739811912225708</v>
      </c>
      <c r="CB287" s="207">
        <f t="shared" si="383"/>
        <v>9.8337950138504215E-2</v>
      </c>
      <c r="CC287" s="207">
        <f t="shared" si="383"/>
        <v>3.8672566371681416</v>
      </c>
      <c r="CD287" s="42">
        <f t="shared" si="383"/>
        <v>0.28737541528239219</v>
      </c>
      <c r="CE287" s="207">
        <f t="shared" ref="CE287:CI288" si="384">(CE277/BZ277-1)</f>
        <v>1.4319620253164556</v>
      </c>
      <c r="CF287" s="207">
        <f t="shared" si="384"/>
        <v>2.3423180592991915</v>
      </c>
      <c r="CG287" s="207">
        <f t="shared" si="384"/>
        <v>2.278688524590164</v>
      </c>
      <c r="CH287" s="207">
        <f t="shared" si="384"/>
        <v>-0.30704545454545462</v>
      </c>
      <c r="CI287" s="42">
        <f t="shared" si="384"/>
        <v>0.35967741935483866</v>
      </c>
      <c r="CJ287" s="42">
        <f t="shared" ref="CJ287:CN289" si="385">(CJ277/CI277-1)</f>
        <v>0</v>
      </c>
      <c r="CK287" s="42">
        <f t="shared" si="385"/>
        <v>0</v>
      </c>
      <c r="CL287" s="42">
        <f t="shared" si="385"/>
        <v>0</v>
      </c>
      <c r="CM287" s="42">
        <f t="shared" si="385"/>
        <v>0</v>
      </c>
      <c r="CN287" s="42">
        <f t="shared" si="385"/>
        <v>0</v>
      </c>
      <c r="CO287" s="74"/>
      <c r="CP287" s="74"/>
      <c r="CQ287" s="6"/>
      <c r="CR287" s="6"/>
      <c r="CS287" s="6"/>
      <c r="CT287" s="124"/>
      <c r="CU287" s="124"/>
      <c r="CV287" s="124"/>
      <c r="CW287" s="124"/>
      <c r="CX287" s="124"/>
      <c r="CY287" s="124"/>
      <c r="CZ287" s="124"/>
      <c r="DA287" s="124"/>
      <c r="DB287" s="124"/>
      <c r="DC287" s="124"/>
      <c r="DD287" s="124"/>
      <c r="DE287" s="124"/>
      <c r="DF287" s="124"/>
      <c r="DG287" s="124"/>
      <c r="DH287" s="124"/>
      <c r="DI287" s="124"/>
      <c r="DK287" s="124"/>
      <c r="DL287" s="124"/>
      <c r="DM287" s="6"/>
      <c r="DN287" s="124"/>
      <c r="DO287" s="124"/>
      <c r="DQ287" s="136"/>
      <c r="DR287" s="124"/>
      <c r="DS287" s="124"/>
      <c r="DT287" s="124"/>
      <c r="DV287" s="124"/>
      <c r="DW287" s="124"/>
      <c r="DX287" s="124"/>
      <c r="EA287" s="111"/>
      <c r="EB287" s="111"/>
      <c r="EC287" s="111"/>
      <c r="ED287" s="124"/>
      <c r="EE287" s="124"/>
      <c r="EF287" s="124"/>
      <c r="EJ287" s="111"/>
      <c r="EK287" s="111"/>
      <c r="EL287" s="124"/>
      <c r="EM287" s="124"/>
      <c r="EN287" s="124"/>
      <c r="EP287" s="111"/>
      <c r="EQ287" s="124"/>
      <c r="ER287" s="124"/>
      <c r="ES287" s="124"/>
      <c r="EV287" s="111"/>
      <c r="EW287" s="111"/>
      <c r="EX287" s="111"/>
      <c r="EY287" s="111"/>
      <c r="EZ287" s="124"/>
      <c r="FA287" s="124"/>
      <c r="FD287" s="111"/>
      <c r="FE287" s="111"/>
      <c r="FF287" s="111"/>
      <c r="FG287" s="124"/>
      <c r="FH287" s="124"/>
      <c r="FK287" s="124"/>
      <c r="FL287" s="124"/>
      <c r="FO287" s="111"/>
      <c r="FP287" s="111"/>
      <c r="FQ287" s="124"/>
      <c r="FR287" s="124"/>
      <c r="FU287" s="111"/>
      <c r="FV287" s="124"/>
      <c r="FW287" s="124"/>
      <c r="FX287" s="124"/>
      <c r="FY287" s="124"/>
      <c r="GA287" s="124"/>
      <c r="GB287" s="124"/>
      <c r="GC287" s="124"/>
      <c r="GF287" s="111"/>
      <c r="GG287" s="111"/>
      <c r="GH287" s="111"/>
      <c r="GI287" s="124"/>
      <c r="GJ287" s="124"/>
      <c r="GK287" s="124"/>
      <c r="GN287" s="111"/>
      <c r="GO287" s="111"/>
      <c r="GP287" s="124"/>
      <c r="GQ287" s="124"/>
      <c r="GR287" s="124"/>
      <c r="GV287" s="111"/>
      <c r="GW287" s="124"/>
      <c r="GX287" s="124"/>
      <c r="GY287" s="124"/>
      <c r="HC287" s="124"/>
      <c r="HD287" s="124"/>
      <c r="HE287" s="124"/>
      <c r="HF287" s="124"/>
      <c r="HI287" s="111"/>
      <c r="HJ287" s="111"/>
      <c r="HK287" s="111"/>
      <c r="HL287" s="111"/>
      <c r="HM287" s="124"/>
      <c r="HN287" s="124"/>
      <c r="HO287" s="124"/>
      <c r="HR287" s="111"/>
      <c r="HS287" s="111"/>
      <c r="HT287" s="111"/>
      <c r="HU287" s="124"/>
      <c r="HV287" s="124"/>
      <c r="HW287" s="124"/>
      <c r="HZ287" s="111"/>
      <c r="IA287" s="124"/>
      <c r="IB287" s="124"/>
      <c r="IC287" s="124"/>
      <c r="IE287" s="111"/>
      <c r="IF287" s="124"/>
      <c r="IG287" s="124"/>
      <c r="IH287" s="124"/>
      <c r="IK287" s="124"/>
      <c r="IL287" s="124"/>
      <c r="IO287" s="124"/>
      <c r="IP287" s="124"/>
      <c r="IS287" s="160"/>
      <c r="IT287" s="160"/>
      <c r="IU287" s="160"/>
      <c r="IX287" s="124"/>
      <c r="IY287" s="124"/>
      <c r="IZ287" s="124"/>
      <c r="JA287" s="124"/>
      <c r="JD287" s="124"/>
      <c r="JE287" s="124"/>
      <c r="JH287" s="124"/>
      <c r="JI287" s="124"/>
      <c r="JJ287" s="124"/>
      <c r="JM287" s="124"/>
      <c r="JN287" s="124"/>
      <c r="JQ287" s="124"/>
      <c r="JR287" s="124"/>
      <c r="JS287" s="124"/>
      <c r="JV287" s="124"/>
      <c r="JW287" s="124"/>
      <c r="JY287" s="124"/>
      <c r="JZ287" s="124"/>
      <c r="KB287" s="124"/>
      <c r="KC287" s="124"/>
      <c r="KD287" s="124"/>
    </row>
    <row r="288" spans="2:290" hidden="1" x14ac:dyDescent="0.25">
      <c r="B288" s="11" t="s">
        <v>138</v>
      </c>
      <c r="C288" s="23"/>
      <c r="D288" s="23"/>
      <c r="E288" s="23"/>
      <c r="F288" s="23"/>
      <c r="G288" s="23"/>
      <c r="H288" s="197"/>
      <c r="I288" s="198"/>
      <c r="J288" s="198"/>
      <c r="K288" s="198"/>
      <c r="L288" s="198"/>
      <c r="M288" s="197"/>
      <c r="N288" s="198"/>
      <c r="O288" s="198"/>
      <c r="P288" s="198"/>
      <c r="Q288" s="198"/>
      <c r="R288" s="197"/>
      <c r="S288" s="198"/>
      <c r="T288" s="198"/>
      <c r="U288" s="198"/>
      <c r="V288" s="198"/>
      <c r="W288" s="197"/>
      <c r="X288" s="198"/>
      <c r="Y288" s="198"/>
      <c r="Z288" s="198"/>
      <c r="AA288" s="198"/>
      <c r="AB288" s="42" t="e">
        <v>#DIV/0!</v>
      </c>
      <c r="AC288" s="24" t="e">
        <v>#DIV/0!</v>
      </c>
      <c r="AD288" s="24" t="e">
        <v>#DIV/0!</v>
      </c>
      <c r="AE288" s="24" t="e">
        <v>#DIV/0!</v>
      </c>
      <c r="AF288" s="24" t="e">
        <v>#DIV/0!</v>
      </c>
      <c r="AG288" s="42" t="e">
        <v>#DIV/0!</v>
      </c>
      <c r="AH288" s="24" t="e">
        <v>#DIV/0!</v>
      </c>
      <c r="AI288" s="24" t="e">
        <v>#DIV/0!</v>
      </c>
      <c r="AJ288" s="24" t="e">
        <v>#DIV/0!</v>
      </c>
      <c r="AK288" s="42"/>
      <c r="AL288" s="24"/>
      <c r="AM288" s="24"/>
      <c r="AN288" s="24"/>
      <c r="AO288" s="24"/>
      <c r="AP288" s="42"/>
      <c r="AQ288" s="24">
        <f t="shared" si="380"/>
        <v>-1</v>
      </c>
      <c r="AR288" s="24" t="e">
        <f t="shared" si="380"/>
        <v>#DIV/0!</v>
      </c>
      <c r="AS288" s="24" t="e">
        <f t="shared" si="380"/>
        <v>#DIV/0!</v>
      </c>
      <c r="AT288" s="24">
        <f t="shared" si="380"/>
        <v>-1</v>
      </c>
      <c r="AU288" s="42" t="e">
        <f t="shared" si="380"/>
        <v>#DIV/0!</v>
      </c>
      <c r="AV288" s="207" t="e">
        <f t="shared" si="380"/>
        <v>#DIV/0!</v>
      </c>
      <c r="AW288" s="207" t="e">
        <f t="shared" si="380"/>
        <v>#DIV/0!</v>
      </c>
      <c r="AX288" s="207" t="e">
        <f t="shared" si="380"/>
        <v>#DIV/0!</v>
      </c>
      <c r="AY288" s="207" t="e">
        <f t="shared" si="380"/>
        <v>#DIV/0!</v>
      </c>
      <c r="AZ288" s="42" t="e">
        <f t="shared" si="380"/>
        <v>#DIV/0!</v>
      </c>
      <c r="BA288" s="207" t="e">
        <f t="shared" si="381"/>
        <v>#DIV/0!</v>
      </c>
      <c r="BB288" s="207" t="e">
        <f t="shared" si="381"/>
        <v>#DIV/0!</v>
      </c>
      <c r="BC288" s="207" t="e">
        <f t="shared" si="381"/>
        <v>#DIV/0!</v>
      </c>
      <c r="BD288" s="207" t="e">
        <f t="shared" si="381"/>
        <v>#DIV/0!</v>
      </c>
      <c r="BE288" s="42" t="e">
        <f t="shared" si="381"/>
        <v>#DIV/0!</v>
      </c>
      <c r="BF288" s="207" t="e">
        <f t="shared" si="381"/>
        <v>#DIV/0!</v>
      </c>
      <c r="BG288" s="207" t="e">
        <f t="shared" si="381"/>
        <v>#DIV/0!</v>
      </c>
      <c r="BH288" s="207" t="e">
        <f t="shared" si="381"/>
        <v>#DIV/0!</v>
      </c>
      <c r="BI288" s="207" t="e">
        <f t="shared" si="381"/>
        <v>#DIV/0!</v>
      </c>
      <c r="BJ288" s="42" t="e">
        <f t="shared" si="381"/>
        <v>#DIV/0!</v>
      </c>
      <c r="BK288" s="207" t="e">
        <f t="shared" si="382"/>
        <v>#DIV/0!</v>
      </c>
      <c r="BL288" s="207" t="e">
        <f t="shared" si="382"/>
        <v>#DIV/0!</v>
      </c>
      <c r="BM288" s="207" t="e">
        <f t="shared" si="382"/>
        <v>#DIV/0!</v>
      </c>
      <c r="BN288" s="207" t="e">
        <f t="shared" si="382"/>
        <v>#DIV/0!</v>
      </c>
      <c r="BO288" s="42" t="e">
        <f t="shared" si="382"/>
        <v>#DIV/0!</v>
      </c>
      <c r="BP288" s="207" t="e">
        <f t="shared" si="382"/>
        <v>#DIV/0!</v>
      </c>
      <c r="BQ288" s="207" t="e">
        <f t="shared" si="382"/>
        <v>#DIV/0!</v>
      </c>
      <c r="BR288" s="207" t="e">
        <f t="shared" si="382"/>
        <v>#DIV/0!</v>
      </c>
      <c r="BS288" s="207" t="e">
        <f t="shared" si="382"/>
        <v>#DIV/0!</v>
      </c>
      <c r="BT288" s="42" t="e">
        <f t="shared" si="382"/>
        <v>#DIV/0!</v>
      </c>
      <c r="BU288" s="207" t="e">
        <f t="shared" si="383"/>
        <v>#DIV/0!</v>
      </c>
      <c r="BV288" s="207" t="e">
        <f t="shared" si="383"/>
        <v>#DIV/0!</v>
      </c>
      <c r="BW288" s="207" t="e">
        <f t="shared" si="383"/>
        <v>#DIV/0!</v>
      </c>
      <c r="BX288" s="207" t="e">
        <f t="shared" si="383"/>
        <v>#DIV/0!</v>
      </c>
      <c r="BY288" s="42" t="e">
        <f t="shared" si="383"/>
        <v>#DIV/0!</v>
      </c>
      <c r="BZ288" s="207" t="e">
        <f t="shared" si="383"/>
        <v>#DIV/0!</v>
      </c>
      <c r="CA288" s="207" t="e">
        <f t="shared" si="383"/>
        <v>#DIV/0!</v>
      </c>
      <c r="CB288" s="207" t="e">
        <f t="shared" si="383"/>
        <v>#DIV/0!</v>
      </c>
      <c r="CC288" s="207" t="e">
        <f t="shared" si="383"/>
        <v>#DIV/0!</v>
      </c>
      <c r="CD288" s="42" t="e">
        <f t="shared" si="383"/>
        <v>#DIV/0!</v>
      </c>
      <c r="CE288" s="207" t="e">
        <f t="shared" si="384"/>
        <v>#DIV/0!</v>
      </c>
      <c r="CF288" s="207" t="e">
        <f t="shared" si="384"/>
        <v>#DIV/0!</v>
      </c>
      <c r="CG288" s="207" t="e">
        <f t="shared" si="384"/>
        <v>#DIV/0!</v>
      </c>
      <c r="CH288" s="207" t="e">
        <f t="shared" si="384"/>
        <v>#DIV/0!</v>
      </c>
      <c r="CI288" s="42" t="e">
        <f t="shared" si="384"/>
        <v>#DIV/0!</v>
      </c>
      <c r="CJ288" s="42" t="e">
        <f t="shared" si="385"/>
        <v>#DIV/0!</v>
      </c>
      <c r="CK288" s="42" t="e">
        <f t="shared" si="385"/>
        <v>#DIV/0!</v>
      </c>
      <c r="CL288" s="42" t="e">
        <f t="shared" si="385"/>
        <v>#DIV/0!</v>
      </c>
      <c r="CM288" s="42" t="e">
        <f t="shared" si="385"/>
        <v>#DIV/0!</v>
      </c>
      <c r="CN288" s="42" t="e">
        <f t="shared" si="385"/>
        <v>#DIV/0!</v>
      </c>
      <c r="CO288" s="74"/>
      <c r="CP288" s="74"/>
      <c r="CQ288" s="6"/>
      <c r="CR288" s="6"/>
      <c r="CS288" s="6"/>
      <c r="CT288" s="124"/>
      <c r="CU288" s="124"/>
      <c r="CV288" s="124"/>
      <c r="CW288" s="124"/>
      <c r="CX288" s="124"/>
      <c r="CY288" s="124"/>
      <c r="CZ288" s="124"/>
      <c r="DA288" s="124"/>
      <c r="DB288" s="124"/>
      <c r="DC288" s="124"/>
      <c r="DD288" s="124"/>
      <c r="DE288" s="124"/>
      <c r="DF288" s="124"/>
      <c r="DG288" s="124"/>
      <c r="DH288" s="124"/>
      <c r="DI288" s="124"/>
      <c r="DK288" s="124"/>
      <c r="DL288" s="124"/>
      <c r="DM288" s="6"/>
      <c r="DN288" s="124"/>
      <c r="DO288" s="124"/>
      <c r="DQ288" s="136"/>
      <c r="DR288" s="124"/>
      <c r="DS288" s="124"/>
      <c r="DT288" s="124"/>
      <c r="DV288" s="124"/>
      <c r="DW288" s="124"/>
      <c r="DX288" s="124"/>
      <c r="EA288" s="111"/>
      <c r="EB288" s="111"/>
      <c r="EC288" s="111"/>
      <c r="ED288" s="124"/>
      <c r="EE288" s="124"/>
      <c r="EF288" s="124"/>
      <c r="EJ288" s="111"/>
      <c r="EK288" s="111"/>
      <c r="EL288" s="124"/>
      <c r="EM288" s="124"/>
      <c r="EN288" s="124"/>
      <c r="EP288" s="111"/>
      <c r="EQ288" s="124"/>
      <c r="ER288" s="124"/>
      <c r="ES288" s="124"/>
      <c r="EV288" s="111"/>
      <c r="EW288" s="111"/>
      <c r="EX288" s="111"/>
      <c r="EY288" s="111"/>
      <c r="EZ288" s="124"/>
      <c r="FA288" s="124"/>
      <c r="FD288" s="111"/>
      <c r="FE288" s="111"/>
      <c r="FF288" s="111"/>
      <c r="FG288" s="124"/>
      <c r="FH288" s="124"/>
      <c r="FK288" s="124"/>
      <c r="FL288" s="124"/>
      <c r="FO288" s="111"/>
      <c r="FP288" s="111"/>
      <c r="FQ288" s="124"/>
      <c r="FR288" s="124"/>
      <c r="FU288" s="111"/>
      <c r="FV288" s="124"/>
      <c r="FW288" s="124"/>
      <c r="FX288" s="124"/>
      <c r="FY288" s="124"/>
      <c r="GA288" s="124"/>
      <c r="GB288" s="124"/>
      <c r="GC288" s="124"/>
      <c r="GF288" s="111"/>
      <c r="GG288" s="111"/>
      <c r="GH288" s="111"/>
      <c r="GI288" s="124"/>
      <c r="GJ288" s="124"/>
      <c r="GK288" s="124"/>
      <c r="GN288" s="111"/>
      <c r="GO288" s="111"/>
      <c r="GP288" s="124"/>
      <c r="GQ288" s="124"/>
      <c r="GR288" s="124"/>
      <c r="GV288" s="111"/>
      <c r="GW288" s="124"/>
      <c r="GX288" s="124"/>
      <c r="GY288" s="124"/>
      <c r="HC288" s="124"/>
      <c r="HD288" s="124"/>
      <c r="HE288" s="124"/>
      <c r="HF288" s="124"/>
      <c r="HI288" s="111"/>
      <c r="HJ288" s="111"/>
      <c r="HK288" s="111"/>
      <c r="HL288" s="111"/>
      <c r="HM288" s="124"/>
      <c r="HN288" s="124"/>
      <c r="HO288" s="124"/>
      <c r="HR288" s="111"/>
      <c r="HS288" s="111"/>
      <c r="HT288" s="111"/>
      <c r="HU288" s="124"/>
      <c r="HV288" s="124"/>
      <c r="HW288" s="124"/>
      <c r="HZ288" s="111"/>
      <c r="IA288" s="124"/>
      <c r="IB288" s="124"/>
      <c r="IC288" s="124"/>
      <c r="IE288" s="111"/>
      <c r="IF288" s="124"/>
      <c r="IG288" s="124"/>
      <c r="IH288" s="124"/>
      <c r="IK288" s="124"/>
      <c r="IL288" s="124"/>
      <c r="IO288" s="124"/>
      <c r="IP288" s="124"/>
      <c r="IS288" s="160"/>
      <c r="IT288" s="160"/>
      <c r="IU288" s="160"/>
      <c r="IX288" s="124"/>
      <c r="IY288" s="124"/>
      <c r="IZ288" s="124"/>
      <c r="JA288" s="124"/>
      <c r="JD288" s="124"/>
      <c r="JE288" s="124"/>
      <c r="JH288" s="124"/>
      <c r="JI288" s="124"/>
      <c r="JJ288" s="124"/>
      <c r="JM288" s="124"/>
      <c r="JN288" s="124"/>
      <c r="JQ288" s="124"/>
      <c r="JR288" s="124"/>
      <c r="JS288" s="124"/>
      <c r="JV288" s="124"/>
      <c r="JW288" s="124"/>
      <c r="JY288" s="124"/>
      <c r="JZ288" s="124"/>
      <c r="KB288" s="124"/>
      <c r="KC288" s="124"/>
      <c r="KD288" s="124"/>
    </row>
    <row r="289" spans="2:290" x14ac:dyDescent="0.25">
      <c r="B289" s="34" t="s">
        <v>235</v>
      </c>
      <c r="C289" s="23"/>
      <c r="D289" s="23"/>
      <c r="E289" s="23"/>
      <c r="F289" s="23"/>
      <c r="G289" s="23"/>
      <c r="H289" s="197"/>
      <c r="I289" s="198"/>
      <c r="J289" s="198"/>
      <c r="K289" s="198"/>
      <c r="L289" s="198"/>
      <c r="M289" s="197"/>
      <c r="N289" s="198"/>
      <c r="O289" s="198"/>
      <c r="P289" s="198"/>
      <c r="Q289" s="198"/>
      <c r="R289" s="197"/>
      <c r="S289" s="198"/>
      <c r="T289" s="198"/>
      <c r="U289" s="198"/>
      <c r="V289" s="198"/>
      <c r="W289" s="197"/>
      <c r="X289" s="198"/>
      <c r="Y289" s="198"/>
      <c r="Z289" s="198"/>
      <c r="AA289" s="198"/>
      <c r="AB289" s="42">
        <v>0.13909590714722064</v>
      </c>
      <c r="AC289" s="24">
        <v>5.877425044091722E-2</v>
      </c>
      <c r="AD289" s="24">
        <v>8.6187845303867361E-2</v>
      </c>
      <c r="AE289" s="24">
        <v>6.9214876033057759E-2</v>
      </c>
      <c r="AF289" s="24">
        <v>2.9761904761904656E-2</v>
      </c>
      <c r="AG289" s="42">
        <v>5.8988040971738043E-2</v>
      </c>
      <c r="AH289" s="24">
        <v>5.2832493510459599E-2</v>
      </c>
      <c r="AI289" s="24">
        <v>1.1190233977619535E-2</v>
      </c>
      <c r="AJ289" s="24">
        <v>0.12910144927536238</v>
      </c>
      <c r="AK289" s="42"/>
      <c r="AL289" s="24"/>
      <c r="AM289" s="24"/>
      <c r="AN289" s="24"/>
      <c r="AO289" s="24"/>
      <c r="AP289" s="42"/>
      <c r="AQ289" s="24">
        <f t="shared" ref="AQ289:AV289" si="386">(AQ279/AL279-1)</f>
        <v>-2.39460541140466E-2</v>
      </c>
      <c r="AR289" s="24">
        <f t="shared" si="386"/>
        <v>0.1950208408843781</v>
      </c>
      <c r="AS289" s="24">
        <f t="shared" si="386"/>
        <v>0.15430459988080392</v>
      </c>
      <c r="AT289" s="24">
        <f t="shared" si="386"/>
        <v>0.14707510466938523</v>
      </c>
      <c r="AU289" s="42">
        <f t="shared" si="386"/>
        <v>0.1129539739952401</v>
      </c>
      <c r="AV289" s="207">
        <f t="shared" si="386"/>
        <v>0.15259376669021263</v>
      </c>
      <c r="AW289" s="207">
        <f t="shared" ref="AW289:CI289" si="387">(AW279/AR279-1)</f>
        <v>0.24748355543760536</v>
      </c>
      <c r="AX289" s="207">
        <f t="shared" si="387"/>
        <v>0.10658687319095694</v>
      </c>
      <c r="AY289" s="207">
        <f t="shared" si="387"/>
        <v>4.0550552251486849E-2</v>
      </c>
      <c r="AZ289" s="42">
        <f t="shared" si="387"/>
        <v>0.13002261245315938</v>
      </c>
      <c r="BA289" s="207">
        <f t="shared" si="387"/>
        <v>7.3863976083706984E-2</v>
      </c>
      <c r="BB289" s="207">
        <f t="shared" si="387"/>
        <v>-3.4395252892863382E-2</v>
      </c>
      <c r="BC289" s="207">
        <f t="shared" si="387"/>
        <v>-2.9147078576225782E-2</v>
      </c>
      <c r="BD289" s="207">
        <f t="shared" si="387"/>
        <v>-6.5594972924600481E-2</v>
      </c>
      <c r="BE289" s="42">
        <f t="shared" si="387"/>
        <v>-1.7904426570112264E-2</v>
      </c>
      <c r="BF289" s="207">
        <f t="shared" si="387"/>
        <v>-0.26651726369855855</v>
      </c>
      <c r="BG289" s="207">
        <f t="shared" si="387"/>
        <v>8.1737351483200937E-2</v>
      </c>
      <c r="BH289" s="207">
        <f t="shared" si="387"/>
        <v>0.34261497684443531</v>
      </c>
      <c r="BI289" s="207">
        <f t="shared" si="387"/>
        <v>0.45725590531915605</v>
      </c>
      <c r="BJ289" s="42">
        <f t="shared" si="387"/>
        <v>0.15340902905540021</v>
      </c>
      <c r="BK289" s="207">
        <f t="shared" si="387"/>
        <v>0.27345358623765259</v>
      </c>
      <c r="BL289" s="207">
        <f t="shared" si="387"/>
        <v>0.40279899329347235</v>
      </c>
      <c r="BM289" s="207">
        <f t="shared" si="387"/>
        <v>5.4923420687261304E-2</v>
      </c>
      <c r="BN289" s="207">
        <f t="shared" si="387"/>
        <v>0.226663276711488</v>
      </c>
      <c r="BO289" s="42">
        <f t="shared" si="387"/>
        <v>0.22270672291908533</v>
      </c>
      <c r="BP289" s="207">
        <f t="shared" si="387"/>
        <v>0.6437023128278494</v>
      </c>
      <c r="BQ289" s="207">
        <f t="shared" si="387"/>
        <v>8.1958372654961975E-2</v>
      </c>
      <c r="BR289" s="207">
        <f t="shared" si="387"/>
        <v>0.18795852162602622</v>
      </c>
      <c r="BS289" s="207">
        <f t="shared" si="387"/>
        <v>1.6115975581618036E-2</v>
      </c>
      <c r="BT289" s="42">
        <f t="shared" si="387"/>
        <v>0.18381616967844394</v>
      </c>
      <c r="BU289" s="207">
        <f t="shared" si="387"/>
        <v>7.3708737159901672E-2</v>
      </c>
      <c r="BV289" s="207">
        <f t="shared" si="387"/>
        <v>0.1064363078692605</v>
      </c>
      <c r="BW289" s="207">
        <f t="shared" si="387"/>
        <v>5.989068295026212E-2</v>
      </c>
      <c r="BX289" s="207">
        <f t="shared" si="387"/>
        <v>0.15763768617942486</v>
      </c>
      <c r="BY289" s="42">
        <f t="shared" si="387"/>
        <v>0.10135965632026611</v>
      </c>
      <c r="BZ289" s="207">
        <f t="shared" si="387"/>
        <v>0.11305085747578736</v>
      </c>
      <c r="CA289" s="207">
        <f t="shared" si="387"/>
        <v>-1.5480640536407964E-2</v>
      </c>
      <c r="CB289" s="207">
        <f t="shared" si="387"/>
        <v>2.4817279817075599E-2</v>
      </c>
      <c r="CC289" s="207">
        <f t="shared" si="387"/>
        <v>6.0208318788252946E-3</v>
      </c>
      <c r="CD289" s="42">
        <f t="shared" si="387"/>
        <v>3.0563652402839425E-2</v>
      </c>
      <c r="CE289" s="207">
        <f t="shared" si="387"/>
        <v>-1.0294536006220878E-2</v>
      </c>
      <c r="CF289" s="207">
        <f t="shared" si="387"/>
        <v>5.3199586440528801E-2</v>
      </c>
      <c r="CG289" s="207">
        <f t="shared" si="387"/>
        <v>7.056911087382689E-2</v>
      </c>
      <c r="CH289" s="207">
        <f t="shared" si="387"/>
        <v>0.16578321216126901</v>
      </c>
      <c r="CI289" s="42">
        <f t="shared" si="387"/>
        <v>7.3506319417847354E-2</v>
      </c>
      <c r="CJ289" s="42">
        <f t="shared" si="385"/>
        <v>0.1232858405059003</v>
      </c>
      <c r="CK289" s="42">
        <f t="shared" si="385"/>
        <v>0.14548780053327759</v>
      </c>
      <c r="CL289" s="42">
        <f t="shared" si="385"/>
        <v>0.19263727544552389</v>
      </c>
      <c r="CM289" s="42">
        <f t="shared" si="385"/>
        <v>0.10041637796844949</v>
      </c>
      <c r="CN289" s="42">
        <f t="shared" si="385"/>
        <v>9.7266469603177308E-2</v>
      </c>
      <c r="CO289" s="74"/>
      <c r="CP289" s="74"/>
      <c r="CQ289" s="6"/>
      <c r="CR289" s="6"/>
      <c r="CS289" s="6"/>
      <c r="CT289" s="124"/>
      <c r="CU289" s="124"/>
      <c r="CV289" s="124"/>
      <c r="CW289" s="124"/>
      <c r="CX289" s="124"/>
      <c r="CY289" s="124"/>
      <c r="CZ289" s="124"/>
      <c r="DA289" s="124"/>
      <c r="DB289" s="124"/>
      <c r="DC289" s="124"/>
      <c r="DD289" s="124"/>
      <c r="DE289" s="124"/>
      <c r="DF289" s="124"/>
      <c r="DG289" s="124"/>
      <c r="DH289" s="124"/>
      <c r="DI289" s="124"/>
      <c r="DK289" s="124"/>
      <c r="DL289" s="124"/>
      <c r="DM289" s="6"/>
      <c r="DN289" s="124"/>
      <c r="DO289" s="124"/>
      <c r="DQ289" s="136"/>
      <c r="DR289" s="124"/>
      <c r="DS289" s="124"/>
      <c r="DT289" s="124"/>
      <c r="DV289" s="124"/>
      <c r="DW289" s="124"/>
      <c r="DX289" s="124"/>
      <c r="EA289" s="111"/>
      <c r="EB289" s="111"/>
      <c r="EC289" s="111"/>
      <c r="ED289" s="124"/>
      <c r="EE289" s="124"/>
      <c r="EF289" s="124"/>
      <c r="EJ289" s="111"/>
      <c r="EK289" s="111"/>
      <c r="EL289" s="124"/>
      <c r="EM289" s="124"/>
      <c r="EN289" s="124"/>
      <c r="EP289" s="111"/>
      <c r="EQ289" s="124"/>
      <c r="ER289" s="124"/>
      <c r="ES289" s="124"/>
      <c r="EV289" s="111"/>
      <c r="EW289" s="111"/>
      <c r="EX289" s="111"/>
      <c r="EY289" s="111"/>
      <c r="EZ289" s="124"/>
      <c r="FA289" s="124"/>
      <c r="FD289" s="111"/>
      <c r="FE289" s="111"/>
      <c r="FF289" s="111"/>
      <c r="FG289" s="124"/>
      <c r="FH289" s="124"/>
      <c r="FK289" s="124"/>
      <c r="FL289" s="124"/>
      <c r="FO289" s="111"/>
      <c r="FP289" s="111"/>
      <c r="FQ289" s="124"/>
      <c r="FR289" s="124"/>
      <c r="FU289" s="111"/>
      <c r="FV289" s="124"/>
      <c r="FW289" s="124"/>
      <c r="FX289" s="124"/>
      <c r="FY289" s="124"/>
      <c r="GA289" s="124"/>
      <c r="GB289" s="124"/>
      <c r="GC289" s="124"/>
      <c r="GF289" s="111"/>
      <c r="GG289" s="111"/>
      <c r="GH289" s="111"/>
      <c r="GI289" s="124"/>
      <c r="GJ289" s="124"/>
      <c r="GK289" s="124"/>
      <c r="GN289" s="111"/>
      <c r="GO289" s="111"/>
      <c r="GP289" s="124"/>
      <c r="GQ289" s="124"/>
      <c r="GR289" s="124"/>
      <c r="GV289" s="111"/>
      <c r="GW289" s="124"/>
      <c r="GX289" s="124"/>
      <c r="GY289" s="124"/>
      <c r="HC289" s="124"/>
      <c r="HD289" s="124"/>
      <c r="HE289" s="124"/>
      <c r="HF289" s="124"/>
      <c r="HI289" s="111"/>
      <c r="HJ289" s="111"/>
      <c r="HK289" s="111"/>
      <c r="HL289" s="111"/>
      <c r="HM289" s="124"/>
      <c r="HN289" s="124"/>
      <c r="HO289" s="124"/>
      <c r="HR289" s="111"/>
      <c r="HS289" s="111"/>
      <c r="HT289" s="111"/>
      <c r="HU289" s="124"/>
      <c r="HV289" s="124"/>
      <c r="HW289" s="124"/>
      <c r="HZ289" s="111"/>
      <c r="IA289" s="124"/>
      <c r="IB289" s="124"/>
      <c r="IC289" s="124"/>
      <c r="IE289" s="111"/>
      <c r="IF289" s="124"/>
      <c r="IG289" s="124"/>
      <c r="IH289" s="124"/>
      <c r="IK289" s="124"/>
      <c r="IL289" s="124"/>
      <c r="IO289" s="124"/>
      <c r="IP289" s="124"/>
      <c r="IS289" s="160"/>
      <c r="IT289" s="160"/>
      <c r="IU289" s="160"/>
      <c r="IX289" s="124"/>
      <c r="IY289" s="124"/>
      <c r="IZ289" s="124"/>
      <c r="JA289" s="124"/>
      <c r="JD289" s="124"/>
      <c r="JE289" s="124"/>
      <c r="JH289" s="124"/>
      <c r="JI289" s="124"/>
      <c r="JJ289" s="124"/>
      <c r="JM289" s="124"/>
      <c r="JN289" s="124"/>
      <c r="JQ289" s="124"/>
      <c r="JR289" s="124"/>
      <c r="JS289" s="124"/>
      <c r="JV289" s="124"/>
      <c r="JW289" s="124"/>
      <c r="JY289" s="124"/>
      <c r="JZ289" s="124"/>
      <c r="KB289" s="124"/>
      <c r="KC289" s="124"/>
      <c r="KD289" s="124"/>
    </row>
    <row r="290" spans="2:290" x14ac:dyDescent="0.25">
      <c r="B290" s="11"/>
      <c r="C290" s="211"/>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4">
        <f>AL252/AP252</f>
        <v>0.28481391676011436</v>
      </c>
      <c r="AM290" s="24"/>
      <c r="AN290" s="23"/>
      <c r="AO290" s="23"/>
      <c r="AP290" s="23"/>
      <c r="AQ290" s="24">
        <f>AQ252/AU252</f>
        <v>0.24837659713203317</v>
      </c>
      <c r="AR290" s="23"/>
      <c r="AS290" s="23"/>
      <c r="AT290" s="23"/>
      <c r="AU290" s="212"/>
      <c r="AV290" s="24">
        <f>AV252/AZ252</f>
        <v>0.25081222062248892</v>
      </c>
      <c r="AW290" s="23"/>
      <c r="AX290" s="23"/>
      <c r="AY290" s="23"/>
      <c r="AZ290" s="212"/>
      <c r="BA290" s="24">
        <f>BA252/BE252</f>
        <v>0.27563113425560298</v>
      </c>
      <c r="BB290" s="23"/>
      <c r="BC290" s="23"/>
      <c r="BD290" s="23"/>
      <c r="BE290" s="212"/>
      <c r="BF290" s="24"/>
      <c r="BG290" s="23"/>
      <c r="BH290" s="23"/>
      <c r="BI290" s="23"/>
      <c r="BJ290" s="212"/>
      <c r="BK290" s="24"/>
      <c r="BL290" s="23"/>
      <c r="BM290" s="23"/>
      <c r="BN290" s="23"/>
      <c r="BO290" s="212"/>
      <c r="BP290" s="24"/>
      <c r="BQ290" s="23"/>
      <c r="BR290" s="23"/>
      <c r="BS290" s="23"/>
      <c r="BT290" s="212"/>
      <c r="BU290" s="24"/>
      <c r="BV290" s="23"/>
      <c r="BW290" s="23">
        <f>BW247/BV247-1</f>
        <v>0.18531220550087935</v>
      </c>
      <c r="BX290" s="23">
        <f>BX247/BW247-1</f>
        <v>0.30156635492569861</v>
      </c>
      <c r="BY290" s="212"/>
      <c r="BZ290" s="24"/>
      <c r="CA290" s="23"/>
      <c r="CB290" s="23"/>
      <c r="CC290" s="23"/>
      <c r="CD290" s="212"/>
      <c r="CE290" s="24"/>
      <c r="CF290" s="23"/>
      <c r="CG290" s="23"/>
      <c r="CH290" s="23"/>
      <c r="CI290" s="212"/>
      <c r="CJ290" s="212"/>
      <c r="CK290" s="212"/>
      <c r="CL290" s="212"/>
      <c r="CM290" s="212"/>
      <c r="CN290" s="212"/>
      <c r="CO290" s="175"/>
      <c r="CP290" s="175"/>
      <c r="CQ290" s="6"/>
      <c r="CR290" s="6"/>
      <c r="CS290" s="6"/>
      <c r="CT290" s="136"/>
      <c r="CU290" s="136"/>
      <c r="CV290" s="136"/>
      <c r="CW290" s="136"/>
      <c r="CX290" s="136"/>
      <c r="DK290" s="6"/>
      <c r="DL290" s="6"/>
      <c r="DM290" s="6"/>
      <c r="DN290" s="136"/>
      <c r="DO290" s="136"/>
      <c r="EA290" s="136"/>
      <c r="EB290" s="136"/>
      <c r="EC290" s="136"/>
      <c r="ED290" s="174"/>
      <c r="EE290" s="174"/>
      <c r="EF290" s="174"/>
      <c r="EJ290" s="136"/>
      <c r="EK290" s="136"/>
      <c r="EL290" s="174"/>
      <c r="EM290" s="174"/>
      <c r="EN290" s="174"/>
      <c r="EP290" s="136"/>
      <c r="EQ290" s="174"/>
      <c r="ER290" s="174"/>
      <c r="ES290" s="174"/>
      <c r="EV290" s="136"/>
      <c r="EW290" s="136"/>
      <c r="EX290" s="136"/>
      <c r="EY290" s="136"/>
      <c r="EZ290" s="174"/>
      <c r="FA290" s="174"/>
      <c r="FD290" s="136"/>
      <c r="FE290" s="136"/>
      <c r="FF290" s="136"/>
      <c r="FG290" s="174"/>
      <c r="FH290" s="174"/>
      <c r="FK290" s="174"/>
      <c r="FL290" s="174"/>
      <c r="FO290" s="136"/>
      <c r="FP290" s="136"/>
      <c r="FQ290" s="174"/>
      <c r="FR290" s="174"/>
      <c r="FU290" s="136"/>
      <c r="FV290" s="174"/>
      <c r="FW290" s="174"/>
      <c r="FX290" s="174"/>
      <c r="FY290" s="174"/>
      <c r="GA290" s="174"/>
      <c r="GB290" s="174"/>
      <c r="GC290" s="174"/>
      <c r="GF290" s="136"/>
      <c r="GG290" s="136"/>
      <c r="GH290" s="136"/>
      <c r="GI290" s="174"/>
      <c r="GJ290" s="174"/>
      <c r="GK290" s="174"/>
      <c r="GN290" s="136"/>
      <c r="GO290" s="136"/>
      <c r="GP290" s="174"/>
      <c r="GQ290" s="174"/>
      <c r="GR290" s="174"/>
      <c r="GV290" s="136"/>
      <c r="GW290" s="174"/>
      <c r="GX290" s="174"/>
      <c r="GY290" s="174"/>
      <c r="HC290" s="176"/>
      <c r="HD290" s="177"/>
      <c r="HE290" s="177"/>
      <c r="HF290" s="177"/>
      <c r="HI290" s="24"/>
      <c r="HJ290" s="24"/>
      <c r="HK290" s="24"/>
      <c r="HL290" s="24"/>
      <c r="HM290" s="178"/>
      <c r="HN290" s="177"/>
      <c r="HO290" s="177"/>
      <c r="HR290" s="24"/>
      <c r="HS290" s="24"/>
      <c r="HT290" s="24"/>
      <c r="HU290" s="178"/>
      <c r="HV290" s="177"/>
      <c r="HW290" s="177"/>
      <c r="HZ290" s="24">
        <v>1.8241787553183952E-2</v>
      </c>
      <c r="IA290" s="178">
        <v>0.20127005424854816</v>
      </c>
      <c r="IB290" s="177"/>
      <c r="IC290" s="177"/>
      <c r="IE290" s="24">
        <v>0.12569765873867134</v>
      </c>
      <c r="IF290" s="178">
        <v>0.27100479166195512</v>
      </c>
      <c r="IG290" s="177"/>
      <c r="IH290" s="177"/>
      <c r="IK290" s="177"/>
      <c r="IL290" s="177"/>
      <c r="IO290" s="179"/>
      <c r="IP290" s="177"/>
      <c r="IS290" s="168">
        <v>608950.15</v>
      </c>
      <c r="IT290" s="168">
        <v>697636.07359999989</v>
      </c>
      <c r="IU290" s="168">
        <v>799637.13493599999</v>
      </c>
      <c r="IX290" s="178">
        <v>0.19139529355835494</v>
      </c>
      <c r="IY290" s="179">
        <v>0.25039859743613535</v>
      </c>
      <c r="IZ290" s="178">
        <v>3.1579206317912861E-2</v>
      </c>
      <c r="JA290" s="177"/>
      <c r="JD290" s="178">
        <v>3.1264606433318062E-2</v>
      </c>
      <c r="JE290" s="177"/>
      <c r="JH290" s="178">
        <v>3.1264606433318062E-2</v>
      </c>
      <c r="JI290" s="180"/>
      <c r="JJ290" s="180"/>
      <c r="JM290" s="180"/>
      <c r="JN290" s="180"/>
      <c r="JQ290" s="178">
        <v>3.1264606433318062E-2</v>
      </c>
      <c r="JR290" s="180"/>
      <c r="JS290" s="180"/>
      <c r="JV290" s="180"/>
      <c r="JW290" s="180"/>
      <c r="JY290" s="180"/>
      <c r="JZ290" s="180"/>
      <c r="KB290" s="180"/>
      <c r="KC290" s="180"/>
      <c r="KD290" s="180"/>
    </row>
    <row r="291" spans="2:290" s="60" customFormat="1" x14ac:dyDescent="0.25">
      <c r="B291" s="34" t="s">
        <v>237</v>
      </c>
      <c r="C291" s="99"/>
      <c r="D291" s="99"/>
      <c r="E291" s="99"/>
      <c r="F291" s="99"/>
      <c r="G291" s="99"/>
      <c r="H291" s="196"/>
      <c r="I291" s="196"/>
      <c r="J291" s="196"/>
      <c r="K291" s="196"/>
      <c r="L291" s="196"/>
      <c r="M291" s="196"/>
      <c r="N291" s="196"/>
      <c r="O291" s="196"/>
      <c r="P291" s="196"/>
      <c r="Q291" s="196"/>
      <c r="R291" s="196"/>
      <c r="S291" s="196"/>
      <c r="T291" s="196"/>
      <c r="U291" s="196"/>
      <c r="V291" s="196"/>
      <c r="W291" s="196"/>
      <c r="X291" s="196"/>
      <c r="Y291" s="196"/>
      <c r="Z291" s="196"/>
      <c r="AA291" s="196"/>
      <c r="AB291" s="196"/>
      <c r="AC291" s="196"/>
      <c r="AD291" s="196"/>
      <c r="AE291" s="196"/>
      <c r="AF291" s="196"/>
      <c r="AG291" s="196"/>
      <c r="AH291" s="196"/>
      <c r="AI291" s="196"/>
      <c r="AJ291" s="196"/>
      <c r="AK291" s="196"/>
      <c r="AL291" s="196"/>
      <c r="AM291" s="196"/>
      <c r="AN291" s="196"/>
      <c r="AO291" s="196"/>
      <c r="AP291" s="196"/>
      <c r="AQ291" s="196"/>
      <c r="AR291" s="196"/>
      <c r="AS291" s="196"/>
      <c r="AT291" s="196"/>
      <c r="AU291" s="196"/>
      <c r="AV291" s="196"/>
      <c r="AW291" s="196"/>
      <c r="AX291" s="196"/>
      <c r="AY291" s="196"/>
      <c r="AZ291" s="196"/>
      <c r="BA291" s="196"/>
      <c r="BB291" s="196"/>
      <c r="BC291" s="196"/>
      <c r="BD291" s="196"/>
      <c r="BE291" s="196"/>
      <c r="BF291" s="196"/>
      <c r="BG291" s="196"/>
      <c r="BH291" s="196"/>
      <c r="BI291" s="196"/>
      <c r="BJ291" s="196"/>
      <c r="BK291" s="196"/>
      <c r="BL291" s="196"/>
      <c r="BM291" s="196"/>
      <c r="BN291" s="196"/>
      <c r="BO291" s="196"/>
      <c r="BP291" s="196"/>
      <c r="BQ291" s="196"/>
      <c r="BR291" s="196"/>
      <c r="BS291" s="196"/>
      <c r="BT291" s="196"/>
      <c r="BU291" s="196"/>
      <c r="BV291" s="196"/>
      <c r="BW291" s="196"/>
      <c r="BX291" s="196"/>
      <c r="BY291" s="196"/>
      <c r="BZ291" s="196"/>
      <c r="CA291" s="196"/>
      <c r="CB291" s="196"/>
      <c r="CC291" s="196"/>
      <c r="CD291" s="196"/>
      <c r="CE291" s="196"/>
      <c r="CF291" s="196"/>
      <c r="CG291" s="196"/>
      <c r="CH291" s="196"/>
      <c r="CI291" s="196"/>
      <c r="CJ291" s="196"/>
      <c r="CK291" s="196"/>
      <c r="CL291" s="196"/>
      <c r="CM291" s="196"/>
      <c r="CN291" s="196"/>
      <c r="CO291" s="148"/>
      <c r="CP291" s="148"/>
      <c r="CQ291" s="58"/>
      <c r="CR291" s="58"/>
      <c r="CS291" s="58"/>
      <c r="CT291" s="143"/>
      <c r="CU291" s="143"/>
      <c r="CV291" s="143"/>
      <c r="CW291" s="143"/>
      <c r="CX291" s="143"/>
      <c r="CY291" s="143"/>
      <c r="CZ291" s="143"/>
      <c r="DA291" s="143"/>
      <c r="DB291" s="143"/>
      <c r="DC291" s="143"/>
      <c r="DD291" s="143"/>
      <c r="DE291" s="143"/>
      <c r="DF291" s="143"/>
      <c r="DG291" s="143"/>
      <c r="DH291" s="143"/>
      <c r="DI291" s="143"/>
      <c r="DK291" s="143"/>
      <c r="DL291" s="143"/>
      <c r="DM291" s="58"/>
      <c r="DN291" s="143"/>
      <c r="DO291" s="143"/>
      <c r="DQ291" s="4"/>
      <c r="DR291" s="143"/>
      <c r="DS291" s="143"/>
      <c r="DT291" s="143"/>
      <c r="DV291" s="143"/>
      <c r="DW291" s="143"/>
      <c r="DX291" s="143"/>
      <c r="EA291" s="119"/>
      <c r="EB291" s="119"/>
      <c r="EC291" s="119"/>
      <c r="ED291" s="143"/>
      <c r="EE291" s="143"/>
      <c r="EF291" s="143"/>
      <c r="EJ291" s="119"/>
      <c r="EK291" s="119"/>
      <c r="EL291" s="143"/>
      <c r="EM291" s="143"/>
      <c r="EN291" s="143"/>
      <c r="EP291" s="119"/>
      <c r="EQ291" s="143"/>
      <c r="ER291" s="143"/>
      <c r="ES291" s="143"/>
      <c r="EV291" s="119"/>
      <c r="EW291" s="119"/>
      <c r="EX291" s="119"/>
      <c r="EY291" s="119"/>
      <c r="EZ291" s="143"/>
      <c r="FA291" s="143"/>
      <c r="FD291" s="119"/>
      <c r="FE291" s="119"/>
      <c r="FF291" s="119"/>
      <c r="FG291" s="143"/>
      <c r="FH291" s="143"/>
      <c r="FK291" s="143"/>
      <c r="FL291" s="143"/>
      <c r="FO291" s="119"/>
      <c r="FP291" s="119"/>
      <c r="FQ291" s="143"/>
      <c r="FR291" s="143"/>
      <c r="FU291" s="119"/>
      <c r="FV291" s="143"/>
      <c r="FW291" s="143"/>
      <c r="FX291" s="143"/>
      <c r="FY291" s="143"/>
      <c r="GA291" s="143"/>
      <c r="GB291" s="143"/>
      <c r="GC291" s="143"/>
      <c r="GF291" s="119"/>
      <c r="GG291" s="119"/>
      <c r="GH291" s="119"/>
      <c r="GI291" s="143"/>
      <c r="GJ291" s="143"/>
      <c r="GK291" s="143"/>
      <c r="GN291" s="119"/>
      <c r="GO291" s="119"/>
      <c r="GP291" s="143"/>
      <c r="GQ291" s="143"/>
      <c r="GR291" s="143"/>
      <c r="GV291" s="119"/>
      <c r="GW291" s="143"/>
      <c r="GX291" s="143"/>
      <c r="GY291" s="143"/>
      <c r="HC291" s="143">
        <v>-9.6291871368132442E-2</v>
      </c>
      <c r="HD291" s="143"/>
      <c r="HE291" s="143"/>
      <c r="HF291" s="143"/>
      <c r="HI291" s="119"/>
      <c r="HJ291" s="119"/>
      <c r="HK291" s="119"/>
      <c r="HL291" s="119"/>
      <c r="HM291" s="143"/>
      <c r="HN291" s="143"/>
      <c r="HO291" s="143"/>
      <c r="HR291" s="119"/>
      <c r="HS291" s="119"/>
      <c r="HT291" s="119"/>
      <c r="HU291" s="143"/>
      <c r="HV291" s="143"/>
      <c r="HW291" s="143"/>
      <c r="HZ291" s="119"/>
      <c r="IA291" s="143"/>
      <c r="IB291" s="143"/>
      <c r="IC291" s="143"/>
      <c r="IE291" s="119"/>
      <c r="IF291" s="143"/>
      <c r="IG291" s="143"/>
      <c r="IH291" s="143"/>
      <c r="IK291" s="143"/>
      <c r="IL291" s="143"/>
      <c r="IO291" s="143"/>
      <c r="IP291" s="143"/>
      <c r="IS291" s="157">
        <v>181.04251369344436</v>
      </c>
      <c r="IT291" s="157">
        <v>182.40344692404966</v>
      </c>
      <c r="IU291" s="157">
        <v>183.78245536476501</v>
      </c>
      <c r="IX291" s="143"/>
      <c r="IY291" s="143"/>
      <c r="IZ291" s="143"/>
      <c r="JA291" s="143"/>
      <c r="JD291" s="143"/>
      <c r="JE291" s="143"/>
      <c r="JH291" s="143"/>
      <c r="JI291" s="143"/>
      <c r="JJ291" s="143"/>
      <c r="JM291" s="143"/>
      <c r="JN291" s="143"/>
      <c r="JQ291" s="143"/>
      <c r="JR291" s="143"/>
      <c r="JS291" s="143"/>
      <c r="JV291" s="143"/>
      <c r="JW291" s="143"/>
      <c r="JY291" s="143"/>
      <c r="JZ291" s="143"/>
      <c r="KB291" s="143"/>
      <c r="KC291" s="143"/>
      <c r="KD291" s="143"/>
    </row>
    <row r="292" spans="2:290" x14ac:dyDescent="0.25">
      <c r="B292" s="11" t="s">
        <v>238</v>
      </c>
      <c r="C292" s="23"/>
      <c r="D292" s="23"/>
      <c r="E292" s="23"/>
      <c r="F292" s="23"/>
      <c r="G292" s="23"/>
      <c r="H292" s="197"/>
      <c r="I292" s="198"/>
      <c r="J292" s="198"/>
      <c r="K292" s="198"/>
      <c r="L292" s="198"/>
      <c r="M292" s="197"/>
      <c r="N292" s="198"/>
      <c r="O292" s="198"/>
      <c r="P292" s="198"/>
      <c r="Q292" s="198"/>
      <c r="R292" s="197"/>
      <c r="S292" s="198"/>
      <c r="T292" s="198"/>
      <c r="U292" s="198"/>
      <c r="V292" s="198"/>
      <c r="W292" s="197">
        <f t="shared" ref="W292:AW292" si="388">W128*10000/W252</f>
        <v>0</v>
      </c>
      <c r="X292" s="198">
        <f t="shared" si="388"/>
        <v>0</v>
      </c>
      <c r="Y292" s="198">
        <f t="shared" si="388"/>
        <v>0</v>
      </c>
      <c r="Z292" s="198">
        <f t="shared" si="388"/>
        <v>0</v>
      </c>
      <c r="AA292" s="198">
        <f t="shared" si="388"/>
        <v>0</v>
      </c>
      <c r="AB292" s="197">
        <f t="shared" si="388"/>
        <v>0</v>
      </c>
      <c r="AC292" s="198">
        <f t="shared" si="388"/>
        <v>0</v>
      </c>
      <c r="AD292" s="198">
        <f t="shared" si="388"/>
        <v>0</v>
      </c>
      <c r="AE292" s="198">
        <f t="shared" si="388"/>
        <v>0</v>
      </c>
      <c r="AF292" s="198">
        <f t="shared" si="388"/>
        <v>0</v>
      </c>
      <c r="AG292" s="197">
        <f t="shared" si="388"/>
        <v>0</v>
      </c>
      <c r="AH292" s="198">
        <f t="shared" si="388"/>
        <v>0</v>
      </c>
      <c r="AI292" s="198">
        <f t="shared" si="388"/>
        <v>0</v>
      </c>
      <c r="AJ292" s="198">
        <f t="shared" si="388"/>
        <v>0</v>
      </c>
      <c r="AK292" s="197">
        <f t="shared" si="388"/>
        <v>0</v>
      </c>
      <c r="AL292" s="198">
        <f t="shared" si="388"/>
        <v>0</v>
      </c>
      <c r="AM292" s="198">
        <f t="shared" si="388"/>
        <v>0</v>
      </c>
      <c r="AN292" s="198">
        <f t="shared" si="388"/>
        <v>0</v>
      </c>
      <c r="AO292" s="198">
        <f t="shared" si="388"/>
        <v>0</v>
      </c>
      <c r="AP292" s="197">
        <f t="shared" si="388"/>
        <v>0</v>
      </c>
      <c r="AQ292" s="198">
        <f t="shared" si="388"/>
        <v>0</v>
      </c>
      <c r="AR292" s="198">
        <f t="shared" si="388"/>
        <v>0</v>
      </c>
      <c r="AS292" s="198">
        <f t="shared" si="388"/>
        <v>0</v>
      </c>
      <c r="AT292" s="198">
        <f t="shared" si="388"/>
        <v>0</v>
      </c>
      <c r="AU292" s="197">
        <f t="shared" si="388"/>
        <v>0</v>
      </c>
      <c r="AV292" s="199">
        <f t="shared" si="388"/>
        <v>0</v>
      </c>
      <c r="AW292" s="199">
        <f t="shared" si="388"/>
        <v>0</v>
      </c>
      <c r="AX292" s="199">
        <f t="shared" ref="AX292:CN292" si="389">AX131*10000/AX252</f>
        <v>0</v>
      </c>
      <c r="AY292" s="199">
        <f t="shared" si="389"/>
        <v>0</v>
      </c>
      <c r="AZ292" s="197">
        <f t="shared" si="389"/>
        <v>0</v>
      </c>
      <c r="BA292" s="199">
        <f t="shared" si="389"/>
        <v>0</v>
      </c>
      <c r="BB292" s="199">
        <f t="shared" si="389"/>
        <v>0</v>
      </c>
      <c r="BC292" s="199">
        <f t="shared" si="389"/>
        <v>0</v>
      </c>
      <c r="BD292" s="199">
        <f t="shared" si="389"/>
        <v>0</v>
      </c>
      <c r="BE292" s="197">
        <f t="shared" si="389"/>
        <v>0</v>
      </c>
      <c r="BF292" s="199">
        <f t="shared" si="389"/>
        <v>0</v>
      </c>
      <c r="BG292" s="199">
        <f t="shared" si="389"/>
        <v>0</v>
      </c>
      <c r="BH292" s="199">
        <f t="shared" si="389"/>
        <v>0</v>
      </c>
      <c r="BI292" s="199">
        <f t="shared" si="389"/>
        <v>0</v>
      </c>
      <c r="BJ292" s="197">
        <f t="shared" si="389"/>
        <v>1.4329254749789719E-2</v>
      </c>
      <c r="BK292" s="199">
        <f t="shared" si="389"/>
        <v>0</v>
      </c>
      <c r="BL292" s="199">
        <f t="shared" si="389"/>
        <v>0</v>
      </c>
      <c r="BM292" s="199">
        <f t="shared" si="389"/>
        <v>0</v>
      </c>
      <c r="BN292" s="199">
        <f t="shared" si="389"/>
        <v>0</v>
      </c>
      <c r="BO292" s="197">
        <f t="shared" si="389"/>
        <v>1.3779627922486838E-2</v>
      </c>
      <c r="BP292" s="199">
        <f t="shared" si="389"/>
        <v>0</v>
      </c>
      <c r="BQ292" s="199">
        <f t="shared" si="389"/>
        <v>0</v>
      </c>
      <c r="BR292" s="199">
        <f t="shared" si="389"/>
        <v>0</v>
      </c>
      <c r="BS292" s="199">
        <f t="shared" si="389"/>
        <v>0</v>
      </c>
      <c r="BT292" s="197">
        <f t="shared" si="389"/>
        <v>1.239277154421369E-2</v>
      </c>
      <c r="BU292" s="199">
        <f t="shared" si="389"/>
        <v>0</v>
      </c>
      <c r="BV292" s="199">
        <f t="shared" si="389"/>
        <v>0</v>
      </c>
      <c r="BW292" s="199">
        <f t="shared" si="389"/>
        <v>0</v>
      </c>
      <c r="BX292" s="199">
        <f t="shared" si="389"/>
        <v>0</v>
      </c>
      <c r="BY292" s="197">
        <f t="shared" si="389"/>
        <v>1.0504223748369221E-2</v>
      </c>
      <c r="BZ292" s="199">
        <f t="shared" si="389"/>
        <v>0</v>
      </c>
      <c r="CA292" s="199">
        <f t="shared" si="389"/>
        <v>0</v>
      </c>
      <c r="CB292" s="199">
        <f t="shared" si="389"/>
        <v>0</v>
      </c>
      <c r="CC292" s="199">
        <f t="shared" si="389"/>
        <v>0</v>
      </c>
      <c r="CD292" s="197">
        <f t="shared" si="389"/>
        <v>9.159589357289933E-3</v>
      </c>
      <c r="CE292" s="199">
        <f t="shared" si="389"/>
        <v>0</v>
      </c>
      <c r="CF292" s="199">
        <f t="shared" si="389"/>
        <v>0</v>
      </c>
      <c r="CG292" s="199">
        <f t="shared" si="389"/>
        <v>0</v>
      </c>
      <c r="CH292" s="199">
        <f t="shared" si="389"/>
        <v>0</v>
      </c>
      <c r="CI292" s="197">
        <f t="shared" si="389"/>
        <v>8.0452788292510249E-3</v>
      </c>
      <c r="CJ292" s="197">
        <f t="shared" si="389"/>
        <v>7.5244908480580535E-3</v>
      </c>
      <c r="CK292" s="197">
        <f t="shared" si="389"/>
        <v>6.7000189113221526E-3</v>
      </c>
      <c r="CL292" s="197">
        <f t="shared" si="389"/>
        <v>5.8506071818284055E-3</v>
      </c>
      <c r="CM292" s="197">
        <f t="shared" si="389"/>
        <v>5.3953042050666521E-3</v>
      </c>
      <c r="CN292" s="197">
        <f t="shared" si="389"/>
        <v>5.0078811673301858E-3</v>
      </c>
      <c r="CO292" s="137"/>
      <c r="CP292" s="137"/>
      <c r="CQ292" s="6">
        <f>CJ292*14%</f>
        <v>1.0534287187281275E-3</v>
      </c>
      <c r="CR292" s="6">
        <f>CK292*14%</f>
        <v>9.3800264758510149E-4</v>
      </c>
      <c r="CS292" s="6"/>
      <c r="CT292" s="124"/>
      <c r="CU292" s="124"/>
      <c r="CV292" s="124"/>
      <c r="CW292" s="124"/>
      <c r="CX292" s="124"/>
      <c r="CY292" s="124"/>
      <c r="CZ292" s="124"/>
      <c r="DA292" s="124"/>
      <c r="DB292" s="124"/>
      <c r="DC292" s="124"/>
      <c r="DD292" s="124"/>
      <c r="DE292" s="124"/>
      <c r="DF292" s="124"/>
      <c r="DG292" s="124"/>
      <c r="DH292" s="124"/>
      <c r="DI292" s="124"/>
      <c r="DK292" s="124"/>
      <c r="DL292" s="124"/>
      <c r="DM292" s="6"/>
      <c r="DN292" s="124"/>
      <c r="DO292" s="124"/>
      <c r="DQ292" s="136"/>
      <c r="DR292" s="124"/>
      <c r="DS292" s="124"/>
      <c r="DT292" s="124"/>
      <c r="DV292" s="124"/>
      <c r="DW292" s="124"/>
      <c r="DX292" s="124"/>
      <c r="EA292" s="111"/>
      <c r="EB292" s="111"/>
      <c r="EC292" s="111"/>
      <c r="ED292" s="124"/>
      <c r="EE292" s="124"/>
      <c r="EF292" s="124"/>
      <c r="EJ292" s="111"/>
      <c r="EK292" s="111"/>
      <c r="EL292" s="124"/>
      <c r="EM292" s="124"/>
      <c r="EN292" s="124"/>
      <c r="EP292" s="111">
        <v>142.80161420407532</v>
      </c>
      <c r="EQ292" s="124"/>
      <c r="ER292" s="124"/>
      <c r="ES292" s="124"/>
      <c r="EV292" s="111"/>
      <c r="EW292" s="111"/>
      <c r="EX292" s="111"/>
      <c r="EY292" s="111"/>
      <c r="EZ292" s="124"/>
      <c r="FA292" s="124"/>
      <c r="FD292" s="111"/>
      <c r="FE292" s="111"/>
      <c r="FF292" s="111"/>
      <c r="FG292" s="124"/>
      <c r="FH292" s="124"/>
      <c r="FK292" s="124"/>
      <c r="FL292" s="124"/>
      <c r="FO292" s="111"/>
      <c r="FP292" s="111"/>
      <c r="FQ292" s="124"/>
      <c r="FR292" s="124"/>
      <c r="FU292" s="111">
        <v>133.80966332354842</v>
      </c>
      <c r="FV292" s="124">
        <v>132.97109435825888</v>
      </c>
      <c r="FW292" s="124"/>
      <c r="FX292" s="124"/>
      <c r="FY292" s="124"/>
      <c r="GA292" s="124">
        <v>122.56062023375488</v>
      </c>
      <c r="GB292" s="124">
        <v>121.90642342144929</v>
      </c>
      <c r="GC292" s="124">
        <v>123.56263822947459</v>
      </c>
      <c r="GF292" s="111"/>
      <c r="GG292" s="111"/>
      <c r="GH292" s="111"/>
      <c r="GI292" s="124">
        <v>123.15129605857757</v>
      </c>
      <c r="GJ292" s="124">
        <v>121.80679727815755</v>
      </c>
      <c r="GK292" s="124">
        <v>123.46085350022668</v>
      </c>
      <c r="GN292" s="111"/>
      <c r="GO292" s="111"/>
      <c r="GP292" s="124">
        <v>131.24423266041526</v>
      </c>
      <c r="GQ292" s="124">
        <v>129.82070415349193</v>
      </c>
      <c r="GR292" s="124">
        <v>131.44954184570304</v>
      </c>
      <c r="GV292" s="111">
        <v>160.02255206295627</v>
      </c>
      <c r="GW292" s="124">
        <v>148.03911625691143</v>
      </c>
      <c r="GX292" s="124">
        <v>142.08640955260825</v>
      </c>
      <c r="GY292" s="124">
        <v>143.96967854319132</v>
      </c>
      <c r="HC292" s="124">
        <v>192.39653671940061</v>
      </c>
      <c r="HD292" s="124">
        <v>195.27876792910666</v>
      </c>
      <c r="HE292" s="124">
        <v>197.14752106730944</v>
      </c>
      <c r="HF292" s="124">
        <v>199.0436951282658</v>
      </c>
      <c r="HI292" s="111">
        <v>188.8297682085734</v>
      </c>
      <c r="HJ292" s="111">
        <v>188.8297682085734</v>
      </c>
      <c r="HK292" s="111">
        <v>188.8297682085734</v>
      </c>
      <c r="HL292" s="111">
        <v>194.28155707198925</v>
      </c>
      <c r="HM292" s="124">
        <v>190.36846049391806</v>
      </c>
      <c r="HN292" s="124">
        <v>192.26969932097916</v>
      </c>
      <c r="HO292" s="124">
        <v>194.47033861127997</v>
      </c>
      <c r="HR292" s="111">
        <v>150</v>
      </c>
      <c r="HS292" s="111">
        <v>150</v>
      </c>
      <c r="HT292" s="111">
        <v>149.8090280267667</v>
      </c>
      <c r="HU292" s="124">
        <v>161.91019476144456</v>
      </c>
      <c r="HV292" s="124">
        <v>155.06141408012769</v>
      </c>
      <c r="HW292" s="124">
        <v>157.2987356688958</v>
      </c>
      <c r="HZ292" s="111">
        <v>186.63184351046036</v>
      </c>
      <c r="IA292" s="124">
        <v>186.79271909642222</v>
      </c>
      <c r="IB292" s="124">
        <v>171.46848063641747</v>
      </c>
      <c r="IC292" s="124">
        <v>173.61916814593775</v>
      </c>
      <c r="IE292" s="111">
        <v>189.16699739866215</v>
      </c>
      <c r="IF292" s="124">
        <v>185.42171042673181</v>
      </c>
      <c r="IG292" s="124">
        <v>170.43121643104143</v>
      </c>
      <c r="IH292" s="124">
        <v>172.57332569424932</v>
      </c>
      <c r="IK292" s="124">
        <v>170.43121643104143</v>
      </c>
      <c r="IL292" s="124">
        <v>172.57332569424932</v>
      </c>
      <c r="IO292" s="124">
        <v>181.45398388529816</v>
      </c>
      <c r="IP292" s="124">
        <v>183.23140554613235</v>
      </c>
      <c r="IS292" s="160">
        <v>165</v>
      </c>
      <c r="IT292" s="160">
        <v>167</v>
      </c>
      <c r="IU292" s="160">
        <v>169</v>
      </c>
      <c r="IX292" s="124">
        <v>156.1300247719345</v>
      </c>
      <c r="IY292" s="124">
        <v>159.11447108603133</v>
      </c>
      <c r="IZ292" s="124">
        <v>160.30387918306778</v>
      </c>
      <c r="JA292" s="124">
        <v>161.5169625999894</v>
      </c>
      <c r="JD292" s="124">
        <v>157.9462039001792</v>
      </c>
      <c r="JE292" s="124">
        <v>159.06895486968725</v>
      </c>
      <c r="JH292" s="124">
        <v>157.55834307080002</v>
      </c>
      <c r="JI292" s="124">
        <v>158.69617645538511</v>
      </c>
      <c r="JJ292" s="124">
        <v>160.34589302052066</v>
      </c>
      <c r="JM292" s="124">
        <v>160.40275715039243</v>
      </c>
      <c r="JN292" s="124">
        <v>162.02527431708521</v>
      </c>
      <c r="JQ292" s="124">
        <v>159.51369242676614</v>
      </c>
      <c r="JR292" s="124">
        <v>159.55262720505638</v>
      </c>
      <c r="JS292" s="124">
        <v>159.50131807935895</v>
      </c>
      <c r="JV292" s="124">
        <v>159.43746733427648</v>
      </c>
      <c r="JW292" s="124">
        <v>159.38491715907804</v>
      </c>
      <c r="JY292" s="124">
        <v>158.91484389078056</v>
      </c>
      <c r="JZ292" s="124">
        <v>158.86231125460677</v>
      </c>
      <c r="KB292" s="124">
        <v>157.82643056387397</v>
      </c>
      <c r="KC292" s="124">
        <v>157.23886863688963</v>
      </c>
      <c r="KD292" s="124">
        <v>156.66237418010056</v>
      </c>
    </row>
    <row r="293" spans="2:290" x14ac:dyDescent="0.25">
      <c r="B293" s="11" t="s">
        <v>233</v>
      </c>
      <c r="C293" s="23"/>
      <c r="D293" s="23"/>
      <c r="E293" s="23"/>
      <c r="F293" s="23"/>
      <c r="G293" s="23"/>
      <c r="H293" s="197"/>
      <c r="I293" s="198"/>
      <c r="J293" s="198"/>
      <c r="K293" s="198"/>
      <c r="L293" s="198"/>
      <c r="M293" s="197"/>
      <c r="N293" s="198"/>
      <c r="O293" s="198"/>
      <c r="P293" s="198"/>
      <c r="Q293" s="198"/>
      <c r="R293" s="197"/>
      <c r="S293" s="198"/>
      <c r="T293" s="198"/>
      <c r="U293" s="198"/>
      <c r="V293" s="198"/>
      <c r="W293" s="197">
        <f t="shared" ref="W293:BN293" si="390">W272*10000/W247</f>
        <v>93.556703882796853</v>
      </c>
      <c r="X293" s="198">
        <f t="shared" si="390"/>
        <v>113.49228438012184</v>
      </c>
      <c r="Y293" s="198">
        <f t="shared" si="390"/>
        <v>107.8135321317354</v>
      </c>
      <c r="Z293" s="198">
        <f t="shared" si="390"/>
        <v>107.28212030640724</v>
      </c>
      <c r="AA293" s="198">
        <f t="shared" si="390"/>
        <v>110.67697950721633</v>
      </c>
      <c r="AB293" s="197">
        <f t="shared" si="390"/>
        <v>109.60303483354704</v>
      </c>
      <c r="AC293" s="198">
        <f t="shared" si="390"/>
        <v>116.91816791863324</v>
      </c>
      <c r="AD293" s="198">
        <f t="shared" si="390"/>
        <v>103.19874147876246</v>
      </c>
      <c r="AE293" s="198">
        <f t="shared" si="390"/>
        <v>95.120072344843749</v>
      </c>
      <c r="AF293" s="198">
        <f t="shared" si="390"/>
        <v>105.10712841935049</v>
      </c>
      <c r="AG293" s="197">
        <f t="shared" si="390"/>
        <v>103.48176869149729</v>
      </c>
      <c r="AH293" s="198">
        <f t="shared" si="390"/>
        <v>106.02371457997729</v>
      </c>
      <c r="AI293" s="198">
        <f t="shared" si="390"/>
        <v>98.96608601198858</v>
      </c>
      <c r="AJ293" s="198">
        <f t="shared" si="390"/>
        <v>94.345924453280347</v>
      </c>
      <c r="AK293" s="197">
        <f t="shared" si="390"/>
        <v>98.467162686850983</v>
      </c>
      <c r="AL293" s="198">
        <f t="shared" si="390"/>
        <v>108.94570493283666</v>
      </c>
      <c r="AM293" s="198">
        <f t="shared" si="390"/>
        <v>106.76445897583174</v>
      </c>
      <c r="AN293" s="198">
        <f t="shared" si="390"/>
        <v>108.95481869303859</v>
      </c>
      <c r="AO293" s="198">
        <f t="shared" si="390"/>
        <v>121.18314112718176</v>
      </c>
      <c r="AP293" s="197">
        <f t="shared" si="390"/>
        <v>104.8648924367819</v>
      </c>
      <c r="AQ293" s="198">
        <f t="shared" si="390"/>
        <v>100.51399114121151</v>
      </c>
      <c r="AR293" s="198">
        <f t="shared" si="390"/>
        <v>107.05911227745575</v>
      </c>
      <c r="AS293" s="198">
        <f t="shared" si="390"/>
        <v>103.42981298983472</v>
      </c>
      <c r="AT293" s="198">
        <f t="shared" si="390"/>
        <v>113.87625551326619</v>
      </c>
      <c r="AU293" s="197">
        <f t="shared" si="390"/>
        <v>106.3937112316155</v>
      </c>
      <c r="AV293" s="199">
        <f t="shared" si="390"/>
        <v>107.29829500567374</v>
      </c>
      <c r="AW293" s="199">
        <f t="shared" si="390"/>
        <v>120.11937768202448</v>
      </c>
      <c r="AX293" s="199">
        <f t="shared" si="390"/>
        <v>114.20329591865878</v>
      </c>
      <c r="AY293" s="199">
        <f t="shared" si="390"/>
        <v>112.69706262877953</v>
      </c>
      <c r="AZ293" s="197">
        <f t="shared" si="390"/>
        <v>113.42350973018574</v>
      </c>
      <c r="BA293" s="199">
        <f t="shared" si="390"/>
        <v>105.37705071936536</v>
      </c>
      <c r="BB293" s="199">
        <f t="shared" si="390"/>
        <v>119.67203444818027</v>
      </c>
      <c r="BC293" s="199">
        <f t="shared" si="390"/>
        <v>113.35491473924834</v>
      </c>
      <c r="BD293" s="199">
        <f t="shared" si="390"/>
        <v>121.19511090991399</v>
      </c>
      <c r="BE293" s="197">
        <f t="shared" si="390"/>
        <v>114.53426515766095</v>
      </c>
      <c r="BF293" s="199">
        <f t="shared" si="390"/>
        <v>101.95620866225731</v>
      </c>
      <c r="BG293" s="199">
        <f t="shared" si="390"/>
        <v>127.19752585986879</v>
      </c>
      <c r="BH293" s="199">
        <f t="shared" si="390"/>
        <v>148.51678630518896</v>
      </c>
      <c r="BI293" s="199">
        <f t="shared" si="390"/>
        <v>177.21094253720543</v>
      </c>
      <c r="BJ293" s="197">
        <f t="shared" si="390"/>
        <v>139.24554197793836</v>
      </c>
      <c r="BK293" s="199">
        <f t="shared" si="390"/>
        <v>172.73596474818649</v>
      </c>
      <c r="BL293" s="199">
        <f t="shared" si="390"/>
        <v>174.84547461368655</v>
      </c>
      <c r="BM293" s="199">
        <f t="shared" si="390"/>
        <v>200.70982743850203</v>
      </c>
      <c r="BN293" s="199">
        <f t="shared" si="390"/>
        <v>186.48699058099413</v>
      </c>
      <c r="BO293" s="197">
        <f>BJ293+39</f>
        <v>178.24554197793836</v>
      </c>
      <c r="BP293" s="199">
        <f t="shared" ref="BP293:CI293" si="391">BP272*10000/BP247</f>
        <v>184.24405721192588</v>
      </c>
      <c r="BQ293" s="199">
        <f t="shared" si="391"/>
        <v>163.43221408735167</v>
      </c>
      <c r="BR293" s="199">
        <f t="shared" si="391"/>
        <v>144.91350411587854</v>
      </c>
      <c r="BS293" s="199">
        <f t="shared" si="391"/>
        <v>157.6946025130685</v>
      </c>
      <c r="BT293" s="197">
        <f t="shared" si="391"/>
        <v>160.98105299083312</v>
      </c>
      <c r="BU293" s="199">
        <f t="shared" si="391"/>
        <v>138.65903780889198</v>
      </c>
      <c r="BV293" s="199">
        <f t="shared" si="391"/>
        <v>146.63311603143916</v>
      </c>
      <c r="BW293" s="199">
        <f t="shared" si="391"/>
        <v>134.72209699761481</v>
      </c>
      <c r="BX293" s="199">
        <f t="shared" si="391"/>
        <v>135.5540161843887</v>
      </c>
      <c r="BY293" s="197">
        <f t="shared" si="391"/>
        <v>138.35441446224658</v>
      </c>
      <c r="BZ293" s="199">
        <f t="shared" si="391"/>
        <v>132.59580601200116</v>
      </c>
      <c r="CA293" s="199">
        <f t="shared" si="391"/>
        <v>140.64535691230267</v>
      </c>
      <c r="CB293" s="199">
        <f t="shared" si="391"/>
        <v>131.59941508911987</v>
      </c>
      <c r="CC293" s="199">
        <f t="shared" si="391"/>
        <v>127.84554975435655</v>
      </c>
      <c r="CD293" s="197">
        <f t="shared" si="391"/>
        <v>132.45270017114356</v>
      </c>
      <c r="CE293" s="199">
        <f t="shared" si="391"/>
        <v>120.47684986018498</v>
      </c>
      <c r="CF293" s="199">
        <f t="shared" si="391"/>
        <v>133.66344068079425</v>
      </c>
      <c r="CG293" s="199">
        <f t="shared" si="391"/>
        <v>124.0254173866899</v>
      </c>
      <c r="CH293" s="199">
        <f t="shared" si="391"/>
        <v>133.33090116900243</v>
      </c>
      <c r="CI293" s="197">
        <f t="shared" si="391"/>
        <v>128.00043457720082</v>
      </c>
      <c r="CJ293" s="202">
        <v>132</v>
      </c>
      <c r="CK293" s="202">
        <v>132</v>
      </c>
      <c r="CL293" s="202">
        <v>135</v>
      </c>
      <c r="CM293" s="202">
        <v>135</v>
      </c>
      <c r="CN293" s="202">
        <v>135</v>
      </c>
      <c r="CO293" s="137"/>
      <c r="CP293" s="137"/>
      <c r="CQ293" s="6"/>
      <c r="CR293" s="6"/>
      <c r="CS293" s="6"/>
      <c r="CT293" s="124"/>
      <c r="CU293" s="124"/>
      <c r="CV293" s="124"/>
      <c r="CW293" s="124"/>
      <c r="CX293" s="124"/>
      <c r="CY293" s="124"/>
      <c r="CZ293" s="124"/>
      <c r="DA293" s="124"/>
      <c r="DB293" s="124"/>
      <c r="DC293" s="124"/>
      <c r="DD293" s="124"/>
      <c r="DE293" s="124"/>
      <c r="DF293" s="124"/>
      <c r="DG293" s="124"/>
      <c r="DH293" s="124"/>
      <c r="DI293" s="124"/>
      <c r="DK293" s="124"/>
      <c r="DL293" s="124"/>
      <c r="DM293" s="6"/>
      <c r="DN293" s="124"/>
      <c r="DO293" s="124"/>
      <c r="DQ293" s="136"/>
      <c r="DR293" s="124"/>
      <c r="DS293" s="124"/>
      <c r="DT293" s="124"/>
      <c r="DV293" s="124"/>
      <c r="DW293" s="124"/>
      <c r="DX293" s="124"/>
      <c r="EA293" s="111"/>
      <c r="EB293" s="111"/>
      <c r="EC293" s="111"/>
      <c r="ED293" s="124"/>
      <c r="EE293" s="124"/>
      <c r="EF293" s="124"/>
      <c r="EJ293" s="111"/>
      <c r="EK293" s="111"/>
      <c r="EL293" s="124"/>
      <c r="EM293" s="124"/>
      <c r="EN293" s="124"/>
      <c r="EP293" s="111"/>
      <c r="EQ293" s="124"/>
      <c r="ER293" s="124"/>
      <c r="ES293" s="124"/>
      <c r="EV293" s="111"/>
      <c r="EW293" s="111"/>
      <c r="EX293" s="111"/>
      <c r="EY293" s="111"/>
      <c r="EZ293" s="124"/>
      <c r="FA293" s="124"/>
      <c r="FD293" s="111">
        <v>-7.3200119094141769</v>
      </c>
      <c r="FE293" s="111"/>
      <c r="FF293" s="111"/>
      <c r="FG293" s="124"/>
      <c r="FH293" s="124"/>
      <c r="FK293" s="124"/>
      <c r="FL293" s="124"/>
      <c r="FO293" s="111">
        <v>116.17203444818027</v>
      </c>
      <c r="FP293" s="111">
        <v>118.17203444818027</v>
      </c>
      <c r="FQ293" s="124"/>
      <c r="FR293" s="124"/>
      <c r="FU293" s="111">
        <v>116.35491473924834</v>
      </c>
      <c r="FV293" s="124">
        <v>119.35491473924834</v>
      </c>
      <c r="FW293" s="124">
        <v>105.35491473924834</v>
      </c>
      <c r="FX293" s="124">
        <v>115</v>
      </c>
      <c r="FY293" s="124">
        <v>115</v>
      </c>
      <c r="GA293" s="124">
        <v>107.53426515766095</v>
      </c>
      <c r="GB293" s="124">
        <v>107.53426515766095</v>
      </c>
      <c r="GC293" s="124">
        <v>109.53426515766095</v>
      </c>
      <c r="GF293" s="111"/>
      <c r="GG293" s="111"/>
      <c r="GH293" s="111"/>
      <c r="GI293" s="124">
        <v>107.53426515766095</v>
      </c>
      <c r="GJ293" s="124">
        <v>107.53426515766095</v>
      </c>
      <c r="GK293" s="124">
        <v>109.53426515766095</v>
      </c>
      <c r="GN293" s="111"/>
      <c r="GO293" s="111"/>
      <c r="GP293" s="124">
        <v>114.53426515766095</v>
      </c>
      <c r="GQ293" s="124">
        <v>114.53426515766095</v>
      </c>
      <c r="GR293" s="124">
        <v>116.53426515766095</v>
      </c>
      <c r="GV293" s="111">
        <v>157.93983145492919</v>
      </c>
      <c r="GW293" s="124">
        <v>134.53426515766097</v>
      </c>
      <c r="GX293" s="124">
        <v>127.53426515766097</v>
      </c>
      <c r="GY293" s="124">
        <v>129.53426515766097</v>
      </c>
      <c r="HC293" s="124">
        <v>0</v>
      </c>
      <c r="HD293" s="124">
        <v>178.24554197793836</v>
      </c>
      <c r="HE293" s="124">
        <v>180.24554197793836</v>
      </c>
      <c r="HF293" s="124">
        <v>182.24554197793836</v>
      </c>
      <c r="HI293" s="111"/>
      <c r="HJ293" s="111"/>
      <c r="HK293" s="111"/>
      <c r="HL293" s="111"/>
      <c r="HM293" s="124">
        <v>175</v>
      </c>
      <c r="HN293" s="124">
        <v>177</v>
      </c>
      <c r="HO293" s="124">
        <v>179</v>
      </c>
      <c r="HR293" s="111"/>
      <c r="HS293" s="111"/>
      <c r="HT293" s="111"/>
      <c r="HU293" s="124">
        <v>135</v>
      </c>
      <c r="HV293" s="124">
        <v>137</v>
      </c>
      <c r="HW293" s="124">
        <v>139</v>
      </c>
      <c r="HZ293" s="111"/>
      <c r="IA293" s="124">
        <v>170</v>
      </c>
      <c r="IB293" s="124">
        <v>160</v>
      </c>
      <c r="IC293" s="124">
        <v>162</v>
      </c>
      <c r="IE293" s="111"/>
      <c r="IF293" s="124">
        <v>170</v>
      </c>
      <c r="IG293" s="124">
        <v>160</v>
      </c>
      <c r="IH293" s="124">
        <v>162</v>
      </c>
      <c r="IK293" s="124">
        <v>160</v>
      </c>
      <c r="IL293" s="124">
        <v>162</v>
      </c>
      <c r="IO293" s="124">
        <v>165</v>
      </c>
      <c r="IP293" s="124">
        <v>167</v>
      </c>
      <c r="IS293" s="160">
        <v>223</v>
      </c>
      <c r="IT293" s="160">
        <v>225</v>
      </c>
      <c r="IU293" s="160">
        <v>227</v>
      </c>
      <c r="IX293" s="124">
        <v>137.4605424832375</v>
      </c>
      <c r="IY293" s="124">
        <v>139</v>
      </c>
      <c r="IZ293" s="124">
        <v>141</v>
      </c>
      <c r="JA293" s="124">
        <v>143</v>
      </c>
      <c r="JD293" s="124">
        <v>140.35441446224658</v>
      </c>
      <c r="JE293" s="124">
        <v>142.35441446224658</v>
      </c>
      <c r="JH293" s="124">
        <v>140.35441446224658</v>
      </c>
      <c r="JI293" s="124">
        <v>142.35441446224658</v>
      </c>
      <c r="JJ293" s="124">
        <v>144.35441446224658</v>
      </c>
      <c r="JM293" s="124">
        <v>142.35441446224658</v>
      </c>
      <c r="JN293" s="124">
        <v>144.35441446224658</v>
      </c>
      <c r="JQ293" s="124">
        <v>140.35441446224658</v>
      </c>
      <c r="JR293" s="124">
        <v>140.35441446224658</v>
      </c>
      <c r="JS293" s="124">
        <v>140.35441446224658</v>
      </c>
      <c r="JV293" s="124">
        <v>140.35441446224658</v>
      </c>
      <c r="JW293" s="124">
        <v>140.35441446224658</v>
      </c>
      <c r="JY293" s="124">
        <v>140.35441446224658</v>
      </c>
      <c r="JZ293" s="124">
        <v>140.35441446224658</v>
      </c>
      <c r="KB293" s="124">
        <v>140.35441446224658</v>
      </c>
      <c r="KC293" s="124">
        <v>140.35441446224658</v>
      </c>
      <c r="KD293" s="124">
        <v>140.35441446224658</v>
      </c>
    </row>
    <row r="294" spans="2:290" x14ac:dyDescent="0.25">
      <c r="B294" s="11" t="s">
        <v>224</v>
      </c>
      <c r="C294" s="23"/>
      <c r="D294" s="23"/>
      <c r="E294" s="23"/>
      <c r="F294" s="23"/>
      <c r="G294" s="23"/>
      <c r="H294" s="197"/>
      <c r="I294" s="198"/>
      <c r="J294" s="198"/>
      <c r="K294" s="198"/>
      <c r="L294" s="198"/>
      <c r="M294" s="197"/>
      <c r="N294" s="198"/>
      <c r="O294" s="198"/>
      <c r="P294" s="198"/>
      <c r="Q294" s="198"/>
      <c r="R294" s="197"/>
      <c r="S294" s="198"/>
      <c r="T294" s="198"/>
      <c r="U294" s="198"/>
      <c r="V294" s="198"/>
      <c r="W294" s="197">
        <f t="shared" ref="W294:BN294" si="392">W273*10000/W249</f>
        <v>151.50001248969599</v>
      </c>
      <c r="X294" s="198">
        <f t="shared" si="392"/>
        <v>179.00080149612612</v>
      </c>
      <c r="Y294" s="198">
        <f t="shared" si="392"/>
        <v>172.97018200593777</v>
      </c>
      <c r="Z294" s="198">
        <f t="shared" si="392"/>
        <v>173.90398833697802</v>
      </c>
      <c r="AA294" s="198">
        <f t="shared" si="392"/>
        <v>187.84153005464481</v>
      </c>
      <c r="AB294" s="197">
        <f t="shared" si="392"/>
        <v>178.46519928613921</v>
      </c>
      <c r="AC294" s="198">
        <f t="shared" si="392"/>
        <v>186.35990139687758</v>
      </c>
      <c r="AD294" s="198">
        <f t="shared" si="392"/>
        <v>180.86080586080587</v>
      </c>
      <c r="AE294" s="198">
        <f t="shared" si="392"/>
        <v>162.10275666269806</v>
      </c>
      <c r="AF294" s="198">
        <f t="shared" si="392"/>
        <v>165.66265060240963</v>
      </c>
      <c r="AG294" s="197">
        <f t="shared" si="392"/>
        <v>172.87429943955163</v>
      </c>
      <c r="AH294" s="198">
        <f t="shared" si="392"/>
        <v>167.91866028708134</v>
      </c>
      <c r="AI294" s="198">
        <f t="shared" si="392"/>
        <v>163.18537859007833</v>
      </c>
      <c r="AJ294" s="198">
        <f t="shared" si="392"/>
        <v>149.99500948198425</v>
      </c>
      <c r="AK294" s="197">
        <f t="shared" si="392"/>
        <v>159.62978609009565</v>
      </c>
      <c r="AL294" s="198">
        <f t="shared" si="392"/>
        <v>183.12844425604069</v>
      </c>
      <c r="AM294" s="198">
        <f t="shared" si="392"/>
        <v>174.67582843843513</v>
      </c>
      <c r="AN294" s="198">
        <f t="shared" si="392"/>
        <v>154.35723114956735</v>
      </c>
      <c r="AO294" s="198">
        <f t="shared" si="392"/>
        <v>173.60636035869464</v>
      </c>
      <c r="AP294" s="197">
        <f t="shared" si="392"/>
        <v>160.08362405089269</v>
      </c>
      <c r="AQ294" s="198">
        <f t="shared" si="392"/>
        <v>166.46958613087483</v>
      </c>
      <c r="AR294" s="198">
        <f t="shared" si="392"/>
        <v>175.39539729141018</v>
      </c>
      <c r="AS294" s="198">
        <f t="shared" si="392"/>
        <v>199.24532203039388</v>
      </c>
      <c r="AT294" s="198">
        <f t="shared" si="392"/>
        <v>179.13427190586259</v>
      </c>
      <c r="AU294" s="197">
        <f t="shared" si="392"/>
        <v>179.78106455673438</v>
      </c>
      <c r="AV294" s="199">
        <f t="shared" si="392"/>
        <v>185.69799641635444</v>
      </c>
      <c r="AW294" s="199">
        <f t="shared" si="392"/>
        <v>222.14267004278355</v>
      </c>
      <c r="AX294" s="199">
        <f t="shared" si="392"/>
        <v>201.28477491148203</v>
      </c>
      <c r="AY294" s="199">
        <f t="shared" si="392"/>
        <v>183.73521591638396</v>
      </c>
      <c r="AZ294" s="197">
        <f t="shared" si="392"/>
        <v>198.77366754261843</v>
      </c>
      <c r="BA294" s="199">
        <f t="shared" si="392"/>
        <v>181.56042048413539</v>
      </c>
      <c r="BB294" s="199">
        <f t="shared" si="392"/>
        <v>169.89852305837437</v>
      </c>
      <c r="BC294" s="199">
        <f t="shared" si="392"/>
        <v>177.88887626406091</v>
      </c>
      <c r="BD294" s="199">
        <f t="shared" si="392"/>
        <v>167.75858436907521</v>
      </c>
      <c r="BE294" s="197">
        <f t="shared" si="392"/>
        <v>174.32477924230264</v>
      </c>
      <c r="BF294" s="199">
        <f t="shared" si="392"/>
        <v>147.75681341719078</v>
      </c>
      <c r="BG294" s="199">
        <f t="shared" si="392"/>
        <v>160.788657509969</v>
      </c>
      <c r="BH294" s="199">
        <f t="shared" si="392"/>
        <v>185.37590113285273</v>
      </c>
      <c r="BI294" s="199">
        <f t="shared" si="392"/>
        <v>213.249417927823</v>
      </c>
      <c r="BJ294" s="197">
        <f t="shared" si="392"/>
        <v>183.61921304672987</v>
      </c>
      <c r="BK294" s="199">
        <f t="shared" si="392"/>
        <v>209.12531539108491</v>
      </c>
      <c r="BL294" s="199">
        <f t="shared" si="392"/>
        <v>204.15657788539144</v>
      </c>
      <c r="BM294" s="199">
        <f t="shared" si="392"/>
        <v>219.97573797007684</v>
      </c>
      <c r="BN294" s="199">
        <f t="shared" si="392"/>
        <v>218.17917605173287</v>
      </c>
      <c r="BO294" s="197">
        <f>BJ294+45</f>
        <v>228.61921304672987</v>
      </c>
      <c r="BP294" s="199">
        <f t="shared" ref="BP294:CI294" si="393">BP273*10000/BP249</f>
        <v>234.2919153553988</v>
      </c>
      <c r="BQ294" s="199">
        <f t="shared" si="393"/>
        <v>226.7777326290126</v>
      </c>
      <c r="BR294" s="199">
        <f t="shared" si="393"/>
        <v>227.14913763949946</v>
      </c>
      <c r="BS294" s="199">
        <f t="shared" si="393"/>
        <v>223.32808335352556</v>
      </c>
      <c r="BT294" s="197">
        <f t="shared" si="393"/>
        <v>227.54918588873815</v>
      </c>
      <c r="BU294" s="199">
        <f t="shared" si="393"/>
        <v>222.61167872324557</v>
      </c>
      <c r="BV294" s="199">
        <f t="shared" si="393"/>
        <v>211.22204213938411</v>
      </c>
      <c r="BW294" s="199">
        <f t="shared" si="393"/>
        <v>204.51604953484073</v>
      </c>
      <c r="BX294" s="199">
        <f t="shared" si="393"/>
        <v>208.38124592495998</v>
      </c>
      <c r="BY294" s="197">
        <f t="shared" si="393"/>
        <v>211.15667786101781</v>
      </c>
      <c r="BZ294" s="199">
        <f t="shared" si="393"/>
        <v>204.75840406335627</v>
      </c>
      <c r="CA294" s="199">
        <f t="shared" si="393"/>
        <v>216.78358702845799</v>
      </c>
      <c r="CB294" s="199">
        <f t="shared" si="393"/>
        <v>204.76865257839935</v>
      </c>
      <c r="CC294" s="199">
        <f t="shared" si="393"/>
        <v>207.42161740902824</v>
      </c>
      <c r="CD294" s="197">
        <f t="shared" si="393"/>
        <v>204.13243714214587</v>
      </c>
      <c r="CE294" s="199">
        <f t="shared" si="393"/>
        <v>186.41982939794781</v>
      </c>
      <c r="CF294" s="199">
        <f t="shared" si="393"/>
        <v>202.88647950025131</v>
      </c>
      <c r="CG294" s="199">
        <f t="shared" si="393"/>
        <v>217.43350805668803</v>
      </c>
      <c r="CH294" s="199">
        <f t="shared" si="393"/>
        <v>195.1287214934959</v>
      </c>
      <c r="CI294" s="197">
        <f t="shared" si="393"/>
        <v>189.79019109982627</v>
      </c>
      <c r="CJ294" s="202">
        <v>200</v>
      </c>
      <c r="CK294" s="202">
        <v>200</v>
      </c>
      <c r="CL294" s="202">
        <v>195</v>
      </c>
      <c r="CM294" s="202">
        <v>200</v>
      </c>
      <c r="CN294" s="202">
        <v>200</v>
      </c>
      <c r="CO294" s="137"/>
      <c r="CP294" s="137"/>
      <c r="CQ294" s="6"/>
      <c r="CR294" s="6"/>
      <c r="CS294" s="6"/>
      <c r="CT294" s="124"/>
      <c r="CU294" s="124"/>
      <c r="CV294" s="124"/>
      <c r="CW294" s="124"/>
      <c r="CX294" s="124"/>
      <c r="CY294" s="124"/>
      <c r="CZ294" s="124"/>
      <c r="DA294" s="124"/>
      <c r="DB294" s="124"/>
      <c r="DC294" s="124"/>
      <c r="DD294" s="124"/>
      <c r="DE294" s="124"/>
      <c r="DF294" s="124"/>
      <c r="DG294" s="124"/>
      <c r="DH294" s="124"/>
      <c r="DI294" s="124"/>
      <c r="DK294" s="124"/>
      <c r="DL294" s="124"/>
      <c r="DM294" s="6"/>
      <c r="DN294" s="124"/>
      <c r="DO294" s="124"/>
      <c r="DQ294" s="136"/>
      <c r="DR294" s="124"/>
      <c r="DS294" s="124"/>
      <c r="DT294" s="124"/>
      <c r="DV294" s="124"/>
      <c r="DW294" s="124"/>
      <c r="DX294" s="124"/>
      <c r="EA294" s="111"/>
      <c r="EB294" s="111"/>
      <c r="EC294" s="111"/>
      <c r="ED294" s="124"/>
      <c r="EE294" s="124"/>
      <c r="EF294" s="124"/>
      <c r="EJ294" s="111"/>
      <c r="EK294" s="111"/>
      <c r="EL294" s="124"/>
      <c r="EM294" s="124"/>
      <c r="EN294" s="124"/>
      <c r="EP294" s="111"/>
      <c r="EQ294" s="124"/>
      <c r="ER294" s="124"/>
      <c r="ES294" s="124"/>
      <c r="EV294" s="111"/>
      <c r="EW294" s="111"/>
      <c r="EX294" s="111"/>
      <c r="EY294" s="111"/>
      <c r="EZ294" s="124"/>
      <c r="FA294" s="124"/>
      <c r="FD294" s="111">
        <v>-2.1747954322485725</v>
      </c>
      <c r="FE294" s="111"/>
      <c r="FF294" s="111"/>
      <c r="FG294" s="124"/>
      <c r="FH294" s="124"/>
      <c r="FK294" s="124"/>
      <c r="FL294" s="124"/>
      <c r="FO294" s="111">
        <v>169.89852305837437</v>
      </c>
      <c r="FP294" s="111">
        <v>169.89852305837437</v>
      </c>
      <c r="FQ294" s="124"/>
      <c r="FR294" s="124"/>
      <c r="FU294" s="111">
        <v>180.88887626406091</v>
      </c>
      <c r="FV294" s="124">
        <v>183.88887626406091</v>
      </c>
      <c r="FW294" s="124">
        <v>169.88887626406091</v>
      </c>
      <c r="FX294" s="124">
        <v>185</v>
      </c>
      <c r="FY294" s="124">
        <v>185</v>
      </c>
      <c r="GA294" s="124">
        <v>166.32477924230264</v>
      </c>
      <c r="GB294" s="124">
        <v>166.32477924230264</v>
      </c>
      <c r="GC294" s="124">
        <v>168.32477924230264</v>
      </c>
      <c r="GF294" s="111"/>
      <c r="GG294" s="111"/>
      <c r="GH294" s="111"/>
      <c r="GI294" s="124">
        <v>166.32477924230264</v>
      </c>
      <c r="GJ294" s="124">
        <v>166.32477924230264</v>
      </c>
      <c r="GK294" s="124">
        <v>168.32477924230264</v>
      </c>
      <c r="GN294" s="111"/>
      <c r="GO294" s="111"/>
      <c r="GP294" s="124">
        <v>174.32477924230264</v>
      </c>
      <c r="GQ294" s="124">
        <v>174.32477924230264</v>
      </c>
      <c r="GR294" s="124">
        <v>176.32477924230264</v>
      </c>
      <c r="GV294" s="111">
        <v>193.81383016366991</v>
      </c>
      <c r="GW294" s="124">
        <v>134.32477924230264</v>
      </c>
      <c r="GX294" s="124">
        <v>169.32477924230264</v>
      </c>
      <c r="GY294" s="124">
        <v>171.32477924230264</v>
      </c>
      <c r="HC294" s="124">
        <v>0</v>
      </c>
      <c r="HD294" s="124">
        <v>228.61921304672987</v>
      </c>
      <c r="HE294" s="124">
        <v>230.61921304672987</v>
      </c>
      <c r="HF294" s="124">
        <v>232.61921304672987</v>
      </c>
      <c r="HI294" s="111"/>
      <c r="HJ294" s="111"/>
      <c r="HK294" s="111"/>
      <c r="HL294" s="111"/>
      <c r="HM294" s="124">
        <v>220</v>
      </c>
      <c r="HN294" s="124">
        <v>222</v>
      </c>
      <c r="HO294" s="124">
        <v>224</v>
      </c>
      <c r="HR294" s="111"/>
      <c r="HS294" s="111"/>
      <c r="HT294" s="111"/>
      <c r="HU294" s="124">
        <v>220</v>
      </c>
      <c r="HV294" s="124">
        <v>200</v>
      </c>
      <c r="HW294" s="124">
        <v>202</v>
      </c>
      <c r="HZ294" s="111"/>
      <c r="IA294" s="124">
        <v>220</v>
      </c>
      <c r="IB294" s="124">
        <v>200</v>
      </c>
      <c r="IC294" s="124">
        <v>202</v>
      </c>
      <c r="IE294" s="111"/>
      <c r="IF294" s="124">
        <v>220</v>
      </c>
      <c r="IG294" s="124">
        <v>200</v>
      </c>
      <c r="IH294" s="124">
        <v>202</v>
      </c>
      <c r="IK294" s="124">
        <v>200</v>
      </c>
      <c r="IL294" s="124">
        <v>202</v>
      </c>
      <c r="IO294" s="124">
        <v>223</v>
      </c>
      <c r="IP294" s="124">
        <v>225</v>
      </c>
      <c r="IS294" s="160">
        <v>239</v>
      </c>
      <c r="IT294" s="160">
        <v>241</v>
      </c>
      <c r="IU294" s="160">
        <v>243</v>
      </c>
      <c r="IX294" s="124">
        <v>213.49311189675359</v>
      </c>
      <c r="IY294" s="124">
        <v>217</v>
      </c>
      <c r="IZ294" s="124">
        <v>219</v>
      </c>
      <c r="JA294" s="124">
        <v>221</v>
      </c>
      <c r="JD294" s="124">
        <v>213.15667786101781</v>
      </c>
      <c r="JE294" s="124">
        <v>215.15667786101781</v>
      </c>
      <c r="JH294" s="124">
        <v>213.15667786101781</v>
      </c>
      <c r="JI294" s="124">
        <v>215.15667786101781</v>
      </c>
      <c r="JJ294" s="124">
        <v>217.15667786101781</v>
      </c>
      <c r="JM294" s="124">
        <v>215.15667786101781</v>
      </c>
      <c r="JN294" s="124">
        <v>217.15667786101781</v>
      </c>
      <c r="JQ294" s="124">
        <v>213.15667786101781</v>
      </c>
      <c r="JR294" s="124">
        <v>213.15667786101781</v>
      </c>
      <c r="JS294" s="124">
        <v>213.15667786101781</v>
      </c>
      <c r="JV294" s="124">
        <v>213.15667786101781</v>
      </c>
      <c r="JW294" s="124">
        <v>213.15667786101781</v>
      </c>
      <c r="JY294" s="124">
        <v>213.15667786101781</v>
      </c>
      <c r="JZ294" s="124">
        <v>213.15667786101781</v>
      </c>
      <c r="KB294" s="124">
        <v>213.15667786101781</v>
      </c>
      <c r="KC294" s="124">
        <v>213.15667786101781</v>
      </c>
      <c r="KD294" s="124">
        <v>213.15667786101781</v>
      </c>
    </row>
    <row r="295" spans="2:290" x14ac:dyDescent="0.25">
      <c r="B295" s="11" t="s">
        <v>223</v>
      </c>
      <c r="C295" s="23"/>
      <c r="D295" s="23"/>
      <c r="E295" s="23"/>
      <c r="F295" s="23"/>
      <c r="G295" s="23"/>
      <c r="H295" s="197"/>
      <c r="I295" s="198"/>
      <c r="J295" s="198"/>
      <c r="K295" s="198"/>
      <c r="L295" s="198"/>
      <c r="M295" s="197"/>
      <c r="N295" s="198"/>
      <c r="O295" s="198"/>
      <c r="P295" s="198"/>
      <c r="Q295" s="198"/>
      <c r="R295" s="197"/>
      <c r="S295" s="198"/>
      <c r="T295" s="198"/>
      <c r="U295" s="198"/>
      <c r="V295" s="198"/>
      <c r="W295" s="197">
        <f t="shared" ref="W295:BN295" si="394">W274*10000/W248</f>
        <v>169.4628029147602</v>
      </c>
      <c r="X295" s="198">
        <f t="shared" si="394"/>
        <v>186.55097613882864</v>
      </c>
      <c r="Y295" s="198">
        <f t="shared" si="394"/>
        <v>202.88659793814432</v>
      </c>
      <c r="Z295" s="198">
        <f t="shared" si="394"/>
        <v>229.07900888265544</v>
      </c>
      <c r="AA295" s="198">
        <f t="shared" si="394"/>
        <v>214.92805755395685</v>
      </c>
      <c r="AB295" s="197">
        <f t="shared" si="394"/>
        <v>209.21582808141338</v>
      </c>
      <c r="AC295" s="198">
        <f t="shared" si="394"/>
        <v>213.00454423950816</v>
      </c>
      <c r="AD295" s="198">
        <f t="shared" si="394"/>
        <v>208.00872545964475</v>
      </c>
      <c r="AE295" s="198">
        <f t="shared" si="394"/>
        <v>203.79413974455298</v>
      </c>
      <c r="AF295" s="198">
        <f t="shared" si="394"/>
        <v>204.85873124666819</v>
      </c>
      <c r="AG295" s="197">
        <f t="shared" si="394"/>
        <v>206.90069619248476</v>
      </c>
      <c r="AH295" s="198">
        <f t="shared" si="394"/>
        <v>203.93771715351949</v>
      </c>
      <c r="AI295" s="198">
        <f t="shared" si="394"/>
        <v>208.0186736235068</v>
      </c>
      <c r="AJ295" s="198">
        <f t="shared" si="394"/>
        <v>203.56091277143909</v>
      </c>
      <c r="AK295" s="197">
        <f t="shared" si="394"/>
        <v>205.60457762385184</v>
      </c>
      <c r="AL295" s="198">
        <f t="shared" si="394"/>
        <v>238.93006218587615</v>
      </c>
      <c r="AM295" s="198">
        <f t="shared" si="394"/>
        <v>196.16821303771539</v>
      </c>
      <c r="AN295" s="198">
        <f t="shared" si="394"/>
        <v>202.56309919780861</v>
      </c>
      <c r="AO295" s="198">
        <f t="shared" si="394"/>
        <v>233.09922417313189</v>
      </c>
      <c r="AP295" s="197">
        <f t="shared" si="394"/>
        <v>206.07778897849462</v>
      </c>
      <c r="AQ295" s="198">
        <f t="shared" si="394"/>
        <v>207.35024849594558</v>
      </c>
      <c r="AR295" s="198">
        <f t="shared" si="394"/>
        <v>200.21393358757325</v>
      </c>
      <c r="AS295" s="198">
        <f t="shared" si="394"/>
        <v>182.54031796866064</v>
      </c>
      <c r="AT295" s="198">
        <f t="shared" si="394"/>
        <v>240.99755501222495</v>
      </c>
      <c r="AU295" s="197">
        <f t="shared" si="394"/>
        <v>204.19779295427691</v>
      </c>
      <c r="AV295" s="199">
        <f t="shared" si="394"/>
        <v>205.58235154582115</v>
      </c>
      <c r="AW295" s="199">
        <f t="shared" si="394"/>
        <v>198.85090491238151</v>
      </c>
      <c r="AX295" s="199">
        <f t="shared" si="394"/>
        <v>195.92136337524732</v>
      </c>
      <c r="AY295" s="199">
        <f t="shared" si="394"/>
        <v>197.70828712944481</v>
      </c>
      <c r="AZ295" s="197">
        <f t="shared" si="394"/>
        <v>199.29615178639736</v>
      </c>
      <c r="BA295" s="199">
        <f t="shared" si="394"/>
        <v>192.31855629658691</v>
      </c>
      <c r="BB295" s="199">
        <f t="shared" si="394"/>
        <v>178.94594105948292</v>
      </c>
      <c r="BC295" s="199">
        <f t="shared" si="394"/>
        <v>188.20050003048965</v>
      </c>
      <c r="BD295" s="199">
        <f t="shared" si="394"/>
        <v>186.22050775993543</v>
      </c>
      <c r="BE295" s="197">
        <f t="shared" si="394"/>
        <v>186.7992132884155</v>
      </c>
      <c r="BF295" s="199">
        <f t="shared" si="394"/>
        <v>184.21724612060498</v>
      </c>
      <c r="BG295" s="199">
        <f t="shared" si="394"/>
        <v>179.62251817958983</v>
      </c>
      <c r="BH295" s="199">
        <f t="shared" si="394"/>
        <v>189.45487042001787</v>
      </c>
      <c r="BI295" s="199">
        <f t="shared" si="394"/>
        <v>198.20183016573878</v>
      </c>
      <c r="BJ295" s="197">
        <f t="shared" si="394"/>
        <v>188.76588915434135</v>
      </c>
      <c r="BK295" s="199">
        <f t="shared" si="394"/>
        <v>211.69788414845647</v>
      </c>
      <c r="BL295" s="199">
        <f t="shared" si="394"/>
        <v>214.86245641224329</v>
      </c>
      <c r="BM295" s="199">
        <f t="shared" si="394"/>
        <v>222.97215861154635</v>
      </c>
      <c r="BN295" s="199">
        <f t="shared" si="394"/>
        <v>242.91371563475747</v>
      </c>
      <c r="BO295" s="197">
        <f>BJ295+45</f>
        <v>233.76588915434135</v>
      </c>
      <c r="BP295" s="199">
        <f t="shared" ref="BP295:CI295" si="395">BP274*10000/BP248</f>
        <v>253.63749417068243</v>
      </c>
      <c r="BQ295" s="199">
        <f t="shared" si="395"/>
        <v>246.53681281492067</v>
      </c>
      <c r="BR295" s="199">
        <f t="shared" si="395"/>
        <v>235.03815219632918</v>
      </c>
      <c r="BS295" s="199">
        <f t="shared" si="395"/>
        <v>238.74519657109076</v>
      </c>
      <c r="BT295" s="197">
        <f t="shared" si="395"/>
        <v>243.19346631761368</v>
      </c>
      <c r="BU295" s="199">
        <f t="shared" si="395"/>
        <v>238.13384433962264</v>
      </c>
      <c r="BV295" s="199">
        <f t="shared" si="395"/>
        <v>236.54130288784418</v>
      </c>
      <c r="BW295" s="199">
        <f t="shared" si="395"/>
        <v>235.99813308441125</v>
      </c>
      <c r="BX295" s="199">
        <f t="shared" si="395"/>
        <v>250.08969503687464</v>
      </c>
      <c r="BY295" s="197">
        <f t="shared" si="395"/>
        <v>240.25672141794999</v>
      </c>
      <c r="BZ295" s="199">
        <f t="shared" si="395"/>
        <v>250.11211524087787</v>
      </c>
      <c r="CA295" s="199">
        <f t="shared" si="395"/>
        <v>240.98113662387755</v>
      </c>
      <c r="CB295" s="199">
        <f t="shared" si="395"/>
        <v>244.6041397948529</v>
      </c>
      <c r="CC295" s="199">
        <f t="shared" si="395"/>
        <v>269.41563369592717</v>
      </c>
      <c r="CD295" s="197">
        <f t="shared" si="395"/>
        <v>259.46509770686311</v>
      </c>
      <c r="CE295" s="199">
        <f t="shared" si="395"/>
        <v>274.11427401187797</v>
      </c>
      <c r="CF295" s="199">
        <f t="shared" si="395"/>
        <v>241.96642685851319</v>
      </c>
      <c r="CG295" s="199">
        <f t="shared" si="395"/>
        <v>235.89185265831972</v>
      </c>
      <c r="CH295" s="199">
        <f t="shared" si="395"/>
        <v>276.43535604089783</v>
      </c>
      <c r="CI295" s="197">
        <f t="shared" si="395"/>
        <v>271.18960335546086</v>
      </c>
      <c r="CJ295" s="202">
        <v>250</v>
      </c>
      <c r="CK295" s="202">
        <v>250</v>
      </c>
      <c r="CL295" s="202">
        <v>255</v>
      </c>
      <c r="CM295" s="202">
        <v>255</v>
      </c>
      <c r="CN295" s="202">
        <v>255</v>
      </c>
      <c r="CO295" s="137"/>
      <c r="CP295" s="137"/>
      <c r="CQ295" s="6"/>
      <c r="CR295" s="6"/>
      <c r="CS295" s="6"/>
      <c r="CT295" s="124"/>
      <c r="CU295" s="124"/>
      <c r="CV295" s="124"/>
      <c r="CW295" s="124"/>
      <c r="CX295" s="124"/>
      <c r="CY295" s="124"/>
      <c r="CZ295" s="124"/>
      <c r="DA295" s="124"/>
      <c r="DB295" s="124"/>
      <c r="DC295" s="124"/>
      <c r="DD295" s="124"/>
      <c r="DE295" s="124"/>
      <c r="DF295" s="124"/>
      <c r="DG295" s="124"/>
      <c r="DH295" s="124"/>
      <c r="DI295" s="124"/>
      <c r="DK295" s="124"/>
      <c r="DL295" s="124"/>
      <c r="DM295" s="6"/>
      <c r="DN295" s="124"/>
      <c r="DO295" s="124"/>
      <c r="DQ295" s="136"/>
      <c r="DR295" s="124"/>
      <c r="DS295" s="124"/>
      <c r="DT295" s="124"/>
      <c r="DV295" s="124"/>
      <c r="DW295" s="124"/>
      <c r="DX295" s="124"/>
      <c r="EA295" s="111"/>
      <c r="EB295" s="111"/>
      <c r="EC295" s="111"/>
      <c r="ED295" s="124"/>
      <c r="EE295" s="124"/>
      <c r="EF295" s="124"/>
      <c r="EJ295" s="111"/>
      <c r="EK295" s="111"/>
      <c r="EL295" s="124"/>
      <c r="EM295" s="124"/>
      <c r="EN295" s="124"/>
      <c r="EP295" s="111"/>
      <c r="EQ295" s="124"/>
      <c r="ER295" s="124"/>
      <c r="ES295" s="124"/>
      <c r="EV295" s="111"/>
      <c r="EW295" s="111"/>
      <c r="EX295" s="111"/>
      <c r="EY295" s="111"/>
      <c r="EZ295" s="124"/>
      <c r="FA295" s="124"/>
      <c r="FD295" s="111">
        <v>-5.3897308328579072</v>
      </c>
      <c r="FE295" s="111"/>
      <c r="FF295" s="111"/>
      <c r="FG295" s="124"/>
      <c r="FH295" s="124"/>
      <c r="FK295" s="124"/>
      <c r="FL295" s="124"/>
      <c r="FO295" s="111">
        <v>184.94594105948292</v>
      </c>
      <c r="FP295" s="111">
        <v>184.94594105948292</v>
      </c>
      <c r="FQ295" s="124"/>
      <c r="FR295" s="124"/>
      <c r="FU295" s="111">
        <v>190.20050003048965</v>
      </c>
      <c r="FV295" s="124">
        <v>192.20050003048965</v>
      </c>
      <c r="FW295" s="124">
        <v>178.20050003048965</v>
      </c>
      <c r="FX295" s="124">
        <v>192</v>
      </c>
      <c r="FY295" s="124">
        <v>192</v>
      </c>
      <c r="GA295" s="124">
        <v>178.7992132884155</v>
      </c>
      <c r="GB295" s="124">
        <v>178.7992132884155</v>
      </c>
      <c r="GC295" s="124">
        <v>180.7992132884155</v>
      </c>
      <c r="GF295" s="111"/>
      <c r="GG295" s="111"/>
      <c r="GH295" s="111"/>
      <c r="GI295" s="124">
        <v>178.7992132884155</v>
      </c>
      <c r="GJ295" s="124">
        <v>178.7992132884155</v>
      </c>
      <c r="GK295" s="124">
        <v>180.7992132884155</v>
      </c>
      <c r="GN295" s="111"/>
      <c r="GO295" s="111"/>
      <c r="GP295" s="124">
        <v>186.7992132884155</v>
      </c>
      <c r="GQ295" s="124">
        <v>186.7992132884155</v>
      </c>
      <c r="GR295" s="124">
        <v>188.7992132884155</v>
      </c>
      <c r="GV295" s="111">
        <v>193.57469819073279</v>
      </c>
      <c r="GW295" s="124">
        <v>246.7992132884155</v>
      </c>
      <c r="GX295" s="124">
        <v>196.7992132884155</v>
      </c>
      <c r="GY295" s="124">
        <v>198.7992132884155</v>
      </c>
      <c r="HC295" s="124">
        <v>0</v>
      </c>
      <c r="HD295" s="124">
        <v>233.76588915434135</v>
      </c>
      <c r="HE295" s="124">
        <v>235.76588915434135</v>
      </c>
      <c r="HF295" s="124">
        <v>237.76588915434135</v>
      </c>
      <c r="HI295" s="111"/>
      <c r="HJ295" s="111"/>
      <c r="HK295" s="111"/>
      <c r="HL295" s="111"/>
      <c r="HM295" s="124">
        <v>235.76588915434135</v>
      </c>
      <c r="HN295" s="124">
        <v>237.76588915434135</v>
      </c>
      <c r="HO295" s="124">
        <v>239.76588915434135</v>
      </c>
      <c r="HR295" s="111"/>
      <c r="HS295" s="111"/>
      <c r="HT295" s="111"/>
      <c r="HU295" s="124">
        <v>235.76588915434135</v>
      </c>
      <c r="HV295" s="124">
        <v>200</v>
      </c>
      <c r="HW295" s="124">
        <v>202</v>
      </c>
      <c r="HZ295" s="111"/>
      <c r="IA295" s="124">
        <v>235.76588915434135</v>
      </c>
      <c r="IB295" s="124">
        <v>200</v>
      </c>
      <c r="IC295" s="124">
        <v>202</v>
      </c>
      <c r="IE295" s="111"/>
      <c r="IF295" s="124">
        <v>235.76588915434135</v>
      </c>
      <c r="IG295" s="124">
        <v>200</v>
      </c>
      <c r="IH295" s="124">
        <v>202</v>
      </c>
      <c r="IK295" s="124">
        <v>200</v>
      </c>
      <c r="IL295" s="124">
        <v>202</v>
      </c>
      <c r="IO295" s="124">
        <v>239</v>
      </c>
      <c r="IP295" s="124">
        <v>241</v>
      </c>
      <c r="IS295" s="160">
        <v>238</v>
      </c>
      <c r="IT295" s="160">
        <v>240</v>
      </c>
      <c r="IU295" s="160">
        <v>242</v>
      </c>
      <c r="IX295" s="124">
        <v>236.77975721767436</v>
      </c>
      <c r="IY295" s="124">
        <v>232</v>
      </c>
      <c r="IZ295" s="124">
        <v>234</v>
      </c>
      <c r="JA295" s="124">
        <v>236</v>
      </c>
      <c r="JD295" s="124">
        <v>242.25672141794999</v>
      </c>
      <c r="JE295" s="124">
        <v>244.25672141794999</v>
      </c>
      <c r="JH295" s="124">
        <v>242.25672141794999</v>
      </c>
      <c r="JI295" s="124">
        <v>244.25672141794999</v>
      </c>
      <c r="JJ295" s="124">
        <v>246.25672141794999</v>
      </c>
      <c r="JM295" s="124">
        <v>244.25672141794999</v>
      </c>
      <c r="JN295" s="124">
        <v>246.25672141794999</v>
      </c>
      <c r="JQ295" s="124">
        <v>242.25672141794999</v>
      </c>
      <c r="JR295" s="124">
        <v>244.25672141794999</v>
      </c>
      <c r="JS295" s="124">
        <v>246.25672141794999</v>
      </c>
      <c r="JV295" s="124">
        <v>244.25672141794999</v>
      </c>
      <c r="JW295" s="124">
        <v>246.25672141794999</v>
      </c>
      <c r="JY295" s="124">
        <v>244.25672141794999</v>
      </c>
      <c r="JZ295" s="124">
        <v>246.25672141794999</v>
      </c>
      <c r="KB295" s="124">
        <v>244.25672141794999</v>
      </c>
      <c r="KC295" s="124">
        <v>246.25672141794999</v>
      </c>
      <c r="KD295" s="124">
        <v>248.25672141794999</v>
      </c>
    </row>
    <row r="296" spans="2:290" x14ac:dyDescent="0.25">
      <c r="B296" s="11" t="s">
        <v>225</v>
      </c>
      <c r="C296" s="23"/>
      <c r="D296" s="23"/>
      <c r="E296" s="23"/>
      <c r="F296" s="23"/>
      <c r="G296" s="23"/>
      <c r="H296" s="197"/>
      <c r="I296" s="198"/>
      <c r="J296" s="198"/>
      <c r="K296" s="198"/>
      <c r="L296" s="198"/>
      <c r="M296" s="197"/>
      <c r="N296" s="198"/>
      <c r="O296" s="198"/>
      <c r="P296" s="198"/>
      <c r="Q296" s="198"/>
      <c r="R296" s="197"/>
      <c r="S296" s="198"/>
      <c r="T296" s="198"/>
      <c r="U296" s="198"/>
      <c r="V296" s="198"/>
      <c r="W296" s="197">
        <f t="shared" ref="W296:BN296" si="396">W275*10000/W250</f>
        <v>142.62108850562842</v>
      </c>
      <c r="X296" s="198">
        <f t="shared" si="396"/>
        <v>155.55555555555554</v>
      </c>
      <c r="Y296" s="198">
        <f t="shared" si="396"/>
        <v>167.57023164120255</v>
      </c>
      <c r="Z296" s="198">
        <f t="shared" si="396"/>
        <v>171.70891251022076</v>
      </c>
      <c r="AA296" s="198">
        <f t="shared" si="396"/>
        <v>185.31717747683535</v>
      </c>
      <c r="AB296" s="197">
        <f t="shared" si="396"/>
        <v>170.92778070637848</v>
      </c>
      <c r="AC296" s="198">
        <f t="shared" si="396"/>
        <v>172.59056732740945</v>
      </c>
      <c r="AD296" s="198">
        <f t="shared" si="396"/>
        <v>173.82143797735054</v>
      </c>
      <c r="AE296" s="198">
        <f t="shared" si="396"/>
        <v>164.71119133574007</v>
      </c>
      <c r="AF296" s="198">
        <f t="shared" si="396"/>
        <v>178.12758906379455</v>
      </c>
      <c r="AG296" s="197">
        <f t="shared" si="396"/>
        <v>172.37064380904712</v>
      </c>
      <c r="AH296" s="198">
        <f t="shared" si="396"/>
        <v>180.01858736059481</v>
      </c>
      <c r="AI296" s="198">
        <f t="shared" si="396"/>
        <v>158.56010284979644</v>
      </c>
      <c r="AJ296" s="198">
        <f t="shared" si="396"/>
        <v>166.21832358674467</v>
      </c>
      <c r="AK296" s="197">
        <f t="shared" si="396"/>
        <v>166.89443378119006</v>
      </c>
      <c r="AL296" s="198">
        <f t="shared" si="396"/>
        <v>185.81189710610931</v>
      </c>
      <c r="AM296" s="198">
        <f t="shared" si="396"/>
        <v>173.56157869709938</v>
      </c>
      <c r="AN296" s="198">
        <f t="shared" si="396"/>
        <v>171.40977855733394</v>
      </c>
      <c r="AO296" s="198">
        <f t="shared" si="396"/>
        <v>184.50732093391372</v>
      </c>
      <c r="AP296" s="197">
        <f t="shared" si="396"/>
        <v>167.44161302335479</v>
      </c>
      <c r="AQ296" s="198">
        <f t="shared" si="396"/>
        <v>176.61431064572423</v>
      </c>
      <c r="AR296" s="198">
        <f t="shared" si="396"/>
        <v>177.36365550642242</v>
      </c>
      <c r="AS296" s="198">
        <f t="shared" si="396"/>
        <v>177.60062220493876</v>
      </c>
      <c r="AT296" s="198">
        <f t="shared" si="396"/>
        <v>161.34709764765611</v>
      </c>
      <c r="AU296" s="197">
        <f t="shared" si="396"/>
        <v>172.56806475349521</v>
      </c>
      <c r="AV296" s="199">
        <f t="shared" si="396"/>
        <v>189.57345971563981</v>
      </c>
      <c r="AW296" s="199">
        <f t="shared" si="396"/>
        <v>199.67741935483872</v>
      </c>
      <c r="AX296" s="199">
        <f t="shared" si="396"/>
        <v>200.31458179126574</v>
      </c>
      <c r="AY296" s="199">
        <f t="shared" si="396"/>
        <v>161.20675520577143</v>
      </c>
      <c r="AZ296" s="197">
        <f t="shared" si="396"/>
        <v>186.20496546574574</v>
      </c>
      <c r="BA296" s="199">
        <f t="shared" si="396"/>
        <v>190.92156862745097</v>
      </c>
      <c r="BB296" s="199">
        <f t="shared" si="396"/>
        <v>184.67793708538412</v>
      </c>
      <c r="BC296" s="199">
        <f t="shared" si="396"/>
        <v>181.44741409232904</v>
      </c>
      <c r="BD296" s="199">
        <f t="shared" si="396"/>
        <v>181.12128146453088</v>
      </c>
      <c r="BE296" s="197">
        <f t="shared" si="396"/>
        <v>184.41695943019397</v>
      </c>
      <c r="BF296" s="199">
        <f t="shared" si="396"/>
        <v>185.79960185799601</v>
      </c>
      <c r="BG296" s="199">
        <f t="shared" si="396"/>
        <v>181.73506272591962</v>
      </c>
      <c r="BH296" s="199">
        <f t="shared" si="396"/>
        <v>183.15591734502192</v>
      </c>
      <c r="BI296" s="199">
        <f t="shared" si="396"/>
        <v>211.24361158432708</v>
      </c>
      <c r="BJ296" s="197">
        <f t="shared" si="396"/>
        <v>191.79662118258611</v>
      </c>
      <c r="BK296" s="199">
        <f t="shared" si="396"/>
        <v>229.77714556661925</v>
      </c>
      <c r="BL296" s="199">
        <f t="shared" si="396"/>
        <v>226.97019191506737</v>
      </c>
      <c r="BM296" s="199">
        <f t="shared" si="396"/>
        <v>243.90243902439025</v>
      </c>
      <c r="BN296" s="199">
        <f t="shared" si="396"/>
        <v>226.66154437187859</v>
      </c>
      <c r="BO296" s="197">
        <f>BJ296+40</f>
        <v>231.79662118258611</v>
      </c>
      <c r="BP296" s="199">
        <f t="shared" ref="BP296:CI296" si="397">BP275*10000/BP250</f>
        <v>256.68721522380059</v>
      </c>
      <c r="BQ296" s="199">
        <f t="shared" si="397"/>
        <v>247.58849557522123</v>
      </c>
      <c r="BR296" s="199">
        <f t="shared" si="397"/>
        <v>235.46027230237758</v>
      </c>
      <c r="BS296" s="199">
        <f t="shared" si="397"/>
        <v>238.24050383782719</v>
      </c>
      <c r="BT296" s="197">
        <f t="shared" si="397"/>
        <v>243.57639840026297</v>
      </c>
      <c r="BU296" s="199">
        <f t="shared" si="397"/>
        <v>244.39785697647332</v>
      </c>
      <c r="BV296" s="199">
        <f t="shared" si="397"/>
        <v>233.32595707014826</v>
      </c>
      <c r="BW296" s="199">
        <f t="shared" si="397"/>
        <v>234.36261214270812</v>
      </c>
      <c r="BX296" s="199">
        <f t="shared" si="397"/>
        <v>254.4067067927773</v>
      </c>
      <c r="BY296" s="197">
        <f t="shared" si="397"/>
        <v>241.57309525113655</v>
      </c>
      <c r="BZ296" s="199">
        <f t="shared" si="397"/>
        <v>242.8535732133933</v>
      </c>
      <c r="CA296" s="199">
        <f t="shared" si="397"/>
        <v>251.18471953578336</v>
      </c>
      <c r="CB296" s="199">
        <f t="shared" si="397"/>
        <v>222.03213018986023</v>
      </c>
      <c r="CC296" s="199">
        <f t="shared" si="397"/>
        <v>263.87272021730695</v>
      </c>
      <c r="CD296" s="197">
        <f t="shared" si="397"/>
        <v>249.60558936218166</v>
      </c>
      <c r="CE296" s="199">
        <f t="shared" si="397"/>
        <v>234.37351119580754</v>
      </c>
      <c r="CF296" s="199">
        <f t="shared" si="397"/>
        <v>235.81374115498744</v>
      </c>
      <c r="CG296" s="199">
        <f t="shared" si="397"/>
        <v>232.26876814599751</v>
      </c>
      <c r="CH296" s="199">
        <f t="shared" si="397"/>
        <v>241.54929577464787</v>
      </c>
      <c r="CI296" s="197">
        <f t="shared" si="397"/>
        <v>232.8579916815211</v>
      </c>
      <c r="CJ296" s="202">
        <f>CI296</f>
        <v>232.8579916815211</v>
      </c>
      <c r="CK296" s="202">
        <f>CJ296</f>
        <v>232.8579916815211</v>
      </c>
      <c r="CL296" s="202">
        <f t="shared" ref="CL296:CN296" si="398">CK296</f>
        <v>232.8579916815211</v>
      </c>
      <c r="CM296" s="202">
        <f t="shared" si="398"/>
        <v>232.8579916815211</v>
      </c>
      <c r="CN296" s="202">
        <f t="shared" si="398"/>
        <v>232.8579916815211</v>
      </c>
      <c r="CO296" s="137"/>
      <c r="CP296" s="137"/>
      <c r="CQ296" s="6"/>
      <c r="CR296" s="6"/>
      <c r="CS296" s="6"/>
      <c r="CT296" s="124"/>
      <c r="CU296" s="124"/>
      <c r="CV296" s="124"/>
      <c r="CW296" s="124"/>
      <c r="CX296" s="124"/>
      <c r="CY296" s="124"/>
      <c r="CZ296" s="124"/>
      <c r="DA296" s="124"/>
      <c r="DB296" s="124"/>
      <c r="DC296" s="124"/>
      <c r="DD296" s="124"/>
      <c r="DE296" s="124"/>
      <c r="DF296" s="124"/>
      <c r="DG296" s="124"/>
      <c r="DH296" s="124"/>
      <c r="DI296" s="124"/>
      <c r="DK296" s="124"/>
      <c r="DL296" s="124"/>
      <c r="DM296" s="6"/>
      <c r="DN296" s="124"/>
      <c r="DO296" s="124"/>
      <c r="DQ296" s="136"/>
      <c r="DR296" s="124"/>
      <c r="DS296" s="124"/>
      <c r="DT296" s="124"/>
      <c r="DV296" s="124"/>
      <c r="DW296" s="124"/>
      <c r="DX296" s="124"/>
      <c r="EA296" s="111"/>
      <c r="EB296" s="111"/>
      <c r="EC296" s="111"/>
      <c r="ED296" s="124"/>
      <c r="EE296" s="124"/>
      <c r="EF296" s="124"/>
      <c r="EJ296" s="111"/>
      <c r="EK296" s="111"/>
      <c r="EL296" s="124"/>
      <c r="EM296" s="124"/>
      <c r="EN296" s="124"/>
      <c r="EP296" s="111"/>
      <c r="EQ296" s="124"/>
      <c r="ER296" s="124"/>
      <c r="ES296" s="124"/>
      <c r="EV296" s="111"/>
      <c r="EW296" s="111"/>
      <c r="EX296" s="111"/>
      <c r="EY296" s="111"/>
      <c r="EZ296" s="124"/>
      <c r="FA296" s="124"/>
      <c r="FD296" s="111">
        <v>29.714813421679537</v>
      </c>
      <c r="FE296" s="111"/>
      <c r="FF296" s="111"/>
      <c r="FG296" s="124"/>
      <c r="FH296" s="124"/>
      <c r="FK296" s="124"/>
      <c r="FL296" s="124"/>
      <c r="FO296" s="111">
        <v>189.67793708538412</v>
      </c>
      <c r="FP296" s="111">
        <v>189.67793708538412</v>
      </c>
      <c r="FQ296" s="124"/>
      <c r="FR296" s="124"/>
      <c r="FU296" s="111">
        <v>183.44741409232904</v>
      </c>
      <c r="FV296" s="124">
        <v>185.44741409232904</v>
      </c>
      <c r="FW296" s="124">
        <v>171.44741409232904</v>
      </c>
      <c r="FX296" s="124">
        <v>185</v>
      </c>
      <c r="FY296" s="124">
        <v>185</v>
      </c>
      <c r="GA296" s="124">
        <v>176.41695943019397</v>
      </c>
      <c r="GB296" s="124">
        <v>176.41695943019397</v>
      </c>
      <c r="GC296" s="124">
        <v>178.41695943019397</v>
      </c>
      <c r="GF296" s="111"/>
      <c r="GG296" s="111"/>
      <c r="GH296" s="111"/>
      <c r="GI296" s="124">
        <v>176.41695943019397</v>
      </c>
      <c r="GJ296" s="124">
        <v>176.41695943019397</v>
      </c>
      <c r="GK296" s="124">
        <v>178.41695943019397</v>
      </c>
      <c r="GN296" s="111"/>
      <c r="GO296" s="111"/>
      <c r="GP296" s="124">
        <v>184.41695943019397</v>
      </c>
      <c r="GQ296" s="124">
        <v>184.41695943019397</v>
      </c>
      <c r="GR296" s="124">
        <v>186.41695943019397</v>
      </c>
      <c r="GV296" s="111">
        <v>187.01913316204735</v>
      </c>
      <c r="GW296" s="124">
        <v>184.41695943019397</v>
      </c>
      <c r="GX296" s="124">
        <v>184.41695943019397</v>
      </c>
      <c r="GY296" s="124">
        <v>186.41695943019397</v>
      </c>
      <c r="HC296" s="124">
        <v>0</v>
      </c>
      <c r="HD296" s="124">
        <v>231.79662118258611</v>
      </c>
      <c r="HE296" s="124">
        <v>233.79662118258611</v>
      </c>
      <c r="HF296" s="124">
        <v>235.79662118258611</v>
      </c>
      <c r="HI296" s="111"/>
      <c r="HJ296" s="111"/>
      <c r="HK296" s="111"/>
      <c r="HL296" s="111"/>
      <c r="HM296" s="124">
        <v>233.79662118258611</v>
      </c>
      <c r="HN296" s="124">
        <v>235.79662118258611</v>
      </c>
      <c r="HO296" s="124">
        <v>237.79662118258611</v>
      </c>
      <c r="HR296" s="111"/>
      <c r="HS296" s="111"/>
      <c r="HT296" s="111"/>
      <c r="HU296" s="124">
        <v>233.79662118258611</v>
      </c>
      <c r="HV296" s="124">
        <v>200</v>
      </c>
      <c r="HW296" s="124">
        <v>202</v>
      </c>
      <c r="HZ296" s="111"/>
      <c r="IA296" s="124">
        <v>233.79662118258611</v>
      </c>
      <c r="IB296" s="124">
        <v>200</v>
      </c>
      <c r="IC296" s="124">
        <v>202</v>
      </c>
      <c r="IE296" s="111"/>
      <c r="IF296" s="124">
        <v>233.79662118258611</v>
      </c>
      <c r="IG296" s="124">
        <v>200</v>
      </c>
      <c r="IH296" s="124">
        <v>202</v>
      </c>
      <c r="IK296" s="124">
        <v>200</v>
      </c>
      <c r="IL296" s="124">
        <v>202</v>
      </c>
      <c r="IO296" s="124">
        <v>238</v>
      </c>
      <c r="IP296" s="124">
        <v>240</v>
      </c>
      <c r="IS296" s="160"/>
      <c r="IT296" s="160"/>
      <c r="IU296" s="160"/>
      <c r="IX296" s="124">
        <v>239.81558026534643</v>
      </c>
      <c r="IY296" s="124">
        <v>238</v>
      </c>
      <c r="IZ296" s="124">
        <v>240</v>
      </c>
      <c r="JA296" s="124">
        <v>242</v>
      </c>
      <c r="JD296" s="124">
        <v>243.57309525113655</v>
      </c>
      <c r="JE296" s="124">
        <v>245.57309525113655</v>
      </c>
      <c r="JH296" s="124">
        <v>243.57309525113655</v>
      </c>
      <c r="JI296" s="124">
        <v>245.57309525113655</v>
      </c>
      <c r="JJ296" s="124">
        <v>247.57309525113655</v>
      </c>
      <c r="JM296" s="124">
        <v>245.57309525113655</v>
      </c>
      <c r="JN296" s="124">
        <v>247.57309525113655</v>
      </c>
      <c r="JQ296" s="124">
        <v>243.57309525113655</v>
      </c>
      <c r="JR296" s="124">
        <v>243.57309525113655</v>
      </c>
      <c r="JS296" s="124">
        <v>243.57309525113655</v>
      </c>
      <c r="JV296" s="124">
        <v>243.57309525113655</v>
      </c>
      <c r="JW296" s="124">
        <v>243.57309525113655</v>
      </c>
      <c r="JY296" s="124">
        <v>243.57309525113655</v>
      </c>
      <c r="JZ296" s="124">
        <v>243.57309525113655</v>
      </c>
      <c r="KB296" s="124">
        <v>243.57309525113655</v>
      </c>
      <c r="KC296" s="124">
        <v>243.57309525113655</v>
      </c>
      <c r="KD296" s="124">
        <v>243.57309525113655</v>
      </c>
    </row>
    <row r="297" spans="2:290" x14ac:dyDescent="0.25">
      <c r="B297" s="11" t="s">
        <v>226</v>
      </c>
      <c r="C297" s="23"/>
      <c r="D297" s="23"/>
      <c r="E297" s="23"/>
      <c r="F297" s="23"/>
      <c r="G297" s="23"/>
      <c r="H297" s="197"/>
      <c r="I297" s="198"/>
      <c r="J297" s="198"/>
      <c r="K297" s="198"/>
      <c r="L297" s="198"/>
      <c r="M297" s="197"/>
      <c r="N297" s="198"/>
      <c r="O297" s="198"/>
      <c r="P297" s="198"/>
      <c r="Q297" s="198"/>
      <c r="R297" s="197"/>
      <c r="S297" s="198"/>
      <c r="T297" s="198"/>
      <c r="U297" s="198"/>
      <c r="V297" s="198"/>
      <c r="W297" s="197"/>
      <c r="X297" s="198"/>
      <c r="Y297" s="198"/>
      <c r="Z297" s="198"/>
      <c r="AA297" s="198"/>
      <c r="AB297" s="197"/>
      <c r="AC297" s="198"/>
      <c r="AD297" s="198"/>
      <c r="AE297" s="198"/>
      <c r="AF297" s="198"/>
      <c r="AG297" s="197"/>
      <c r="AH297" s="198"/>
      <c r="AI297" s="198"/>
      <c r="AJ297" s="198"/>
      <c r="AK297" s="197"/>
      <c r="AL297" s="198"/>
      <c r="AM297" s="198"/>
      <c r="AN297" s="198"/>
      <c r="AO297" s="198"/>
      <c r="AP297" s="197"/>
      <c r="AQ297" s="198"/>
      <c r="AR297" s="198"/>
      <c r="AS297" s="198"/>
      <c r="AT297" s="198"/>
      <c r="AU297" s="197"/>
      <c r="AV297" s="199"/>
      <c r="AW297" s="199"/>
      <c r="AX297" s="199"/>
      <c r="AY297" s="199"/>
      <c r="AZ297" s="197"/>
      <c r="BA297" s="199"/>
      <c r="BB297" s="199"/>
      <c r="BC297" s="199"/>
      <c r="BD297" s="199"/>
      <c r="BE297" s="197"/>
      <c r="BF297" s="199"/>
      <c r="BG297" s="199"/>
      <c r="BH297" s="199"/>
      <c r="BI297" s="199"/>
      <c r="BJ297" s="197"/>
      <c r="BK297" s="199"/>
      <c r="BL297" s="199"/>
      <c r="BM297" s="199"/>
      <c r="BN297" s="199"/>
      <c r="BO297" s="197"/>
      <c r="BP297" s="199"/>
      <c r="BQ297" s="199"/>
      <c r="BR297" s="199"/>
      <c r="BS297" s="199"/>
      <c r="BT297" s="197"/>
      <c r="BU297" s="199"/>
      <c r="BV297" s="199"/>
      <c r="BW297" s="199"/>
      <c r="BX297" s="199"/>
      <c r="BY297" s="197"/>
      <c r="BZ297" s="199"/>
      <c r="CA297" s="199"/>
      <c r="CB297" s="199"/>
      <c r="CC297" s="199"/>
      <c r="CD297" s="197"/>
      <c r="CE297" s="199"/>
      <c r="CF297" s="199"/>
      <c r="CG297" s="199"/>
      <c r="CH297" s="199"/>
      <c r="CI297" s="197"/>
      <c r="CJ297" s="202"/>
      <c r="CK297" s="202"/>
      <c r="CL297" s="202" t="e">
        <f t="shared" ref="CL297:CN297" si="399">CL276/CL251*10000</f>
        <v>#DIV/0!</v>
      </c>
      <c r="CM297" s="202" t="e">
        <f t="shared" si="399"/>
        <v>#DIV/0!</v>
      </c>
      <c r="CN297" s="202" t="e">
        <f t="shared" si="399"/>
        <v>#DIV/0!</v>
      </c>
      <c r="CO297" s="137"/>
      <c r="CP297" s="137"/>
      <c r="CQ297" s="6"/>
      <c r="CR297" s="6"/>
      <c r="CS297" s="6"/>
      <c r="CT297" s="124"/>
      <c r="CU297" s="124"/>
      <c r="CV297" s="124"/>
      <c r="CW297" s="124"/>
      <c r="CX297" s="124"/>
      <c r="CY297" s="124"/>
      <c r="CZ297" s="124"/>
      <c r="DA297" s="124"/>
      <c r="DB297" s="124"/>
      <c r="DC297" s="124"/>
      <c r="DD297" s="124"/>
      <c r="DE297" s="124"/>
      <c r="DF297" s="124"/>
      <c r="DG297" s="124"/>
      <c r="DH297" s="124"/>
      <c r="DI297" s="124"/>
      <c r="DK297" s="124"/>
      <c r="DL297" s="124"/>
      <c r="DM297" s="6"/>
      <c r="DN297" s="124"/>
      <c r="DO297" s="124"/>
      <c r="DQ297" s="136"/>
      <c r="DR297" s="124"/>
      <c r="DS297" s="124"/>
      <c r="DT297" s="124"/>
      <c r="DV297" s="124"/>
      <c r="DW297" s="124"/>
      <c r="DX297" s="124"/>
      <c r="EA297" s="111"/>
      <c r="EB297" s="111"/>
      <c r="EC297" s="111"/>
      <c r="ED297" s="124"/>
      <c r="EE297" s="124"/>
      <c r="EF297" s="124"/>
      <c r="EJ297" s="111"/>
      <c r="EK297" s="111"/>
      <c r="EL297" s="124"/>
      <c r="EM297" s="124"/>
      <c r="EN297" s="124"/>
      <c r="EP297" s="111"/>
      <c r="EQ297" s="124"/>
      <c r="ER297" s="124"/>
      <c r="ES297" s="124"/>
      <c r="EV297" s="111"/>
      <c r="EW297" s="111"/>
      <c r="EX297" s="111"/>
      <c r="EY297" s="111"/>
      <c r="EZ297" s="124"/>
      <c r="FA297" s="124"/>
      <c r="FD297" s="111"/>
      <c r="FE297" s="111"/>
      <c r="FF297" s="111"/>
      <c r="FG297" s="124"/>
      <c r="FH297" s="124"/>
      <c r="FK297" s="124"/>
      <c r="FL297" s="124"/>
      <c r="FO297" s="111"/>
      <c r="FP297" s="111"/>
      <c r="FQ297" s="124"/>
      <c r="FR297" s="124"/>
      <c r="FU297" s="111"/>
      <c r="FV297" s="124"/>
      <c r="FW297" s="124"/>
      <c r="FX297" s="124"/>
      <c r="FY297" s="124"/>
      <c r="GA297" s="124"/>
      <c r="GB297" s="124"/>
      <c r="GC297" s="124"/>
      <c r="GF297" s="111"/>
      <c r="GG297" s="111"/>
      <c r="GH297" s="111"/>
      <c r="GI297" s="124"/>
      <c r="GJ297" s="124"/>
      <c r="GK297" s="124"/>
      <c r="GN297" s="111"/>
      <c r="GO297" s="111"/>
      <c r="GP297" s="124"/>
      <c r="GQ297" s="124"/>
      <c r="GR297" s="124"/>
      <c r="GV297" s="111"/>
      <c r="GW297" s="124"/>
      <c r="GX297" s="124"/>
      <c r="GY297" s="124"/>
      <c r="HC297" s="124"/>
      <c r="HD297" s="124"/>
      <c r="HE297" s="124"/>
      <c r="HF297" s="124"/>
      <c r="HI297" s="111"/>
      <c r="HJ297" s="111"/>
      <c r="HK297" s="111"/>
      <c r="HL297" s="111"/>
      <c r="HM297" s="124"/>
      <c r="HN297" s="124"/>
      <c r="HO297" s="124"/>
      <c r="HR297" s="111"/>
      <c r="HS297" s="111"/>
      <c r="HT297" s="111"/>
      <c r="HU297" s="124"/>
      <c r="HV297" s="124"/>
      <c r="HW297" s="124"/>
      <c r="HZ297" s="111"/>
      <c r="IA297" s="124"/>
      <c r="IB297" s="124"/>
      <c r="IC297" s="124"/>
      <c r="IE297" s="111"/>
      <c r="IF297" s="124"/>
      <c r="IG297" s="124"/>
      <c r="IH297" s="124"/>
      <c r="IK297" s="124"/>
      <c r="IL297" s="124"/>
      <c r="IO297" s="124"/>
      <c r="IP297" s="124"/>
      <c r="IS297" s="160"/>
      <c r="IT297" s="160"/>
      <c r="IU297" s="160"/>
      <c r="IX297" s="124"/>
      <c r="IY297" s="124"/>
      <c r="IZ297" s="124"/>
      <c r="JA297" s="124"/>
      <c r="JD297" s="124"/>
      <c r="JE297" s="124"/>
      <c r="JH297" s="124"/>
      <c r="JI297" s="124"/>
      <c r="JJ297" s="124"/>
      <c r="JM297" s="124"/>
      <c r="JN297" s="124"/>
      <c r="JQ297" s="124"/>
      <c r="JR297" s="124"/>
      <c r="JS297" s="124"/>
      <c r="JV297" s="124"/>
      <c r="JW297" s="124"/>
      <c r="JY297" s="124"/>
      <c r="JZ297" s="124"/>
      <c r="KB297" s="124"/>
      <c r="KC297" s="124"/>
      <c r="KD297" s="124"/>
    </row>
    <row r="298" spans="2:290" s="60" customFormat="1" x14ac:dyDescent="0.25">
      <c r="B298" s="34" t="s">
        <v>239</v>
      </c>
      <c r="C298" s="99"/>
      <c r="D298" s="99"/>
      <c r="E298" s="99"/>
      <c r="F298" s="99"/>
      <c r="G298" s="99"/>
      <c r="H298" s="83"/>
      <c r="I298" s="62"/>
      <c r="J298" s="62"/>
      <c r="K298" s="62"/>
      <c r="L298" s="62"/>
      <c r="M298" s="83"/>
      <c r="N298" s="62"/>
      <c r="O298" s="62"/>
      <c r="P298" s="62"/>
      <c r="Q298" s="62"/>
      <c r="R298" s="83"/>
      <c r="S298" s="62"/>
      <c r="T298" s="62"/>
      <c r="U298" s="62"/>
      <c r="V298" s="62"/>
      <c r="W298" s="83">
        <f t="shared" ref="W298" si="400">W279*10000000/(W252*1000)</f>
        <v>116.32534144365647</v>
      </c>
      <c r="X298" s="62"/>
      <c r="Y298" s="62"/>
      <c r="Z298" s="62"/>
      <c r="AA298" s="62"/>
      <c r="AB298" s="83">
        <f t="shared" ref="AB298" si="401">AB279*10000000/(AB252*1000)</f>
        <v>135.38660364549867</v>
      </c>
      <c r="AC298" s="62"/>
      <c r="AD298" s="62"/>
      <c r="AE298" s="62"/>
      <c r="AF298" s="62"/>
      <c r="AG298" s="83">
        <f t="shared" ref="AG298" si="402">AG279*10000000/(AG252*1000)</f>
        <v>130.80482230980692</v>
      </c>
      <c r="AH298" s="62"/>
      <c r="AI298" s="62"/>
      <c r="AJ298" s="62"/>
      <c r="AK298" s="83">
        <f t="shared" ref="AK298" si="403">AK279*10000000/(AK252*1000)</f>
        <v>124.13920597009854</v>
      </c>
      <c r="AL298" s="62"/>
      <c r="AM298" s="62"/>
      <c r="AN298" s="62"/>
      <c r="AO298" s="62"/>
      <c r="AP298" s="83">
        <f t="shared" ref="AP298" si="404">AP279*10000000/(AP252*1000)</f>
        <v>130.99097618111045</v>
      </c>
      <c r="AQ298" s="62"/>
      <c r="AR298" s="62"/>
      <c r="AS298" s="62"/>
      <c r="AT298" s="62"/>
      <c r="AU298" s="83">
        <f t="shared" ref="AU298" si="405">AU279*10000000/(AU252*1000)</f>
        <v>133.81393243410736</v>
      </c>
      <c r="AV298" s="196"/>
      <c r="AW298" s="196"/>
      <c r="AX298" s="196"/>
      <c r="AY298" s="196"/>
      <c r="AZ298" s="83">
        <f t="shared" ref="AZ298:CH298" si="406">AZ279*10000000/(AZ252*1000)</f>
        <v>141.0115507446298</v>
      </c>
      <c r="BA298" s="83">
        <f t="shared" si="406"/>
        <v>126.67330817787496</v>
      </c>
      <c r="BB298" s="83">
        <f t="shared" si="406"/>
        <v>135.92513368983956</v>
      </c>
      <c r="BC298" s="83">
        <f t="shared" si="406"/>
        <v>135.44524769954532</v>
      </c>
      <c r="BD298" s="83">
        <f t="shared" si="406"/>
        <v>138.61337209302326</v>
      </c>
      <c r="BE298" s="83">
        <f t="shared" si="406"/>
        <v>133.9309537058862</v>
      </c>
      <c r="BF298" s="83">
        <f t="shared" si="406"/>
        <v>115.24094870477089</v>
      </c>
      <c r="BG298" s="83">
        <f t="shared" si="406"/>
        <v>144.96393774516005</v>
      </c>
      <c r="BH298" s="83">
        <f t="shared" si="406"/>
        <v>165.2423286492687</v>
      </c>
      <c r="BI298" s="83">
        <f t="shared" si="406"/>
        <v>187.39909023894708</v>
      </c>
      <c r="BJ298" s="83">
        <f t="shared" si="406"/>
        <v>155.38792840049959</v>
      </c>
      <c r="BK298" s="83">
        <f t="shared" si="406"/>
        <v>188.32510103277951</v>
      </c>
      <c r="BL298" s="83">
        <f t="shared" si="406"/>
        <v>187.83321808070281</v>
      </c>
      <c r="BM298" s="83">
        <f t="shared" si="406"/>
        <v>212.8990948195659</v>
      </c>
      <c r="BN298" s="83">
        <f t="shared" si="406"/>
        <v>198.82976820857346</v>
      </c>
      <c r="BO298" s="83">
        <f t="shared" si="406"/>
        <v>197.32627244501876</v>
      </c>
      <c r="BP298" s="83">
        <f t="shared" si="406"/>
        <v>202.52841482896017</v>
      </c>
      <c r="BQ298" s="83">
        <f t="shared" si="406"/>
        <v>186.63184351046039</v>
      </c>
      <c r="BR298" s="83">
        <f t="shared" si="406"/>
        <v>167.00466891198448</v>
      </c>
      <c r="BS298" s="83">
        <f t="shared" si="406"/>
        <v>176.2586999877895</v>
      </c>
      <c r="BT298" s="83">
        <f t="shared" si="406"/>
        <v>181.66973016835112</v>
      </c>
      <c r="BU298" s="83">
        <f t="shared" si="406"/>
        <v>159.45309133993968</v>
      </c>
      <c r="BV298" s="83">
        <f t="shared" si="406"/>
        <v>167.58418443268508</v>
      </c>
      <c r="BW298" s="83">
        <f t="shared" si="406"/>
        <v>154.98180667615884</v>
      </c>
      <c r="BX298" s="83">
        <f t="shared" si="406"/>
        <v>153.95943061591143</v>
      </c>
      <c r="BY298" s="83">
        <f t="shared" si="406"/>
        <v>158.42182519645897</v>
      </c>
      <c r="BZ298" s="83">
        <f t="shared" si="406"/>
        <v>151.65818160899707</v>
      </c>
      <c r="CA298" s="83">
        <f t="shared" si="406"/>
        <v>164.61467152385987</v>
      </c>
      <c r="CB298" s="83">
        <f t="shared" si="406"/>
        <v>153.20962031497984</v>
      </c>
      <c r="CC298" s="83">
        <f t="shared" si="406"/>
        <v>151.39537908882596</v>
      </c>
      <c r="CD298" s="83">
        <f t="shared" si="406"/>
        <v>154.83832708188166</v>
      </c>
      <c r="CE298" s="196">
        <f t="shared" si="406"/>
        <v>141.96460148101397</v>
      </c>
      <c r="CF298" s="196">
        <f t="shared" si="406"/>
        <v>155.01227085235476</v>
      </c>
      <c r="CG298" s="196">
        <f t="shared" si="406"/>
        <v>146.19628497121778</v>
      </c>
      <c r="CH298" s="196">
        <f t="shared" si="406"/>
        <v>152.1284073708315</v>
      </c>
      <c r="CI298" s="83">
        <f>CI279*10000000/(CI252*1000)</f>
        <v>148.71502377620521</v>
      </c>
      <c r="CJ298" s="219">
        <f t="shared" ref="CJ298:CN298" si="407">CJ279*10000000/(CJ252*1000)</f>
        <v>150.65587945504481</v>
      </c>
      <c r="CK298" s="219">
        <f t="shared" si="407"/>
        <v>149.00794583200346</v>
      </c>
      <c r="CL298" s="219">
        <f t="shared" si="407"/>
        <v>152.89797472829358</v>
      </c>
      <c r="CM298" s="219">
        <f t="shared" si="407"/>
        <v>153.47674638989412</v>
      </c>
      <c r="CN298" s="219">
        <f t="shared" si="407"/>
        <v>153.60531009512482</v>
      </c>
      <c r="CO298" s="148"/>
      <c r="CP298" s="148"/>
      <c r="CQ298" s="58"/>
      <c r="CR298" s="58"/>
      <c r="CS298" s="58"/>
      <c r="CT298" s="143"/>
      <c r="CU298" s="143"/>
      <c r="CV298" s="143"/>
      <c r="CW298" s="143"/>
      <c r="CX298" s="143"/>
      <c r="CY298" s="143"/>
      <c r="CZ298" s="143"/>
      <c r="DA298" s="143"/>
      <c r="DB298" s="143"/>
      <c r="DC298" s="143"/>
      <c r="DD298" s="143"/>
      <c r="DE298" s="143"/>
      <c r="DF298" s="143"/>
      <c r="DG298" s="143"/>
      <c r="DH298" s="143"/>
      <c r="DI298" s="143"/>
      <c r="DK298" s="143"/>
      <c r="DL298" s="143"/>
      <c r="DM298" s="58"/>
      <c r="DN298" s="143"/>
      <c r="DO298" s="143"/>
      <c r="DQ298" s="4"/>
      <c r="DR298" s="143"/>
      <c r="DS298" s="143"/>
      <c r="DT298" s="143"/>
      <c r="DV298" s="143"/>
      <c r="DW298" s="143"/>
      <c r="DX298" s="143"/>
      <c r="EA298" s="119"/>
      <c r="EB298" s="119"/>
      <c r="EC298" s="119"/>
      <c r="ED298" s="143"/>
      <c r="EE298" s="143"/>
      <c r="EF298" s="143"/>
      <c r="EJ298" s="119"/>
      <c r="EK298" s="119"/>
      <c r="EL298" s="143"/>
      <c r="EM298" s="143"/>
      <c r="EN298" s="143"/>
      <c r="EP298" s="119"/>
      <c r="EQ298" s="143"/>
      <c r="ER298" s="143"/>
      <c r="ES298" s="143"/>
      <c r="EV298" s="119"/>
      <c r="EW298" s="119"/>
      <c r="EX298" s="119"/>
      <c r="EY298" s="119"/>
      <c r="EZ298" s="143"/>
      <c r="FA298" s="143"/>
      <c r="FD298" s="119"/>
      <c r="FE298" s="119"/>
      <c r="FF298" s="119"/>
      <c r="FG298" s="143"/>
      <c r="FH298" s="143"/>
      <c r="FK298" s="143"/>
      <c r="FL298" s="143"/>
      <c r="FO298" s="119"/>
      <c r="FP298" s="119"/>
      <c r="FQ298" s="143"/>
      <c r="FR298" s="143"/>
      <c r="FU298" s="119"/>
      <c r="FV298" s="143"/>
      <c r="FW298" s="143"/>
      <c r="FX298" s="143"/>
      <c r="FY298" s="143"/>
      <c r="GA298" s="143"/>
      <c r="GB298" s="143"/>
      <c r="GC298" s="143"/>
      <c r="GF298" s="119"/>
      <c r="GG298" s="119"/>
      <c r="GH298" s="119"/>
      <c r="GI298" s="143"/>
      <c r="GJ298" s="143"/>
      <c r="GK298" s="143"/>
      <c r="GN298" s="119"/>
      <c r="GO298" s="119"/>
      <c r="GP298" s="143"/>
      <c r="GQ298" s="143"/>
      <c r="GR298" s="143"/>
      <c r="GV298" s="119"/>
      <c r="GW298" s="143"/>
      <c r="GX298" s="143"/>
      <c r="GY298" s="143"/>
      <c r="HC298" s="143"/>
      <c r="HD298" s="143"/>
      <c r="HE298" s="143"/>
      <c r="HF298" s="143"/>
      <c r="HI298" s="119"/>
      <c r="HJ298" s="119"/>
      <c r="HK298" s="119"/>
      <c r="HL298" s="119"/>
      <c r="HM298" s="143"/>
      <c r="HN298" s="143"/>
      <c r="HO298" s="143"/>
      <c r="HR298" s="119"/>
      <c r="HS298" s="119"/>
      <c r="HT298" s="119"/>
      <c r="HU298" s="143"/>
      <c r="HV298" s="143"/>
      <c r="HW298" s="143"/>
      <c r="HZ298" s="119"/>
      <c r="IA298" s="143"/>
      <c r="IB298" s="143"/>
      <c r="IC298" s="143"/>
      <c r="IE298" s="119"/>
      <c r="IF298" s="143"/>
      <c r="IG298" s="143"/>
      <c r="IH298" s="143"/>
      <c r="IK298" s="143"/>
      <c r="IL298" s="143"/>
      <c r="IO298" s="143"/>
      <c r="IP298" s="143"/>
      <c r="IS298" s="157"/>
      <c r="IT298" s="157"/>
      <c r="IU298" s="157"/>
      <c r="IX298" s="143"/>
      <c r="IY298" s="143"/>
      <c r="IZ298" s="143"/>
      <c r="JA298" s="143"/>
      <c r="JD298" s="143"/>
      <c r="JE298" s="143"/>
      <c r="JH298" s="143"/>
      <c r="JI298" s="143"/>
      <c r="JJ298" s="143"/>
      <c r="JM298" s="143"/>
      <c r="JN298" s="143"/>
      <c r="JQ298" s="143"/>
      <c r="JR298" s="143"/>
      <c r="JS298" s="143"/>
      <c r="JV298" s="143"/>
      <c r="JW298" s="143"/>
      <c r="JY298" s="143"/>
      <c r="JZ298" s="143"/>
      <c r="KB298" s="143"/>
      <c r="KC298" s="143"/>
      <c r="KD298" s="143"/>
    </row>
    <row r="299" spans="2:290" x14ac:dyDescent="0.25">
      <c r="B299" s="11" t="s">
        <v>240</v>
      </c>
      <c r="C299" s="23"/>
      <c r="D299" s="23"/>
      <c r="E299" s="23"/>
      <c r="F299" s="23"/>
      <c r="G299" s="23"/>
      <c r="H299" s="197"/>
      <c r="I299" s="198"/>
      <c r="J299" s="198"/>
      <c r="K299" s="198"/>
      <c r="L299" s="198"/>
      <c r="M299" s="197"/>
      <c r="N299" s="198"/>
      <c r="O299" s="198"/>
      <c r="P299" s="198"/>
      <c r="Q299" s="198"/>
      <c r="R299" s="197"/>
      <c r="S299" s="198"/>
      <c r="T299" s="198"/>
      <c r="U299" s="198"/>
      <c r="V299" s="198"/>
      <c r="W299" s="197"/>
      <c r="X299" s="198">
        <v>71.715999999999994</v>
      </c>
      <c r="Y299" s="198">
        <v>73.739999999999995</v>
      </c>
      <c r="Z299" s="198">
        <v>76.12</v>
      </c>
      <c r="AA299" s="198">
        <v>76.108000000000004</v>
      </c>
      <c r="AB299" s="197">
        <f>AVERAGE(X299:AA299)</f>
        <v>74.420999999999992</v>
      </c>
      <c r="AC299" s="198">
        <v>76.742000000000004</v>
      </c>
      <c r="AD299" s="198">
        <v>65.878</v>
      </c>
      <c r="AE299" s="198">
        <v>65.87</v>
      </c>
      <c r="AF299" s="198">
        <v>67.299000000000007</v>
      </c>
      <c r="AG299" s="197">
        <f>AVERAGE(AC299:AF299)</f>
        <v>68.947249999999997</v>
      </c>
      <c r="AH299" s="198">
        <v>64.260000000000005</v>
      </c>
      <c r="AI299" s="198">
        <v>62.256</v>
      </c>
      <c r="AJ299" s="198">
        <v>63.250999999999998</v>
      </c>
      <c r="AK299" s="197">
        <f>AVERAGE(AH299:AJ299)</f>
        <v>63.255666666666663</v>
      </c>
      <c r="AL299" s="198">
        <v>67.251000000000005</v>
      </c>
      <c r="AM299" s="198">
        <v>69.024000000000001</v>
      </c>
      <c r="AN299" s="198">
        <v>73.436000000000007</v>
      </c>
      <c r="AO299" s="198">
        <v>76.260000000000005</v>
      </c>
      <c r="AP299" s="197">
        <f>AVERAGE(AL299:AO299)</f>
        <v>71.492750000000001</v>
      </c>
      <c r="AQ299" s="198">
        <v>72.093000000000004</v>
      </c>
      <c r="AR299" s="198">
        <v>71.760000000000005</v>
      </c>
      <c r="AS299" s="198">
        <v>69.3</v>
      </c>
      <c r="AT299" s="198">
        <v>71.415999999999997</v>
      </c>
      <c r="AU299" s="197">
        <f>AVERAGE(AQ299:AT299)</f>
        <v>71.142250000000004</v>
      </c>
      <c r="AV299" s="199">
        <v>75.099999999999994</v>
      </c>
      <c r="AW299" s="199">
        <v>78.825000000000003</v>
      </c>
      <c r="AX299" s="199">
        <v>75.563999999999993</v>
      </c>
      <c r="AY299" s="199">
        <v>75.397999999999996</v>
      </c>
      <c r="AZ299" s="197">
        <f>AVERAGE(AV299:AY299)</f>
        <v>76.22175</v>
      </c>
      <c r="BA299" s="199">
        <v>70.116</v>
      </c>
      <c r="BB299" s="199">
        <v>75.947000000000003</v>
      </c>
      <c r="BC299" s="199">
        <v>73.876000000000005</v>
      </c>
      <c r="BD299" s="199">
        <v>74.876999999999995</v>
      </c>
      <c r="BE299" s="197">
        <f>AVERAGE(BA299:BD299)</f>
        <v>73.703999999999994</v>
      </c>
      <c r="BF299" s="199">
        <v>68.486999999999995</v>
      </c>
      <c r="BG299" s="199">
        <v>80.677999999999997</v>
      </c>
      <c r="BH299" s="199">
        <v>102.313</v>
      </c>
      <c r="BI299" s="199">
        <v>124.97799999999999</v>
      </c>
      <c r="BJ299" s="197">
        <f>AVERAGE(BF299:BI299)</f>
        <v>94.114000000000004</v>
      </c>
      <c r="BK299" s="199">
        <v>130.76900000000001</v>
      </c>
      <c r="BL299" s="199">
        <v>126.994</v>
      </c>
      <c r="BM299" s="199">
        <v>151.03</v>
      </c>
      <c r="BN299" s="199">
        <v>136.64500000000001</v>
      </c>
      <c r="BO299" s="197">
        <f>AVERAGE(BK299:BN299)</f>
        <v>136.3595</v>
      </c>
      <c r="BP299" s="199">
        <v>128.4</v>
      </c>
      <c r="BQ299" s="199">
        <v>99.9</v>
      </c>
      <c r="BR299" s="199">
        <v>82.462000000000003</v>
      </c>
      <c r="BS299" s="199">
        <v>90.9</v>
      </c>
      <c r="BT299" s="197">
        <f>AVERAGE(BP299:BS299)</f>
        <v>100.41550000000001</v>
      </c>
      <c r="BU299" s="199">
        <v>81.150000000000006</v>
      </c>
      <c r="BV299" s="199">
        <v>83.566000000000003</v>
      </c>
      <c r="BW299" s="199">
        <v>77.566000000000003</v>
      </c>
      <c r="BX299" s="199">
        <v>76.400000000000006</v>
      </c>
      <c r="BY299" s="197">
        <f>AVERAGE(BU299:BX299)</f>
        <v>79.670500000000004</v>
      </c>
      <c r="BZ299" s="199">
        <f t="shared" ref="BZ299:CD299" si="408">AVERAGE(BV299:BY299)</f>
        <v>79.300624999999997</v>
      </c>
      <c r="CA299" s="199">
        <f t="shared" si="408"/>
        <v>78.234281250000009</v>
      </c>
      <c r="CB299" s="199">
        <f t="shared" si="408"/>
        <v>78.401351562499997</v>
      </c>
      <c r="CC299" s="199">
        <f t="shared" si="408"/>
        <v>78.901689453125002</v>
      </c>
      <c r="CD299" s="197">
        <f t="shared" si="408"/>
        <v>78.709486816406255</v>
      </c>
      <c r="CE299" s="199">
        <v>71.965999999999994</v>
      </c>
      <c r="CF299" s="199">
        <v>75.849999999999994</v>
      </c>
      <c r="CG299" s="199">
        <v>71.165999999999997</v>
      </c>
      <c r="CH299" s="199">
        <v>84.54</v>
      </c>
      <c r="CI299" s="197">
        <f t="shared" ref="CI299" si="409">AVERAGE(CE299:CH299)</f>
        <v>75.880499999999998</v>
      </c>
      <c r="CJ299" s="202">
        <v>80</v>
      </c>
      <c r="CK299" s="202">
        <v>80</v>
      </c>
      <c r="CL299" s="202">
        <f>CK299</f>
        <v>80</v>
      </c>
      <c r="CM299" s="202">
        <f t="shared" ref="CM299:CN299" si="410">CL299</f>
        <v>80</v>
      </c>
      <c r="CN299" s="202">
        <f t="shared" si="410"/>
        <v>80</v>
      </c>
      <c r="CO299" s="137"/>
      <c r="CP299" s="137"/>
      <c r="CQ299" s="6"/>
      <c r="CR299" s="6"/>
      <c r="CS299" s="6"/>
      <c r="CT299" s="124"/>
      <c r="CU299" s="124"/>
      <c r="CV299" s="124"/>
      <c r="CW299" s="124"/>
      <c r="CX299" s="124"/>
      <c r="CY299" s="124"/>
      <c r="CZ299" s="124"/>
      <c r="DA299" s="124"/>
      <c r="DB299" s="124"/>
      <c r="DC299" s="124"/>
      <c r="DD299" s="124"/>
      <c r="DE299" s="124"/>
      <c r="DF299" s="124"/>
      <c r="DG299" s="124"/>
      <c r="DH299" s="124"/>
      <c r="DI299" s="124"/>
      <c r="DK299" s="124"/>
      <c r="DL299" s="124"/>
      <c r="DM299" s="6"/>
      <c r="DN299" s="124"/>
      <c r="DO299" s="124"/>
      <c r="DQ299" s="136"/>
      <c r="DR299" s="124"/>
      <c r="DS299" s="124"/>
      <c r="DT299" s="124"/>
      <c r="DV299" s="124"/>
      <c r="DW299" s="124"/>
      <c r="DX299" s="124"/>
      <c r="EA299" s="111"/>
      <c r="EB299" s="111"/>
      <c r="EC299" s="111"/>
      <c r="ED299" s="124"/>
      <c r="EE299" s="124"/>
      <c r="EF299" s="124"/>
      <c r="EJ299" s="111"/>
      <c r="EK299" s="111"/>
      <c r="EL299" s="124"/>
      <c r="EM299" s="124"/>
      <c r="EN299" s="124"/>
      <c r="EP299" s="111"/>
      <c r="EQ299" s="124"/>
      <c r="ER299" s="124"/>
      <c r="ES299" s="124"/>
      <c r="EV299" s="111"/>
      <c r="EW299" s="111"/>
      <c r="EX299" s="111"/>
      <c r="EY299" s="111"/>
      <c r="EZ299" s="124"/>
      <c r="FA299" s="124"/>
      <c r="FD299" s="111"/>
      <c r="FE299" s="111"/>
      <c r="FF299" s="111"/>
      <c r="FG299" s="124"/>
      <c r="FH299" s="124"/>
      <c r="FK299" s="124"/>
      <c r="FL299" s="124"/>
      <c r="FO299" s="111"/>
      <c r="FP299" s="111"/>
      <c r="FQ299" s="124"/>
      <c r="FR299" s="124"/>
      <c r="FU299" s="111"/>
      <c r="FV299" s="124"/>
      <c r="FW299" s="124"/>
      <c r="FX299" s="124"/>
      <c r="FY299" s="124"/>
      <c r="GA299" s="124"/>
      <c r="GB299" s="124"/>
      <c r="GC299" s="124"/>
      <c r="GF299" s="111"/>
      <c r="GG299" s="111"/>
      <c r="GH299" s="111"/>
      <c r="GI299" s="124"/>
      <c r="GJ299" s="124"/>
      <c r="GK299" s="124"/>
      <c r="GN299" s="111"/>
      <c r="GO299" s="111"/>
      <c r="GP299" s="124"/>
      <c r="GQ299" s="124"/>
      <c r="GR299" s="124"/>
      <c r="GV299" s="111"/>
      <c r="GW299" s="124"/>
      <c r="GX299" s="124"/>
      <c r="GY299" s="124"/>
      <c r="HC299" s="124"/>
      <c r="HD299" s="124"/>
      <c r="HE299" s="124"/>
      <c r="HF299" s="124"/>
      <c r="HI299" s="111"/>
      <c r="HJ299" s="111"/>
      <c r="HK299" s="111"/>
      <c r="HL299" s="111"/>
      <c r="HM299" s="124"/>
      <c r="HN299" s="124"/>
      <c r="HO299" s="124"/>
      <c r="HR299" s="111"/>
      <c r="HS299" s="111"/>
      <c r="HT299" s="111"/>
      <c r="HU299" s="124"/>
      <c r="HV299" s="124"/>
      <c r="HW299" s="124"/>
      <c r="HZ299" s="111"/>
      <c r="IA299" s="124"/>
      <c r="IB299" s="124"/>
      <c r="IC299" s="124"/>
      <c r="IE299" s="111"/>
      <c r="IF299" s="124"/>
      <c r="IG299" s="124"/>
      <c r="IH299" s="124"/>
      <c r="IK299" s="124"/>
      <c r="IL299" s="124"/>
      <c r="IO299" s="124"/>
      <c r="IP299" s="124"/>
      <c r="IS299" s="160"/>
      <c r="IT299" s="160"/>
      <c r="IU299" s="160"/>
      <c r="IX299" s="124"/>
      <c r="IY299" s="124"/>
      <c r="IZ299" s="124"/>
      <c r="JA299" s="124"/>
      <c r="JD299" s="124"/>
      <c r="JE299" s="124"/>
      <c r="JH299" s="124"/>
      <c r="JI299" s="124"/>
      <c r="JJ299" s="124"/>
      <c r="JM299" s="124"/>
      <c r="JN299" s="124"/>
      <c r="JQ299" s="124"/>
      <c r="JR299" s="124"/>
      <c r="JS299" s="124"/>
      <c r="JV299" s="124"/>
      <c r="JW299" s="124"/>
      <c r="JY299" s="124"/>
      <c r="JZ299" s="124"/>
      <c r="KB299" s="124"/>
      <c r="KC299" s="124"/>
      <c r="KD299" s="124"/>
    </row>
    <row r="300" spans="2:290" x14ac:dyDescent="0.25">
      <c r="B300" s="11" t="s">
        <v>241</v>
      </c>
      <c r="C300" s="23"/>
      <c r="D300" s="23"/>
      <c r="E300" s="23"/>
      <c r="F300" s="23"/>
      <c r="G300" s="23"/>
      <c r="H300" s="197"/>
      <c r="I300" s="198"/>
      <c r="J300" s="198"/>
      <c r="K300" s="198"/>
      <c r="L300" s="198"/>
      <c r="M300" s="197"/>
      <c r="N300" s="198"/>
      <c r="O300" s="198"/>
      <c r="P300" s="198"/>
      <c r="Q300" s="198"/>
      <c r="R300" s="197"/>
      <c r="S300" s="198"/>
      <c r="T300" s="198"/>
      <c r="U300" s="198"/>
      <c r="V300" s="198"/>
      <c r="W300" s="197"/>
      <c r="X300" s="198">
        <f>X299/X293</f>
        <v>0.63190198692098087</v>
      </c>
      <c r="Y300" s="198">
        <f t="shared" ref="Y300:CJ300" si="411">Y299/Y293</f>
        <v>0.683958669584245</v>
      </c>
      <c r="Z300" s="198">
        <f t="shared" si="411"/>
        <v>0.70953109225092259</v>
      </c>
      <c r="AA300" s="198">
        <f t="shared" si="411"/>
        <v>0.68765880979827088</v>
      </c>
      <c r="AB300" s="42">
        <f t="shared" si="411"/>
        <v>0.67900492092233</v>
      </c>
      <c r="AC300" s="24">
        <f t="shared" si="411"/>
        <v>0.65637361041619291</v>
      </c>
      <c r="AD300" s="24">
        <f t="shared" si="411"/>
        <v>0.63836049796747962</v>
      </c>
      <c r="AE300" s="24">
        <f t="shared" si="411"/>
        <v>0.69249316549295781</v>
      </c>
      <c r="AF300" s="24">
        <f t="shared" si="411"/>
        <v>0.64028958846153849</v>
      </c>
      <c r="AG300" s="42">
        <f t="shared" si="411"/>
        <v>0.66627436766709547</v>
      </c>
      <c r="AH300" s="24">
        <f t="shared" si="411"/>
        <v>0.60609081896981176</v>
      </c>
      <c r="AI300" s="24">
        <f t="shared" si="411"/>
        <v>0.62906398048780487</v>
      </c>
      <c r="AJ300" s="24">
        <f t="shared" si="411"/>
        <v>0.67041581675657425</v>
      </c>
      <c r="AK300" s="42">
        <f t="shared" si="411"/>
        <v>0.64240366981868602</v>
      </c>
      <c r="AL300" s="24">
        <f t="shared" si="411"/>
        <v>0.61728913536755947</v>
      </c>
      <c r="AM300" s="24">
        <f t="shared" si="411"/>
        <v>0.64650728025161397</v>
      </c>
      <c r="AN300" s="24">
        <f t="shared" si="411"/>
        <v>0.67400415035238848</v>
      </c>
      <c r="AO300" s="24">
        <f t="shared" si="411"/>
        <v>0.62929545554496813</v>
      </c>
      <c r="AP300" s="42">
        <f t="shared" si="411"/>
        <v>0.68176058105528126</v>
      </c>
      <c r="AQ300" s="24">
        <f t="shared" si="411"/>
        <v>0.71724343229707177</v>
      </c>
      <c r="AR300" s="24">
        <f t="shared" si="411"/>
        <v>0.67028390646492453</v>
      </c>
      <c r="AS300" s="24">
        <f t="shared" si="411"/>
        <v>0.67001958136394324</v>
      </c>
      <c r="AT300" s="24">
        <f t="shared" si="411"/>
        <v>0.62713688361205622</v>
      </c>
      <c r="AU300" s="42">
        <f t="shared" si="411"/>
        <v>0.66866969087228978</v>
      </c>
      <c r="AV300" s="207">
        <f t="shared" si="411"/>
        <v>0.69991792503346717</v>
      </c>
      <c r="AW300" s="207">
        <f t="shared" si="411"/>
        <v>0.65622218097618346</v>
      </c>
      <c r="AX300" s="207">
        <f t="shared" si="411"/>
        <v>0.66166216475766515</v>
      </c>
      <c r="AY300" s="207">
        <f t="shared" si="411"/>
        <v>0.66903252171140037</v>
      </c>
      <c r="AZ300" s="42">
        <f t="shared" si="411"/>
        <v>0.67201015187519697</v>
      </c>
      <c r="BA300" s="207">
        <f t="shared" si="411"/>
        <v>0.66538206868902849</v>
      </c>
      <c r="BB300" s="207">
        <f t="shared" si="411"/>
        <v>0.634626129238959</v>
      </c>
      <c r="BC300" s="207">
        <f t="shared" si="411"/>
        <v>0.65172295502085498</v>
      </c>
      <c r="BD300" s="207">
        <f t="shared" si="411"/>
        <v>0.61782195203944412</v>
      </c>
      <c r="BE300" s="42">
        <f t="shared" si="411"/>
        <v>0.64351048045354386</v>
      </c>
      <c r="BF300" s="207">
        <f t="shared" si="411"/>
        <v>0.67172956800376671</v>
      </c>
      <c r="BG300" s="207">
        <f t="shared" si="411"/>
        <v>0.63427334340513419</v>
      </c>
      <c r="BH300" s="207">
        <f t="shared" si="411"/>
        <v>0.68889855850877202</v>
      </c>
      <c r="BI300" s="207">
        <f t="shared" si="411"/>
        <v>0.70524990280304434</v>
      </c>
      <c r="BJ300" s="42">
        <f t="shared" si="411"/>
        <v>0.675885192898392</v>
      </c>
      <c r="BK300" s="207">
        <f t="shared" si="411"/>
        <v>0.75704558799109567</v>
      </c>
      <c r="BL300" s="207">
        <f t="shared" si="411"/>
        <v>0.72632134334953591</v>
      </c>
      <c r="BM300" s="207">
        <f t="shared" si="411"/>
        <v>0.75247934756097556</v>
      </c>
      <c r="BN300" s="207">
        <f t="shared" si="411"/>
        <v>0.73273207731159673</v>
      </c>
      <c r="BO300" s="42">
        <f t="shared" si="411"/>
        <v>0.76500931516636395</v>
      </c>
      <c r="BP300" s="207">
        <f t="shared" si="411"/>
        <v>0.69690171798761735</v>
      </c>
      <c r="BQ300" s="207">
        <f t="shared" si="411"/>
        <v>0.6112625993465719</v>
      </c>
      <c r="BR300" s="207">
        <f t="shared" si="411"/>
        <v>0.56904289564387422</v>
      </c>
      <c r="BS300" s="207">
        <f t="shared" si="411"/>
        <v>0.57643063587079291</v>
      </c>
      <c r="BT300" s="42">
        <f t="shared" si="411"/>
        <v>0.62377216532257407</v>
      </c>
      <c r="BU300" s="207">
        <f t="shared" si="411"/>
        <v>0.58524854407143434</v>
      </c>
      <c r="BV300" s="207">
        <f t="shared" si="411"/>
        <v>0.5698985485794551</v>
      </c>
      <c r="BW300" s="207">
        <f t="shared" si="411"/>
        <v>0.57574816402518791</v>
      </c>
      <c r="BX300" s="207">
        <f t="shared" si="411"/>
        <v>0.5636129577752691</v>
      </c>
      <c r="BY300" s="42">
        <f t="shared" si="411"/>
        <v>0.57584357036717515</v>
      </c>
      <c r="BZ300" s="207">
        <f t="shared" si="411"/>
        <v>0.59806284516135111</v>
      </c>
      <c r="CA300" s="207">
        <f t="shared" si="411"/>
        <v>0.55625214345882623</v>
      </c>
      <c r="CB300" s="207">
        <f t="shared" si="411"/>
        <v>0.59575759899393288</v>
      </c>
      <c r="CC300" s="207">
        <f t="shared" si="411"/>
        <v>0.61716414536702546</v>
      </c>
      <c r="CD300" s="42">
        <f t="shared" si="411"/>
        <v>0.59424599660637256</v>
      </c>
      <c r="CE300" s="207">
        <f t="shared" si="411"/>
        <v>0.59734297571290673</v>
      </c>
      <c r="CF300" s="207">
        <f t="shared" si="411"/>
        <v>0.56747005474099455</v>
      </c>
      <c r="CG300" s="207">
        <f t="shared" si="411"/>
        <v>0.57380173757542507</v>
      </c>
      <c r="CH300" s="207">
        <f t="shared" si="411"/>
        <v>0.63406156606443442</v>
      </c>
      <c r="CI300" s="42">
        <f t="shared" si="411"/>
        <v>0.59281439356547061</v>
      </c>
      <c r="CJ300" s="42">
        <f t="shared" si="411"/>
        <v>0.60606060606060608</v>
      </c>
      <c r="CK300" s="42">
        <f t="shared" ref="CK300:CN300" si="412">CK299/CK293</f>
        <v>0.60606060606060608</v>
      </c>
      <c r="CL300" s="42">
        <f t="shared" si="412"/>
        <v>0.59259259259259256</v>
      </c>
      <c r="CM300" s="42">
        <f t="shared" si="412"/>
        <v>0.59259259259259256</v>
      </c>
      <c r="CN300" s="42">
        <f t="shared" si="412"/>
        <v>0.59259259259259256</v>
      </c>
      <c r="CO300" s="74"/>
      <c r="CP300" s="74"/>
      <c r="CQ300" s="6"/>
      <c r="CR300" s="6"/>
      <c r="CS300" s="6"/>
      <c r="CT300" s="124"/>
      <c r="CU300" s="124"/>
      <c r="CV300" s="124"/>
      <c r="CW300" s="124"/>
      <c r="CX300" s="124"/>
      <c r="CY300" s="124"/>
      <c r="CZ300" s="124"/>
      <c r="DA300" s="124"/>
      <c r="DB300" s="124"/>
      <c r="DC300" s="124"/>
      <c r="DD300" s="124"/>
      <c r="DE300" s="124"/>
      <c r="DF300" s="124"/>
      <c r="DG300" s="124"/>
      <c r="DH300" s="124"/>
      <c r="DI300" s="124"/>
      <c r="DK300" s="124"/>
      <c r="DL300" s="124"/>
      <c r="DM300" s="6"/>
      <c r="DN300" s="124"/>
      <c r="DO300" s="124"/>
      <c r="DQ300" s="136"/>
      <c r="DR300" s="124"/>
      <c r="DS300" s="124"/>
      <c r="DT300" s="124"/>
      <c r="DV300" s="124"/>
      <c r="DW300" s="124"/>
      <c r="DX300" s="124"/>
      <c r="EA300" s="111"/>
      <c r="EB300" s="111"/>
      <c r="EC300" s="111"/>
      <c r="ED300" s="124"/>
      <c r="EE300" s="124"/>
      <c r="EF300" s="124"/>
      <c r="EJ300" s="111"/>
      <c r="EK300" s="111"/>
      <c r="EL300" s="124"/>
      <c r="EM300" s="124"/>
      <c r="EN300" s="124"/>
      <c r="EP300" s="111"/>
      <c r="EQ300" s="124"/>
      <c r="ER300" s="124"/>
      <c r="ES300" s="124"/>
      <c r="EV300" s="111"/>
      <c r="EW300" s="111"/>
      <c r="EX300" s="111"/>
      <c r="EY300" s="111"/>
      <c r="EZ300" s="124"/>
      <c r="FA300" s="124"/>
      <c r="FD300" s="111"/>
      <c r="FE300" s="111"/>
      <c r="FF300" s="111"/>
      <c r="FG300" s="124"/>
      <c r="FH300" s="124"/>
      <c r="FK300" s="124"/>
      <c r="FL300" s="124"/>
      <c r="FO300" s="111"/>
      <c r="FP300" s="111"/>
      <c r="FQ300" s="124"/>
      <c r="FR300" s="124"/>
      <c r="FU300" s="111"/>
      <c r="FV300" s="124"/>
      <c r="FW300" s="124"/>
      <c r="FX300" s="124"/>
      <c r="FY300" s="124"/>
      <c r="GA300" s="124"/>
      <c r="GB300" s="124"/>
      <c r="GC300" s="124"/>
      <c r="GF300" s="111"/>
      <c r="GG300" s="111"/>
      <c r="GH300" s="111"/>
      <c r="GI300" s="124"/>
      <c r="GJ300" s="124"/>
      <c r="GK300" s="124"/>
      <c r="GN300" s="111"/>
      <c r="GO300" s="111"/>
      <c r="GP300" s="124"/>
      <c r="GQ300" s="124"/>
      <c r="GR300" s="124"/>
      <c r="GV300" s="111"/>
      <c r="GW300" s="124"/>
      <c r="GX300" s="124"/>
      <c r="GY300" s="124"/>
      <c r="HC300" s="124"/>
      <c r="HD300" s="124"/>
      <c r="HE300" s="124"/>
      <c r="HF300" s="124"/>
      <c r="HI300" s="111"/>
      <c r="HJ300" s="111"/>
      <c r="HK300" s="111"/>
      <c r="HL300" s="111"/>
      <c r="HM300" s="124"/>
      <c r="HN300" s="124"/>
      <c r="HO300" s="124"/>
      <c r="HR300" s="111"/>
      <c r="HS300" s="111"/>
      <c r="HT300" s="111"/>
      <c r="HU300" s="124"/>
      <c r="HV300" s="124"/>
      <c r="HW300" s="124"/>
      <c r="HZ300" s="111"/>
      <c r="IA300" s="124"/>
      <c r="IB300" s="124"/>
      <c r="IC300" s="124"/>
      <c r="IE300" s="111"/>
      <c r="IF300" s="124"/>
      <c r="IG300" s="124"/>
      <c r="IH300" s="124"/>
      <c r="IK300" s="124"/>
      <c r="IL300" s="124"/>
      <c r="IO300" s="124"/>
      <c r="IP300" s="124"/>
      <c r="IS300" s="160"/>
      <c r="IT300" s="160"/>
      <c r="IU300" s="160"/>
      <c r="IX300" s="124"/>
      <c r="IY300" s="124"/>
      <c r="IZ300" s="124"/>
      <c r="JA300" s="124"/>
      <c r="JD300" s="124"/>
      <c r="JE300" s="124"/>
      <c r="JH300" s="124"/>
      <c r="JI300" s="124"/>
      <c r="JJ300" s="124"/>
      <c r="JM300" s="124"/>
      <c r="JN300" s="124"/>
      <c r="JQ300" s="124"/>
      <c r="JR300" s="124"/>
      <c r="JS300" s="124"/>
      <c r="JV300" s="124"/>
      <c r="JW300" s="124"/>
      <c r="JY300" s="124"/>
      <c r="JZ300" s="124"/>
      <c r="KB300" s="124"/>
      <c r="KC300" s="124"/>
      <c r="KD300" s="124"/>
    </row>
    <row r="301" spans="2:290" hidden="1" x14ac:dyDescent="0.25">
      <c r="B301" s="213"/>
      <c r="C301" s="213"/>
      <c r="D301" s="213"/>
      <c r="E301" s="213"/>
      <c r="F301" s="213"/>
      <c r="G301" s="213"/>
      <c r="H301" s="213"/>
      <c r="I301" s="213"/>
      <c r="J301" s="213"/>
      <c r="K301" s="213"/>
      <c r="L301" s="213"/>
      <c r="M301" s="213"/>
      <c r="N301" s="213"/>
      <c r="O301" s="213"/>
      <c r="P301" s="213"/>
      <c r="Q301" s="213"/>
      <c r="R301" s="213"/>
      <c r="S301" s="213"/>
      <c r="T301" s="213"/>
      <c r="U301" s="213"/>
      <c r="V301" s="213"/>
      <c r="W301" s="213"/>
      <c r="X301" s="213"/>
      <c r="Y301" s="213"/>
      <c r="Z301" s="213"/>
      <c r="AA301" s="213"/>
      <c r="AB301" s="213"/>
      <c r="AC301" s="213"/>
      <c r="AD301" s="213"/>
      <c r="AE301" s="213"/>
      <c r="AF301" s="213"/>
      <c r="AG301" s="213"/>
      <c r="AH301" s="213"/>
      <c r="AI301" s="213"/>
      <c r="AJ301" s="213"/>
      <c r="AK301" s="213"/>
      <c r="AL301" s="213"/>
      <c r="AM301" s="213"/>
      <c r="AN301" s="213"/>
      <c r="AO301" s="213"/>
      <c r="AP301" s="213"/>
      <c r="AQ301" s="213"/>
      <c r="AR301" s="213"/>
      <c r="AS301" s="213"/>
      <c r="AT301" s="213"/>
      <c r="AU301" s="213"/>
      <c r="AV301" s="213"/>
      <c r="AW301" s="213"/>
      <c r="AX301" s="213"/>
      <c r="AY301" s="213"/>
      <c r="AZ301" s="214">
        <f>AZ299/AZ298</f>
        <v>0.54053550647093207</v>
      </c>
      <c r="BA301" s="214">
        <f t="shared" ref="BA301:CN301" si="413">BA299/BA298</f>
        <v>0.55351834580291337</v>
      </c>
      <c r="BB301" s="214">
        <f t="shared" si="413"/>
        <v>0.55874140372964054</v>
      </c>
      <c r="BC301" s="214">
        <f t="shared" si="413"/>
        <v>0.54543072757987954</v>
      </c>
      <c r="BD301" s="214">
        <f t="shared" si="413"/>
        <v>0.54018597823123538</v>
      </c>
      <c r="BE301" s="214">
        <f t="shared" si="413"/>
        <v>0.55031341120630528</v>
      </c>
      <c r="BF301" s="214">
        <f t="shared" si="413"/>
        <v>0.59429396208332919</v>
      </c>
      <c r="BG301" s="214">
        <f t="shared" si="413"/>
        <v>0.55653841400078563</v>
      </c>
      <c r="BH301" s="214">
        <f t="shared" si="413"/>
        <v>0.61916943943075331</v>
      </c>
      <c r="BI301" s="214">
        <f t="shared" si="413"/>
        <v>0.66690825361342054</v>
      </c>
      <c r="BJ301" s="214">
        <f t="shared" si="413"/>
        <v>0.60567124466341371</v>
      </c>
      <c r="BK301" s="214">
        <f t="shared" si="413"/>
        <v>0.6943790247973296</v>
      </c>
      <c r="BL301" s="214">
        <f t="shared" si="413"/>
        <v>0.67609979372997187</v>
      </c>
      <c r="BM301" s="214">
        <f t="shared" si="413"/>
        <v>0.7093970978505072</v>
      </c>
      <c r="BN301" s="214">
        <f t="shared" si="413"/>
        <v>0.68724618668095361</v>
      </c>
      <c r="BO301" s="214">
        <f t="shared" si="413"/>
        <v>0.69103570604362374</v>
      </c>
      <c r="BP301" s="214">
        <f t="shared" si="413"/>
        <v>0.63398511319232276</v>
      </c>
      <c r="BQ301" s="214">
        <f t="shared" si="413"/>
        <v>0.53527842902329148</v>
      </c>
      <c r="BR301" s="214">
        <f t="shared" si="413"/>
        <v>0.49377062651739084</v>
      </c>
      <c r="BS301" s="214">
        <f t="shared" si="413"/>
        <v>0.5157192241080707</v>
      </c>
      <c r="BT301" s="214">
        <f t="shared" si="413"/>
        <v>0.55273655059071314</v>
      </c>
      <c r="BU301" s="214">
        <f t="shared" si="413"/>
        <v>0.50892710400324248</v>
      </c>
      <c r="BV301" s="214">
        <f t="shared" si="413"/>
        <v>0.49865087378556683</v>
      </c>
      <c r="BW301" s="214">
        <f t="shared" si="413"/>
        <v>0.50048455146788617</v>
      </c>
      <c r="BX301" s="214">
        <f t="shared" si="413"/>
        <v>0.49623462294166348</v>
      </c>
      <c r="BY301" s="214">
        <f t="shared" si="413"/>
        <v>0.50290103589704627</v>
      </c>
      <c r="BZ301" s="214">
        <f t="shared" si="413"/>
        <v>0.52289051707379508</v>
      </c>
      <c r="CA301" s="214">
        <f t="shared" si="413"/>
        <v>0.47525703830512117</v>
      </c>
      <c r="CB301" s="214">
        <f t="shared" si="413"/>
        <v>0.5117260352275308</v>
      </c>
      <c r="CC301" s="214">
        <f t="shared" si="413"/>
        <v>0.52116312880878735</v>
      </c>
      <c r="CD301" s="214">
        <f t="shared" si="413"/>
        <v>0.50833335841185545</v>
      </c>
      <c r="CE301" s="214">
        <f t="shared" si="413"/>
        <v>0.50692918691864586</v>
      </c>
      <c r="CF301" s="214">
        <f t="shared" si="413"/>
        <v>0.48931610112495666</v>
      </c>
      <c r="CG301" s="214">
        <f t="shared" si="413"/>
        <v>0.48678391529586895</v>
      </c>
      <c r="CH301" s="214">
        <f t="shared" si="413"/>
        <v>0.55571475085467414</v>
      </c>
      <c r="CI301" s="214">
        <f t="shared" si="413"/>
        <v>0.51024098354843606</v>
      </c>
      <c r="CJ301" s="214">
        <f t="shared" si="413"/>
        <v>0.53101146990995274</v>
      </c>
      <c r="CK301" s="214">
        <f t="shared" si="413"/>
        <v>0.53688412086557236</v>
      </c>
      <c r="CL301" s="214">
        <f t="shared" si="413"/>
        <v>0.52322471989680386</v>
      </c>
      <c r="CM301" s="214">
        <f t="shared" si="413"/>
        <v>0.5212516024855457</v>
      </c>
      <c r="CN301" s="214">
        <f t="shared" si="413"/>
        <v>0.52081532826213839</v>
      </c>
    </row>
    <row r="302" spans="2:290" x14ac:dyDescent="0.25">
      <c r="B302" s="213"/>
      <c r="C302" s="213"/>
      <c r="D302" s="213"/>
      <c r="E302" s="213"/>
      <c r="F302" s="213"/>
      <c r="G302" s="213"/>
      <c r="H302" s="213"/>
      <c r="I302" s="213"/>
      <c r="J302" s="213"/>
      <c r="K302" s="213"/>
      <c r="L302" s="213"/>
      <c r="M302" s="213"/>
      <c r="N302" s="213"/>
      <c r="O302" s="213"/>
      <c r="P302" s="213"/>
      <c r="Q302" s="213"/>
      <c r="R302" s="213"/>
      <c r="S302" s="213"/>
      <c r="T302" s="213"/>
      <c r="U302" s="213"/>
      <c r="V302" s="213"/>
      <c r="W302" s="213"/>
      <c r="X302" s="213"/>
      <c r="Y302" s="213"/>
      <c r="Z302" s="213"/>
      <c r="AA302" s="213"/>
      <c r="AB302" s="213"/>
      <c r="AC302" s="213"/>
      <c r="AD302" s="213"/>
      <c r="AE302" s="213"/>
      <c r="AF302" s="213"/>
      <c r="AG302" s="213"/>
      <c r="AH302" s="213"/>
      <c r="AI302" s="213"/>
      <c r="AJ302" s="213"/>
      <c r="AK302" s="213"/>
      <c r="AL302" s="213"/>
      <c r="AM302" s="213"/>
      <c r="AN302" s="213"/>
      <c r="AO302" s="213"/>
      <c r="AP302" s="213"/>
      <c r="AQ302" s="213"/>
      <c r="AR302" s="213"/>
      <c r="AS302" s="213"/>
      <c r="AT302" s="213"/>
      <c r="AU302" s="213"/>
      <c r="AV302" s="213"/>
      <c r="AW302" s="213"/>
      <c r="AX302" s="213"/>
      <c r="AY302" s="213"/>
      <c r="AZ302" s="214"/>
      <c r="BA302" s="214"/>
      <c r="BB302" s="214"/>
      <c r="BC302" s="214"/>
      <c r="BD302" s="214"/>
      <c r="BE302" s="214"/>
      <c r="BF302" s="214"/>
      <c r="BG302" s="214"/>
      <c r="BH302" s="214"/>
      <c r="BI302" s="214"/>
      <c r="BJ302" s="214"/>
      <c r="BK302" s="214"/>
      <c r="BL302" s="214"/>
      <c r="BM302" s="214"/>
      <c r="BN302" s="214"/>
      <c r="BO302" s="214"/>
      <c r="BP302" s="214"/>
      <c r="BQ302" s="214"/>
      <c r="BR302" s="214"/>
      <c r="BS302" s="214"/>
      <c r="BT302" s="214"/>
      <c r="BU302" s="214"/>
      <c r="BV302" s="214"/>
      <c r="BW302" s="214"/>
      <c r="BX302" s="214"/>
      <c r="BY302" s="214"/>
      <c r="BZ302" s="214"/>
      <c r="CA302" s="214"/>
      <c r="CB302" s="214"/>
      <c r="CC302" s="214"/>
      <c r="CD302" s="214"/>
      <c r="CE302" s="214"/>
      <c r="CF302" s="214"/>
      <c r="CG302" s="214"/>
      <c r="CH302" s="214"/>
      <c r="CI302" s="214"/>
      <c r="CJ302" s="214"/>
      <c r="CK302" s="214"/>
      <c r="CL302" s="214"/>
      <c r="CM302" s="214"/>
      <c r="CN302" s="214"/>
    </row>
    <row r="303" spans="2:290" s="60" customFormat="1" hidden="1" x14ac:dyDescent="0.25">
      <c r="B303" s="34" t="s">
        <v>242</v>
      </c>
      <c r="C303" s="99"/>
      <c r="D303" s="99">
        <f t="shared" ref="D303:BO303" si="414">D353</f>
        <v>0</v>
      </c>
      <c r="E303" s="99">
        <f t="shared" si="414"/>
        <v>0</v>
      </c>
      <c r="F303" s="99">
        <f t="shared" si="414"/>
        <v>0</v>
      </c>
      <c r="G303" s="99">
        <f t="shared" si="414"/>
        <v>0</v>
      </c>
      <c r="H303" s="83">
        <f t="shared" si="414"/>
        <v>0</v>
      </c>
      <c r="I303" s="62">
        <f t="shared" si="414"/>
        <v>0</v>
      </c>
      <c r="J303" s="62">
        <f t="shared" si="414"/>
        <v>0</v>
      </c>
      <c r="K303" s="62">
        <f t="shared" si="414"/>
        <v>0</v>
      </c>
      <c r="L303" s="62">
        <f t="shared" si="414"/>
        <v>0</v>
      </c>
      <c r="M303" s="83">
        <f t="shared" si="414"/>
        <v>0</v>
      </c>
      <c r="N303" s="62">
        <f t="shared" si="414"/>
        <v>0</v>
      </c>
      <c r="O303" s="62">
        <f t="shared" si="414"/>
        <v>0</v>
      </c>
      <c r="P303" s="62">
        <f t="shared" si="414"/>
        <v>0</v>
      </c>
      <c r="Q303" s="62">
        <f t="shared" si="414"/>
        <v>0</v>
      </c>
      <c r="R303" s="83">
        <f t="shared" si="414"/>
        <v>0</v>
      </c>
      <c r="S303" s="62">
        <f t="shared" si="414"/>
        <v>0</v>
      </c>
      <c r="T303" s="62">
        <f t="shared" si="414"/>
        <v>0</v>
      </c>
      <c r="U303" s="62">
        <f t="shared" si="414"/>
        <v>0</v>
      </c>
      <c r="V303" s="62">
        <f t="shared" si="414"/>
        <v>0</v>
      </c>
      <c r="W303" s="83">
        <f t="shared" si="414"/>
        <v>0</v>
      </c>
      <c r="X303" s="62">
        <f t="shared" si="414"/>
        <v>0</v>
      </c>
      <c r="Y303" s="62">
        <f t="shared" si="414"/>
        <v>0</v>
      </c>
      <c r="Z303" s="62">
        <f t="shared" si="414"/>
        <v>0</v>
      </c>
      <c r="AA303" s="62">
        <f t="shared" si="414"/>
        <v>0</v>
      </c>
      <c r="AB303" s="83">
        <f t="shared" si="414"/>
        <v>0</v>
      </c>
      <c r="AC303" s="62">
        <f t="shared" si="414"/>
        <v>0</v>
      </c>
      <c r="AD303" s="62">
        <f t="shared" si="414"/>
        <v>0</v>
      </c>
      <c r="AE303" s="62">
        <f t="shared" si="414"/>
        <v>0</v>
      </c>
      <c r="AF303" s="62">
        <f t="shared" si="414"/>
        <v>0</v>
      </c>
      <c r="AG303" s="83">
        <f t="shared" si="414"/>
        <v>0</v>
      </c>
      <c r="AH303" s="62">
        <f t="shared" si="414"/>
        <v>0</v>
      </c>
      <c r="AI303" s="62">
        <f t="shared" si="414"/>
        <v>0</v>
      </c>
      <c r="AJ303" s="62">
        <f t="shared" si="414"/>
        <v>0</v>
      </c>
      <c r="AK303" s="83">
        <f t="shared" si="414"/>
        <v>0</v>
      </c>
      <c r="AL303" s="62">
        <f t="shared" si="414"/>
        <v>0</v>
      </c>
      <c r="AM303" s="62">
        <f t="shared" si="414"/>
        <v>0</v>
      </c>
      <c r="AN303" s="62">
        <f t="shared" si="414"/>
        <v>0</v>
      </c>
      <c r="AO303" s="62">
        <f t="shared" si="414"/>
        <v>0</v>
      </c>
      <c r="AP303" s="83">
        <f t="shared" si="414"/>
        <v>0</v>
      </c>
      <c r="AQ303" s="62">
        <f t="shared" si="414"/>
        <v>0</v>
      </c>
      <c r="AR303" s="62">
        <f t="shared" si="414"/>
        <v>0</v>
      </c>
      <c r="AS303" s="62">
        <f t="shared" si="414"/>
        <v>0</v>
      </c>
      <c r="AT303" s="62">
        <f t="shared" si="414"/>
        <v>0</v>
      </c>
      <c r="AU303" s="83">
        <f t="shared" si="414"/>
        <v>0</v>
      </c>
      <c r="AV303" s="196">
        <f t="shared" si="414"/>
        <v>0</v>
      </c>
      <c r="AW303" s="196">
        <f t="shared" si="414"/>
        <v>0</v>
      </c>
      <c r="AX303" s="196">
        <f t="shared" si="414"/>
        <v>0</v>
      </c>
      <c r="AY303" s="196">
        <f t="shared" si="414"/>
        <v>0</v>
      </c>
      <c r="AZ303" s="83">
        <f t="shared" si="414"/>
        <v>0</v>
      </c>
      <c r="BA303" s="196">
        <f t="shared" si="414"/>
        <v>0</v>
      </c>
      <c r="BB303" s="196">
        <f t="shared" si="414"/>
        <v>0</v>
      </c>
      <c r="BC303" s="196">
        <f t="shared" si="414"/>
        <v>0</v>
      </c>
      <c r="BD303" s="196">
        <f t="shared" si="414"/>
        <v>0</v>
      </c>
      <c r="BE303" s="83">
        <f t="shared" si="414"/>
        <v>0</v>
      </c>
      <c r="BF303" s="196">
        <f t="shared" si="414"/>
        <v>0</v>
      </c>
      <c r="BG303" s="196">
        <f t="shared" si="414"/>
        <v>0</v>
      </c>
      <c r="BH303" s="196">
        <f t="shared" si="414"/>
        <v>0</v>
      </c>
      <c r="BI303" s="196">
        <f t="shared" si="414"/>
        <v>0</v>
      </c>
      <c r="BJ303" s="83">
        <f t="shared" si="414"/>
        <v>0</v>
      </c>
      <c r="BK303" s="196">
        <f t="shared" si="414"/>
        <v>0</v>
      </c>
      <c r="BL303" s="196">
        <f t="shared" si="414"/>
        <v>0</v>
      </c>
      <c r="BM303" s="196">
        <f t="shared" si="414"/>
        <v>0</v>
      </c>
      <c r="BN303" s="196">
        <f t="shared" si="414"/>
        <v>0</v>
      </c>
      <c r="BO303" s="83">
        <f t="shared" si="414"/>
        <v>0</v>
      </c>
      <c r="BP303" s="196">
        <f t="shared" ref="BP303:CK303" si="415">BP353</f>
        <v>0</v>
      </c>
      <c r="BQ303" s="196">
        <f t="shared" si="415"/>
        <v>0</v>
      </c>
      <c r="BR303" s="196">
        <f t="shared" si="415"/>
        <v>0</v>
      </c>
      <c r="BS303" s="196">
        <f t="shared" si="415"/>
        <v>0</v>
      </c>
      <c r="BT303" s="83">
        <f t="shared" si="415"/>
        <v>0</v>
      </c>
      <c r="BU303" s="196">
        <f t="shared" si="415"/>
        <v>0</v>
      </c>
      <c r="BV303" s="196">
        <f t="shared" si="415"/>
        <v>0</v>
      </c>
      <c r="BW303" s="196">
        <f t="shared" si="415"/>
        <v>0</v>
      </c>
      <c r="BX303" s="196">
        <f t="shared" si="415"/>
        <v>0</v>
      </c>
      <c r="BY303" s="83">
        <f t="shared" si="415"/>
        <v>0</v>
      </c>
      <c r="BZ303" s="196">
        <f t="shared" si="415"/>
        <v>0</v>
      </c>
      <c r="CA303" s="196">
        <f t="shared" si="415"/>
        <v>0</v>
      </c>
      <c r="CB303" s="196">
        <f t="shared" si="415"/>
        <v>0</v>
      </c>
      <c r="CC303" s="196">
        <f t="shared" si="415"/>
        <v>0</v>
      </c>
      <c r="CD303" s="83">
        <f t="shared" si="415"/>
        <v>0</v>
      </c>
      <c r="CE303" s="196">
        <f t="shared" si="415"/>
        <v>0</v>
      </c>
      <c r="CF303" s="196">
        <f t="shared" si="415"/>
        <v>0</v>
      </c>
      <c r="CG303" s="196">
        <f t="shared" si="415"/>
        <v>0</v>
      </c>
      <c r="CH303" s="196">
        <f t="shared" si="415"/>
        <v>0</v>
      </c>
      <c r="CI303" s="83">
        <f t="shared" si="415"/>
        <v>0</v>
      </c>
      <c r="CJ303" s="83">
        <f t="shared" si="415"/>
        <v>0</v>
      </c>
      <c r="CK303" s="83">
        <f t="shared" si="415"/>
        <v>0</v>
      </c>
      <c r="CL303" s="83"/>
      <c r="CM303" s="83"/>
      <c r="CN303" s="83"/>
      <c r="CO303" s="148"/>
      <c r="CP303" s="148"/>
      <c r="CQ303" s="58"/>
      <c r="CR303" s="58"/>
      <c r="CS303" s="58"/>
      <c r="CT303" s="143"/>
      <c r="CU303" s="143"/>
      <c r="CV303" s="143"/>
      <c r="CW303" s="143"/>
      <c r="CX303" s="143"/>
      <c r="CY303" s="143"/>
      <c r="CZ303" s="143"/>
      <c r="DA303" s="143"/>
      <c r="DB303" s="143"/>
      <c r="DC303" s="143"/>
      <c r="DD303" s="143"/>
      <c r="DE303" s="143"/>
      <c r="DF303" s="143"/>
      <c r="DG303" s="143"/>
      <c r="DH303" s="143"/>
      <c r="DI303" s="143"/>
      <c r="DK303" s="143"/>
      <c r="DL303" s="143"/>
      <c r="DM303" s="58"/>
      <c r="DN303" s="143"/>
      <c r="DO303" s="143"/>
      <c r="DQ303" s="4"/>
      <c r="DR303" s="143"/>
      <c r="DS303" s="143"/>
      <c r="DT303" s="143"/>
      <c r="DV303" s="143"/>
      <c r="DW303" s="143"/>
      <c r="DX303" s="143"/>
      <c r="EA303" s="119"/>
      <c r="EB303" s="119"/>
      <c r="EC303" s="119"/>
      <c r="ED303" s="143"/>
      <c r="EE303" s="143"/>
      <c r="EF303" s="143"/>
      <c r="EJ303" s="119"/>
      <c r="EK303" s="119"/>
      <c r="EL303" s="143"/>
      <c r="EM303" s="143"/>
      <c r="EN303" s="143"/>
      <c r="EP303" s="119"/>
      <c r="EQ303" s="143"/>
      <c r="ER303" s="143"/>
      <c r="ES303" s="143"/>
      <c r="EV303" s="119"/>
      <c r="EW303" s="119"/>
      <c r="EX303" s="119"/>
      <c r="EY303" s="119"/>
      <c r="EZ303" s="143"/>
      <c r="FA303" s="143"/>
      <c r="FD303" s="119"/>
      <c r="FE303" s="119"/>
      <c r="FF303" s="119"/>
      <c r="FG303" s="143"/>
      <c r="FH303" s="143"/>
      <c r="FK303" s="143"/>
      <c r="FL303" s="143"/>
      <c r="FO303" s="119"/>
      <c r="FP303" s="119"/>
      <c r="FQ303" s="143"/>
      <c r="FR303" s="143"/>
      <c r="FU303" s="119"/>
      <c r="FV303" s="143"/>
      <c r="FW303" s="143"/>
      <c r="FX303" s="143"/>
      <c r="FY303" s="143"/>
      <c r="GA303" s="143"/>
      <c r="GB303" s="143"/>
      <c r="GC303" s="143"/>
      <c r="GF303" s="119"/>
      <c r="GG303" s="119"/>
      <c r="GH303" s="119"/>
      <c r="GI303" s="143"/>
      <c r="GJ303" s="143"/>
      <c r="GK303" s="143"/>
      <c r="GN303" s="119"/>
      <c r="GO303" s="119"/>
      <c r="GP303" s="143"/>
      <c r="GQ303" s="143"/>
      <c r="GR303" s="143"/>
      <c r="GV303" s="119"/>
      <c r="GW303" s="143"/>
      <c r="GX303" s="143"/>
      <c r="GY303" s="143"/>
      <c r="HC303" s="143"/>
      <c r="HD303" s="143"/>
      <c r="HE303" s="143"/>
      <c r="HF303" s="143"/>
      <c r="HI303" s="119"/>
      <c r="HJ303" s="119"/>
      <c r="HK303" s="119"/>
      <c r="HL303" s="119"/>
      <c r="HM303" s="143"/>
      <c r="HN303" s="143"/>
      <c r="HO303" s="143"/>
      <c r="HR303" s="119"/>
      <c r="HS303" s="119"/>
      <c r="HT303" s="119"/>
      <c r="HU303" s="143"/>
      <c r="HV303" s="143"/>
      <c r="HW303" s="143"/>
      <c r="HZ303" s="119"/>
      <c r="IA303" s="143"/>
      <c r="IB303" s="143"/>
      <c r="IC303" s="143"/>
      <c r="IE303" s="119"/>
      <c r="IF303" s="143"/>
      <c r="IG303" s="143"/>
      <c r="IH303" s="143"/>
      <c r="IK303" s="143"/>
      <c r="IL303" s="143"/>
      <c r="IO303" s="143"/>
      <c r="IP303" s="143"/>
      <c r="IS303" s="157"/>
      <c r="IT303" s="157"/>
      <c r="IU303" s="157"/>
      <c r="IX303" s="143"/>
      <c r="IY303" s="143"/>
      <c r="IZ303" s="143"/>
      <c r="JA303" s="143"/>
      <c r="JD303" s="143"/>
      <c r="JE303" s="143"/>
      <c r="JH303" s="143"/>
      <c r="JI303" s="143"/>
      <c r="JJ303" s="143"/>
      <c r="JM303" s="143"/>
      <c r="JN303" s="143"/>
      <c r="JQ303" s="143"/>
      <c r="JR303" s="143"/>
      <c r="JS303" s="143"/>
      <c r="JV303" s="143"/>
      <c r="JW303" s="143"/>
      <c r="JY303" s="143"/>
      <c r="JZ303" s="143"/>
      <c r="KB303" s="143"/>
      <c r="KC303" s="143"/>
      <c r="KD303" s="143"/>
    </row>
    <row r="304" spans="2:290" hidden="1" x14ac:dyDescent="0.25">
      <c r="B304" s="11" t="str">
        <f>B272</f>
        <v>Plastics Piping Products</v>
      </c>
      <c r="C304" s="23"/>
      <c r="D304" s="23"/>
      <c r="E304" s="23"/>
      <c r="F304" s="23"/>
      <c r="G304" s="23"/>
      <c r="H304" s="197"/>
      <c r="I304" s="198"/>
      <c r="J304" s="198"/>
      <c r="K304" s="198"/>
      <c r="L304" s="198"/>
      <c r="M304" s="197"/>
      <c r="N304" s="198"/>
      <c r="O304" s="198"/>
      <c r="P304" s="198"/>
      <c r="Q304" s="198"/>
      <c r="R304" s="197"/>
      <c r="S304" s="198"/>
      <c r="T304" s="198"/>
      <c r="U304" s="198"/>
      <c r="V304" s="198"/>
      <c r="W304" s="197"/>
      <c r="X304" s="198"/>
      <c r="Y304" s="198"/>
      <c r="Z304" s="198"/>
      <c r="AA304" s="198"/>
      <c r="AB304" s="197"/>
      <c r="AC304" s="198"/>
      <c r="AD304" s="198"/>
      <c r="AE304" s="198"/>
      <c r="AF304" s="198"/>
      <c r="AG304" s="197"/>
      <c r="AH304" s="198">
        <v>41.99</v>
      </c>
      <c r="AI304" s="198">
        <v>52</v>
      </c>
      <c r="AJ304" s="198">
        <v>92.58</v>
      </c>
      <c r="AK304" s="197">
        <v>186.56800000000001</v>
      </c>
      <c r="AL304" s="198">
        <v>93.69</v>
      </c>
      <c r="AM304" s="198">
        <v>62.79</v>
      </c>
      <c r="AN304" s="198">
        <v>74.099999999999994</v>
      </c>
      <c r="AO304" s="198">
        <v>105.98</v>
      </c>
      <c r="AP304" s="197">
        <v>336.56</v>
      </c>
      <c r="AQ304" s="198">
        <v>65.14</v>
      </c>
      <c r="AR304" s="198">
        <v>50.35</v>
      </c>
      <c r="AS304" s="198">
        <v>67.8</v>
      </c>
      <c r="AT304" s="198">
        <v>130.33000000000001</v>
      </c>
      <c r="AU304" s="197">
        <v>313.63</v>
      </c>
      <c r="AV304" s="199">
        <v>77.36</v>
      </c>
      <c r="AW304" s="199">
        <v>64.95</v>
      </c>
      <c r="AX304" s="199">
        <v>75.5</v>
      </c>
      <c r="AY304" s="199">
        <v>95.02</v>
      </c>
      <c r="AZ304" s="197">
        <v>312.83</v>
      </c>
      <c r="BA304" s="199">
        <v>78.28</v>
      </c>
      <c r="BB304" s="199">
        <v>109.86</v>
      </c>
      <c r="BC304" s="199">
        <v>103.54</v>
      </c>
      <c r="BD304" s="199">
        <v>168.83</v>
      </c>
      <c r="BE304" s="197">
        <f>SUM(BA304:BD304)</f>
        <v>460.51</v>
      </c>
      <c r="BF304" s="199">
        <v>66.47</v>
      </c>
      <c r="BG304" s="199">
        <v>147.54</v>
      </c>
      <c r="BH304" s="199">
        <v>250.27</v>
      </c>
      <c r="BI304" s="199">
        <v>357.01</v>
      </c>
      <c r="BJ304" s="197">
        <v>821.29</v>
      </c>
      <c r="BK304" s="199">
        <v>141.56</v>
      </c>
      <c r="BL304" s="199">
        <v>194.02</v>
      </c>
      <c r="BM304" s="199">
        <v>189</v>
      </c>
      <c r="BN304" s="199">
        <v>258.91000000000003</v>
      </c>
      <c r="BO304" s="197">
        <v>783.88</v>
      </c>
      <c r="BP304" s="199">
        <v>154.41</v>
      </c>
      <c r="BQ304" s="199">
        <v>24.77</v>
      </c>
      <c r="BR304" s="199">
        <v>170.97</v>
      </c>
      <c r="BS304" s="199">
        <v>329.12</v>
      </c>
      <c r="BT304" s="197">
        <v>679.27</v>
      </c>
      <c r="BU304" s="199">
        <v>194.11</v>
      </c>
      <c r="BV304" s="199">
        <v>200.57</v>
      </c>
      <c r="BW304" s="199">
        <v>212.88</v>
      </c>
      <c r="BX304" s="199">
        <v>292.62</v>
      </c>
      <c r="BY304" s="197">
        <v>900.18</v>
      </c>
      <c r="BZ304" s="199">
        <v>231.31</v>
      </c>
      <c r="CA304" s="199">
        <f>150.42+35</f>
        <v>185.42</v>
      </c>
      <c r="CB304" s="199">
        <v>137.66</v>
      </c>
      <c r="CC304" s="199">
        <v>215.92</v>
      </c>
      <c r="CD304" s="197">
        <v>735</v>
      </c>
      <c r="CE304" s="199">
        <v>157.38999999999999</v>
      </c>
      <c r="CF304" s="199">
        <v>126.83</v>
      </c>
      <c r="CG304" s="199">
        <v>135.1</v>
      </c>
      <c r="CH304" s="199">
        <v>381.86</v>
      </c>
      <c r="CI304" s="197">
        <v>801.18</v>
      </c>
      <c r="CJ304" s="197">
        <f t="shared" ref="CJ304:CK307" si="416">CJ313*CJ247/10000</f>
        <v>0</v>
      </c>
      <c r="CK304" s="197">
        <f t="shared" si="416"/>
        <v>0</v>
      </c>
      <c r="CL304" s="197"/>
      <c r="CM304" s="197"/>
      <c r="CN304" s="197"/>
      <c r="CO304" s="137"/>
      <c r="CP304" s="137"/>
      <c r="CQ304" s="6"/>
      <c r="CR304" s="6"/>
      <c r="CS304" s="6"/>
      <c r="CT304" s="124"/>
      <c r="CU304" s="124"/>
      <c r="CV304" s="124"/>
      <c r="CW304" s="124"/>
      <c r="CX304" s="124"/>
      <c r="CY304" s="124"/>
      <c r="CZ304" s="124"/>
      <c r="DA304" s="124"/>
      <c r="DB304" s="124"/>
      <c r="DC304" s="124"/>
      <c r="DD304" s="124"/>
      <c r="DE304" s="124"/>
      <c r="DF304" s="124"/>
      <c r="DG304" s="124"/>
      <c r="DH304" s="124"/>
      <c r="DI304" s="124"/>
      <c r="DK304" s="124"/>
      <c r="DL304" s="124"/>
      <c r="DM304" s="6"/>
      <c r="DN304" s="124"/>
      <c r="DO304" s="124"/>
      <c r="DQ304" s="136"/>
      <c r="DR304" s="124"/>
      <c r="DS304" s="124"/>
      <c r="DT304" s="124"/>
      <c r="DV304" s="124"/>
      <c r="DW304" s="124"/>
      <c r="DX304" s="124"/>
      <c r="EA304" s="111"/>
      <c r="EB304" s="111"/>
      <c r="EC304" s="111"/>
      <c r="ED304" s="124"/>
      <c r="EE304" s="124"/>
      <c r="EF304" s="124"/>
      <c r="EJ304" s="111"/>
      <c r="EK304" s="111"/>
      <c r="EL304" s="124"/>
      <c r="EM304" s="124"/>
      <c r="EN304" s="124"/>
      <c r="EP304" s="111"/>
      <c r="EQ304" s="124"/>
      <c r="ER304" s="124"/>
      <c r="ES304" s="124"/>
      <c r="EV304" s="111"/>
      <c r="EW304" s="111"/>
      <c r="EX304" s="111"/>
      <c r="EY304" s="111"/>
      <c r="EZ304" s="124"/>
      <c r="FA304" s="124"/>
      <c r="FD304" s="111"/>
      <c r="FE304" s="111"/>
      <c r="FF304" s="111"/>
      <c r="FG304" s="124"/>
      <c r="FH304" s="124"/>
      <c r="FK304" s="124"/>
      <c r="FL304" s="124"/>
      <c r="FO304" s="111"/>
      <c r="FP304" s="111"/>
      <c r="FQ304" s="124"/>
      <c r="FR304" s="124"/>
      <c r="FU304" s="111"/>
      <c r="FV304" s="124"/>
      <c r="FW304" s="124"/>
      <c r="FX304" s="124"/>
      <c r="FY304" s="124"/>
      <c r="GA304" s="124"/>
      <c r="GB304" s="124"/>
      <c r="GC304" s="124"/>
      <c r="GF304" s="111"/>
      <c r="GG304" s="111"/>
      <c r="GH304" s="111"/>
      <c r="GI304" s="124"/>
      <c r="GJ304" s="124"/>
      <c r="GK304" s="124"/>
      <c r="GN304" s="111"/>
      <c r="GO304" s="111"/>
      <c r="GP304" s="124"/>
      <c r="GQ304" s="124"/>
      <c r="GR304" s="124"/>
      <c r="GV304" s="111"/>
      <c r="GW304" s="124"/>
      <c r="GX304" s="124"/>
      <c r="GY304" s="124"/>
      <c r="HC304" s="124"/>
      <c r="HD304" s="124"/>
      <c r="HE304" s="124"/>
      <c r="HF304" s="124"/>
      <c r="HI304" s="111"/>
      <c r="HJ304" s="111"/>
      <c r="HK304" s="111"/>
      <c r="HL304" s="111"/>
      <c r="HM304" s="124"/>
      <c r="HN304" s="124"/>
      <c r="HO304" s="124"/>
      <c r="HR304" s="111"/>
      <c r="HS304" s="111"/>
      <c r="HT304" s="111"/>
      <c r="HU304" s="124"/>
      <c r="HV304" s="124"/>
      <c r="HW304" s="124"/>
      <c r="HZ304" s="111"/>
      <c r="IA304" s="124"/>
      <c r="IB304" s="124"/>
      <c r="IC304" s="124"/>
      <c r="IE304" s="111"/>
      <c r="IF304" s="124"/>
      <c r="IG304" s="124"/>
      <c r="IH304" s="124"/>
      <c r="IK304" s="124"/>
      <c r="IL304" s="124"/>
      <c r="IO304" s="124"/>
      <c r="IP304" s="124"/>
      <c r="IS304" s="160"/>
      <c r="IT304" s="160"/>
      <c r="IU304" s="160"/>
      <c r="IX304" s="124"/>
      <c r="IY304" s="124"/>
      <c r="IZ304" s="124"/>
      <c r="JA304" s="124"/>
      <c r="JD304" s="124"/>
      <c r="JE304" s="124"/>
      <c r="JH304" s="124"/>
      <c r="JI304" s="124"/>
      <c r="JJ304" s="124"/>
      <c r="JM304" s="124"/>
      <c r="JN304" s="124"/>
      <c r="JQ304" s="124"/>
      <c r="JR304" s="124"/>
      <c r="JS304" s="124"/>
      <c r="JV304" s="124"/>
      <c r="JW304" s="124"/>
      <c r="JY304" s="124"/>
      <c r="JZ304" s="124"/>
      <c r="KB304" s="124"/>
      <c r="KC304" s="124"/>
      <c r="KD304" s="124"/>
    </row>
    <row r="305" spans="2:290" hidden="1" x14ac:dyDescent="0.25">
      <c r="B305" s="11" t="str">
        <f>B273</f>
        <v>Industrial Products</v>
      </c>
      <c r="C305" s="23"/>
      <c r="D305" s="23"/>
      <c r="E305" s="23"/>
      <c r="F305" s="23"/>
      <c r="G305" s="23"/>
      <c r="H305" s="197"/>
      <c r="I305" s="198"/>
      <c r="J305" s="198"/>
      <c r="K305" s="198"/>
      <c r="L305" s="198"/>
      <c r="M305" s="197"/>
      <c r="N305" s="198"/>
      <c r="O305" s="198"/>
      <c r="P305" s="198"/>
      <c r="Q305" s="198"/>
      <c r="R305" s="197"/>
      <c r="S305" s="198"/>
      <c r="T305" s="198"/>
      <c r="U305" s="198"/>
      <c r="V305" s="198"/>
      <c r="W305" s="197"/>
      <c r="X305" s="198"/>
      <c r="Y305" s="198"/>
      <c r="Z305" s="198"/>
      <c r="AA305" s="198"/>
      <c r="AB305" s="197"/>
      <c r="AC305" s="198"/>
      <c r="AD305" s="198"/>
      <c r="AE305" s="198"/>
      <c r="AF305" s="198"/>
      <c r="AG305" s="197"/>
      <c r="AH305" s="198">
        <v>4.6399999999999997</v>
      </c>
      <c r="AI305" s="198">
        <v>5.0549999999999997</v>
      </c>
      <c r="AJ305" s="198">
        <v>16.61</v>
      </c>
      <c r="AK305" s="197">
        <v>26.3</v>
      </c>
      <c r="AL305" s="198">
        <v>10.81</v>
      </c>
      <c r="AM305" s="198">
        <v>11.66</v>
      </c>
      <c r="AN305" s="198">
        <v>9.65</v>
      </c>
      <c r="AO305" s="198">
        <v>23.65</v>
      </c>
      <c r="AP305" s="197">
        <v>55.78</v>
      </c>
      <c r="AQ305" s="198">
        <v>10.92</v>
      </c>
      <c r="AR305" s="198">
        <v>15.8</v>
      </c>
      <c r="AS305" s="198">
        <v>18.46</v>
      </c>
      <c r="AT305" s="198">
        <v>33.119999999999997</v>
      </c>
      <c r="AU305" s="197">
        <v>78.3</v>
      </c>
      <c r="AV305" s="199">
        <v>19.61</v>
      </c>
      <c r="AW305" s="199">
        <v>18.899999999999999</v>
      </c>
      <c r="AX305" s="199">
        <v>11.34</v>
      </c>
      <c r="AY305" s="199">
        <v>15.46</v>
      </c>
      <c r="AZ305" s="197">
        <v>63.57</v>
      </c>
      <c r="BA305" s="199">
        <v>12.03</v>
      </c>
      <c r="BB305" s="199">
        <v>-1.96</v>
      </c>
      <c r="BC305" s="199">
        <v>8.49</v>
      </c>
      <c r="BD305" s="199">
        <v>14.01</v>
      </c>
      <c r="BE305" s="197">
        <f>SUM(BA305:BD305)</f>
        <v>32.57</v>
      </c>
      <c r="BF305" s="199">
        <v>-7.6</v>
      </c>
      <c r="BG305" s="199">
        <v>11.99</v>
      </c>
      <c r="BH305" s="199">
        <v>20.05</v>
      </c>
      <c r="BI305" s="199">
        <v>39.020000000000003</v>
      </c>
      <c r="BJ305" s="197">
        <v>63.46</v>
      </c>
      <c r="BK305" s="199">
        <v>12.2</v>
      </c>
      <c r="BL305" s="199">
        <v>19.21</v>
      </c>
      <c r="BM305" s="199">
        <v>22</v>
      </c>
      <c r="BN305" s="199">
        <v>31.44</v>
      </c>
      <c r="BO305" s="197">
        <v>85.26</v>
      </c>
      <c r="BP305" s="199">
        <v>25.55</v>
      </c>
      <c r="BQ305" s="199">
        <v>29.83</v>
      </c>
      <c r="BR305" s="199">
        <v>31.61</v>
      </c>
      <c r="BS305" s="199">
        <v>36.93</v>
      </c>
      <c r="BT305" s="197">
        <v>123.92</v>
      </c>
      <c r="BU305" s="199">
        <v>18.88</v>
      </c>
      <c r="BV305" s="199">
        <v>25.24</v>
      </c>
      <c r="BW305" s="199">
        <v>29.67</v>
      </c>
      <c r="BX305" s="199">
        <v>39.54</v>
      </c>
      <c r="BY305" s="197">
        <v>113.33</v>
      </c>
      <c r="BZ305" s="199">
        <v>19.54</v>
      </c>
      <c r="CA305" s="199">
        <v>28.14</v>
      </c>
      <c r="CB305" s="199">
        <v>27.2</v>
      </c>
      <c r="CC305" s="199">
        <v>35.200000000000003</v>
      </c>
      <c r="CD305" s="197">
        <v>110</v>
      </c>
      <c r="CE305" s="199">
        <v>17.64</v>
      </c>
      <c r="CF305" s="199">
        <v>11.8</v>
      </c>
      <c r="CG305" s="199">
        <v>26.96</v>
      </c>
      <c r="CH305" s="199">
        <v>41.64</v>
      </c>
      <c r="CI305" s="197">
        <v>98.04</v>
      </c>
      <c r="CJ305" s="197">
        <f t="shared" si="416"/>
        <v>0</v>
      </c>
      <c r="CK305" s="197">
        <f t="shared" si="416"/>
        <v>0</v>
      </c>
      <c r="CL305" s="197"/>
      <c r="CM305" s="197"/>
      <c r="CN305" s="197"/>
      <c r="CO305" s="137"/>
      <c r="CP305" s="137"/>
      <c r="CQ305" s="6"/>
      <c r="CR305" s="6"/>
      <c r="CS305" s="6"/>
      <c r="CT305" s="124"/>
      <c r="CU305" s="124"/>
      <c r="CV305" s="124"/>
      <c r="CW305" s="124"/>
      <c r="CX305" s="124"/>
      <c r="CY305" s="124"/>
      <c r="CZ305" s="124"/>
      <c r="DA305" s="124"/>
      <c r="DB305" s="124"/>
      <c r="DC305" s="124"/>
      <c r="DD305" s="124"/>
      <c r="DE305" s="124"/>
      <c r="DF305" s="124"/>
      <c r="DG305" s="124"/>
      <c r="DH305" s="124"/>
      <c r="DI305" s="124"/>
      <c r="DK305" s="124"/>
      <c r="DL305" s="124"/>
      <c r="DM305" s="6"/>
      <c r="DN305" s="124"/>
      <c r="DO305" s="124"/>
      <c r="DQ305" s="136"/>
      <c r="DR305" s="124"/>
      <c r="DS305" s="124"/>
      <c r="DT305" s="124"/>
      <c r="DV305" s="124"/>
      <c r="DW305" s="124"/>
      <c r="DX305" s="124"/>
      <c r="EA305" s="111"/>
      <c r="EB305" s="111"/>
      <c r="EC305" s="111"/>
      <c r="ED305" s="124"/>
      <c r="EE305" s="124"/>
      <c r="EF305" s="124"/>
      <c r="EJ305" s="111"/>
      <c r="EK305" s="111"/>
      <c r="EL305" s="124"/>
      <c r="EM305" s="124"/>
      <c r="EN305" s="124"/>
      <c r="EP305" s="111"/>
      <c r="EQ305" s="124"/>
      <c r="ER305" s="124"/>
      <c r="ES305" s="124"/>
      <c r="EV305" s="111"/>
      <c r="EW305" s="111"/>
      <c r="EX305" s="111"/>
      <c r="EY305" s="111"/>
      <c r="EZ305" s="124"/>
      <c r="FA305" s="124"/>
      <c r="FD305" s="111"/>
      <c r="FE305" s="111"/>
      <c r="FF305" s="111"/>
      <c r="FG305" s="124"/>
      <c r="FH305" s="124"/>
      <c r="FK305" s="124"/>
      <c r="FL305" s="124"/>
      <c r="FO305" s="111"/>
      <c r="FP305" s="111"/>
      <c r="FQ305" s="124"/>
      <c r="FR305" s="124"/>
      <c r="FU305" s="111"/>
      <c r="FV305" s="124"/>
      <c r="FW305" s="124"/>
      <c r="FX305" s="124"/>
      <c r="FY305" s="124"/>
      <c r="GA305" s="124"/>
      <c r="GB305" s="124"/>
      <c r="GC305" s="124"/>
      <c r="GF305" s="111"/>
      <c r="GG305" s="111"/>
      <c r="GH305" s="111"/>
      <c r="GI305" s="124"/>
      <c r="GJ305" s="124"/>
      <c r="GK305" s="124"/>
      <c r="GN305" s="111"/>
      <c r="GO305" s="111"/>
      <c r="GP305" s="124"/>
      <c r="GQ305" s="124"/>
      <c r="GR305" s="124"/>
      <c r="GV305" s="111"/>
      <c r="GW305" s="124"/>
      <c r="GX305" s="124"/>
      <c r="GY305" s="124"/>
      <c r="HC305" s="124"/>
      <c r="HD305" s="124"/>
      <c r="HE305" s="124"/>
      <c r="HF305" s="124"/>
      <c r="HI305" s="111"/>
      <c r="HJ305" s="111"/>
      <c r="HK305" s="111"/>
      <c r="HL305" s="111"/>
      <c r="HM305" s="124"/>
      <c r="HN305" s="124"/>
      <c r="HO305" s="124"/>
      <c r="HR305" s="111"/>
      <c r="HS305" s="111"/>
      <c r="HT305" s="111"/>
      <c r="HU305" s="124"/>
      <c r="HV305" s="124"/>
      <c r="HW305" s="124"/>
      <c r="HZ305" s="111"/>
      <c r="IA305" s="124"/>
      <c r="IB305" s="124"/>
      <c r="IC305" s="124"/>
      <c r="IE305" s="111"/>
      <c r="IF305" s="124"/>
      <c r="IG305" s="124"/>
      <c r="IH305" s="124"/>
      <c r="IK305" s="124"/>
      <c r="IL305" s="124"/>
      <c r="IO305" s="124"/>
      <c r="IP305" s="124"/>
      <c r="IS305" s="160"/>
      <c r="IT305" s="160"/>
      <c r="IU305" s="160"/>
      <c r="IX305" s="124"/>
      <c r="IY305" s="124"/>
      <c r="IZ305" s="124"/>
      <c r="JA305" s="124"/>
      <c r="JD305" s="124"/>
      <c r="JE305" s="124"/>
      <c r="JH305" s="124"/>
      <c r="JI305" s="124"/>
      <c r="JJ305" s="124"/>
      <c r="JM305" s="124"/>
      <c r="JN305" s="124"/>
      <c r="JQ305" s="124"/>
      <c r="JR305" s="124"/>
      <c r="JS305" s="124"/>
      <c r="JV305" s="124"/>
      <c r="JW305" s="124"/>
      <c r="JY305" s="124"/>
      <c r="JZ305" s="124"/>
      <c r="KB305" s="124"/>
      <c r="KC305" s="124"/>
      <c r="KD305" s="124"/>
    </row>
    <row r="306" spans="2:290" hidden="1" x14ac:dyDescent="0.25">
      <c r="B306" s="11" t="str">
        <f>B274</f>
        <v>Packaging Products</v>
      </c>
      <c r="C306" s="23"/>
      <c r="D306" s="23"/>
      <c r="E306" s="23"/>
      <c r="F306" s="23"/>
      <c r="G306" s="23"/>
      <c r="H306" s="197"/>
      <c r="I306" s="198"/>
      <c r="J306" s="198"/>
      <c r="K306" s="198"/>
      <c r="L306" s="198"/>
      <c r="M306" s="197"/>
      <c r="N306" s="198"/>
      <c r="O306" s="198"/>
      <c r="P306" s="198"/>
      <c r="Q306" s="198"/>
      <c r="R306" s="197"/>
      <c r="S306" s="198"/>
      <c r="T306" s="198"/>
      <c r="U306" s="198"/>
      <c r="V306" s="198"/>
      <c r="W306" s="197"/>
      <c r="X306" s="198"/>
      <c r="Y306" s="198"/>
      <c r="Z306" s="198"/>
      <c r="AA306" s="198"/>
      <c r="AB306" s="197"/>
      <c r="AC306" s="198"/>
      <c r="AD306" s="198"/>
      <c r="AE306" s="198"/>
      <c r="AF306" s="198"/>
      <c r="AG306" s="197"/>
      <c r="AH306" s="198">
        <v>18.22</v>
      </c>
      <c r="AI306" s="198">
        <v>57.97</v>
      </c>
      <c r="AJ306" s="198">
        <v>49.23</v>
      </c>
      <c r="AK306" s="197">
        <v>125.42</v>
      </c>
      <c r="AL306" s="198">
        <v>52.58</v>
      </c>
      <c r="AM306" s="198">
        <v>19.559999999999999</v>
      </c>
      <c r="AN306" s="198">
        <v>56.33</v>
      </c>
      <c r="AO306" s="198">
        <v>53.15</v>
      </c>
      <c r="AP306" s="197">
        <v>181.62</v>
      </c>
      <c r="AQ306" s="198">
        <v>36.07</v>
      </c>
      <c r="AR306" s="198">
        <v>27.79</v>
      </c>
      <c r="AS306" s="198">
        <v>61.42</v>
      </c>
      <c r="AT306" s="198">
        <v>49.29</v>
      </c>
      <c r="AU306" s="197">
        <v>174.58</v>
      </c>
      <c r="AV306" s="199">
        <v>37.340000000000003</v>
      </c>
      <c r="AW306" s="199">
        <v>24.38</v>
      </c>
      <c r="AX306" s="199">
        <v>36.200000000000003</v>
      </c>
      <c r="AY306" s="199">
        <v>29.91</v>
      </c>
      <c r="AZ306" s="197">
        <v>127.83</v>
      </c>
      <c r="BA306" s="199">
        <v>20.59</v>
      </c>
      <c r="BB306" s="199">
        <v>3.82</v>
      </c>
      <c r="BC306" s="199">
        <v>43.74</v>
      </c>
      <c r="BD306" s="199">
        <v>33.36</v>
      </c>
      <c r="BE306" s="197">
        <f>SUM(BA306:BD306)</f>
        <v>101.51</v>
      </c>
      <c r="BF306" s="199">
        <v>18.329999999999998</v>
      </c>
      <c r="BG306" s="199">
        <v>25.59</v>
      </c>
      <c r="BH306" s="199">
        <v>39.869999999999997</v>
      </c>
      <c r="BI306" s="199">
        <v>40.799999999999997</v>
      </c>
      <c r="BJ306" s="197">
        <v>124.59</v>
      </c>
      <c r="BK306" s="199">
        <v>17.14</v>
      </c>
      <c r="BL306" s="199">
        <v>25.48</v>
      </c>
      <c r="BM306" s="199">
        <v>25</v>
      </c>
      <c r="BN306" s="199">
        <v>33.69</v>
      </c>
      <c r="BO306" s="197">
        <v>100.91</v>
      </c>
      <c r="BP306" s="199">
        <v>22.77</v>
      </c>
      <c r="BQ306" s="199">
        <v>21.31</v>
      </c>
      <c r="BR306" s="199">
        <v>22.57</v>
      </c>
      <c r="BS306" s="199">
        <v>24.88</v>
      </c>
      <c r="BT306" s="197">
        <v>91.53</v>
      </c>
      <c r="BU306" s="199">
        <v>25.52</v>
      </c>
      <c r="BV306" s="199">
        <v>47.82</v>
      </c>
      <c r="BW306" s="199">
        <v>46.54</v>
      </c>
      <c r="BX306" s="199">
        <v>67.81</v>
      </c>
      <c r="BY306" s="197">
        <v>187.69</v>
      </c>
      <c r="BZ306" s="199">
        <v>42.13</v>
      </c>
      <c r="CA306" s="199">
        <v>41.29</v>
      </c>
      <c r="CB306" s="199">
        <v>44.13</v>
      </c>
      <c r="CC306" s="199">
        <v>57</v>
      </c>
      <c r="CD306" s="197">
        <v>184</v>
      </c>
      <c r="CE306" s="199">
        <v>45.73</v>
      </c>
      <c r="CF306" s="199">
        <v>47.59</v>
      </c>
      <c r="CG306" s="199">
        <v>33.44</v>
      </c>
      <c r="CH306" s="199">
        <v>58.56</v>
      </c>
      <c r="CI306" s="197">
        <v>185.32</v>
      </c>
      <c r="CJ306" s="197">
        <f t="shared" si="416"/>
        <v>0</v>
      </c>
      <c r="CK306" s="197">
        <f t="shared" si="416"/>
        <v>0</v>
      </c>
      <c r="CL306" s="197"/>
      <c r="CM306" s="197"/>
      <c r="CN306" s="197"/>
      <c r="CO306" s="137"/>
      <c r="CP306" s="137"/>
      <c r="CQ306" s="6"/>
      <c r="CR306" s="6"/>
      <c r="CS306" s="6"/>
      <c r="CT306" s="124"/>
      <c r="CU306" s="124"/>
      <c r="CV306" s="124"/>
      <c r="CW306" s="124"/>
      <c r="CX306" s="124"/>
      <c r="CY306" s="124"/>
      <c r="CZ306" s="124"/>
      <c r="DA306" s="124"/>
      <c r="DB306" s="124"/>
      <c r="DC306" s="124"/>
      <c r="DD306" s="124"/>
      <c r="DE306" s="124"/>
      <c r="DF306" s="124"/>
      <c r="DG306" s="124"/>
      <c r="DH306" s="124"/>
      <c r="DI306" s="124"/>
      <c r="DK306" s="124"/>
      <c r="DL306" s="124"/>
      <c r="DM306" s="6"/>
      <c r="DN306" s="124"/>
      <c r="DO306" s="124"/>
      <c r="DQ306" s="136"/>
      <c r="DR306" s="124"/>
      <c r="DS306" s="124"/>
      <c r="DT306" s="124"/>
      <c r="DV306" s="124"/>
      <c r="DW306" s="124"/>
      <c r="DX306" s="124"/>
      <c r="EA306" s="111"/>
      <c r="EB306" s="111"/>
      <c r="EC306" s="111"/>
      <c r="ED306" s="124"/>
      <c r="EE306" s="124"/>
      <c r="EF306" s="124"/>
      <c r="EJ306" s="111"/>
      <c r="EK306" s="111"/>
      <c r="EL306" s="124"/>
      <c r="EM306" s="124"/>
      <c r="EN306" s="124"/>
      <c r="EP306" s="111"/>
      <c r="EQ306" s="124"/>
      <c r="ER306" s="124"/>
      <c r="ES306" s="124"/>
      <c r="EV306" s="111"/>
      <c r="EW306" s="111"/>
      <c r="EX306" s="111"/>
      <c r="EY306" s="111"/>
      <c r="EZ306" s="124"/>
      <c r="FA306" s="124"/>
      <c r="FD306" s="111"/>
      <c r="FE306" s="111"/>
      <c r="FF306" s="111"/>
      <c r="FG306" s="124"/>
      <c r="FH306" s="124"/>
      <c r="FK306" s="124"/>
      <c r="FL306" s="124"/>
      <c r="FO306" s="111"/>
      <c r="FP306" s="111"/>
      <c r="FQ306" s="124"/>
      <c r="FR306" s="124"/>
      <c r="FU306" s="111"/>
      <c r="FV306" s="124"/>
      <c r="FW306" s="124"/>
      <c r="FX306" s="124"/>
      <c r="FY306" s="124"/>
      <c r="GA306" s="124"/>
      <c r="GB306" s="124"/>
      <c r="GC306" s="124"/>
      <c r="GF306" s="111"/>
      <c r="GG306" s="111"/>
      <c r="GH306" s="111"/>
      <c r="GI306" s="124"/>
      <c r="GJ306" s="124"/>
      <c r="GK306" s="124"/>
      <c r="GN306" s="111"/>
      <c r="GO306" s="111"/>
      <c r="GP306" s="124"/>
      <c r="GQ306" s="124"/>
      <c r="GR306" s="124"/>
      <c r="GV306" s="111"/>
      <c r="GW306" s="124"/>
      <c r="GX306" s="124"/>
      <c r="GY306" s="124"/>
      <c r="HC306" s="124"/>
      <c r="HD306" s="124"/>
      <c r="HE306" s="124"/>
      <c r="HF306" s="124"/>
      <c r="HI306" s="111"/>
      <c r="HJ306" s="111"/>
      <c r="HK306" s="111"/>
      <c r="HL306" s="111"/>
      <c r="HM306" s="124"/>
      <c r="HN306" s="124"/>
      <c r="HO306" s="124"/>
      <c r="HR306" s="111"/>
      <c r="HS306" s="111"/>
      <c r="HT306" s="111"/>
      <c r="HU306" s="124"/>
      <c r="HV306" s="124"/>
      <c r="HW306" s="124"/>
      <c r="HZ306" s="111"/>
      <c r="IA306" s="124"/>
      <c r="IB306" s="124"/>
      <c r="IC306" s="124"/>
      <c r="IE306" s="111"/>
      <c r="IF306" s="124"/>
      <c r="IG306" s="124"/>
      <c r="IH306" s="124"/>
      <c r="IK306" s="124"/>
      <c r="IL306" s="124"/>
      <c r="IO306" s="124"/>
      <c r="IP306" s="124"/>
      <c r="IS306" s="160"/>
      <c r="IT306" s="160"/>
      <c r="IU306" s="160"/>
      <c r="IX306" s="124"/>
      <c r="IY306" s="124"/>
      <c r="IZ306" s="124"/>
      <c r="JA306" s="124"/>
      <c r="JD306" s="124"/>
      <c r="JE306" s="124"/>
      <c r="JH306" s="124"/>
      <c r="JI306" s="124"/>
      <c r="JJ306" s="124"/>
      <c r="JM306" s="124"/>
      <c r="JN306" s="124"/>
      <c r="JQ306" s="124"/>
      <c r="JR306" s="124"/>
      <c r="JS306" s="124"/>
      <c r="JV306" s="124"/>
      <c r="JW306" s="124"/>
      <c r="JY306" s="124"/>
      <c r="JZ306" s="124"/>
      <c r="KB306" s="124"/>
      <c r="KC306" s="124"/>
      <c r="KD306" s="124"/>
    </row>
    <row r="307" spans="2:290" hidden="1" x14ac:dyDescent="0.25">
      <c r="B307" s="11" t="str">
        <f>B275</f>
        <v>Consumer Products</v>
      </c>
      <c r="C307" s="23"/>
      <c r="D307" s="23"/>
      <c r="E307" s="23"/>
      <c r="F307" s="23"/>
      <c r="G307" s="23"/>
      <c r="H307" s="197"/>
      <c r="I307" s="198"/>
      <c r="J307" s="198"/>
      <c r="K307" s="198"/>
      <c r="L307" s="198"/>
      <c r="M307" s="197"/>
      <c r="N307" s="198"/>
      <c r="O307" s="198"/>
      <c r="P307" s="198"/>
      <c r="Q307" s="198"/>
      <c r="R307" s="197"/>
      <c r="S307" s="198"/>
      <c r="T307" s="198"/>
      <c r="U307" s="198"/>
      <c r="V307" s="198"/>
      <c r="W307" s="197"/>
      <c r="X307" s="198"/>
      <c r="Y307" s="198"/>
      <c r="Z307" s="198"/>
      <c r="AA307" s="198"/>
      <c r="AB307" s="197"/>
      <c r="AC307" s="198"/>
      <c r="AD307" s="198"/>
      <c r="AE307" s="198"/>
      <c r="AF307" s="198"/>
      <c r="AG307" s="197"/>
      <c r="AH307" s="198">
        <v>3.17</v>
      </c>
      <c r="AI307" s="198">
        <v>8.59</v>
      </c>
      <c r="AJ307" s="198">
        <v>15.4</v>
      </c>
      <c r="AK307" s="197">
        <v>27.157</v>
      </c>
      <c r="AL307" s="198">
        <v>13.39</v>
      </c>
      <c r="AM307" s="198">
        <v>8.48</v>
      </c>
      <c r="AN307" s="198">
        <v>11.67</v>
      </c>
      <c r="AO307" s="198">
        <v>19.579999999999998</v>
      </c>
      <c r="AP307" s="197">
        <v>53.14</v>
      </c>
      <c r="AQ307" s="198">
        <v>9.48</v>
      </c>
      <c r="AR307" s="198">
        <v>11.45</v>
      </c>
      <c r="AS307" s="198">
        <v>12.08</v>
      </c>
      <c r="AT307" s="198">
        <v>24.75</v>
      </c>
      <c r="AU307" s="197">
        <v>57.77</v>
      </c>
      <c r="AV307" s="199">
        <v>12.06</v>
      </c>
      <c r="AW307" s="199">
        <v>11.91</v>
      </c>
      <c r="AX307" s="199">
        <v>13.69</v>
      </c>
      <c r="AY307" s="199">
        <v>18.28</v>
      </c>
      <c r="AZ307" s="197">
        <v>55.95</v>
      </c>
      <c r="BA307" s="199">
        <v>12.86</v>
      </c>
      <c r="BB307" s="199">
        <v>10.96</v>
      </c>
      <c r="BC307" s="199">
        <v>15.27</v>
      </c>
      <c r="BD307" s="199">
        <v>18.52</v>
      </c>
      <c r="BE307" s="197">
        <f>SUM(BA307:BD307)</f>
        <v>57.61</v>
      </c>
      <c r="BF307" s="199">
        <v>-4.5</v>
      </c>
      <c r="BG307" s="199">
        <v>12.69</v>
      </c>
      <c r="BH307" s="199">
        <v>22.83</v>
      </c>
      <c r="BI307" s="199">
        <v>28.64</v>
      </c>
      <c r="BJ307" s="197">
        <v>59.66</v>
      </c>
      <c r="BK307" s="199">
        <v>0.62</v>
      </c>
      <c r="BL307" s="199">
        <v>17.5</v>
      </c>
      <c r="BM307" s="199">
        <v>21</v>
      </c>
      <c r="BN307" s="199">
        <v>14.5</v>
      </c>
      <c r="BO307" s="197">
        <v>54.07</v>
      </c>
      <c r="BP307" s="199">
        <v>11.01</v>
      </c>
      <c r="BQ307" s="199">
        <v>15.52</v>
      </c>
      <c r="BR307" s="199">
        <v>19.77</v>
      </c>
      <c r="BS307" s="199">
        <v>21.52</v>
      </c>
      <c r="BT307" s="197">
        <v>67.819999999999993</v>
      </c>
      <c r="BU307" s="199">
        <v>17.73</v>
      </c>
      <c r="BV307" s="199">
        <v>17.52</v>
      </c>
      <c r="BW307" s="199">
        <v>19.559999999999999</v>
      </c>
      <c r="BX307" s="199">
        <v>20.52</v>
      </c>
      <c r="BY307" s="197">
        <v>75.33</v>
      </c>
      <c r="BZ307" s="199">
        <v>16.079999999999998</v>
      </c>
      <c r="CA307" s="199">
        <v>16.7</v>
      </c>
      <c r="CB307" s="199">
        <v>16.920000000000002</v>
      </c>
      <c r="CC307" s="199">
        <v>22.58</v>
      </c>
      <c r="CD307" s="197">
        <v>72.28</v>
      </c>
      <c r="CE307" s="199">
        <v>13.87</v>
      </c>
      <c r="CF307" s="199">
        <v>14.12</v>
      </c>
      <c r="CG307" s="199">
        <v>17.149999999999999</v>
      </c>
      <c r="CH307" s="199">
        <v>31.47</v>
      </c>
      <c r="CI307" s="197">
        <v>76.55</v>
      </c>
      <c r="CJ307" s="197">
        <f t="shared" si="416"/>
        <v>0</v>
      </c>
      <c r="CK307" s="197">
        <f t="shared" si="416"/>
        <v>0</v>
      </c>
      <c r="CL307" s="197"/>
      <c r="CM307" s="197"/>
      <c r="CN307" s="197"/>
      <c r="CO307" s="137"/>
      <c r="CP307" s="137"/>
      <c r="CQ307" s="6"/>
      <c r="CR307" s="6"/>
      <c r="CS307" s="6"/>
      <c r="CT307" s="124"/>
      <c r="CU307" s="124"/>
      <c r="CV307" s="124"/>
      <c r="CW307" s="124"/>
      <c r="CX307" s="124"/>
      <c r="CY307" s="124"/>
      <c r="CZ307" s="124"/>
      <c r="DA307" s="124"/>
      <c r="DB307" s="124"/>
      <c r="DC307" s="124"/>
      <c r="DD307" s="124"/>
      <c r="DE307" s="124"/>
      <c r="DF307" s="124"/>
      <c r="DG307" s="124"/>
      <c r="DH307" s="124"/>
      <c r="DI307" s="124"/>
      <c r="DK307" s="124"/>
      <c r="DL307" s="124"/>
      <c r="DM307" s="6"/>
      <c r="DN307" s="124"/>
      <c r="DO307" s="124"/>
      <c r="DQ307" s="136"/>
      <c r="DR307" s="124"/>
      <c r="DS307" s="124"/>
      <c r="DT307" s="124"/>
      <c r="DV307" s="124"/>
      <c r="DW307" s="124"/>
      <c r="DX307" s="124"/>
      <c r="EA307" s="111"/>
      <c r="EB307" s="111"/>
      <c r="EC307" s="111"/>
      <c r="ED307" s="124"/>
      <c r="EE307" s="124"/>
      <c r="EF307" s="124"/>
      <c r="EJ307" s="111"/>
      <c r="EK307" s="111"/>
      <c r="EL307" s="124"/>
      <c r="EM307" s="124"/>
      <c r="EN307" s="124"/>
      <c r="EP307" s="111"/>
      <c r="EQ307" s="124"/>
      <c r="ER307" s="124"/>
      <c r="ES307" s="124"/>
      <c r="EV307" s="111"/>
      <c r="EW307" s="111"/>
      <c r="EX307" s="111"/>
      <c r="EY307" s="111"/>
      <c r="EZ307" s="124"/>
      <c r="FA307" s="124"/>
      <c r="FD307" s="111"/>
      <c r="FE307" s="111"/>
      <c r="FF307" s="111"/>
      <c r="FG307" s="124"/>
      <c r="FH307" s="124"/>
      <c r="FK307" s="124"/>
      <c r="FL307" s="124"/>
      <c r="FO307" s="111"/>
      <c r="FP307" s="111"/>
      <c r="FQ307" s="124"/>
      <c r="FR307" s="124"/>
      <c r="FU307" s="111"/>
      <c r="FV307" s="124"/>
      <c r="FW307" s="124"/>
      <c r="FX307" s="124"/>
      <c r="FY307" s="124"/>
      <c r="GA307" s="124"/>
      <c r="GB307" s="124"/>
      <c r="GC307" s="124"/>
      <c r="GF307" s="111"/>
      <c r="GG307" s="111"/>
      <c r="GH307" s="111"/>
      <c r="GI307" s="124"/>
      <c r="GJ307" s="124"/>
      <c r="GK307" s="124"/>
      <c r="GN307" s="111"/>
      <c r="GO307" s="111"/>
      <c r="GP307" s="124"/>
      <c r="GQ307" s="124"/>
      <c r="GR307" s="124"/>
      <c r="GV307" s="111"/>
      <c r="GW307" s="124"/>
      <c r="GX307" s="124"/>
      <c r="GY307" s="124"/>
      <c r="HC307" s="124"/>
      <c r="HD307" s="124"/>
      <c r="HE307" s="124"/>
      <c r="HF307" s="124"/>
      <c r="HI307" s="111"/>
      <c r="HJ307" s="111"/>
      <c r="HK307" s="111"/>
      <c r="HL307" s="111"/>
      <c r="HM307" s="124"/>
      <c r="HN307" s="124"/>
      <c r="HO307" s="124"/>
      <c r="HR307" s="111"/>
      <c r="HS307" s="111"/>
      <c r="HT307" s="111"/>
      <c r="HU307" s="124"/>
      <c r="HV307" s="124"/>
      <c r="HW307" s="124"/>
      <c r="HZ307" s="111"/>
      <c r="IA307" s="124"/>
      <c r="IB307" s="124"/>
      <c r="IC307" s="124"/>
      <c r="IE307" s="111"/>
      <c r="IF307" s="124"/>
      <c r="IG307" s="124"/>
      <c r="IH307" s="124"/>
      <c r="IK307" s="124"/>
      <c r="IL307" s="124"/>
      <c r="IO307" s="124"/>
      <c r="IP307" s="124"/>
      <c r="IS307" s="160"/>
      <c r="IT307" s="160"/>
      <c r="IU307" s="160"/>
      <c r="IX307" s="124"/>
      <c r="IY307" s="124"/>
      <c r="IZ307" s="124"/>
      <c r="JA307" s="124"/>
      <c r="JD307" s="124"/>
      <c r="JE307" s="124"/>
      <c r="JH307" s="124"/>
      <c r="JI307" s="124"/>
      <c r="JJ307" s="124"/>
      <c r="JM307" s="124"/>
      <c r="JN307" s="124"/>
      <c r="JQ307" s="124"/>
      <c r="JR307" s="124"/>
      <c r="JS307" s="124"/>
      <c r="JV307" s="124"/>
      <c r="JW307" s="124"/>
      <c r="JY307" s="124"/>
      <c r="JZ307" s="124"/>
      <c r="KB307" s="124"/>
      <c r="KC307" s="124"/>
      <c r="KD307" s="124"/>
    </row>
    <row r="308" spans="2:290" hidden="1" x14ac:dyDescent="0.25">
      <c r="B308" s="11" t="str">
        <f>B277</f>
        <v>Others</v>
      </c>
      <c r="C308" s="23"/>
      <c r="D308" s="23"/>
      <c r="E308" s="23"/>
      <c r="F308" s="23"/>
      <c r="G308" s="23"/>
      <c r="H308" s="197"/>
      <c r="I308" s="198"/>
      <c r="J308" s="198"/>
      <c r="K308" s="198"/>
      <c r="L308" s="198"/>
      <c r="M308" s="197"/>
      <c r="N308" s="198"/>
      <c r="O308" s="198"/>
      <c r="P308" s="198"/>
      <c r="Q308" s="198"/>
      <c r="R308" s="197"/>
      <c r="S308" s="198"/>
      <c r="T308" s="198"/>
      <c r="U308" s="198"/>
      <c r="V308" s="198"/>
      <c r="W308" s="197"/>
      <c r="X308" s="198"/>
      <c r="Y308" s="198"/>
      <c r="Z308" s="198"/>
      <c r="AA308" s="198"/>
      <c r="AB308" s="197"/>
      <c r="AC308" s="198"/>
      <c r="AD308" s="198"/>
      <c r="AE308" s="198"/>
      <c r="AF308" s="198"/>
      <c r="AG308" s="197"/>
      <c r="AH308" s="198">
        <v>-2.2400000000000002</v>
      </c>
      <c r="AI308" s="198">
        <v>-3.11</v>
      </c>
      <c r="AJ308" s="198">
        <v>-4.3600000000000003</v>
      </c>
      <c r="AK308" s="197">
        <v>-9.7100000000000009</v>
      </c>
      <c r="AL308" s="198">
        <v>-2.37</v>
      </c>
      <c r="AM308" s="198">
        <v>-2.44</v>
      </c>
      <c r="AN308" s="198">
        <v>-3.31</v>
      </c>
      <c r="AO308" s="198">
        <v>0.08</v>
      </c>
      <c r="AP308" s="197">
        <v>-8.58</v>
      </c>
      <c r="AQ308" s="198">
        <v>-3.18</v>
      </c>
      <c r="AR308" s="198">
        <v>-2.64</v>
      </c>
      <c r="AS308" s="198">
        <v>-3.43</v>
      </c>
      <c r="AT308" s="198">
        <v>11.96</v>
      </c>
      <c r="AU308" s="197">
        <v>2.7</v>
      </c>
      <c r="AV308" s="199">
        <v>-2.2599999999999998</v>
      </c>
      <c r="AW308" s="199">
        <v>0</v>
      </c>
      <c r="AX308" s="199"/>
      <c r="AY308" s="199">
        <v>-0.25</v>
      </c>
      <c r="AZ308" s="197"/>
      <c r="BA308" s="199">
        <v>-0.21</v>
      </c>
      <c r="BB308" s="199">
        <v>0.28999999999999998</v>
      </c>
      <c r="BC308" s="199">
        <v>0.1</v>
      </c>
      <c r="BD308" s="199">
        <v>4.79</v>
      </c>
      <c r="BE308" s="197">
        <f>SUM(BA308:BD308)</f>
        <v>4.97</v>
      </c>
      <c r="BF308" s="199">
        <v>-0.12</v>
      </c>
      <c r="BG308" s="199">
        <v>10.039999999999999</v>
      </c>
      <c r="BH308" s="199">
        <v>13.92</v>
      </c>
      <c r="BI308" s="199">
        <v>0.39</v>
      </c>
      <c r="BJ308" s="197">
        <v>24.23</v>
      </c>
      <c r="BK308" s="199">
        <v>-0.56000000000000005</v>
      </c>
      <c r="BL308" s="199">
        <v>2.15</v>
      </c>
      <c r="BM308" s="199">
        <v>5.83</v>
      </c>
      <c r="BN308" s="199">
        <v>1.03</v>
      </c>
      <c r="BO308" s="197">
        <v>8.4499999999999993</v>
      </c>
      <c r="BP308" s="199">
        <v>-0.54</v>
      </c>
      <c r="BQ308" s="199">
        <v>-3.2</v>
      </c>
      <c r="BR308" s="199">
        <v>-0.04</v>
      </c>
      <c r="BS308" s="199">
        <v>1.0900000000000001</v>
      </c>
      <c r="BT308" s="197">
        <v>-2.69</v>
      </c>
      <c r="BU308" s="199">
        <v>0.05</v>
      </c>
      <c r="BV308" s="199">
        <v>-0.26</v>
      </c>
      <c r="BW308" s="199">
        <v>-0.39</v>
      </c>
      <c r="BX308" s="199">
        <v>-0.31</v>
      </c>
      <c r="BY308" s="197">
        <v>-0.91</v>
      </c>
      <c r="BZ308" s="199">
        <v>-0.25</v>
      </c>
      <c r="CA308" s="199">
        <v>0.06</v>
      </c>
      <c r="CB308" s="199">
        <v>0.33</v>
      </c>
      <c r="CC308" s="199">
        <v>0.81</v>
      </c>
      <c r="CD308" s="197">
        <v>0.95</v>
      </c>
      <c r="CE308" s="199">
        <v>-0.16</v>
      </c>
      <c r="CF308" s="199">
        <v>0.06</v>
      </c>
      <c r="CG308" s="199">
        <v>0.16</v>
      </c>
      <c r="CH308" s="199">
        <v>-6.4</v>
      </c>
      <c r="CI308" s="197">
        <v>-6.34</v>
      </c>
      <c r="CJ308" s="197">
        <f>CI308</f>
        <v>-6.34</v>
      </c>
      <c r="CK308" s="197">
        <f t="shared" ref="CK308" si="417">CJ308</f>
        <v>-6.34</v>
      </c>
      <c r="CL308" s="197"/>
      <c r="CM308" s="197"/>
      <c r="CN308" s="197"/>
      <c r="CO308" s="137"/>
      <c r="CP308" s="137"/>
      <c r="CQ308" s="6"/>
      <c r="CR308" s="6"/>
      <c r="CS308" s="6"/>
      <c r="CT308" s="124"/>
      <c r="CU308" s="124"/>
      <c r="CV308" s="124"/>
      <c r="CW308" s="124"/>
      <c r="CX308" s="124"/>
      <c r="CY308" s="124"/>
      <c r="CZ308" s="124"/>
      <c r="DA308" s="124"/>
      <c r="DB308" s="124"/>
      <c r="DC308" s="124"/>
      <c r="DD308" s="124"/>
      <c r="DE308" s="124"/>
      <c r="DF308" s="124"/>
      <c r="DG308" s="124"/>
      <c r="DH308" s="124"/>
      <c r="DI308" s="124"/>
      <c r="DK308" s="124"/>
      <c r="DL308" s="124"/>
      <c r="DM308" s="6"/>
      <c r="DN308" s="124"/>
      <c r="DO308" s="124"/>
      <c r="DQ308" s="136"/>
      <c r="DR308" s="124"/>
      <c r="DS308" s="124"/>
      <c r="DT308" s="124"/>
      <c r="DV308" s="124"/>
      <c r="DW308" s="124"/>
      <c r="DX308" s="124"/>
      <c r="EA308" s="111"/>
      <c r="EB308" s="111"/>
      <c r="EC308" s="111"/>
      <c r="ED308" s="124"/>
      <c r="EE308" s="124"/>
      <c r="EF308" s="124"/>
      <c r="EJ308" s="111"/>
      <c r="EK308" s="111"/>
      <c r="EL308" s="124"/>
      <c r="EM308" s="124"/>
      <c r="EN308" s="124"/>
      <c r="EP308" s="111"/>
      <c r="EQ308" s="124"/>
      <c r="ER308" s="124"/>
      <c r="ES308" s="124"/>
      <c r="EV308" s="111"/>
      <c r="EW308" s="111"/>
      <c r="EX308" s="111"/>
      <c r="EY308" s="111"/>
      <c r="EZ308" s="124"/>
      <c r="FA308" s="124"/>
      <c r="FD308" s="111"/>
      <c r="FE308" s="111"/>
      <c r="FF308" s="111"/>
      <c r="FG308" s="124"/>
      <c r="FH308" s="124"/>
      <c r="FK308" s="124"/>
      <c r="FL308" s="124"/>
      <c r="FO308" s="111"/>
      <c r="FP308" s="111"/>
      <c r="FQ308" s="124"/>
      <c r="FR308" s="124"/>
      <c r="FU308" s="111"/>
      <c r="FV308" s="124"/>
      <c r="FW308" s="124"/>
      <c r="FX308" s="124"/>
      <c r="FY308" s="124"/>
      <c r="GA308" s="124"/>
      <c r="GB308" s="124"/>
      <c r="GC308" s="124"/>
      <c r="GF308" s="111"/>
      <c r="GG308" s="111"/>
      <c r="GH308" s="111"/>
      <c r="GI308" s="124"/>
      <c r="GJ308" s="124"/>
      <c r="GK308" s="124"/>
      <c r="GN308" s="111"/>
      <c r="GO308" s="111"/>
      <c r="GP308" s="124"/>
      <c r="GQ308" s="124"/>
      <c r="GR308" s="124"/>
      <c r="GV308" s="111"/>
      <c r="GW308" s="124"/>
      <c r="GX308" s="124"/>
      <c r="GY308" s="124"/>
      <c r="HC308" s="124"/>
      <c r="HD308" s="124"/>
      <c r="HE308" s="124"/>
      <c r="HF308" s="124"/>
      <c r="HI308" s="111"/>
      <c r="HJ308" s="111"/>
      <c r="HK308" s="111"/>
      <c r="HL308" s="111"/>
      <c r="HM308" s="124"/>
      <c r="HN308" s="124"/>
      <c r="HO308" s="124"/>
      <c r="HR308" s="111"/>
      <c r="HS308" s="111"/>
      <c r="HT308" s="111"/>
      <c r="HU308" s="124"/>
      <c r="HV308" s="124"/>
      <c r="HW308" s="124"/>
      <c r="HZ308" s="111"/>
      <c r="IA308" s="124"/>
      <c r="IB308" s="124"/>
      <c r="IC308" s="124"/>
      <c r="IE308" s="111"/>
      <c r="IF308" s="124"/>
      <c r="IG308" s="124"/>
      <c r="IH308" s="124"/>
      <c r="IK308" s="124"/>
      <c r="IL308" s="124"/>
      <c r="IO308" s="124"/>
      <c r="IP308" s="124"/>
      <c r="IS308" s="160"/>
      <c r="IT308" s="160"/>
      <c r="IU308" s="160"/>
      <c r="IX308" s="124"/>
      <c r="IY308" s="124"/>
      <c r="IZ308" s="124"/>
      <c r="JA308" s="124"/>
      <c r="JD308" s="124"/>
      <c r="JE308" s="124"/>
      <c r="JH308" s="124"/>
      <c r="JI308" s="124"/>
      <c r="JJ308" s="124"/>
      <c r="JM308" s="124"/>
      <c r="JN308" s="124"/>
      <c r="JQ308" s="124"/>
      <c r="JR308" s="124"/>
      <c r="JS308" s="124"/>
      <c r="JV308" s="124"/>
      <c r="JW308" s="124"/>
      <c r="JY308" s="124"/>
      <c r="JZ308" s="124"/>
      <c r="KB308" s="124"/>
      <c r="KC308" s="124"/>
      <c r="KD308" s="124"/>
    </row>
    <row r="309" spans="2:290" hidden="1" x14ac:dyDescent="0.25">
      <c r="B309" s="11" t="s">
        <v>243</v>
      </c>
      <c r="C309" s="23"/>
      <c r="D309" s="23"/>
      <c r="E309" s="23"/>
      <c r="F309" s="23"/>
      <c r="G309" s="23"/>
      <c r="H309" s="197"/>
      <c r="I309" s="198"/>
      <c r="J309" s="198"/>
      <c r="K309" s="198"/>
      <c r="L309" s="198"/>
      <c r="M309" s="197"/>
      <c r="N309" s="198"/>
      <c r="O309" s="198"/>
      <c r="P309" s="198"/>
      <c r="Q309" s="198"/>
      <c r="R309" s="197"/>
      <c r="S309" s="198"/>
      <c r="T309" s="198"/>
      <c r="U309" s="198"/>
      <c r="V309" s="198"/>
      <c r="W309" s="197"/>
      <c r="X309" s="198"/>
      <c r="Y309" s="198"/>
      <c r="Z309" s="198"/>
      <c r="AA309" s="198"/>
      <c r="AB309" s="197"/>
      <c r="AC309" s="198"/>
      <c r="AD309" s="198"/>
      <c r="AE309" s="198"/>
      <c r="AF309" s="198"/>
      <c r="AG309" s="197"/>
      <c r="AH309" s="198">
        <v>0</v>
      </c>
      <c r="AI309" s="198">
        <v>0</v>
      </c>
      <c r="AJ309" s="198">
        <v>0</v>
      </c>
      <c r="AK309" s="197">
        <v>0</v>
      </c>
      <c r="AL309" s="198">
        <v>-2.52</v>
      </c>
      <c r="AM309" s="198">
        <v>-1.63</v>
      </c>
      <c r="AN309" s="198">
        <v>-1.05</v>
      </c>
      <c r="AO309" s="198">
        <v>1.57</v>
      </c>
      <c r="AP309" s="197">
        <v>-5.81</v>
      </c>
      <c r="AQ309" s="198">
        <v>0.06</v>
      </c>
      <c r="AR309" s="198">
        <v>-1.1100000000000001</v>
      </c>
      <c r="AS309" s="198">
        <v>-0.86</v>
      </c>
      <c r="AT309" s="198">
        <v>-0.36</v>
      </c>
      <c r="AU309" s="197">
        <v>-2.27</v>
      </c>
      <c r="AV309" s="199">
        <f>-0.51</f>
        <v>-0.51</v>
      </c>
      <c r="AW309" s="199">
        <v>54.46</v>
      </c>
      <c r="AX309" s="199">
        <v>-0.01</v>
      </c>
      <c r="AY309" s="199">
        <v>0</v>
      </c>
      <c r="AZ309" s="197"/>
      <c r="BA309" s="199">
        <v>0</v>
      </c>
      <c r="BB309" s="199"/>
      <c r="BC309" s="199"/>
      <c r="BD309" s="199"/>
      <c r="BE309" s="197"/>
      <c r="BF309" s="199"/>
      <c r="BG309" s="199"/>
      <c r="BH309" s="199"/>
      <c r="BI309" s="199"/>
      <c r="BJ309" s="197"/>
      <c r="BK309" s="199"/>
      <c r="BL309" s="199"/>
      <c r="BM309" s="199"/>
      <c r="BN309" s="199"/>
      <c r="BO309" s="197"/>
      <c r="BP309" s="199"/>
      <c r="BQ309" s="199"/>
      <c r="BR309" s="199"/>
      <c r="BS309" s="199"/>
      <c r="BT309" s="197"/>
      <c r="BU309" s="199"/>
      <c r="BV309" s="199"/>
      <c r="BW309" s="199"/>
      <c r="BX309" s="199"/>
      <c r="BY309" s="197"/>
      <c r="BZ309" s="199"/>
      <c r="CA309" s="199"/>
      <c r="CB309" s="199"/>
      <c r="CC309" s="199"/>
      <c r="CD309" s="197"/>
      <c r="CE309" s="199"/>
      <c r="CF309" s="199"/>
      <c r="CG309" s="199"/>
      <c r="CH309" s="199"/>
      <c r="CI309" s="197"/>
      <c r="CJ309" s="197"/>
      <c r="CK309" s="197"/>
      <c r="CL309" s="197"/>
      <c r="CM309" s="197"/>
      <c r="CN309" s="197"/>
      <c r="CO309" s="137"/>
      <c r="CP309" s="137"/>
      <c r="CQ309" s="6"/>
      <c r="CR309" s="6"/>
      <c r="CS309" s="6"/>
      <c r="CT309" s="124"/>
      <c r="CU309" s="124"/>
      <c r="CV309" s="124"/>
      <c r="CW309" s="124"/>
      <c r="CX309" s="124"/>
      <c r="CY309" s="124"/>
      <c r="CZ309" s="124"/>
      <c r="DA309" s="124"/>
      <c r="DB309" s="124"/>
      <c r="DC309" s="124"/>
      <c r="DD309" s="124"/>
      <c r="DE309" s="124"/>
      <c r="DF309" s="124"/>
      <c r="DG309" s="124"/>
      <c r="DH309" s="124"/>
      <c r="DI309" s="124"/>
      <c r="DK309" s="124"/>
      <c r="DL309" s="124"/>
      <c r="DM309" s="6"/>
      <c r="DN309" s="124"/>
      <c r="DO309" s="124"/>
      <c r="DQ309" s="136"/>
      <c r="DR309" s="124"/>
      <c r="DS309" s="124"/>
      <c r="DT309" s="124"/>
      <c r="DV309" s="124"/>
      <c r="DW309" s="124"/>
      <c r="DX309" s="124"/>
      <c r="EA309" s="111"/>
      <c r="EB309" s="111"/>
      <c r="EC309" s="111"/>
      <c r="ED309" s="124"/>
      <c r="EE309" s="124"/>
      <c r="EF309" s="124"/>
      <c r="EJ309" s="111"/>
      <c r="EK309" s="111"/>
      <c r="EL309" s="124"/>
      <c r="EM309" s="124"/>
      <c r="EN309" s="124"/>
      <c r="EP309" s="111"/>
      <c r="EQ309" s="124"/>
      <c r="ER309" s="124"/>
      <c r="ES309" s="124"/>
      <c r="EV309" s="111"/>
      <c r="EW309" s="111"/>
      <c r="EX309" s="111"/>
      <c r="EY309" s="111"/>
      <c r="EZ309" s="124"/>
      <c r="FA309" s="124"/>
      <c r="FD309" s="111"/>
      <c r="FE309" s="111"/>
      <c r="FF309" s="111"/>
      <c r="FG309" s="124"/>
      <c r="FH309" s="124"/>
      <c r="FK309" s="124"/>
      <c r="FL309" s="124"/>
      <c r="FO309" s="111"/>
      <c r="FP309" s="111"/>
      <c r="FQ309" s="124"/>
      <c r="FR309" s="124"/>
      <c r="FU309" s="111"/>
      <c r="FV309" s="124"/>
      <c r="FW309" s="124"/>
      <c r="FX309" s="124"/>
      <c r="FY309" s="124"/>
      <c r="GA309" s="124"/>
      <c r="GB309" s="124"/>
      <c r="GC309" s="124"/>
      <c r="GF309" s="111"/>
      <c r="GG309" s="111"/>
      <c r="GH309" s="111"/>
      <c r="GI309" s="124"/>
      <c r="GJ309" s="124"/>
      <c r="GK309" s="124"/>
      <c r="GN309" s="111"/>
      <c r="GO309" s="111"/>
      <c r="GP309" s="124"/>
      <c r="GQ309" s="124"/>
      <c r="GR309" s="124"/>
      <c r="GV309" s="111"/>
      <c r="GW309" s="124"/>
      <c r="GX309" s="124"/>
      <c r="GY309" s="124"/>
      <c r="HC309" s="124"/>
      <c r="HD309" s="124"/>
      <c r="HE309" s="124"/>
      <c r="HF309" s="124"/>
      <c r="HI309" s="111"/>
      <c r="HJ309" s="111"/>
      <c r="HK309" s="111"/>
      <c r="HL309" s="111"/>
      <c r="HM309" s="124"/>
      <c r="HN309" s="124"/>
      <c r="HO309" s="124"/>
      <c r="HR309" s="111"/>
      <c r="HS309" s="111"/>
      <c r="HT309" s="111"/>
      <c r="HU309" s="124"/>
      <c r="HV309" s="124"/>
      <c r="HW309" s="124"/>
      <c r="HZ309" s="111"/>
      <c r="IA309" s="124"/>
      <c r="IB309" s="124"/>
      <c r="IC309" s="124"/>
      <c r="IE309" s="111"/>
      <c r="IF309" s="124"/>
      <c r="IG309" s="124"/>
      <c r="IH309" s="124"/>
      <c r="IK309" s="124"/>
      <c r="IL309" s="124"/>
      <c r="IO309" s="124"/>
      <c r="IP309" s="124"/>
      <c r="IS309" s="160"/>
      <c r="IT309" s="160"/>
      <c r="IU309" s="160"/>
      <c r="IX309" s="124"/>
      <c r="IY309" s="124"/>
      <c r="IZ309" s="124"/>
      <c r="JA309" s="124"/>
      <c r="JD309" s="124"/>
      <c r="JE309" s="124"/>
      <c r="JH309" s="124"/>
      <c r="JI309" s="124"/>
      <c r="JJ309" s="124"/>
      <c r="JM309" s="124"/>
      <c r="JN309" s="124"/>
      <c r="JQ309" s="124"/>
      <c r="JR309" s="124"/>
      <c r="JS309" s="124"/>
      <c r="JV309" s="124"/>
      <c r="JW309" s="124"/>
      <c r="JY309" s="124"/>
      <c r="JZ309" s="124"/>
      <c r="KB309" s="124"/>
      <c r="KC309" s="124"/>
      <c r="KD309" s="124"/>
    </row>
    <row r="310" spans="2:290" s="60" customFormat="1" hidden="1" x14ac:dyDescent="0.25">
      <c r="B310" s="34" t="s">
        <v>244</v>
      </c>
      <c r="C310" s="99"/>
      <c r="D310" s="99"/>
      <c r="E310" s="99"/>
      <c r="F310" s="99"/>
      <c r="G310" s="99"/>
      <c r="H310" s="83"/>
      <c r="I310" s="62"/>
      <c r="J310" s="62"/>
      <c r="K310" s="62"/>
      <c r="L310" s="62"/>
      <c r="M310" s="83"/>
      <c r="N310" s="62"/>
      <c r="O310" s="62"/>
      <c r="P310" s="62"/>
      <c r="Q310" s="62"/>
      <c r="R310" s="83"/>
      <c r="S310" s="62"/>
      <c r="T310" s="62"/>
      <c r="U310" s="62"/>
      <c r="V310" s="62"/>
      <c r="W310" s="83"/>
      <c r="X310" s="62"/>
      <c r="Y310" s="62"/>
      <c r="Z310" s="62"/>
      <c r="AA310" s="62"/>
      <c r="AB310" s="83"/>
      <c r="AC310" s="62"/>
      <c r="AD310" s="62"/>
      <c r="AE310" s="62"/>
      <c r="AF310" s="62"/>
      <c r="AG310" s="83"/>
      <c r="AH310" s="62">
        <v>65.78</v>
      </c>
      <c r="AI310" s="62">
        <v>120.50500000000001</v>
      </c>
      <c r="AJ310" s="62">
        <v>169.45999999999998</v>
      </c>
      <c r="AK310" s="83">
        <v>355.73500000000001</v>
      </c>
      <c r="AL310" s="62">
        <f t="shared" ref="AL310:CD310" si="418">SUM(AL304:AL309)</f>
        <v>165.57999999999996</v>
      </c>
      <c r="AM310" s="62">
        <f t="shared" si="418"/>
        <v>98.420000000000016</v>
      </c>
      <c r="AN310" s="62">
        <f t="shared" si="418"/>
        <v>147.38999999999996</v>
      </c>
      <c r="AO310" s="62">
        <f t="shared" si="418"/>
        <v>204.01000000000002</v>
      </c>
      <c r="AP310" s="83">
        <f t="shared" si="418"/>
        <v>612.71</v>
      </c>
      <c r="AQ310" s="62">
        <f t="shared" si="418"/>
        <v>118.49</v>
      </c>
      <c r="AR310" s="62">
        <f t="shared" si="418"/>
        <v>101.64</v>
      </c>
      <c r="AS310" s="62">
        <f t="shared" si="418"/>
        <v>155.47</v>
      </c>
      <c r="AT310" s="62">
        <f t="shared" si="418"/>
        <v>249.09</v>
      </c>
      <c r="AU310" s="83">
        <f t="shared" si="418"/>
        <v>624.71</v>
      </c>
      <c r="AV310" s="196">
        <f t="shared" si="418"/>
        <v>143.60000000000002</v>
      </c>
      <c r="AW310" s="196">
        <f t="shared" si="418"/>
        <v>174.6</v>
      </c>
      <c r="AX310" s="196">
        <f t="shared" si="418"/>
        <v>136.72000000000003</v>
      </c>
      <c r="AY310" s="196">
        <f t="shared" si="418"/>
        <v>158.41999999999999</v>
      </c>
      <c r="AZ310" s="83">
        <f t="shared" si="418"/>
        <v>560.17999999999995</v>
      </c>
      <c r="BA310" s="196">
        <f t="shared" si="418"/>
        <v>123.55000000000001</v>
      </c>
      <c r="BB310" s="196">
        <f t="shared" si="418"/>
        <v>122.97000000000001</v>
      </c>
      <c r="BC310" s="196">
        <f t="shared" si="418"/>
        <v>171.14000000000001</v>
      </c>
      <c r="BD310" s="196">
        <f t="shared" si="418"/>
        <v>239.51</v>
      </c>
      <c r="BE310" s="83">
        <f t="shared" si="418"/>
        <v>657.17000000000007</v>
      </c>
      <c r="BF310" s="196">
        <f t="shared" si="418"/>
        <v>72.579999999999984</v>
      </c>
      <c r="BG310" s="196">
        <f t="shared" si="418"/>
        <v>207.85</v>
      </c>
      <c r="BH310" s="196">
        <f t="shared" si="418"/>
        <v>346.94</v>
      </c>
      <c r="BI310" s="196">
        <f t="shared" si="418"/>
        <v>465.85999999999996</v>
      </c>
      <c r="BJ310" s="83">
        <f t="shared" si="418"/>
        <v>1093.23</v>
      </c>
      <c r="BK310" s="196">
        <f t="shared" si="418"/>
        <v>170.95999999999998</v>
      </c>
      <c r="BL310" s="196">
        <f t="shared" si="418"/>
        <v>258.36</v>
      </c>
      <c r="BM310" s="196">
        <f t="shared" si="418"/>
        <v>262.83</v>
      </c>
      <c r="BN310" s="196">
        <f t="shared" si="418"/>
        <v>339.57</v>
      </c>
      <c r="BO310" s="83">
        <f t="shared" si="418"/>
        <v>1032.57</v>
      </c>
      <c r="BP310" s="196">
        <f t="shared" si="418"/>
        <v>213.20000000000002</v>
      </c>
      <c r="BQ310" s="196">
        <f t="shared" si="418"/>
        <v>88.22999999999999</v>
      </c>
      <c r="BR310" s="196">
        <f t="shared" si="418"/>
        <v>244.88</v>
      </c>
      <c r="BS310" s="196">
        <f t="shared" si="418"/>
        <v>413.53999999999996</v>
      </c>
      <c r="BT310" s="83">
        <f t="shared" si="418"/>
        <v>959.84999999999991</v>
      </c>
      <c r="BU310" s="196">
        <f t="shared" si="418"/>
        <v>256.29000000000002</v>
      </c>
      <c r="BV310" s="196">
        <f t="shared" si="418"/>
        <v>290.89</v>
      </c>
      <c r="BW310" s="196">
        <f t="shared" si="418"/>
        <v>308.26000000000005</v>
      </c>
      <c r="BX310" s="196">
        <f t="shared" si="418"/>
        <v>420.18</v>
      </c>
      <c r="BY310" s="83">
        <f t="shared" si="418"/>
        <v>1275.6199999999999</v>
      </c>
      <c r="BZ310" s="196">
        <f t="shared" si="418"/>
        <v>308.81</v>
      </c>
      <c r="CA310" s="196">
        <f t="shared" si="418"/>
        <v>271.61</v>
      </c>
      <c r="CB310" s="196">
        <f t="shared" si="418"/>
        <v>226.23999999999998</v>
      </c>
      <c r="CC310" s="196">
        <f t="shared" si="418"/>
        <v>331.51</v>
      </c>
      <c r="CD310" s="83">
        <f t="shared" si="418"/>
        <v>1102.23</v>
      </c>
      <c r="CE310" s="196">
        <f>SUM(CE304:CE309)</f>
        <v>234.46999999999997</v>
      </c>
      <c r="CF310" s="196">
        <f>SUM(CF304:CF309)</f>
        <v>200.4</v>
      </c>
      <c r="CG310" s="196">
        <f t="shared" ref="CG310:CI310" si="419">SUM(CG304:CG309)</f>
        <v>212.81</v>
      </c>
      <c r="CH310" s="196">
        <f t="shared" si="419"/>
        <v>507.13</v>
      </c>
      <c r="CI310" s="83">
        <f t="shared" si="419"/>
        <v>1154.75</v>
      </c>
      <c r="CJ310" s="83" t="e">
        <f>CJ198</f>
        <v>#REF!</v>
      </c>
      <c r="CK310" s="83" t="e">
        <f>CK198</f>
        <v>#REF!</v>
      </c>
      <c r="CL310" s="83">
        <f>CL198</f>
        <v>0</v>
      </c>
      <c r="CM310" s="83">
        <f>CM198</f>
        <v>0</v>
      </c>
      <c r="CN310" s="83">
        <f>CN198</f>
        <v>0</v>
      </c>
      <c r="CO310" s="148"/>
      <c r="CP310" s="148"/>
      <c r="CQ310" s="58"/>
      <c r="CR310" s="58"/>
      <c r="CS310" s="58"/>
      <c r="CT310" s="143"/>
      <c r="CU310" s="143"/>
      <c r="CV310" s="143"/>
      <c r="CW310" s="143"/>
      <c r="CX310" s="143"/>
      <c r="CY310" s="143"/>
      <c r="CZ310" s="143"/>
      <c r="DA310" s="143"/>
      <c r="DB310" s="143"/>
      <c r="DC310" s="143"/>
      <c r="DD310" s="143"/>
      <c r="DE310" s="143"/>
      <c r="DF310" s="143"/>
      <c r="DG310" s="143"/>
      <c r="DH310" s="143"/>
      <c r="DI310" s="143"/>
      <c r="DK310" s="143"/>
      <c r="DL310" s="143"/>
      <c r="DM310" s="58"/>
      <c r="DN310" s="143"/>
      <c r="DO310" s="143"/>
      <c r="DQ310" s="4"/>
      <c r="DR310" s="143"/>
      <c r="DS310" s="143"/>
      <c r="DT310" s="143"/>
      <c r="DV310" s="143"/>
      <c r="DW310" s="143"/>
      <c r="DX310" s="143"/>
      <c r="EA310" s="119"/>
      <c r="EB310" s="119"/>
      <c r="EC310" s="119"/>
      <c r="ED310" s="143"/>
      <c r="EE310" s="143"/>
      <c r="EF310" s="143"/>
      <c r="EJ310" s="119"/>
      <c r="EK310" s="119"/>
      <c r="EL310" s="143"/>
      <c r="EM310" s="143"/>
      <c r="EN310" s="143"/>
      <c r="EP310" s="119"/>
      <c r="EQ310" s="143"/>
      <c r="ER310" s="143"/>
      <c r="ES310" s="143"/>
      <c r="EV310" s="119"/>
      <c r="EW310" s="119"/>
      <c r="EX310" s="119"/>
      <c r="EY310" s="119"/>
      <c r="EZ310" s="143"/>
      <c r="FA310" s="143"/>
      <c r="FD310" s="119"/>
      <c r="FE310" s="119"/>
      <c r="FF310" s="119"/>
      <c r="FG310" s="143"/>
      <c r="FH310" s="143"/>
      <c r="FK310" s="143"/>
      <c r="FL310" s="143"/>
      <c r="FO310" s="119"/>
      <c r="FP310" s="119"/>
      <c r="FQ310" s="143"/>
      <c r="FR310" s="143"/>
      <c r="FU310" s="119"/>
      <c r="FV310" s="143"/>
      <c r="FW310" s="143"/>
      <c r="FX310" s="143"/>
      <c r="FY310" s="143"/>
      <c r="GA310" s="143"/>
      <c r="GB310" s="143"/>
      <c r="GC310" s="143"/>
      <c r="GF310" s="119"/>
      <c r="GG310" s="119"/>
      <c r="GH310" s="119"/>
      <c r="GI310" s="143"/>
      <c r="GJ310" s="143"/>
      <c r="GK310" s="143"/>
      <c r="GN310" s="119"/>
      <c r="GO310" s="119"/>
      <c r="GP310" s="143"/>
      <c r="GQ310" s="143"/>
      <c r="GR310" s="143"/>
      <c r="GV310" s="119"/>
      <c r="GW310" s="143"/>
      <c r="GX310" s="143"/>
      <c r="GY310" s="143"/>
      <c r="HC310" s="143"/>
      <c r="HD310" s="143"/>
      <c r="HE310" s="143"/>
      <c r="HF310" s="143"/>
      <c r="HI310" s="119"/>
      <c r="HJ310" s="119"/>
      <c r="HK310" s="119"/>
      <c r="HL310" s="119"/>
      <c r="HM310" s="143"/>
      <c r="HN310" s="143"/>
      <c r="HO310" s="143"/>
      <c r="HR310" s="119"/>
      <c r="HS310" s="119"/>
      <c r="HT310" s="119"/>
      <c r="HU310" s="143"/>
      <c r="HV310" s="143"/>
      <c r="HW310" s="143"/>
      <c r="HZ310" s="119"/>
      <c r="IA310" s="143"/>
      <c r="IB310" s="143"/>
      <c r="IC310" s="143"/>
      <c r="IE310" s="119"/>
      <c r="IF310" s="143"/>
      <c r="IG310" s="143"/>
      <c r="IH310" s="143"/>
      <c r="IK310" s="143"/>
      <c r="IL310" s="143"/>
      <c r="IO310" s="143"/>
      <c r="IP310" s="143"/>
      <c r="IS310" s="157"/>
      <c r="IT310" s="157"/>
      <c r="IU310" s="157"/>
      <c r="IX310" s="143"/>
      <c r="IY310" s="143"/>
      <c r="IZ310" s="143"/>
      <c r="JA310" s="143"/>
      <c r="JD310" s="143"/>
      <c r="JE310" s="143"/>
      <c r="JH310" s="143"/>
      <c r="JI310" s="143"/>
      <c r="JJ310" s="143"/>
      <c r="JM310" s="143"/>
      <c r="JN310" s="143"/>
      <c r="JQ310" s="143"/>
      <c r="JR310" s="143"/>
      <c r="JS310" s="143"/>
      <c r="JV310" s="143"/>
      <c r="JW310" s="143"/>
      <c r="JY310" s="143"/>
      <c r="JZ310" s="143"/>
      <c r="KB310" s="143"/>
      <c r="KC310" s="143"/>
      <c r="KD310" s="143"/>
    </row>
    <row r="311" spans="2:290" hidden="1" x14ac:dyDescent="0.25">
      <c r="B311" s="11"/>
      <c r="C311" s="11"/>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98"/>
      <c r="CK311" s="198"/>
      <c r="CL311" s="198"/>
      <c r="CM311" s="198"/>
      <c r="CN311" s="198"/>
      <c r="CO311" s="185"/>
      <c r="CP311" s="185"/>
      <c r="CQ311" s="6"/>
      <c r="CR311" s="6"/>
      <c r="CS311" s="6"/>
      <c r="CT311" s="15"/>
      <c r="CU311" s="15"/>
      <c r="CV311" s="15"/>
      <c r="CW311" s="15"/>
      <c r="CX311" s="15"/>
      <c r="DK311" s="6"/>
      <c r="DL311" s="6"/>
      <c r="DM311" s="6"/>
      <c r="DN311" s="6"/>
      <c r="DO311" s="6"/>
      <c r="EA311" s="15"/>
      <c r="EB311" s="15"/>
      <c r="EC311" s="15"/>
      <c r="ED311" s="15"/>
      <c r="EE311" s="15"/>
      <c r="EF311" s="15"/>
      <c r="EJ311" s="15"/>
      <c r="EK311" s="15"/>
      <c r="EL311" s="15"/>
      <c r="EM311" s="15"/>
      <c r="EN311" s="15"/>
      <c r="EP311" s="15"/>
      <c r="EQ311" s="15"/>
      <c r="ER311" s="15"/>
      <c r="ES311" s="15"/>
      <c r="EV311" s="15"/>
      <c r="EW311" s="15"/>
      <c r="EX311" s="15"/>
      <c r="EY311" s="15"/>
      <c r="EZ311" s="15"/>
      <c r="FA311" s="15"/>
      <c r="FD311" s="15"/>
      <c r="FE311" s="15"/>
      <c r="FF311" s="15"/>
      <c r="FG311" s="15"/>
      <c r="FH311" s="15"/>
      <c r="FK311" s="15"/>
      <c r="FL311" s="15"/>
      <c r="FO311" s="15"/>
      <c r="FP311" s="15"/>
      <c r="FQ311" s="15"/>
      <c r="FR311" s="15"/>
      <c r="FU311" s="15"/>
      <c r="FV311" s="15"/>
      <c r="FW311" s="15"/>
      <c r="FX311" s="15"/>
      <c r="FY311" s="15"/>
      <c r="GA311" s="15"/>
      <c r="GB311" s="15"/>
      <c r="GC311" s="15"/>
      <c r="GF311" s="15"/>
      <c r="GG311" s="15"/>
      <c r="GH311" s="15"/>
      <c r="GI311" s="15"/>
      <c r="GJ311" s="15"/>
      <c r="GK311" s="15"/>
      <c r="GN311" s="15"/>
      <c r="GO311" s="15"/>
      <c r="GP311" s="15"/>
      <c r="GQ311" s="15"/>
      <c r="GR311" s="15"/>
      <c r="GV311" s="15"/>
      <c r="GW311" s="15"/>
      <c r="GX311" s="15"/>
      <c r="GY311" s="15"/>
      <c r="HC311" s="15"/>
      <c r="HD311" s="15"/>
      <c r="HE311" s="15"/>
      <c r="HF311" s="15"/>
      <c r="HI311" s="15"/>
      <c r="HJ311" s="15"/>
      <c r="HK311" s="15"/>
      <c r="HL311" s="15"/>
      <c r="HM311" s="15"/>
      <c r="HN311" s="15"/>
      <c r="HO311" s="15"/>
      <c r="HR311" s="15"/>
      <c r="HS311" s="15"/>
      <c r="HT311" s="15"/>
      <c r="HU311" s="15"/>
      <c r="HV311" s="15"/>
      <c r="HW311" s="15"/>
      <c r="HZ311" s="15"/>
      <c r="IA311" s="15"/>
      <c r="IB311" s="15"/>
      <c r="IC311" s="15"/>
      <c r="IE311" s="15"/>
      <c r="IF311" s="15"/>
      <c r="IG311" s="15"/>
      <c r="IH311" s="15"/>
      <c r="IK311" s="15"/>
      <c r="IL311" s="15"/>
      <c r="IO311" s="15"/>
      <c r="IP311" s="15"/>
      <c r="IS311" s="15"/>
      <c r="IT311" s="15"/>
      <c r="IU311" s="15"/>
      <c r="IX311" s="15"/>
      <c r="IY311" s="15"/>
      <c r="IZ311" s="15"/>
      <c r="JA311" s="15"/>
      <c r="JD311" s="15"/>
      <c r="JE311" s="15"/>
      <c r="JH311" s="15"/>
      <c r="JI311" s="15"/>
      <c r="JJ311" s="15"/>
      <c r="JM311" s="15"/>
      <c r="JN311" s="15"/>
      <c r="JQ311" s="15"/>
      <c r="JR311" s="15"/>
      <c r="JS311" s="15"/>
      <c r="JV311" s="15"/>
      <c r="JW311" s="15"/>
      <c r="JY311" s="15"/>
      <c r="JZ311" s="15"/>
      <c r="KB311" s="15"/>
      <c r="KC311" s="15"/>
      <c r="KD311" s="15"/>
    </row>
    <row r="312" spans="2:290" s="60" customFormat="1" hidden="1" x14ac:dyDescent="0.25">
      <c r="B312" s="34" t="s">
        <v>245</v>
      </c>
      <c r="C312" s="99"/>
      <c r="D312" s="99">
        <f>D337</f>
        <v>0</v>
      </c>
      <c r="E312" s="99">
        <f>E337</f>
        <v>0</v>
      </c>
      <c r="F312" s="99">
        <f>F337</f>
        <v>0</v>
      </c>
      <c r="G312" s="99">
        <f>G337</f>
        <v>0</v>
      </c>
      <c r="H312" s="83">
        <f t="shared" ref="H312:BS312" si="420">H335</f>
        <v>0</v>
      </c>
      <c r="I312" s="83">
        <f t="shared" si="420"/>
        <v>0</v>
      </c>
      <c r="J312" s="83">
        <f t="shared" si="420"/>
        <v>0</v>
      </c>
      <c r="K312" s="83">
        <f t="shared" si="420"/>
        <v>0</v>
      </c>
      <c r="L312" s="83">
        <f t="shared" si="420"/>
        <v>0</v>
      </c>
      <c r="M312" s="83">
        <f t="shared" si="420"/>
        <v>0</v>
      </c>
      <c r="N312" s="83">
        <f t="shared" si="420"/>
        <v>0</v>
      </c>
      <c r="O312" s="83">
        <f t="shared" si="420"/>
        <v>0</v>
      </c>
      <c r="P312" s="83">
        <f t="shared" si="420"/>
        <v>0</v>
      </c>
      <c r="Q312" s="83">
        <f t="shared" si="420"/>
        <v>0</v>
      </c>
      <c r="R312" s="83">
        <f t="shared" si="420"/>
        <v>0</v>
      </c>
      <c r="S312" s="83">
        <f t="shared" si="420"/>
        <v>0</v>
      </c>
      <c r="T312" s="83">
        <f t="shared" si="420"/>
        <v>0</v>
      </c>
      <c r="U312" s="83">
        <f t="shared" si="420"/>
        <v>0</v>
      </c>
      <c r="V312" s="83">
        <f t="shared" si="420"/>
        <v>0</v>
      </c>
      <c r="W312" s="83">
        <f t="shared" si="420"/>
        <v>0</v>
      </c>
      <c r="X312" s="83">
        <f t="shared" si="420"/>
        <v>0</v>
      </c>
      <c r="Y312" s="83">
        <f t="shared" si="420"/>
        <v>0</v>
      </c>
      <c r="Z312" s="83">
        <f t="shared" si="420"/>
        <v>0</v>
      </c>
      <c r="AA312" s="83">
        <f t="shared" si="420"/>
        <v>0</v>
      </c>
      <c r="AB312" s="83">
        <f t="shared" si="420"/>
        <v>0</v>
      </c>
      <c r="AC312" s="83">
        <f t="shared" si="420"/>
        <v>0</v>
      </c>
      <c r="AD312" s="83">
        <f t="shared" si="420"/>
        <v>0</v>
      </c>
      <c r="AE312" s="83">
        <f t="shared" si="420"/>
        <v>0</v>
      </c>
      <c r="AF312" s="83">
        <f t="shared" si="420"/>
        <v>0</v>
      </c>
      <c r="AG312" s="83">
        <f t="shared" si="420"/>
        <v>0</v>
      </c>
      <c r="AH312" s="83">
        <f t="shared" si="420"/>
        <v>0</v>
      </c>
      <c r="AI312" s="83">
        <f t="shared" si="420"/>
        <v>0</v>
      </c>
      <c r="AJ312" s="83">
        <f t="shared" si="420"/>
        <v>0</v>
      </c>
      <c r="AK312" s="83">
        <f t="shared" si="420"/>
        <v>0</v>
      </c>
      <c r="AL312" s="83">
        <f t="shared" si="420"/>
        <v>0</v>
      </c>
      <c r="AM312" s="83">
        <f t="shared" si="420"/>
        <v>0</v>
      </c>
      <c r="AN312" s="83">
        <f t="shared" si="420"/>
        <v>0</v>
      </c>
      <c r="AO312" s="83">
        <f t="shared" si="420"/>
        <v>0</v>
      </c>
      <c r="AP312" s="83">
        <f t="shared" si="420"/>
        <v>0</v>
      </c>
      <c r="AQ312" s="83">
        <f t="shared" si="420"/>
        <v>0</v>
      </c>
      <c r="AR312" s="83">
        <f t="shared" si="420"/>
        <v>0</v>
      </c>
      <c r="AS312" s="83">
        <f t="shared" si="420"/>
        <v>0</v>
      </c>
      <c r="AT312" s="83">
        <f t="shared" si="420"/>
        <v>0</v>
      </c>
      <c r="AU312" s="83">
        <f t="shared" si="420"/>
        <v>0</v>
      </c>
      <c r="AV312" s="83">
        <f t="shared" si="420"/>
        <v>0</v>
      </c>
      <c r="AW312" s="83">
        <f t="shared" si="420"/>
        <v>0</v>
      </c>
      <c r="AX312" s="83">
        <f t="shared" si="420"/>
        <v>0</v>
      </c>
      <c r="AY312" s="83">
        <f t="shared" si="420"/>
        <v>0</v>
      </c>
      <c r="AZ312" s="83">
        <f t="shared" si="420"/>
        <v>0</v>
      </c>
      <c r="BA312" s="83">
        <f t="shared" si="420"/>
        <v>0</v>
      </c>
      <c r="BB312" s="83">
        <f t="shared" si="420"/>
        <v>0</v>
      </c>
      <c r="BC312" s="83">
        <f t="shared" si="420"/>
        <v>0</v>
      </c>
      <c r="BD312" s="83">
        <f t="shared" si="420"/>
        <v>0</v>
      </c>
      <c r="BE312" s="83">
        <f t="shared" si="420"/>
        <v>0</v>
      </c>
      <c r="BF312" s="83">
        <f t="shared" si="420"/>
        <v>0</v>
      </c>
      <c r="BG312" s="83">
        <f t="shared" si="420"/>
        <v>0</v>
      </c>
      <c r="BH312" s="83">
        <f t="shared" si="420"/>
        <v>0</v>
      </c>
      <c r="BI312" s="83">
        <f t="shared" si="420"/>
        <v>0</v>
      </c>
      <c r="BJ312" s="83">
        <f t="shared" si="420"/>
        <v>0</v>
      </c>
      <c r="BK312" s="83">
        <f t="shared" si="420"/>
        <v>0</v>
      </c>
      <c r="BL312" s="83">
        <f t="shared" si="420"/>
        <v>0</v>
      </c>
      <c r="BM312" s="83">
        <f t="shared" si="420"/>
        <v>0</v>
      </c>
      <c r="BN312" s="83">
        <f t="shared" si="420"/>
        <v>0</v>
      </c>
      <c r="BO312" s="83">
        <f t="shared" si="420"/>
        <v>0</v>
      </c>
      <c r="BP312" s="83">
        <f t="shared" si="420"/>
        <v>0</v>
      </c>
      <c r="BQ312" s="83">
        <f t="shared" si="420"/>
        <v>0</v>
      </c>
      <c r="BR312" s="83">
        <f t="shared" si="420"/>
        <v>0</v>
      </c>
      <c r="BS312" s="83">
        <f t="shared" si="420"/>
        <v>0</v>
      </c>
      <c r="BT312" s="83">
        <f t="shared" ref="BT312:CK312" si="421">BT335</f>
        <v>0</v>
      </c>
      <c r="BU312" s="83">
        <f t="shared" si="421"/>
        <v>0</v>
      </c>
      <c r="BV312" s="83">
        <f t="shared" si="421"/>
        <v>0</v>
      </c>
      <c r="BW312" s="83">
        <f t="shared" si="421"/>
        <v>0</v>
      </c>
      <c r="BX312" s="83">
        <f t="shared" si="421"/>
        <v>0</v>
      </c>
      <c r="BY312" s="83">
        <f t="shared" si="421"/>
        <v>0</v>
      </c>
      <c r="BZ312" s="83">
        <f t="shared" si="421"/>
        <v>0</v>
      </c>
      <c r="CA312" s="83">
        <f t="shared" si="421"/>
        <v>0</v>
      </c>
      <c r="CB312" s="83">
        <f t="shared" si="421"/>
        <v>0</v>
      </c>
      <c r="CC312" s="83">
        <f t="shared" si="421"/>
        <v>0</v>
      </c>
      <c r="CD312" s="83">
        <f t="shared" si="421"/>
        <v>0</v>
      </c>
      <c r="CE312" s="83">
        <f t="shared" si="421"/>
        <v>0</v>
      </c>
      <c r="CF312" s="83">
        <f t="shared" si="421"/>
        <v>0</v>
      </c>
      <c r="CG312" s="83">
        <f t="shared" si="421"/>
        <v>0</v>
      </c>
      <c r="CH312" s="83">
        <f t="shared" si="421"/>
        <v>0</v>
      </c>
      <c r="CI312" s="83">
        <f t="shared" si="421"/>
        <v>0</v>
      </c>
      <c r="CJ312" s="83">
        <f t="shared" si="421"/>
        <v>0</v>
      </c>
      <c r="CK312" s="83">
        <f t="shared" si="421"/>
        <v>0</v>
      </c>
      <c r="CL312" s="83"/>
      <c r="CM312" s="83"/>
      <c r="CN312" s="83"/>
      <c r="CO312" s="148"/>
      <c r="CP312" s="148"/>
      <c r="CQ312" s="58"/>
      <c r="CR312" s="58"/>
      <c r="CS312" s="58"/>
      <c r="CT312" s="143"/>
      <c r="CU312" s="143"/>
      <c r="CV312" s="143"/>
      <c r="CW312" s="143"/>
      <c r="CX312" s="143"/>
      <c r="CY312" s="143"/>
      <c r="CZ312" s="143"/>
      <c r="DA312" s="143"/>
      <c r="DB312" s="143"/>
      <c r="DC312" s="143"/>
      <c r="DD312" s="143"/>
      <c r="DE312" s="143"/>
      <c r="DF312" s="143"/>
      <c r="DG312" s="143"/>
      <c r="DH312" s="143"/>
      <c r="DI312" s="143"/>
      <c r="DK312" s="143"/>
      <c r="DL312" s="143"/>
      <c r="DM312" s="58"/>
      <c r="DN312" s="143"/>
      <c r="DO312" s="143"/>
      <c r="DQ312" s="4"/>
      <c r="DR312" s="143"/>
      <c r="DS312" s="143"/>
      <c r="DT312" s="143"/>
      <c r="DV312" s="143"/>
      <c r="DW312" s="143"/>
      <c r="DX312" s="143"/>
      <c r="EA312" s="119"/>
      <c r="EB312" s="119"/>
      <c r="EC312" s="119"/>
      <c r="ED312" s="143"/>
      <c r="EE312" s="143"/>
      <c r="EF312" s="143"/>
      <c r="EJ312" s="119"/>
      <c r="EK312" s="119"/>
      <c r="EL312" s="143"/>
      <c r="EM312" s="143"/>
      <c r="EN312" s="143"/>
      <c r="EP312" s="119"/>
      <c r="EQ312" s="143"/>
      <c r="ER312" s="143"/>
      <c r="ES312" s="143"/>
      <c r="EV312" s="119"/>
      <c r="EW312" s="119"/>
      <c r="EX312" s="119"/>
      <c r="EY312" s="119"/>
      <c r="EZ312" s="143"/>
      <c r="FA312" s="143"/>
      <c r="FD312" s="119"/>
      <c r="FE312" s="119"/>
      <c r="FF312" s="119"/>
      <c r="FG312" s="143"/>
      <c r="FH312" s="143"/>
      <c r="FK312" s="143"/>
      <c r="FL312" s="143"/>
      <c r="FO312" s="119"/>
      <c r="FP312" s="119"/>
      <c r="FQ312" s="143"/>
      <c r="FR312" s="143"/>
      <c r="FU312" s="119"/>
      <c r="FV312" s="143"/>
      <c r="FW312" s="143"/>
      <c r="FX312" s="143"/>
      <c r="FY312" s="143"/>
      <c r="GA312" s="143"/>
      <c r="GB312" s="143"/>
      <c r="GC312" s="143"/>
      <c r="GF312" s="119"/>
      <c r="GG312" s="119"/>
      <c r="GH312" s="119"/>
      <c r="GI312" s="143"/>
      <c r="GJ312" s="143"/>
      <c r="GK312" s="143"/>
      <c r="GN312" s="119"/>
      <c r="GO312" s="119"/>
      <c r="GP312" s="143"/>
      <c r="GQ312" s="143"/>
      <c r="GR312" s="143"/>
      <c r="GV312" s="119"/>
      <c r="GW312" s="143"/>
      <c r="GX312" s="143"/>
      <c r="GY312" s="143"/>
      <c r="HC312" s="143"/>
      <c r="HD312" s="143"/>
      <c r="HE312" s="143"/>
      <c r="HF312" s="143"/>
      <c r="HI312" s="119"/>
      <c r="HJ312" s="119"/>
      <c r="HK312" s="119"/>
      <c r="HL312" s="119"/>
      <c r="HM312" s="143"/>
      <c r="HN312" s="143"/>
      <c r="HO312" s="143"/>
      <c r="HR312" s="119"/>
      <c r="HS312" s="119"/>
      <c r="HT312" s="119"/>
      <c r="HU312" s="143"/>
      <c r="HV312" s="143"/>
      <c r="HW312" s="143"/>
      <c r="HZ312" s="119"/>
      <c r="IA312" s="143"/>
      <c r="IB312" s="143"/>
      <c r="IC312" s="143"/>
      <c r="IE312" s="119"/>
      <c r="IF312" s="143"/>
      <c r="IG312" s="143"/>
      <c r="IH312" s="143"/>
      <c r="IK312" s="143"/>
      <c r="IL312" s="143"/>
      <c r="IO312" s="143"/>
      <c r="IP312" s="143"/>
      <c r="IS312" s="157"/>
      <c r="IT312" s="157"/>
      <c r="IU312" s="157"/>
      <c r="IX312" s="143"/>
      <c r="IY312" s="143"/>
      <c r="IZ312" s="143"/>
      <c r="JA312" s="143"/>
      <c r="JD312" s="143"/>
      <c r="JE312" s="143"/>
      <c r="JH312" s="143"/>
      <c r="JI312" s="143"/>
      <c r="JJ312" s="143"/>
      <c r="JM312" s="143"/>
      <c r="JN312" s="143"/>
      <c r="JQ312" s="143"/>
      <c r="JR312" s="143"/>
      <c r="JS312" s="143"/>
      <c r="JV312" s="143"/>
      <c r="JW312" s="143"/>
      <c r="JY312" s="143"/>
      <c r="JZ312" s="143"/>
      <c r="KB312" s="143"/>
      <c r="KC312" s="143"/>
      <c r="KD312" s="143"/>
    </row>
    <row r="313" spans="2:290" hidden="1" x14ac:dyDescent="0.25">
      <c r="B313" s="11" t="s">
        <v>233</v>
      </c>
      <c r="C313" s="23"/>
      <c r="D313" s="23"/>
      <c r="E313" s="23"/>
      <c r="F313" s="23"/>
      <c r="G313" s="23"/>
      <c r="H313" s="197"/>
      <c r="I313" s="198"/>
      <c r="J313" s="198"/>
      <c r="K313" s="198"/>
      <c r="L313" s="198"/>
      <c r="M313" s="197"/>
      <c r="N313" s="198"/>
      <c r="O313" s="198"/>
      <c r="P313" s="198"/>
      <c r="Q313" s="198"/>
      <c r="R313" s="197"/>
      <c r="S313" s="198"/>
      <c r="T313" s="198"/>
      <c r="U313" s="198"/>
      <c r="V313" s="198"/>
      <c r="W313" s="197">
        <f t="shared" ref="W313:CH313" si="422">W304*10000/W247</f>
        <v>0</v>
      </c>
      <c r="X313" s="198">
        <f t="shared" si="422"/>
        <v>0</v>
      </c>
      <c r="Y313" s="198">
        <f t="shared" si="422"/>
        <v>0</v>
      </c>
      <c r="Z313" s="198">
        <f t="shared" si="422"/>
        <v>0</v>
      </c>
      <c r="AA313" s="198">
        <f t="shared" si="422"/>
        <v>0</v>
      </c>
      <c r="AB313" s="197">
        <f t="shared" si="422"/>
        <v>0</v>
      </c>
      <c r="AC313" s="198">
        <f t="shared" si="422"/>
        <v>0</v>
      </c>
      <c r="AD313" s="198">
        <f t="shared" si="422"/>
        <v>0</v>
      </c>
      <c r="AE313" s="198">
        <f t="shared" si="422"/>
        <v>0</v>
      </c>
      <c r="AF313" s="198">
        <f t="shared" si="422"/>
        <v>0</v>
      </c>
      <c r="AG313" s="197">
        <f t="shared" si="422"/>
        <v>0</v>
      </c>
      <c r="AH313" s="198">
        <f t="shared" si="422"/>
        <v>11.088810837932765</v>
      </c>
      <c r="AI313" s="198">
        <f t="shared" si="422"/>
        <v>10.459830228909361</v>
      </c>
      <c r="AJ313" s="198">
        <f t="shared" si="422"/>
        <v>12.27037773359841</v>
      </c>
      <c r="AK313" s="197">
        <f t="shared" si="422"/>
        <v>11.443713158847093</v>
      </c>
      <c r="AL313" s="198">
        <f t="shared" si="422"/>
        <v>13.219607179139858</v>
      </c>
      <c r="AM313" s="198">
        <f t="shared" si="422"/>
        <v>13.871338311315336</v>
      </c>
      <c r="AN313" s="198">
        <f t="shared" si="422"/>
        <v>14.368819080860966</v>
      </c>
      <c r="AO313" s="198">
        <f t="shared" si="422"/>
        <v>15.689351433774002</v>
      </c>
      <c r="AP313" s="197">
        <f t="shared" si="422"/>
        <v>14.306056780457117</v>
      </c>
      <c r="AQ313" s="198">
        <f t="shared" si="422"/>
        <v>9.8474655701522327</v>
      </c>
      <c r="AR313" s="198">
        <f t="shared" si="422"/>
        <v>9.5059187796174971</v>
      </c>
      <c r="AS313" s="198">
        <f t="shared" si="422"/>
        <v>10.522231706370761</v>
      </c>
      <c r="AT313" s="198">
        <f t="shared" si="422"/>
        <v>17.907638192335703</v>
      </c>
      <c r="AU313" s="197">
        <f t="shared" si="422"/>
        <v>12.235399680099871</v>
      </c>
      <c r="AV313" s="199">
        <f t="shared" si="422"/>
        <v>11.111909105272986</v>
      </c>
      <c r="AW313" s="199">
        <f t="shared" si="422"/>
        <v>11.469793561375315</v>
      </c>
      <c r="AX313" s="199">
        <f t="shared" si="422"/>
        <v>10.781709650701169</v>
      </c>
      <c r="AY313" s="199">
        <f t="shared" si="422"/>
        <v>11.382912453878959</v>
      </c>
      <c r="AZ313" s="197">
        <f t="shared" si="422"/>
        <v>11.18256430787709</v>
      </c>
      <c r="BA313" s="199">
        <f t="shared" si="422"/>
        <v>9.186283943952871</v>
      </c>
      <c r="BB313" s="199">
        <f t="shared" si="422"/>
        <v>16.200672447354449</v>
      </c>
      <c r="BC313" s="199">
        <f t="shared" si="422"/>
        <v>14.70091295026338</v>
      </c>
      <c r="BD313" s="199">
        <f t="shared" si="422"/>
        <v>21.836642307443579</v>
      </c>
      <c r="BE313" s="197">
        <f t="shared" si="422"/>
        <v>15.310933198569016</v>
      </c>
      <c r="BF313" s="199">
        <f t="shared" si="422"/>
        <v>8.8636121186259871</v>
      </c>
      <c r="BG313" s="199">
        <f t="shared" si="422"/>
        <v>22.150159888303381</v>
      </c>
      <c r="BH313" s="199">
        <f t="shared" si="422"/>
        <v>32.604645709297934</v>
      </c>
      <c r="BI313" s="199">
        <f t="shared" si="422"/>
        <v>46.976854349513793</v>
      </c>
      <c r="BJ313" s="197">
        <f t="shared" si="422"/>
        <v>27.901154040841565</v>
      </c>
      <c r="BK313" s="199">
        <f t="shared" si="422"/>
        <v>29.42362453492964</v>
      </c>
      <c r="BL313" s="199">
        <f t="shared" si="422"/>
        <v>26.768763796909493</v>
      </c>
      <c r="BM313" s="199">
        <f t="shared" si="422"/>
        <v>33.043691102680214</v>
      </c>
      <c r="BN313" s="199">
        <f t="shared" si="422"/>
        <v>26.828105733262877</v>
      </c>
      <c r="BO313" s="197">
        <f t="shared" si="422"/>
        <v>28.577990849268122</v>
      </c>
      <c r="BP313" s="199">
        <f t="shared" si="422"/>
        <v>19.441226833199032</v>
      </c>
      <c r="BQ313" s="199">
        <f t="shared" si="422"/>
        <v>3.1267356728098963</v>
      </c>
      <c r="BR313" s="199">
        <f t="shared" si="422"/>
        <v>16.422211336195719</v>
      </c>
      <c r="BS313" s="199">
        <f t="shared" si="422"/>
        <v>29.309039744240515</v>
      </c>
      <c r="BT313" s="197">
        <f t="shared" si="422"/>
        <v>18.111644971550156</v>
      </c>
      <c r="BU313" s="199">
        <f t="shared" si="422"/>
        <v>16.551835871548683</v>
      </c>
      <c r="BV313" s="199">
        <f t="shared" si="422"/>
        <v>19.48624780188285</v>
      </c>
      <c r="BW313" s="199">
        <f t="shared" si="422"/>
        <v>17.448751260214912</v>
      </c>
      <c r="BX313" s="199">
        <f t="shared" si="422"/>
        <v>18.427532353033786</v>
      </c>
      <c r="BY313" s="197">
        <f t="shared" si="422"/>
        <v>17.967628807128129</v>
      </c>
      <c r="BZ313" s="199">
        <f t="shared" si="422"/>
        <v>16.504106226766464</v>
      </c>
      <c r="CA313" s="199">
        <f t="shared" si="422"/>
        <v>18.136113773743617</v>
      </c>
      <c r="CB313" s="199">
        <f t="shared" si="422"/>
        <v>10.880923210686479</v>
      </c>
      <c r="CC313" s="199">
        <f t="shared" si="422"/>
        <v>13.309744986962713</v>
      </c>
      <c r="CD313" s="197">
        <f t="shared" si="422"/>
        <v>13.838341808925447</v>
      </c>
      <c r="CE313" s="199">
        <f t="shared" si="422"/>
        <v>10.57956012045601</v>
      </c>
      <c r="CF313" s="199">
        <f t="shared" si="422"/>
        <v>10.581511763724345</v>
      </c>
      <c r="CG313" s="199">
        <f t="shared" si="422"/>
        <v>9.1913515572911706</v>
      </c>
      <c r="CH313" s="199">
        <f t="shared" si="422"/>
        <v>19.901705815826094</v>
      </c>
      <c r="CI313" s="197">
        <f t="shared" ref="CI313" si="423">CI304*10000/CI247</f>
        <v>13.188430369703383</v>
      </c>
      <c r="CJ313" s="197"/>
      <c r="CK313" s="197"/>
      <c r="CL313" s="197"/>
      <c r="CM313" s="197"/>
      <c r="CN313" s="197"/>
      <c r="CO313" s="137"/>
      <c r="CP313" s="137"/>
      <c r="CQ313" s="6"/>
      <c r="CR313" s="6"/>
      <c r="CS313" s="6"/>
      <c r="CT313" s="124"/>
      <c r="CU313" s="124"/>
      <c r="CV313" s="124"/>
      <c r="CW313" s="124"/>
      <c r="CX313" s="124"/>
      <c r="CY313" s="124"/>
      <c r="CZ313" s="124"/>
      <c r="DA313" s="124"/>
      <c r="DB313" s="124"/>
      <c r="DC313" s="124"/>
      <c r="DD313" s="124"/>
      <c r="DE313" s="124"/>
      <c r="DF313" s="124"/>
      <c r="DG313" s="124"/>
      <c r="DH313" s="124"/>
      <c r="DI313" s="124"/>
      <c r="DK313" s="124"/>
      <c r="DL313" s="124"/>
      <c r="DM313" s="6"/>
      <c r="DN313" s="124"/>
      <c r="DO313" s="124"/>
      <c r="DQ313" s="136"/>
      <c r="DR313" s="124"/>
      <c r="DS313" s="124"/>
      <c r="DT313" s="124"/>
      <c r="DV313" s="124"/>
      <c r="DW313" s="124"/>
      <c r="DX313" s="124"/>
      <c r="EA313" s="111"/>
      <c r="EB313" s="111"/>
      <c r="EC313" s="111"/>
      <c r="ED313" s="124"/>
      <c r="EE313" s="124"/>
      <c r="EF313" s="124"/>
      <c r="EJ313" s="111"/>
      <c r="EK313" s="111"/>
      <c r="EL313" s="124"/>
      <c r="EM313" s="124"/>
      <c r="EN313" s="124"/>
      <c r="EP313" s="111"/>
      <c r="EQ313" s="124"/>
      <c r="ER313" s="124"/>
      <c r="ES313" s="124"/>
      <c r="EV313" s="111"/>
      <c r="EW313" s="111"/>
      <c r="EX313" s="111"/>
      <c r="EY313" s="111"/>
      <c r="EZ313" s="124"/>
      <c r="FA313" s="124"/>
      <c r="FD313" s="111"/>
      <c r="FE313" s="111"/>
      <c r="FF313" s="111"/>
      <c r="FG313" s="124"/>
      <c r="FH313" s="124"/>
      <c r="FK313" s="124"/>
      <c r="FL313" s="124"/>
      <c r="FO313" s="111"/>
      <c r="FP313" s="111"/>
      <c r="FQ313" s="124"/>
      <c r="FR313" s="124"/>
      <c r="FU313" s="111"/>
      <c r="FV313" s="124"/>
      <c r="FW313" s="124"/>
      <c r="FX313" s="124"/>
      <c r="FY313" s="124"/>
      <c r="GA313" s="124"/>
      <c r="GB313" s="124"/>
      <c r="GC313" s="124"/>
      <c r="GF313" s="111"/>
      <c r="GG313" s="111"/>
      <c r="GH313" s="111"/>
      <c r="GI313" s="124"/>
      <c r="GJ313" s="124"/>
      <c r="GK313" s="124"/>
      <c r="GN313" s="111"/>
      <c r="GO313" s="111"/>
      <c r="GP313" s="124"/>
      <c r="GQ313" s="124"/>
      <c r="GR313" s="124"/>
      <c r="GV313" s="111"/>
      <c r="GW313" s="124"/>
      <c r="GX313" s="124"/>
      <c r="GY313" s="124"/>
      <c r="HC313" s="124"/>
      <c r="HD313" s="124"/>
      <c r="HE313" s="124"/>
      <c r="HF313" s="124"/>
      <c r="HI313" s="111"/>
      <c r="HJ313" s="111"/>
      <c r="HK313" s="111"/>
      <c r="HL313" s="111"/>
      <c r="HM313" s="124"/>
      <c r="HN313" s="124"/>
      <c r="HO313" s="124"/>
      <c r="HR313" s="111"/>
      <c r="HS313" s="111"/>
      <c r="HT313" s="111"/>
      <c r="HU313" s="124"/>
      <c r="HV313" s="124"/>
      <c r="HW313" s="124"/>
      <c r="HZ313" s="111"/>
      <c r="IA313" s="124"/>
      <c r="IB313" s="124"/>
      <c r="IC313" s="124"/>
      <c r="IE313" s="111"/>
      <c r="IF313" s="124"/>
      <c r="IG313" s="124"/>
      <c r="IH313" s="124"/>
      <c r="IK313" s="124"/>
      <c r="IL313" s="124"/>
      <c r="IO313" s="124"/>
      <c r="IP313" s="124"/>
      <c r="IS313" s="160"/>
      <c r="IT313" s="160"/>
      <c r="IU313" s="160"/>
      <c r="IX313" s="124"/>
      <c r="IY313" s="124"/>
      <c r="IZ313" s="124"/>
      <c r="JA313" s="124"/>
      <c r="JD313" s="124"/>
      <c r="JE313" s="124"/>
      <c r="JH313" s="124"/>
      <c r="JI313" s="124"/>
      <c r="JJ313" s="124"/>
      <c r="JM313" s="124"/>
      <c r="JN313" s="124"/>
      <c r="JQ313" s="124"/>
      <c r="JR313" s="124"/>
      <c r="JS313" s="124"/>
      <c r="JV313" s="124"/>
      <c r="JW313" s="124"/>
      <c r="JY313" s="124"/>
      <c r="JZ313" s="124"/>
      <c r="KB313" s="124"/>
      <c r="KC313" s="124"/>
      <c r="KD313" s="124"/>
    </row>
    <row r="314" spans="2:290" hidden="1" x14ac:dyDescent="0.25">
      <c r="B314" s="11" t="s">
        <v>224</v>
      </c>
      <c r="C314" s="23"/>
      <c r="D314" s="23"/>
      <c r="E314" s="23"/>
      <c r="F314" s="23"/>
      <c r="G314" s="23"/>
      <c r="H314" s="197"/>
      <c r="I314" s="198"/>
      <c r="J314" s="198"/>
      <c r="K314" s="198"/>
      <c r="L314" s="198"/>
      <c r="M314" s="197"/>
      <c r="N314" s="198"/>
      <c r="O314" s="198"/>
      <c r="P314" s="198"/>
      <c r="Q314" s="198"/>
      <c r="R314" s="197"/>
      <c r="S314" s="198"/>
      <c r="T314" s="198"/>
      <c r="U314" s="198"/>
      <c r="V314" s="198"/>
      <c r="W314" s="197">
        <f t="shared" ref="W314:CH314" si="424">W305*10000/W249</f>
        <v>0</v>
      </c>
      <c r="X314" s="198">
        <f t="shared" si="424"/>
        <v>0</v>
      </c>
      <c r="Y314" s="198">
        <f t="shared" si="424"/>
        <v>0</v>
      </c>
      <c r="Z314" s="198">
        <f t="shared" si="424"/>
        <v>0</v>
      </c>
      <c r="AA314" s="198">
        <f t="shared" si="424"/>
        <v>0</v>
      </c>
      <c r="AB314" s="197">
        <f t="shared" si="424"/>
        <v>0</v>
      </c>
      <c r="AC314" s="198">
        <f t="shared" si="424"/>
        <v>0</v>
      </c>
      <c r="AD314" s="198">
        <f t="shared" si="424"/>
        <v>0</v>
      </c>
      <c r="AE314" s="198">
        <f t="shared" si="424"/>
        <v>0</v>
      </c>
      <c r="AF314" s="198">
        <f t="shared" si="424"/>
        <v>0</v>
      </c>
      <c r="AG314" s="197">
        <f t="shared" si="424"/>
        <v>0</v>
      </c>
      <c r="AH314" s="198">
        <f t="shared" si="424"/>
        <v>5.5502392344497604</v>
      </c>
      <c r="AI314" s="198">
        <f t="shared" si="424"/>
        <v>6.5992167101827679</v>
      </c>
      <c r="AJ314" s="198">
        <f t="shared" si="424"/>
        <v>16.578500848388064</v>
      </c>
      <c r="AK314" s="197">
        <f t="shared" si="424"/>
        <v>10.100234263988632</v>
      </c>
      <c r="AL314" s="198">
        <f t="shared" si="424"/>
        <v>11.45612547689699</v>
      </c>
      <c r="AM314" s="198">
        <f t="shared" si="424"/>
        <v>12.922531308877314</v>
      </c>
      <c r="AN314" s="198">
        <f t="shared" si="424"/>
        <v>9.9402554594149155</v>
      </c>
      <c r="AO314" s="198">
        <f t="shared" si="424"/>
        <v>21.863733012850144</v>
      </c>
      <c r="AP314" s="197">
        <f t="shared" si="424"/>
        <v>14.308434229427457</v>
      </c>
      <c r="AQ314" s="198">
        <f t="shared" si="424"/>
        <v>10.94298025854294</v>
      </c>
      <c r="AR314" s="198">
        <f t="shared" si="424"/>
        <v>14.963538213846007</v>
      </c>
      <c r="AS314" s="198">
        <f t="shared" si="424"/>
        <v>19.08404838209449</v>
      </c>
      <c r="AT314" s="198">
        <f t="shared" si="424"/>
        <v>23.198150872031938</v>
      </c>
      <c r="AU314" s="197">
        <f t="shared" si="424"/>
        <v>17.600251753281785</v>
      </c>
      <c r="AV314" s="199">
        <f t="shared" si="424"/>
        <v>15.971656621599609</v>
      </c>
      <c r="AW314" s="199">
        <f t="shared" si="424"/>
        <v>16.502226490875753</v>
      </c>
      <c r="AX314" s="199">
        <f t="shared" si="424"/>
        <v>11.471927162367223</v>
      </c>
      <c r="AY314" s="199">
        <f t="shared" si="424"/>
        <v>14.174383423489502</v>
      </c>
      <c r="AZ314" s="197">
        <f t="shared" si="424"/>
        <v>14.27801361094266</v>
      </c>
      <c r="BA314" s="199">
        <f t="shared" si="424"/>
        <v>11.601890249783008</v>
      </c>
      <c r="BB314" s="199">
        <f t="shared" si="424"/>
        <v>-1.9692555008540138</v>
      </c>
      <c r="BC314" s="199">
        <f t="shared" si="424"/>
        <v>9.6466310646517446</v>
      </c>
      <c r="BD314" s="199">
        <f t="shared" si="424"/>
        <v>14.756688434800926</v>
      </c>
      <c r="BE314" s="197">
        <f t="shared" si="424"/>
        <v>8.4341093300877858</v>
      </c>
      <c r="BF314" s="199">
        <f t="shared" si="424"/>
        <v>-15.932914046121594</v>
      </c>
      <c r="BG314" s="199">
        <f t="shared" si="424"/>
        <v>10.624723083739477</v>
      </c>
      <c r="BH314" s="199">
        <f t="shared" si="424"/>
        <v>17.207346378304155</v>
      </c>
      <c r="BI314" s="199">
        <f t="shared" si="424"/>
        <v>28.390570430733415</v>
      </c>
      <c r="BJ314" s="197">
        <f t="shared" si="424"/>
        <v>15.309642710670429</v>
      </c>
      <c r="BK314" s="199">
        <f t="shared" si="424"/>
        <v>12.825904121110177</v>
      </c>
      <c r="BL314" s="199">
        <f t="shared" si="424"/>
        <v>15.504439063761097</v>
      </c>
      <c r="BM314" s="199">
        <f t="shared" si="424"/>
        <v>17.792155276991508</v>
      </c>
      <c r="BN314" s="199">
        <f t="shared" si="424"/>
        <v>22.843856717285476</v>
      </c>
      <c r="BO314" s="197">
        <f t="shared" si="424"/>
        <v>17.751405371642722</v>
      </c>
      <c r="BP314" s="199">
        <f t="shared" si="424"/>
        <v>19.804666304937601</v>
      </c>
      <c r="BQ314" s="199">
        <f t="shared" si="424"/>
        <v>20.201814980360286</v>
      </c>
      <c r="BR314" s="199">
        <f t="shared" si="424"/>
        <v>21.379776800811634</v>
      </c>
      <c r="BS314" s="199">
        <f t="shared" si="424"/>
        <v>22.370971650109038</v>
      </c>
      <c r="BT314" s="197">
        <f t="shared" si="424"/>
        <v>21.017639077340569</v>
      </c>
      <c r="BU314" s="199">
        <f t="shared" si="424"/>
        <v>14.080095458274293</v>
      </c>
      <c r="BV314" s="199">
        <f t="shared" si="424"/>
        <v>16.363047001620743</v>
      </c>
      <c r="BW314" s="199">
        <f t="shared" si="424"/>
        <v>18.279834883864211</v>
      </c>
      <c r="BX314" s="199">
        <f t="shared" si="424"/>
        <v>23.436666469088969</v>
      </c>
      <c r="BY314" s="197">
        <f t="shared" si="424"/>
        <v>18.297920433996385</v>
      </c>
      <c r="BZ314" s="199">
        <f t="shared" si="424"/>
        <v>13.058878567132259</v>
      </c>
      <c r="CA314" s="199">
        <f t="shared" si="424"/>
        <v>18.623428193249502</v>
      </c>
      <c r="CB314" s="199">
        <f t="shared" si="424"/>
        <v>16.758055572669583</v>
      </c>
      <c r="CC314" s="199">
        <f t="shared" si="424"/>
        <v>21.101852406930039</v>
      </c>
      <c r="CD314" s="197">
        <f t="shared" si="424"/>
        <v>17.114762260393327</v>
      </c>
      <c r="CE314" s="199">
        <f t="shared" si="424"/>
        <v>10.903696377797008</v>
      </c>
      <c r="CF314" s="199">
        <f t="shared" si="424"/>
        <v>8.4727507718819552</v>
      </c>
      <c r="CG314" s="199">
        <f t="shared" si="424"/>
        <v>17.44645052740568</v>
      </c>
      <c r="CH314" s="199">
        <f t="shared" si="424"/>
        <v>22.66369128612638</v>
      </c>
      <c r="CI314" s="197">
        <f t="shared" ref="CI314" si="425">CI305*10000/CI249</f>
        <v>14.557441311416991</v>
      </c>
      <c r="CJ314" s="197"/>
      <c r="CK314" s="197"/>
      <c r="CL314" s="197"/>
      <c r="CM314" s="197"/>
      <c r="CN314" s="197"/>
      <c r="CO314" s="137"/>
      <c r="CP314" s="137"/>
      <c r="CQ314" s="6"/>
      <c r="CR314" s="6"/>
      <c r="CS314" s="6"/>
      <c r="CT314" s="124"/>
      <c r="CU314" s="124"/>
      <c r="CV314" s="124"/>
      <c r="CW314" s="124"/>
      <c r="CX314" s="124"/>
      <c r="CY314" s="124"/>
      <c r="CZ314" s="124"/>
      <c r="DA314" s="124"/>
      <c r="DB314" s="124"/>
      <c r="DC314" s="124"/>
      <c r="DD314" s="124"/>
      <c r="DE314" s="124"/>
      <c r="DF314" s="124"/>
      <c r="DG314" s="124"/>
      <c r="DH314" s="124"/>
      <c r="DI314" s="124"/>
      <c r="DK314" s="124"/>
      <c r="DL314" s="124"/>
      <c r="DM314" s="6"/>
      <c r="DN314" s="124"/>
      <c r="DO314" s="124"/>
      <c r="DQ314" s="136"/>
      <c r="DR314" s="124"/>
      <c r="DS314" s="124"/>
      <c r="DT314" s="124"/>
      <c r="DV314" s="124"/>
      <c r="DW314" s="124"/>
      <c r="DX314" s="124"/>
      <c r="EA314" s="111"/>
      <c r="EB314" s="111"/>
      <c r="EC314" s="111"/>
      <c r="ED314" s="124"/>
      <c r="EE314" s="124"/>
      <c r="EF314" s="124"/>
      <c r="EJ314" s="111"/>
      <c r="EK314" s="111"/>
      <c r="EL314" s="124"/>
      <c r="EM314" s="124"/>
      <c r="EN314" s="124"/>
      <c r="EP314" s="111"/>
      <c r="EQ314" s="124"/>
      <c r="ER314" s="124"/>
      <c r="ES314" s="124"/>
      <c r="EV314" s="111"/>
      <c r="EW314" s="111"/>
      <c r="EX314" s="111"/>
      <c r="EY314" s="111"/>
      <c r="EZ314" s="124"/>
      <c r="FA314" s="124"/>
      <c r="FD314" s="111"/>
      <c r="FE314" s="111"/>
      <c r="FF314" s="111"/>
      <c r="FG314" s="124"/>
      <c r="FH314" s="124"/>
      <c r="FK314" s="124"/>
      <c r="FL314" s="124"/>
      <c r="FO314" s="111"/>
      <c r="FP314" s="111"/>
      <c r="FQ314" s="124"/>
      <c r="FR314" s="124"/>
      <c r="FU314" s="111"/>
      <c r="FV314" s="124"/>
      <c r="FW314" s="124"/>
      <c r="FX314" s="124"/>
      <c r="FY314" s="124"/>
      <c r="GA314" s="124"/>
      <c r="GB314" s="124"/>
      <c r="GC314" s="124"/>
      <c r="GF314" s="111"/>
      <c r="GG314" s="111"/>
      <c r="GH314" s="111"/>
      <c r="GI314" s="124"/>
      <c r="GJ314" s="124"/>
      <c r="GK314" s="124"/>
      <c r="GN314" s="111"/>
      <c r="GO314" s="111"/>
      <c r="GP314" s="124"/>
      <c r="GQ314" s="124"/>
      <c r="GR314" s="124"/>
      <c r="GV314" s="111"/>
      <c r="GW314" s="124"/>
      <c r="GX314" s="124"/>
      <c r="GY314" s="124"/>
      <c r="HC314" s="124"/>
      <c r="HD314" s="124"/>
      <c r="HE314" s="124"/>
      <c r="HF314" s="124"/>
      <c r="HI314" s="111"/>
      <c r="HJ314" s="111"/>
      <c r="HK314" s="111"/>
      <c r="HL314" s="111"/>
      <c r="HM314" s="124"/>
      <c r="HN314" s="124"/>
      <c r="HO314" s="124"/>
      <c r="HR314" s="111"/>
      <c r="HS314" s="111"/>
      <c r="HT314" s="111"/>
      <c r="HU314" s="124"/>
      <c r="HV314" s="124"/>
      <c r="HW314" s="124"/>
      <c r="HZ314" s="111"/>
      <c r="IA314" s="124"/>
      <c r="IB314" s="124"/>
      <c r="IC314" s="124"/>
      <c r="IE314" s="111"/>
      <c r="IF314" s="124"/>
      <c r="IG314" s="124"/>
      <c r="IH314" s="124"/>
      <c r="IK314" s="124"/>
      <c r="IL314" s="124"/>
      <c r="IO314" s="124"/>
      <c r="IP314" s="124"/>
      <c r="IS314" s="160"/>
      <c r="IT314" s="160"/>
      <c r="IU314" s="160"/>
      <c r="IX314" s="124"/>
      <c r="IY314" s="124"/>
      <c r="IZ314" s="124"/>
      <c r="JA314" s="124"/>
      <c r="JD314" s="124"/>
      <c r="JE314" s="124"/>
      <c r="JH314" s="124"/>
      <c r="JI314" s="124"/>
      <c r="JJ314" s="124"/>
      <c r="JM314" s="124"/>
      <c r="JN314" s="124"/>
      <c r="JQ314" s="124"/>
      <c r="JR314" s="124"/>
      <c r="JS314" s="124"/>
      <c r="JV314" s="124"/>
      <c r="JW314" s="124"/>
      <c r="JY314" s="124"/>
      <c r="JZ314" s="124"/>
      <c r="KB314" s="124"/>
      <c r="KC314" s="124"/>
      <c r="KD314" s="124"/>
    </row>
    <row r="315" spans="2:290" hidden="1" x14ac:dyDescent="0.25">
      <c r="B315" s="11" t="s">
        <v>223</v>
      </c>
      <c r="C315" s="23"/>
      <c r="D315" s="23"/>
      <c r="E315" s="23"/>
      <c r="F315" s="23"/>
      <c r="G315" s="23"/>
      <c r="H315" s="197"/>
      <c r="I315" s="198"/>
      <c r="J315" s="198"/>
      <c r="K315" s="198"/>
      <c r="L315" s="198"/>
      <c r="M315" s="197"/>
      <c r="N315" s="198"/>
      <c r="O315" s="198"/>
      <c r="P315" s="198"/>
      <c r="Q315" s="198"/>
      <c r="R315" s="197"/>
      <c r="S315" s="198"/>
      <c r="T315" s="198"/>
      <c r="U315" s="198"/>
      <c r="V315" s="198"/>
      <c r="W315" s="197">
        <f t="shared" ref="W315:CH315" si="426">W306*10000/W248</f>
        <v>0</v>
      </c>
      <c r="X315" s="198">
        <f t="shared" si="426"/>
        <v>0</v>
      </c>
      <c r="Y315" s="198">
        <f t="shared" si="426"/>
        <v>0</v>
      </c>
      <c r="Z315" s="198">
        <f t="shared" si="426"/>
        <v>0</v>
      </c>
      <c r="AA315" s="198">
        <f t="shared" si="426"/>
        <v>0</v>
      </c>
      <c r="AB315" s="197">
        <f t="shared" si="426"/>
        <v>0</v>
      </c>
      <c r="AC315" s="198">
        <f t="shared" si="426"/>
        <v>0</v>
      </c>
      <c r="AD315" s="198">
        <f t="shared" si="426"/>
        <v>0</v>
      </c>
      <c r="AE315" s="198">
        <f t="shared" si="426"/>
        <v>0</v>
      </c>
      <c r="AF315" s="198">
        <f t="shared" si="426"/>
        <v>0</v>
      </c>
      <c r="AG315" s="197">
        <f t="shared" si="426"/>
        <v>0</v>
      </c>
      <c r="AH315" s="198">
        <f t="shared" si="426"/>
        <v>23.446145927165102</v>
      </c>
      <c r="AI315" s="198">
        <f t="shared" si="426"/>
        <v>39.798160098860357</v>
      </c>
      <c r="AJ315" s="198">
        <f t="shared" si="426"/>
        <v>45.298122929701869</v>
      </c>
      <c r="AK315" s="197">
        <f t="shared" si="426"/>
        <v>37.771419966872458</v>
      </c>
      <c r="AL315" s="198">
        <f t="shared" si="426"/>
        <v>44.790868046682</v>
      </c>
      <c r="AM315" s="198">
        <f t="shared" si="426"/>
        <v>23.569104711411015</v>
      </c>
      <c r="AN315" s="198">
        <f t="shared" si="426"/>
        <v>36.737755168590624</v>
      </c>
      <c r="AO315" s="198">
        <f t="shared" si="426"/>
        <v>43.405471621069822</v>
      </c>
      <c r="AP315" s="197">
        <f t="shared" si="426"/>
        <v>38.142641129032256</v>
      </c>
      <c r="AQ315" s="198">
        <f t="shared" si="426"/>
        <v>31.449995640422006</v>
      </c>
      <c r="AR315" s="198">
        <f t="shared" si="426"/>
        <v>25.848758255046043</v>
      </c>
      <c r="AS315" s="198">
        <f t="shared" si="426"/>
        <v>35.125243051584121</v>
      </c>
      <c r="AT315" s="198">
        <f t="shared" si="426"/>
        <v>48.205378973105134</v>
      </c>
      <c r="AU315" s="197">
        <f t="shared" si="426"/>
        <v>34.964250665918975</v>
      </c>
      <c r="AV315" s="199">
        <f t="shared" si="426"/>
        <v>29.524788487388317</v>
      </c>
      <c r="AW315" s="199">
        <f t="shared" si="426"/>
        <v>23.345781863449201</v>
      </c>
      <c r="AX315" s="199">
        <f t="shared" si="426"/>
        <v>23.10589136401353</v>
      </c>
      <c r="AY315" s="199">
        <f t="shared" si="426"/>
        <v>22.111332889776005</v>
      </c>
      <c r="AZ315" s="197">
        <f t="shared" si="426"/>
        <v>24.449162267615332</v>
      </c>
      <c r="BA315" s="199">
        <f t="shared" si="426"/>
        <v>16.155355041192625</v>
      </c>
      <c r="BB315" s="199">
        <f t="shared" si="426"/>
        <v>3.4532634243355633</v>
      </c>
      <c r="BC315" s="199">
        <f t="shared" si="426"/>
        <v>26.672358070614063</v>
      </c>
      <c r="BD315" s="199">
        <f t="shared" si="426"/>
        <v>29.927334708890285</v>
      </c>
      <c r="BE315" s="197">
        <f t="shared" si="426"/>
        <v>19.767102214086812</v>
      </c>
      <c r="BF315" s="199">
        <f t="shared" si="426"/>
        <v>18.002357100766055</v>
      </c>
      <c r="BG315" s="199">
        <f t="shared" si="426"/>
        <v>20.908570961679875</v>
      </c>
      <c r="BH315" s="199">
        <f t="shared" si="426"/>
        <v>23.753351206434317</v>
      </c>
      <c r="BI315" s="199">
        <f t="shared" si="426"/>
        <v>26.108658091764255</v>
      </c>
      <c r="BJ315" s="197">
        <f t="shared" si="426"/>
        <v>22.721718673061844</v>
      </c>
      <c r="BK315" s="199">
        <f t="shared" si="426"/>
        <v>14.862989941033646</v>
      </c>
      <c r="BL315" s="199">
        <f t="shared" si="426"/>
        <v>19.74428516079039</v>
      </c>
      <c r="BM315" s="199">
        <f t="shared" si="426"/>
        <v>15.065686392672051</v>
      </c>
      <c r="BN315" s="199">
        <f t="shared" si="426"/>
        <v>25.656842586246288</v>
      </c>
      <c r="BO315" s="197">
        <f t="shared" si="426"/>
        <v>18.63114360621838</v>
      </c>
      <c r="BP315" s="199">
        <f t="shared" si="426"/>
        <v>17.697808176589461</v>
      </c>
      <c r="BQ315" s="199">
        <f t="shared" si="426"/>
        <v>16.026171316838386</v>
      </c>
      <c r="BR315" s="199">
        <f t="shared" si="426"/>
        <v>15.515226507183613</v>
      </c>
      <c r="BS315" s="199">
        <f t="shared" si="426"/>
        <v>18.38604788649128</v>
      </c>
      <c r="BT315" s="197">
        <f t="shared" si="426"/>
        <v>16.87437778842963</v>
      </c>
      <c r="BU315" s="199">
        <f t="shared" si="426"/>
        <v>18.808962264150942</v>
      </c>
      <c r="BV315" s="199">
        <f t="shared" si="426"/>
        <v>32.115513767629281</v>
      </c>
      <c r="BW315" s="199">
        <f t="shared" si="426"/>
        <v>31.030804107214294</v>
      </c>
      <c r="BX315" s="199">
        <f t="shared" si="426"/>
        <v>45.053484818284502</v>
      </c>
      <c r="BY315" s="197">
        <f t="shared" si="426"/>
        <v>32.079922060608133</v>
      </c>
      <c r="BZ315" s="199">
        <f t="shared" si="426"/>
        <v>28.626758170822857</v>
      </c>
      <c r="CA315" s="199">
        <f t="shared" si="426"/>
        <v>24.883987223527992</v>
      </c>
      <c r="CB315" s="199">
        <f t="shared" si="426"/>
        <v>27.105214667403722</v>
      </c>
      <c r="CC315" s="199">
        <f t="shared" si="426"/>
        <v>36.048570705793068</v>
      </c>
      <c r="CD315" s="197">
        <f t="shared" si="426"/>
        <v>29.98842837818016</v>
      </c>
      <c r="CE315" s="199">
        <f t="shared" si="426"/>
        <v>31.217147928186222</v>
      </c>
      <c r="CF315" s="199">
        <f t="shared" si="426"/>
        <v>29.262743651232864</v>
      </c>
      <c r="CG315" s="199">
        <f t="shared" si="426"/>
        <v>20.226214238190288</v>
      </c>
      <c r="CH315" s="199">
        <f t="shared" si="426"/>
        <v>35.428640571117427</v>
      </c>
      <c r="CI315" s="197">
        <f t="shared" ref="CI315" si="427">CI306*10000/CI248</f>
        <v>30.602067439479509</v>
      </c>
      <c r="CJ315" s="197"/>
      <c r="CK315" s="197"/>
      <c r="CL315" s="197"/>
      <c r="CM315" s="197"/>
      <c r="CN315" s="197"/>
      <c r="CO315" s="137"/>
      <c r="CP315" s="137"/>
      <c r="CQ315" s="6"/>
      <c r="CR315" s="6"/>
      <c r="CS315" s="6"/>
      <c r="CT315" s="124"/>
      <c r="CU315" s="124"/>
      <c r="CV315" s="124"/>
      <c r="CW315" s="124"/>
      <c r="CX315" s="124"/>
      <c r="CY315" s="124"/>
      <c r="CZ315" s="124"/>
      <c r="DA315" s="124"/>
      <c r="DB315" s="124"/>
      <c r="DC315" s="124"/>
      <c r="DD315" s="124"/>
      <c r="DE315" s="124"/>
      <c r="DF315" s="124"/>
      <c r="DG315" s="124"/>
      <c r="DH315" s="124"/>
      <c r="DI315" s="124"/>
      <c r="DK315" s="124"/>
      <c r="DL315" s="124"/>
      <c r="DM315" s="6"/>
      <c r="DN315" s="124"/>
      <c r="DO315" s="124"/>
      <c r="DQ315" s="136"/>
      <c r="DR315" s="124"/>
      <c r="DS315" s="124"/>
      <c r="DT315" s="124"/>
      <c r="DV315" s="124"/>
      <c r="DW315" s="124"/>
      <c r="DX315" s="124"/>
      <c r="EA315" s="111"/>
      <c r="EB315" s="111"/>
      <c r="EC315" s="111"/>
      <c r="ED315" s="124"/>
      <c r="EE315" s="124"/>
      <c r="EF315" s="124"/>
      <c r="EJ315" s="111"/>
      <c r="EK315" s="111"/>
      <c r="EL315" s="124"/>
      <c r="EM315" s="124"/>
      <c r="EN315" s="124"/>
      <c r="EP315" s="111"/>
      <c r="EQ315" s="124"/>
      <c r="ER315" s="124"/>
      <c r="ES315" s="124"/>
      <c r="EV315" s="111"/>
      <c r="EW315" s="111"/>
      <c r="EX315" s="111"/>
      <c r="EY315" s="111"/>
      <c r="EZ315" s="124"/>
      <c r="FA315" s="124"/>
      <c r="FD315" s="111"/>
      <c r="FE315" s="111"/>
      <c r="FF315" s="111"/>
      <c r="FG315" s="124"/>
      <c r="FH315" s="124"/>
      <c r="FK315" s="124"/>
      <c r="FL315" s="124"/>
      <c r="FO315" s="111"/>
      <c r="FP315" s="111"/>
      <c r="FQ315" s="124"/>
      <c r="FR315" s="124"/>
      <c r="FU315" s="111"/>
      <c r="FV315" s="124"/>
      <c r="FW315" s="124"/>
      <c r="FX315" s="124"/>
      <c r="FY315" s="124"/>
      <c r="GA315" s="124"/>
      <c r="GB315" s="124"/>
      <c r="GC315" s="124"/>
      <c r="GF315" s="111"/>
      <c r="GG315" s="111"/>
      <c r="GH315" s="111"/>
      <c r="GI315" s="124"/>
      <c r="GJ315" s="124"/>
      <c r="GK315" s="124"/>
      <c r="GN315" s="111"/>
      <c r="GO315" s="111"/>
      <c r="GP315" s="124"/>
      <c r="GQ315" s="124"/>
      <c r="GR315" s="124"/>
      <c r="GV315" s="111"/>
      <c r="GW315" s="124"/>
      <c r="GX315" s="124"/>
      <c r="GY315" s="124"/>
      <c r="HC315" s="124"/>
      <c r="HD315" s="124"/>
      <c r="HE315" s="124"/>
      <c r="HF315" s="124"/>
      <c r="HI315" s="111"/>
      <c r="HJ315" s="111"/>
      <c r="HK315" s="111"/>
      <c r="HL315" s="111"/>
      <c r="HM315" s="124"/>
      <c r="HN315" s="124"/>
      <c r="HO315" s="124"/>
      <c r="HR315" s="111"/>
      <c r="HS315" s="111"/>
      <c r="HT315" s="111"/>
      <c r="HU315" s="124"/>
      <c r="HV315" s="124"/>
      <c r="HW315" s="124"/>
      <c r="HZ315" s="111"/>
      <c r="IA315" s="124"/>
      <c r="IB315" s="124"/>
      <c r="IC315" s="124"/>
      <c r="IE315" s="111"/>
      <c r="IF315" s="124"/>
      <c r="IG315" s="124"/>
      <c r="IH315" s="124"/>
      <c r="IK315" s="124"/>
      <c r="IL315" s="124"/>
      <c r="IO315" s="124"/>
      <c r="IP315" s="124"/>
      <c r="IS315" s="160"/>
      <c r="IT315" s="160"/>
      <c r="IU315" s="160"/>
      <c r="IX315" s="124"/>
      <c r="IY315" s="124"/>
      <c r="IZ315" s="124"/>
      <c r="JA315" s="124"/>
      <c r="JD315" s="124"/>
      <c r="JE315" s="124"/>
      <c r="JH315" s="124"/>
      <c r="JI315" s="124"/>
      <c r="JJ315" s="124"/>
      <c r="JM315" s="124"/>
      <c r="JN315" s="124"/>
      <c r="JQ315" s="124"/>
      <c r="JR315" s="124"/>
      <c r="JS315" s="124"/>
      <c r="JV315" s="124"/>
      <c r="JW315" s="124"/>
      <c r="JY315" s="124"/>
      <c r="JZ315" s="124"/>
      <c r="KB315" s="124"/>
      <c r="KC315" s="124"/>
      <c r="KD315" s="124"/>
    </row>
    <row r="316" spans="2:290" hidden="1" x14ac:dyDescent="0.25">
      <c r="B316" s="11" t="s">
        <v>225</v>
      </c>
      <c r="C316" s="23"/>
      <c r="D316" s="23"/>
      <c r="E316" s="23"/>
      <c r="F316" s="23"/>
      <c r="G316" s="23"/>
      <c r="H316" s="197"/>
      <c r="I316" s="198"/>
      <c r="J316" s="198"/>
      <c r="K316" s="198"/>
      <c r="L316" s="198"/>
      <c r="M316" s="197"/>
      <c r="N316" s="198"/>
      <c r="O316" s="198"/>
      <c r="P316" s="198"/>
      <c r="Q316" s="198"/>
      <c r="R316" s="197"/>
      <c r="S316" s="198"/>
      <c r="T316" s="198"/>
      <c r="U316" s="198"/>
      <c r="V316" s="198"/>
      <c r="W316" s="197">
        <f t="shared" ref="W316:CH316" si="428">W307*10000/W250</f>
        <v>0</v>
      </c>
      <c r="X316" s="198">
        <f t="shared" si="428"/>
        <v>0</v>
      </c>
      <c r="Y316" s="198">
        <f t="shared" si="428"/>
        <v>0</v>
      </c>
      <c r="Z316" s="198">
        <f t="shared" si="428"/>
        <v>0</v>
      </c>
      <c r="AA316" s="198">
        <f t="shared" si="428"/>
        <v>0</v>
      </c>
      <c r="AB316" s="197">
        <f t="shared" si="428"/>
        <v>0</v>
      </c>
      <c r="AC316" s="198">
        <f t="shared" si="428"/>
        <v>0</v>
      </c>
      <c r="AD316" s="198">
        <f t="shared" si="428"/>
        <v>0</v>
      </c>
      <c r="AE316" s="198">
        <f t="shared" si="428"/>
        <v>0</v>
      </c>
      <c r="AF316" s="198">
        <f t="shared" si="428"/>
        <v>0</v>
      </c>
      <c r="AG316" s="197">
        <f t="shared" si="428"/>
        <v>0</v>
      </c>
      <c r="AH316" s="198">
        <f t="shared" si="428"/>
        <v>9.8203221809169765</v>
      </c>
      <c r="AI316" s="198">
        <f t="shared" si="428"/>
        <v>18.405828155131776</v>
      </c>
      <c r="AJ316" s="198">
        <f t="shared" si="428"/>
        <v>30.019493177387915</v>
      </c>
      <c r="AK316" s="197">
        <f t="shared" si="428"/>
        <v>20.849904030710174</v>
      </c>
      <c r="AL316" s="198">
        <f t="shared" si="428"/>
        <v>26.909163987138264</v>
      </c>
      <c r="AM316" s="198">
        <f t="shared" si="428"/>
        <v>20.161673799334284</v>
      </c>
      <c r="AN316" s="198">
        <f t="shared" si="428"/>
        <v>25.586494189870642</v>
      </c>
      <c r="AO316" s="198">
        <f t="shared" si="428"/>
        <v>38.741590819153139</v>
      </c>
      <c r="AP316" s="197">
        <f t="shared" si="428"/>
        <v>28.270468691812525</v>
      </c>
      <c r="AQ316" s="198">
        <f t="shared" si="428"/>
        <v>20.680628272251308</v>
      </c>
      <c r="AR316" s="198">
        <f t="shared" si="428"/>
        <v>24.110339018740788</v>
      </c>
      <c r="AS316" s="198">
        <f t="shared" si="428"/>
        <v>23.488236437876726</v>
      </c>
      <c r="AT316" s="198">
        <f t="shared" si="428"/>
        <v>41.885259773227283</v>
      </c>
      <c r="AU316" s="197">
        <f t="shared" si="428"/>
        <v>28.339465293107676</v>
      </c>
      <c r="AV316" s="199">
        <f t="shared" si="428"/>
        <v>22.862559241706162</v>
      </c>
      <c r="AW316" s="199">
        <f t="shared" si="428"/>
        <v>25.612903225806452</v>
      </c>
      <c r="AX316" s="199">
        <f t="shared" si="428"/>
        <v>25.333086602516655</v>
      </c>
      <c r="AY316" s="199">
        <f t="shared" si="428"/>
        <v>29.972126578127561</v>
      </c>
      <c r="AZ316" s="197">
        <f t="shared" si="428"/>
        <v>26.110696285234273</v>
      </c>
      <c r="BA316" s="199">
        <f t="shared" si="428"/>
        <v>25.215686274509803</v>
      </c>
      <c r="BB316" s="199">
        <f t="shared" si="428"/>
        <v>23.453884014551683</v>
      </c>
      <c r="BC316" s="199">
        <f t="shared" si="428"/>
        <v>26.501214855952796</v>
      </c>
      <c r="BD316" s="199">
        <f t="shared" si="428"/>
        <v>35.316552250190696</v>
      </c>
      <c r="BE316" s="197">
        <f t="shared" si="428"/>
        <v>27.725107079262717</v>
      </c>
      <c r="BF316" s="199">
        <f t="shared" si="428"/>
        <v>-29.860650298606505</v>
      </c>
      <c r="BG316" s="199">
        <f t="shared" si="428"/>
        <v>26.982776950882414</v>
      </c>
      <c r="BH316" s="199">
        <f t="shared" si="428"/>
        <v>35.738885410144015</v>
      </c>
      <c r="BI316" s="199">
        <f t="shared" si="428"/>
        <v>48.790459965928449</v>
      </c>
      <c r="BJ316" s="197">
        <f t="shared" si="428"/>
        <v>32.304526748971192</v>
      </c>
      <c r="BK316" s="199">
        <f t="shared" si="428"/>
        <v>2.9397818871503083</v>
      </c>
      <c r="BL316" s="199">
        <f t="shared" si="428"/>
        <v>35.728868926092282</v>
      </c>
      <c r="BM316" s="199">
        <f t="shared" si="428"/>
        <v>40.330324563088148</v>
      </c>
      <c r="BN316" s="199">
        <f t="shared" si="428"/>
        <v>27.852477910103726</v>
      </c>
      <c r="BO316" s="197">
        <f t="shared" si="428"/>
        <v>31.039035591274398</v>
      </c>
      <c r="BP316" s="199">
        <f t="shared" si="428"/>
        <v>29.509514875368534</v>
      </c>
      <c r="BQ316" s="199">
        <f t="shared" si="428"/>
        <v>34.336283185840706</v>
      </c>
      <c r="BR316" s="199">
        <f t="shared" si="428"/>
        <v>40.174761227392807</v>
      </c>
      <c r="BS316" s="199">
        <f t="shared" si="428"/>
        <v>42.353867348947055</v>
      </c>
      <c r="BT316" s="197">
        <f t="shared" si="428"/>
        <v>37.155536076261427</v>
      </c>
      <c r="BU316" s="199">
        <f t="shared" si="428"/>
        <v>41.299790356394126</v>
      </c>
      <c r="BV316" s="199">
        <f t="shared" si="428"/>
        <v>38.769639300730248</v>
      </c>
      <c r="BW316" s="199">
        <f t="shared" si="428"/>
        <v>40.809513874400167</v>
      </c>
      <c r="BX316" s="199">
        <f t="shared" si="428"/>
        <v>44.110060189165949</v>
      </c>
      <c r="BY316" s="197">
        <f t="shared" si="428"/>
        <v>41.26088623541655</v>
      </c>
      <c r="BZ316" s="199">
        <f t="shared" si="428"/>
        <v>40.179910044977504</v>
      </c>
      <c r="CA316" s="199">
        <f t="shared" si="428"/>
        <v>40.377176015473886</v>
      </c>
      <c r="CB316" s="199">
        <f t="shared" si="428"/>
        <v>35.301481326935118</v>
      </c>
      <c r="CC316" s="199">
        <f t="shared" si="428"/>
        <v>43.810632518432278</v>
      </c>
      <c r="CD316" s="197">
        <f t="shared" si="428"/>
        <v>40.725715573585759</v>
      </c>
      <c r="CE316" s="199">
        <f t="shared" si="428"/>
        <v>33.039542639352071</v>
      </c>
      <c r="CF316" s="199">
        <f t="shared" si="428"/>
        <v>32.230084455603745</v>
      </c>
      <c r="CG316" s="199">
        <f t="shared" si="428"/>
        <v>35.566155122355866</v>
      </c>
      <c r="CH316" s="199">
        <f t="shared" si="428"/>
        <v>61.561032863849768</v>
      </c>
      <c r="CI316" s="197">
        <f t="shared" ref="CI316" si="429">CI307*10000/CI250</f>
        <v>41.349322097985201</v>
      </c>
      <c r="CJ316" s="197"/>
      <c r="CK316" s="197"/>
      <c r="CL316" s="197"/>
      <c r="CM316" s="197"/>
      <c r="CN316" s="197"/>
      <c r="CO316" s="137"/>
      <c r="CP316" s="137"/>
      <c r="CQ316" s="6"/>
      <c r="CR316" s="6"/>
      <c r="CS316" s="6"/>
      <c r="CT316" s="124"/>
      <c r="CU316" s="124"/>
      <c r="CV316" s="124"/>
      <c r="CW316" s="124"/>
      <c r="CX316" s="124"/>
      <c r="CY316" s="124"/>
      <c r="CZ316" s="124"/>
      <c r="DA316" s="124"/>
      <c r="DB316" s="124"/>
      <c r="DC316" s="124"/>
      <c r="DD316" s="124"/>
      <c r="DE316" s="124"/>
      <c r="DF316" s="124"/>
      <c r="DG316" s="124"/>
      <c r="DH316" s="124"/>
      <c r="DI316" s="124"/>
      <c r="DK316" s="124"/>
      <c r="DL316" s="124"/>
      <c r="DM316" s="6"/>
      <c r="DN316" s="124"/>
      <c r="DO316" s="124"/>
      <c r="DQ316" s="136"/>
      <c r="DR316" s="124"/>
      <c r="DS316" s="124"/>
      <c r="DT316" s="124"/>
      <c r="DV316" s="124"/>
      <c r="DW316" s="124"/>
      <c r="DX316" s="124"/>
      <c r="EA316" s="111"/>
      <c r="EB316" s="111"/>
      <c r="EC316" s="111"/>
      <c r="ED316" s="124"/>
      <c r="EE316" s="124"/>
      <c r="EF316" s="124"/>
      <c r="EJ316" s="111"/>
      <c r="EK316" s="111"/>
      <c r="EL316" s="124"/>
      <c r="EM316" s="124"/>
      <c r="EN316" s="124"/>
      <c r="EP316" s="111"/>
      <c r="EQ316" s="124"/>
      <c r="ER316" s="124"/>
      <c r="ES316" s="124"/>
      <c r="EV316" s="111"/>
      <c r="EW316" s="111"/>
      <c r="EX316" s="111"/>
      <c r="EY316" s="111"/>
      <c r="EZ316" s="124"/>
      <c r="FA316" s="124"/>
      <c r="FD316" s="111"/>
      <c r="FE316" s="111"/>
      <c r="FF316" s="111"/>
      <c r="FG316" s="124"/>
      <c r="FH316" s="124"/>
      <c r="FK316" s="124"/>
      <c r="FL316" s="124"/>
      <c r="FO316" s="111"/>
      <c r="FP316" s="111"/>
      <c r="FQ316" s="124"/>
      <c r="FR316" s="124"/>
      <c r="FU316" s="111"/>
      <c r="FV316" s="124"/>
      <c r="FW316" s="124"/>
      <c r="FX316" s="124"/>
      <c r="FY316" s="124"/>
      <c r="GA316" s="124"/>
      <c r="GB316" s="124"/>
      <c r="GC316" s="124"/>
      <c r="GF316" s="111"/>
      <c r="GG316" s="111"/>
      <c r="GH316" s="111"/>
      <c r="GI316" s="124"/>
      <c r="GJ316" s="124"/>
      <c r="GK316" s="124"/>
      <c r="GN316" s="111"/>
      <c r="GO316" s="111"/>
      <c r="GP316" s="124"/>
      <c r="GQ316" s="124"/>
      <c r="GR316" s="124"/>
      <c r="GV316" s="111"/>
      <c r="GW316" s="124"/>
      <c r="GX316" s="124"/>
      <c r="GY316" s="124"/>
      <c r="HC316" s="124"/>
      <c r="HD316" s="124"/>
      <c r="HE316" s="124"/>
      <c r="HF316" s="124"/>
      <c r="HI316" s="111"/>
      <c r="HJ316" s="111"/>
      <c r="HK316" s="111"/>
      <c r="HL316" s="111"/>
      <c r="HM316" s="124"/>
      <c r="HN316" s="124"/>
      <c r="HO316" s="124"/>
      <c r="HR316" s="111"/>
      <c r="HS316" s="111"/>
      <c r="HT316" s="111"/>
      <c r="HU316" s="124"/>
      <c r="HV316" s="124"/>
      <c r="HW316" s="124"/>
      <c r="HZ316" s="111"/>
      <c r="IA316" s="124"/>
      <c r="IB316" s="124"/>
      <c r="IC316" s="124"/>
      <c r="IE316" s="111"/>
      <c r="IF316" s="124"/>
      <c r="IG316" s="124"/>
      <c r="IH316" s="124"/>
      <c r="IK316" s="124"/>
      <c r="IL316" s="124"/>
      <c r="IO316" s="124"/>
      <c r="IP316" s="124"/>
      <c r="IS316" s="160"/>
      <c r="IT316" s="160"/>
      <c r="IU316" s="160"/>
      <c r="IX316" s="124"/>
      <c r="IY316" s="124"/>
      <c r="IZ316" s="124"/>
      <c r="JA316" s="124"/>
      <c r="JD316" s="124"/>
      <c r="JE316" s="124"/>
      <c r="JH316" s="124"/>
      <c r="JI316" s="124"/>
      <c r="JJ316" s="124"/>
      <c r="JM316" s="124"/>
      <c r="JN316" s="124"/>
      <c r="JQ316" s="124"/>
      <c r="JR316" s="124"/>
      <c r="JS316" s="124"/>
      <c r="JV316" s="124"/>
      <c r="JW316" s="124"/>
      <c r="JY316" s="124"/>
      <c r="JZ316" s="124"/>
      <c r="KB316" s="124"/>
      <c r="KC316" s="124"/>
      <c r="KD316" s="124"/>
    </row>
    <row r="317" spans="2:290" s="60" customFormat="1" hidden="1" x14ac:dyDescent="0.25">
      <c r="B317" s="34" t="s">
        <v>235</v>
      </c>
      <c r="C317" s="99"/>
      <c r="D317" s="99"/>
      <c r="E317" s="99"/>
      <c r="F317" s="99"/>
      <c r="G317" s="99"/>
      <c r="H317" s="83"/>
      <c r="I317" s="62"/>
      <c r="J317" s="62"/>
      <c r="K317" s="62"/>
      <c r="L317" s="62"/>
      <c r="M317" s="83"/>
      <c r="N317" s="62"/>
      <c r="O317" s="62"/>
      <c r="P317" s="62"/>
      <c r="Q317" s="62"/>
      <c r="R317" s="83"/>
      <c r="S317" s="62"/>
      <c r="T317" s="62"/>
      <c r="U317" s="62"/>
      <c r="V317" s="62"/>
      <c r="W317" s="83">
        <f t="shared" ref="W317:CH317" si="430">W310*10000/W252</f>
        <v>0</v>
      </c>
      <c r="X317" s="83">
        <f t="shared" si="430"/>
        <v>0</v>
      </c>
      <c r="Y317" s="83">
        <f t="shared" si="430"/>
        <v>0</v>
      </c>
      <c r="Z317" s="83">
        <f t="shared" si="430"/>
        <v>0</v>
      </c>
      <c r="AA317" s="83">
        <f t="shared" si="430"/>
        <v>0</v>
      </c>
      <c r="AB317" s="83">
        <f t="shared" si="430"/>
        <v>0</v>
      </c>
      <c r="AC317" s="83">
        <f t="shared" si="430"/>
        <v>0</v>
      </c>
      <c r="AD317" s="83">
        <f t="shared" si="430"/>
        <v>0</v>
      </c>
      <c r="AE317" s="83">
        <f t="shared" si="430"/>
        <v>0</v>
      </c>
      <c r="AF317" s="83">
        <f t="shared" si="430"/>
        <v>0</v>
      </c>
      <c r="AG317" s="83">
        <f t="shared" si="430"/>
        <v>0</v>
      </c>
      <c r="AH317" s="83">
        <f t="shared" si="430"/>
        <v>11.49477510222626</v>
      </c>
      <c r="AI317" s="83">
        <f t="shared" si="430"/>
        <v>15.729053815932023</v>
      </c>
      <c r="AJ317" s="83">
        <f t="shared" si="430"/>
        <v>16.700996383060499</v>
      </c>
      <c r="AK317" s="83">
        <f t="shared" si="430"/>
        <v>15.117974042310863</v>
      </c>
      <c r="AL317" s="83">
        <f t="shared" si="430"/>
        <v>17.066056502066516</v>
      </c>
      <c r="AM317" s="83">
        <f t="shared" si="430"/>
        <v>14.734856424229722</v>
      </c>
      <c r="AN317" s="83">
        <f t="shared" si="430"/>
        <v>18.157739121864676</v>
      </c>
      <c r="AO317" s="83">
        <f t="shared" si="430"/>
        <v>21.325458631683482</v>
      </c>
      <c r="AP317" s="83">
        <f t="shared" si="430"/>
        <v>17.986285204342234</v>
      </c>
      <c r="AQ317" s="83">
        <f t="shared" si="430"/>
        <v>12.854058862455387</v>
      </c>
      <c r="AR317" s="83">
        <f t="shared" si="430"/>
        <v>12.861589856502922</v>
      </c>
      <c r="AS317" s="83">
        <f t="shared" si="430"/>
        <v>16.071410111953028</v>
      </c>
      <c r="AT317" s="83">
        <f t="shared" si="430"/>
        <v>24.138966954162225</v>
      </c>
      <c r="AU317" s="83">
        <f t="shared" si="430"/>
        <v>16.832464824025823</v>
      </c>
      <c r="AV317" s="83">
        <f t="shared" si="430"/>
        <v>14.386038730101486</v>
      </c>
      <c r="AW317" s="83">
        <f t="shared" si="430"/>
        <v>20.992389357123105</v>
      </c>
      <c r="AX317" s="83">
        <f t="shared" si="430"/>
        <v>13.539046562753761</v>
      </c>
      <c r="AY317" s="83">
        <f t="shared" si="430"/>
        <v>13.895394223263073</v>
      </c>
      <c r="AZ317" s="83">
        <f t="shared" si="430"/>
        <v>14.075475585640591</v>
      </c>
      <c r="BA317" s="83">
        <f t="shared" si="430"/>
        <v>10.892372253764503</v>
      </c>
      <c r="BB317" s="83">
        <f t="shared" si="430"/>
        <v>13.151871657754013</v>
      </c>
      <c r="BC317" s="83">
        <f t="shared" si="430"/>
        <v>16.878877240046158</v>
      </c>
      <c r="BD317" s="83">
        <f t="shared" si="430"/>
        <v>23.208333333333332</v>
      </c>
      <c r="BE317" s="83">
        <f t="shared" si="430"/>
        <v>15.969294398098762</v>
      </c>
      <c r="BF317" s="83">
        <f t="shared" si="430"/>
        <v>7.9364905796546772</v>
      </c>
      <c r="BG317" s="83">
        <f t="shared" si="430"/>
        <v>21.916782656375215</v>
      </c>
      <c r="BH317" s="83">
        <f t="shared" si="430"/>
        <v>31.092271293375394</v>
      </c>
      <c r="BI317" s="83">
        <f t="shared" si="430"/>
        <v>41.879573527032129</v>
      </c>
      <c r="BJ317" s="83">
        <f t="shared" si="430"/>
        <v>26.722218284124768</v>
      </c>
      <c r="BK317" s="83">
        <f t="shared" si="430"/>
        <v>23.989672204759763</v>
      </c>
      <c r="BL317" s="83">
        <f t="shared" si="430"/>
        <v>25.163382778335102</v>
      </c>
      <c r="BM317" s="83">
        <f t="shared" si="430"/>
        <v>28.767663058349662</v>
      </c>
      <c r="BN317" s="83">
        <f t="shared" si="430"/>
        <v>26.403694977722829</v>
      </c>
      <c r="BO317" s="83">
        <f t="shared" si="430"/>
        <v>26.213547867897752</v>
      </c>
      <c r="BP317" s="83">
        <f t="shared" si="430"/>
        <v>19.573639852371421</v>
      </c>
      <c r="BQ317" s="83">
        <f t="shared" si="430"/>
        <v>7.8915592604849589</v>
      </c>
      <c r="BR317" s="83">
        <f t="shared" si="430"/>
        <v>17.698501033520763</v>
      </c>
      <c r="BS317" s="83">
        <f t="shared" si="430"/>
        <v>28.052966475368688</v>
      </c>
      <c r="BT317" s="83">
        <f t="shared" si="430"/>
        <v>18.950604243624397</v>
      </c>
      <c r="BU317" s="83">
        <f t="shared" si="430"/>
        <v>17.253473718224903</v>
      </c>
      <c r="BV317" s="83">
        <f t="shared" si="430"/>
        <v>21.115248651669898</v>
      </c>
      <c r="BW317" s="83">
        <f t="shared" si="430"/>
        <v>19.507040025312453</v>
      </c>
      <c r="BX317" s="83">
        <f t="shared" si="430"/>
        <v>21.506994456643582</v>
      </c>
      <c r="BY317" s="83">
        <f t="shared" si="430"/>
        <v>19.940878629234593</v>
      </c>
      <c r="BZ317" s="83">
        <f t="shared" si="430"/>
        <v>17.764546840394626</v>
      </c>
      <c r="CA317" s="83">
        <f t="shared" si="430"/>
        <v>19.670908261332446</v>
      </c>
      <c r="CB317" s="83">
        <f t="shared" si="430"/>
        <v>13.810279575143451</v>
      </c>
      <c r="CC317" s="83">
        <f t="shared" si="430"/>
        <v>16.585949147963216</v>
      </c>
      <c r="CD317" s="83">
        <f t="shared" si="430"/>
        <v>16.341195831047724</v>
      </c>
      <c r="CE317" s="83">
        <f t="shared" si="430"/>
        <v>12.757286730180146</v>
      </c>
      <c r="CF317" s="83">
        <f t="shared" si="430"/>
        <v>12.97666919206636</v>
      </c>
      <c r="CG317" s="83">
        <f t="shared" si="430"/>
        <v>11.578724006224359</v>
      </c>
      <c r="CH317" s="83">
        <f t="shared" si="430"/>
        <v>21.869703778133314</v>
      </c>
      <c r="CI317" s="83">
        <f t="shared" ref="CI317:CN317" si="431">CI310*10000/CI252</f>
        <v>15.31691658763372</v>
      </c>
      <c r="CJ317" s="83" t="e">
        <f t="shared" si="431"/>
        <v>#REF!</v>
      </c>
      <c r="CK317" s="83" t="e">
        <f t="shared" si="431"/>
        <v>#REF!</v>
      </c>
      <c r="CL317" s="83">
        <f t="shared" si="431"/>
        <v>0</v>
      </c>
      <c r="CM317" s="83">
        <f t="shared" si="431"/>
        <v>0</v>
      </c>
      <c r="CN317" s="83">
        <f t="shared" si="431"/>
        <v>0</v>
      </c>
      <c r="CO317" s="148"/>
      <c r="CP317" s="148"/>
      <c r="CQ317" s="58"/>
      <c r="CR317" s="58"/>
      <c r="CS317" s="58"/>
      <c r="CT317" s="143"/>
      <c r="CU317" s="143"/>
      <c r="CV317" s="143"/>
      <c r="CW317" s="143"/>
      <c r="CX317" s="143"/>
      <c r="CY317" s="143"/>
      <c r="CZ317" s="143"/>
      <c r="DA317" s="143"/>
      <c r="DB317" s="143"/>
      <c r="DC317" s="143"/>
      <c r="DD317" s="143"/>
      <c r="DE317" s="143"/>
      <c r="DF317" s="143"/>
      <c r="DG317" s="143"/>
      <c r="DH317" s="143"/>
      <c r="DI317" s="143"/>
      <c r="DK317" s="143"/>
      <c r="DL317" s="143"/>
      <c r="DM317" s="58"/>
      <c r="DN317" s="143"/>
      <c r="DO317" s="143"/>
      <c r="DQ317" s="4"/>
      <c r="DR317" s="143"/>
      <c r="DS317" s="143"/>
      <c r="DT317" s="143"/>
      <c r="DV317" s="143"/>
      <c r="DW317" s="143"/>
      <c r="DX317" s="143"/>
      <c r="EA317" s="119"/>
      <c r="EB317" s="119"/>
      <c r="EC317" s="119"/>
      <c r="ED317" s="143"/>
      <c r="EE317" s="143"/>
      <c r="EF317" s="143"/>
      <c r="EJ317" s="119"/>
      <c r="EK317" s="119"/>
      <c r="EL317" s="143"/>
      <c r="EM317" s="143"/>
      <c r="EN317" s="143"/>
      <c r="EP317" s="119"/>
      <c r="EQ317" s="143"/>
      <c r="ER317" s="143"/>
      <c r="ES317" s="143"/>
      <c r="EV317" s="119"/>
      <c r="EW317" s="119"/>
      <c r="EX317" s="119"/>
      <c r="EY317" s="119"/>
      <c r="EZ317" s="143"/>
      <c r="FA317" s="143"/>
      <c r="FD317" s="119"/>
      <c r="FE317" s="119"/>
      <c r="FF317" s="119"/>
      <c r="FG317" s="143"/>
      <c r="FH317" s="143"/>
      <c r="FK317" s="143"/>
      <c r="FL317" s="143"/>
      <c r="FO317" s="119"/>
      <c r="FP317" s="119"/>
      <c r="FQ317" s="143"/>
      <c r="FR317" s="143"/>
      <c r="FU317" s="119"/>
      <c r="FV317" s="143"/>
      <c r="FW317" s="143"/>
      <c r="FX317" s="143"/>
      <c r="FY317" s="143"/>
      <c r="GA317" s="143"/>
      <c r="GB317" s="143"/>
      <c r="GC317" s="143"/>
      <c r="GF317" s="119"/>
      <c r="GG317" s="119"/>
      <c r="GH317" s="119"/>
      <c r="GI317" s="143"/>
      <c r="GJ317" s="143"/>
      <c r="GK317" s="143"/>
      <c r="GN317" s="119"/>
      <c r="GO317" s="119"/>
      <c r="GP317" s="143"/>
      <c r="GQ317" s="143"/>
      <c r="GR317" s="143"/>
      <c r="GV317" s="119"/>
      <c r="GW317" s="143"/>
      <c r="GX317" s="143"/>
      <c r="GY317" s="143"/>
      <c r="HC317" s="143"/>
      <c r="HD317" s="143"/>
      <c r="HE317" s="143"/>
      <c r="HF317" s="143"/>
      <c r="HI317" s="119"/>
      <c r="HJ317" s="119"/>
      <c r="HK317" s="119"/>
      <c r="HL317" s="119"/>
      <c r="HM317" s="143"/>
      <c r="HN317" s="143"/>
      <c r="HO317" s="143"/>
      <c r="HR317" s="119"/>
      <c r="HS317" s="119"/>
      <c r="HT317" s="119"/>
      <c r="HU317" s="143"/>
      <c r="HV317" s="143"/>
      <c r="HW317" s="143"/>
      <c r="HZ317" s="119"/>
      <c r="IA317" s="143"/>
      <c r="IB317" s="143"/>
      <c r="IC317" s="143"/>
      <c r="IE317" s="119"/>
      <c r="IF317" s="143"/>
      <c r="IG317" s="143"/>
      <c r="IH317" s="143"/>
      <c r="IK317" s="143"/>
      <c r="IL317" s="143"/>
      <c r="IO317" s="143"/>
      <c r="IP317" s="143"/>
      <c r="IS317" s="157"/>
      <c r="IT317" s="157"/>
      <c r="IU317" s="157"/>
      <c r="IX317" s="143"/>
      <c r="IY317" s="143"/>
      <c r="IZ317" s="143"/>
      <c r="JA317" s="143"/>
      <c r="JD317" s="143"/>
      <c r="JE317" s="143"/>
      <c r="JH317" s="143"/>
      <c r="JI317" s="143"/>
      <c r="JJ317" s="143"/>
      <c r="JM317" s="143"/>
      <c r="JN317" s="143"/>
      <c r="JQ317" s="143"/>
      <c r="JR317" s="143"/>
      <c r="JS317" s="143"/>
      <c r="JV317" s="143"/>
      <c r="JW317" s="143"/>
      <c r="JY317" s="143"/>
      <c r="JZ317" s="143"/>
      <c r="KB317" s="143"/>
      <c r="KC317" s="143"/>
      <c r="KD317" s="143"/>
    </row>
    <row r="318" spans="2:290" hidden="1" x14ac:dyDescent="0.25">
      <c r="B318" s="11"/>
      <c r="C318" s="11"/>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5"/>
      <c r="CP318" s="15"/>
      <c r="CQ318" s="6"/>
      <c r="CR318" s="6"/>
      <c r="CS318" s="6"/>
      <c r="CT318" s="15"/>
      <c r="CU318" s="15"/>
      <c r="CV318" s="15"/>
      <c r="CW318" s="15"/>
      <c r="CX318" s="15"/>
      <c r="DK318" s="6"/>
      <c r="DL318" s="6"/>
      <c r="DM318" s="6"/>
      <c r="DN318" s="6"/>
      <c r="DO318" s="6"/>
      <c r="EA318" s="15"/>
      <c r="EB318" s="15"/>
      <c r="EC318" s="15"/>
      <c r="ED318" s="15"/>
      <c r="EE318" s="15"/>
      <c r="EF318" s="15"/>
      <c r="EJ318" s="15"/>
      <c r="EK318" s="15"/>
      <c r="EL318" s="15"/>
      <c r="EM318" s="15"/>
      <c r="EN318" s="15"/>
      <c r="EP318" s="15"/>
      <c r="EQ318" s="15"/>
      <c r="ER318" s="15"/>
      <c r="ES318" s="15"/>
      <c r="EV318" s="15"/>
      <c r="EW318" s="15"/>
      <c r="EX318" s="15"/>
      <c r="EY318" s="15"/>
      <c r="EZ318" s="15"/>
      <c r="FA318" s="15"/>
      <c r="FD318" s="15"/>
      <c r="FE318" s="15"/>
      <c r="FF318" s="15"/>
      <c r="FG318" s="15"/>
      <c r="FH318" s="15"/>
      <c r="FK318" s="15"/>
      <c r="FL318" s="15"/>
      <c r="FO318" s="15"/>
      <c r="FP318" s="15"/>
      <c r="FQ318" s="15"/>
      <c r="FR318" s="15"/>
      <c r="FU318" s="15"/>
      <c r="FV318" s="15"/>
      <c r="FW318" s="15"/>
      <c r="FX318" s="15"/>
      <c r="FY318" s="15"/>
      <c r="GA318" s="15"/>
      <c r="GB318" s="15"/>
      <c r="GC318" s="15"/>
      <c r="GF318" s="15"/>
      <c r="GG318" s="15"/>
      <c r="GH318" s="15"/>
      <c r="GI318" s="15"/>
      <c r="GJ318" s="15"/>
      <c r="GK318" s="15"/>
      <c r="GN318" s="15"/>
      <c r="GO318" s="15"/>
      <c r="GP318" s="15"/>
      <c r="GQ318" s="15"/>
      <c r="GR318" s="15"/>
      <c r="GV318" s="15"/>
      <c r="GW318" s="15"/>
      <c r="GX318" s="15"/>
      <c r="GY318" s="15"/>
      <c r="HC318" s="15"/>
      <c r="HD318" s="15"/>
      <c r="HE318" s="15"/>
      <c r="HF318" s="15"/>
      <c r="HI318" s="15"/>
      <c r="HJ318" s="15"/>
      <c r="HK318" s="15"/>
      <c r="HL318" s="15"/>
      <c r="HM318" s="15"/>
      <c r="HN318" s="15"/>
      <c r="HO318" s="15"/>
      <c r="HR318" s="15"/>
      <c r="HS318" s="15"/>
      <c r="HT318" s="15"/>
      <c r="HU318" s="15"/>
      <c r="HV318" s="15"/>
      <c r="HW318" s="15"/>
      <c r="HZ318" s="15"/>
      <c r="IA318" s="15"/>
      <c r="IB318" s="15"/>
      <c r="IC318" s="15"/>
      <c r="IE318" s="15"/>
      <c r="IF318" s="15"/>
      <c r="IG318" s="15"/>
      <c r="IH318" s="15"/>
      <c r="IK318" s="15"/>
      <c r="IL318" s="15"/>
      <c r="IO318" s="15"/>
      <c r="IP318" s="15"/>
      <c r="IS318" s="15"/>
      <c r="IT318" s="15"/>
      <c r="IU318" s="15"/>
      <c r="IX318" s="15"/>
      <c r="IY318" s="15"/>
      <c r="IZ318" s="15"/>
      <c r="JA318" s="15"/>
      <c r="JD318" s="15"/>
      <c r="JE318" s="15"/>
      <c r="JH318" s="15"/>
      <c r="JI318" s="15"/>
      <c r="JJ318" s="15"/>
      <c r="JM318" s="15"/>
      <c r="JN318" s="15"/>
      <c r="JQ318" s="15"/>
      <c r="JR318" s="15"/>
      <c r="JS318" s="15"/>
      <c r="JV318" s="15"/>
      <c r="JW318" s="15"/>
      <c r="JY318" s="15"/>
      <c r="JZ318" s="15"/>
      <c r="KB318" s="15"/>
      <c r="KC318" s="15"/>
      <c r="KD318" s="15"/>
    </row>
    <row r="319" spans="2:290" s="60" customFormat="1" hidden="1" x14ac:dyDescent="0.25">
      <c r="B319" s="34" t="s">
        <v>246</v>
      </c>
      <c r="C319" s="99"/>
      <c r="D319" s="99">
        <f t="shared" ref="D319:BO319" si="432">D303</f>
        <v>0</v>
      </c>
      <c r="E319" s="99">
        <f t="shared" si="432"/>
        <v>0</v>
      </c>
      <c r="F319" s="99">
        <f t="shared" si="432"/>
        <v>0</v>
      </c>
      <c r="G319" s="99">
        <f t="shared" si="432"/>
        <v>0</v>
      </c>
      <c r="H319" s="83">
        <f t="shared" si="432"/>
        <v>0</v>
      </c>
      <c r="I319" s="62">
        <f t="shared" si="432"/>
        <v>0</v>
      </c>
      <c r="J319" s="62">
        <f t="shared" si="432"/>
        <v>0</v>
      </c>
      <c r="K319" s="62">
        <f t="shared" si="432"/>
        <v>0</v>
      </c>
      <c r="L319" s="62">
        <f t="shared" si="432"/>
        <v>0</v>
      </c>
      <c r="M319" s="83">
        <f t="shared" si="432"/>
        <v>0</v>
      </c>
      <c r="N319" s="62">
        <f t="shared" si="432"/>
        <v>0</v>
      </c>
      <c r="O319" s="62">
        <f t="shared" si="432"/>
        <v>0</v>
      </c>
      <c r="P319" s="62">
        <f t="shared" si="432"/>
        <v>0</v>
      </c>
      <c r="Q319" s="62">
        <f t="shared" si="432"/>
        <v>0</v>
      </c>
      <c r="R319" s="83">
        <f t="shared" si="432"/>
        <v>0</v>
      </c>
      <c r="S319" s="62">
        <f t="shared" si="432"/>
        <v>0</v>
      </c>
      <c r="T319" s="62">
        <f t="shared" si="432"/>
        <v>0</v>
      </c>
      <c r="U319" s="62">
        <f t="shared" si="432"/>
        <v>0</v>
      </c>
      <c r="V319" s="62">
        <f t="shared" si="432"/>
        <v>0</v>
      </c>
      <c r="W319" s="83">
        <f t="shared" si="432"/>
        <v>0</v>
      </c>
      <c r="X319" s="62">
        <f t="shared" si="432"/>
        <v>0</v>
      </c>
      <c r="Y319" s="62">
        <f t="shared" si="432"/>
        <v>0</v>
      </c>
      <c r="Z319" s="62">
        <f t="shared" si="432"/>
        <v>0</v>
      </c>
      <c r="AA319" s="62">
        <f t="shared" si="432"/>
        <v>0</v>
      </c>
      <c r="AB319" s="83">
        <f t="shared" si="432"/>
        <v>0</v>
      </c>
      <c r="AC319" s="62">
        <f t="shared" si="432"/>
        <v>0</v>
      </c>
      <c r="AD319" s="62">
        <f t="shared" si="432"/>
        <v>0</v>
      </c>
      <c r="AE319" s="62">
        <f t="shared" si="432"/>
        <v>0</v>
      </c>
      <c r="AF319" s="62">
        <f t="shared" si="432"/>
        <v>0</v>
      </c>
      <c r="AG319" s="83">
        <f t="shared" si="432"/>
        <v>0</v>
      </c>
      <c r="AH319" s="62">
        <f t="shared" si="432"/>
        <v>0</v>
      </c>
      <c r="AI319" s="62">
        <f t="shared" si="432"/>
        <v>0</v>
      </c>
      <c r="AJ319" s="62">
        <f t="shared" si="432"/>
        <v>0</v>
      </c>
      <c r="AK319" s="83">
        <f t="shared" si="432"/>
        <v>0</v>
      </c>
      <c r="AL319" s="62">
        <f t="shared" si="432"/>
        <v>0</v>
      </c>
      <c r="AM319" s="62">
        <f t="shared" si="432"/>
        <v>0</v>
      </c>
      <c r="AN319" s="62">
        <f t="shared" si="432"/>
        <v>0</v>
      </c>
      <c r="AO319" s="62">
        <f t="shared" si="432"/>
        <v>0</v>
      </c>
      <c r="AP319" s="83">
        <f t="shared" si="432"/>
        <v>0</v>
      </c>
      <c r="AQ319" s="62">
        <f t="shared" si="432"/>
        <v>0</v>
      </c>
      <c r="AR319" s="62">
        <f t="shared" si="432"/>
        <v>0</v>
      </c>
      <c r="AS319" s="62">
        <f t="shared" si="432"/>
        <v>0</v>
      </c>
      <c r="AT319" s="62">
        <f t="shared" si="432"/>
        <v>0</v>
      </c>
      <c r="AU319" s="83">
        <f t="shared" si="432"/>
        <v>0</v>
      </c>
      <c r="AV319" s="196">
        <f t="shared" si="432"/>
        <v>0</v>
      </c>
      <c r="AW319" s="196">
        <f t="shared" si="432"/>
        <v>0</v>
      </c>
      <c r="AX319" s="196">
        <f t="shared" si="432"/>
        <v>0</v>
      </c>
      <c r="AY319" s="196">
        <f t="shared" si="432"/>
        <v>0</v>
      </c>
      <c r="AZ319" s="83">
        <f t="shared" si="432"/>
        <v>0</v>
      </c>
      <c r="BA319" s="196">
        <f t="shared" si="432"/>
        <v>0</v>
      </c>
      <c r="BB319" s="196">
        <f t="shared" si="432"/>
        <v>0</v>
      </c>
      <c r="BC319" s="196">
        <f t="shared" si="432"/>
        <v>0</v>
      </c>
      <c r="BD319" s="196">
        <f t="shared" si="432"/>
        <v>0</v>
      </c>
      <c r="BE319" s="83">
        <f t="shared" si="432"/>
        <v>0</v>
      </c>
      <c r="BF319" s="196">
        <f t="shared" si="432"/>
        <v>0</v>
      </c>
      <c r="BG319" s="196">
        <f t="shared" si="432"/>
        <v>0</v>
      </c>
      <c r="BH319" s="196">
        <f t="shared" si="432"/>
        <v>0</v>
      </c>
      <c r="BI319" s="196">
        <f t="shared" si="432"/>
        <v>0</v>
      </c>
      <c r="BJ319" s="83">
        <f t="shared" si="432"/>
        <v>0</v>
      </c>
      <c r="BK319" s="196">
        <f t="shared" si="432"/>
        <v>0</v>
      </c>
      <c r="BL319" s="196">
        <f t="shared" si="432"/>
        <v>0</v>
      </c>
      <c r="BM319" s="196">
        <f t="shared" si="432"/>
        <v>0</v>
      </c>
      <c r="BN319" s="196">
        <f t="shared" si="432"/>
        <v>0</v>
      </c>
      <c r="BO319" s="83">
        <f t="shared" si="432"/>
        <v>0</v>
      </c>
      <c r="BP319" s="196">
        <f t="shared" ref="BP319:CK319" si="433">BP303</f>
        <v>0</v>
      </c>
      <c r="BQ319" s="196">
        <f t="shared" si="433"/>
        <v>0</v>
      </c>
      <c r="BR319" s="196">
        <f t="shared" si="433"/>
        <v>0</v>
      </c>
      <c r="BS319" s="196">
        <f t="shared" si="433"/>
        <v>0</v>
      </c>
      <c r="BT319" s="83">
        <f t="shared" si="433"/>
        <v>0</v>
      </c>
      <c r="BU319" s="196">
        <f t="shared" si="433"/>
        <v>0</v>
      </c>
      <c r="BV319" s="196">
        <f t="shared" si="433"/>
        <v>0</v>
      </c>
      <c r="BW319" s="196">
        <f t="shared" si="433"/>
        <v>0</v>
      </c>
      <c r="BX319" s="196">
        <f t="shared" si="433"/>
        <v>0</v>
      </c>
      <c r="BY319" s="83">
        <f t="shared" si="433"/>
        <v>0</v>
      </c>
      <c r="BZ319" s="196">
        <f t="shared" si="433"/>
        <v>0</v>
      </c>
      <c r="CA319" s="196">
        <f t="shared" si="433"/>
        <v>0</v>
      </c>
      <c r="CB319" s="196">
        <f t="shared" si="433"/>
        <v>0</v>
      </c>
      <c r="CC319" s="196">
        <f t="shared" si="433"/>
        <v>0</v>
      </c>
      <c r="CD319" s="83">
        <f t="shared" si="433"/>
        <v>0</v>
      </c>
      <c r="CE319" s="196">
        <f t="shared" si="433"/>
        <v>0</v>
      </c>
      <c r="CF319" s="196">
        <f t="shared" si="433"/>
        <v>0</v>
      </c>
      <c r="CG319" s="196">
        <f t="shared" si="433"/>
        <v>0</v>
      </c>
      <c r="CH319" s="196">
        <f t="shared" si="433"/>
        <v>0</v>
      </c>
      <c r="CI319" s="83">
        <f t="shared" si="433"/>
        <v>0</v>
      </c>
      <c r="CJ319" s="83">
        <f t="shared" si="433"/>
        <v>0</v>
      </c>
      <c r="CK319" s="83">
        <f t="shared" si="433"/>
        <v>0</v>
      </c>
      <c r="CL319" s="83"/>
      <c r="CM319" s="83"/>
      <c r="CN319" s="83"/>
      <c r="CO319" s="148"/>
      <c r="CP319" s="148"/>
      <c r="CQ319" s="58"/>
      <c r="CR319" s="58"/>
      <c r="CS319" s="58"/>
      <c r="CT319" s="143"/>
      <c r="CU319" s="143"/>
      <c r="CV319" s="143"/>
      <c r="CW319" s="143"/>
      <c r="CX319" s="143"/>
      <c r="CY319" s="143"/>
      <c r="CZ319" s="143"/>
      <c r="DA319" s="143"/>
      <c r="DB319" s="143"/>
      <c r="DC319" s="143"/>
      <c r="DD319" s="143"/>
      <c r="DE319" s="143"/>
      <c r="DF319" s="143"/>
      <c r="DG319" s="143"/>
      <c r="DH319" s="143"/>
      <c r="DI319" s="143"/>
      <c r="DK319" s="143"/>
      <c r="DL319" s="143"/>
      <c r="DM319" s="58"/>
      <c r="DN319" s="143"/>
      <c r="DO319" s="143"/>
      <c r="DQ319" s="4"/>
      <c r="DR319" s="143"/>
      <c r="DS319" s="143"/>
      <c r="DT319" s="143"/>
      <c r="DV319" s="143"/>
      <c r="DW319" s="143"/>
      <c r="DX319" s="143"/>
      <c r="EA319" s="119"/>
      <c r="EB319" s="119"/>
      <c r="EC319" s="119"/>
      <c r="ED319" s="143"/>
      <c r="EE319" s="143"/>
      <c r="EF319" s="143"/>
      <c r="EJ319" s="119"/>
      <c r="EK319" s="119"/>
      <c r="EL319" s="143"/>
      <c r="EM319" s="143"/>
      <c r="EN319" s="143"/>
      <c r="EP319" s="119"/>
      <c r="EQ319" s="143"/>
      <c r="ER319" s="143"/>
      <c r="ES319" s="143"/>
      <c r="EV319" s="119"/>
      <c r="EW319" s="119"/>
      <c r="EX319" s="119"/>
      <c r="EY319" s="119"/>
      <c r="EZ319" s="143"/>
      <c r="FA319" s="143"/>
      <c r="FD319" s="119"/>
      <c r="FE319" s="119"/>
      <c r="FF319" s="119"/>
      <c r="FG319" s="143"/>
      <c r="FH319" s="143"/>
      <c r="FK319" s="143"/>
      <c r="FL319" s="143"/>
      <c r="FO319" s="119" t="s">
        <v>85</v>
      </c>
      <c r="FP319" s="119" t="s">
        <v>86</v>
      </c>
      <c r="FQ319" s="143"/>
      <c r="FR319" s="143"/>
      <c r="FU319" s="119" t="s">
        <v>86</v>
      </c>
      <c r="FV319" s="143"/>
      <c r="FW319" s="143"/>
      <c r="FX319" s="143"/>
      <c r="FY319" s="143"/>
      <c r="GA319" s="143"/>
      <c r="GB319" s="143"/>
      <c r="GC319" s="143"/>
      <c r="GF319" s="119" t="s">
        <v>88</v>
      </c>
      <c r="GG319" s="119"/>
      <c r="GH319" s="119"/>
      <c r="GI319" s="143"/>
      <c r="GJ319" s="143"/>
      <c r="GK319" s="143"/>
      <c r="GN319" s="119"/>
      <c r="GO319" s="119"/>
      <c r="GP319" s="143"/>
      <c r="GQ319" s="143"/>
      <c r="GR319" s="143"/>
      <c r="GV319" s="119"/>
      <c r="GW319" s="143"/>
      <c r="GX319" s="143"/>
      <c r="GY319" s="143"/>
      <c r="HC319" s="143"/>
      <c r="HD319" s="143"/>
      <c r="HE319" s="143"/>
      <c r="HF319" s="143"/>
      <c r="HI319" s="119"/>
      <c r="HJ319" s="119"/>
      <c r="HK319" s="119"/>
      <c r="HL319" s="119"/>
      <c r="HM319" s="143"/>
      <c r="HN319" s="143"/>
      <c r="HO319" s="143"/>
      <c r="HR319" s="119"/>
      <c r="HS319" s="119"/>
      <c r="HT319" s="119"/>
      <c r="HU319" s="143"/>
      <c r="HV319" s="143"/>
      <c r="HW319" s="143"/>
      <c r="HZ319" s="119"/>
      <c r="IA319" s="143"/>
      <c r="IB319" s="143"/>
      <c r="IC319" s="143"/>
      <c r="IE319" s="119"/>
      <c r="IF319" s="143"/>
      <c r="IG319" s="143"/>
      <c r="IH319" s="143"/>
      <c r="IK319" s="143"/>
      <c r="IL319" s="143"/>
      <c r="IO319" s="143"/>
      <c r="IP319" s="143"/>
      <c r="IS319" s="157"/>
      <c r="IT319" s="157"/>
      <c r="IU319" s="157"/>
      <c r="IX319" s="143"/>
      <c r="IY319" s="143"/>
      <c r="IZ319" s="143"/>
      <c r="JA319" s="143"/>
      <c r="JD319" s="143"/>
      <c r="JE319" s="143"/>
      <c r="JH319" s="143"/>
      <c r="JI319" s="143"/>
      <c r="JJ319" s="143"/>
      <c r="JM319" s="143"/>
      <c r="JN319" s="143"/>
      <c r="JQ319" s="143"/>
      <c r="JR319" s="143"/>
      <c r="JS319" s="143"/>
      <c r="JV319" s="143"/>
      <c r="JW319" s="143"/>
      <c r="JY319" s="143"/>
      <c r="JZ319" s="143"/>
      <c r="KB319" s="143"/>
      <c r="KC319" s="143"/>
      <c r="KD319" s="143"/>
    </row>
    <row r="320" spans="2:290" hidden="1" x14ac:dyDescent="0.25">
      <c r="B320" s="11" t="str">
        <f>B304</f>
        <v>Plastics Piping Products</v>
      </c>
      <c r="C320" s="23"/>
      <c r="D320" s="23"/>
      <c r="E320" s="23"/>
      <c r="F320" s="23"/>
      <c r="G320" s="23"/>
      <c r="H320" s="197"/>
      <c r="I320" s="198"/>
      <c r="J320" s="198"/>
      <c r="K320" s="198"/>
      <c r="L320" s="198"/>
      <c r="M320" s="197"/>
      <c r="N320" s="198"/>
      <c r="O320" s="198"/>
      <c r="P320" s="198"/>
      <c r="Q320" s="198"/>
      <c r="R320" s="197"/>
      <c r="S320" s="198"/>
      <c r="T320" s="198"/>
      <c r="U320" s="198"/>
      <c r="V320" s="198"/>
      <c r="W320" s="197"/>
      <c r="X320" s="198"/>
      <c r="Y320" s="198"/>
      <c r="Z320" s="198"/>
      <c r="AA320" s="198"/>
      <c r="AB320" s="42"/>
      <c r="AC320" s="24"/>
      <c r="AD320" s="24"/>
      <c r="AE320" s="24"/>
      <c r="AF320" s="24"/>
      <c r="AG320" s="42"/>
      <c r="AH320" s="24">
        <v>0.1045880243100528</v>
      </c>
      <c r="AI320" s="24">
        <v>0.10569105691056911</v>
      </c>
      <c r="AJ320" s="24">
        <v>0.13005731625084285</v>
      </c>
      <c r="AK320" s="42">
        <v>0.11621857324396381</v>
      </c>
      <c r="AL320" s="24">
        <f>AL304/AL272</f>
        <v>0.12134124229394394</v>
      </c>
      <c r="AM320" s="24"/>
      <c r="AN320" s="24">
        <f t="shared" ref="AN320:BS320" si="434">AN304/AN272</f>
        <v>0.13187869295935073</v>
      </c>
      <c r="AO320" s="24">
        <f t="shared" si="434"/>
        <v>0.12946810330083802</v>
      </c>
      <c r="AP320" s="42">
        <f t="shared" si="434"/>
        <v>0.13642370146978947</v>
      </c>
      <c r="AQ320" s="24">
        <f t="shared" si="434"/>
        <v>9.7971092962745726E-2</v>
      </c>
      <c r="AR320" s="24">
        <f t="shared" si="434"/>
        <v>8.8791309561598433E-2</v>
      </c>
      <c r="AS320" s="24">
        <f t="shared" si="434"/>
        <v>0.1017330632455548</v>
      </c>
      <c r="AT320" s="24">
        <f t="shared" si="434"/>
        <v>0.15725524264581675</v>
      </c>
      <c r="AU320" s="42">
        <f t="shared" si="434"/>
        <v>0.11500115503503607</v>
      </c>
      <c r="AV320" s="207">
        <f t="shared" si="434"/>
        <v>0.10356091030789825</v>
      </c>
      <c r="AW320" s="207">
        <f t="shared" si="434"/>
        <v>9.5486621581887685E-2</v>
      </c>
      <c r="AX320" s="207">
        <f t="shared" si="434"/>
        <v>9.4408042814985244E-2</v>
      </c>
      <c r="AY320" s="207">
        <f t="shared" si="434"/>
        <v>0.10100451767207015</v>
      </c>
      <c r="AZ320" s="42">
        <f t="shared" si="434"/>
        <v>9.8591238575480619E-2</v>
      </c>
      <c r="BA320" s="207">
        <f t="shared" si="434"/>
        <v>8.7175375295113364E-2</v>
      </c>
      <c r="BB320" s="207">
        <f t="shared" si="434"/>
        <v>0.13537559148264985</v>
      </c>
      <c r="BC320" s="207">
        <f t="shared" si="434"/>
        <v>0.12968924183022909</v>
      </c>
      <c r="BD320" s="207">
        <f t="shared" si="434"/>
        <v>0.18017758425647265</v>
      </c>
      <c r="BE320" s="42">
        <f t="shared" si="434"/>
        <v>0.1336799356724637</v>
      </c>
      <c r="BF320" s="207">
        <f t="shared" si="434"/>
        <v>8.6935481761466926E-2</v>
      </c>
      <c r="BG320" s="207">
        <f t="shared" si="434"/>
        <v>0.17413986426674535</v>
      </c>
      <c r="BH320" s="207">
        <f t="shared" si="434"/>
        <v>0.21953508771929825</v>
      </c>
      <c r="BI320" s="207">
        <f t="shared" si="434"/>
        <v>0.26509003155745314</v>
      </c>
      <c r="BJ320" s="42">
        <f t="shared" si="434"/>
        <v>0.2003737688439759</v>
      </c>
      <c r="BK320" s="207">
        <f t="shared" si="434"/>
        <v>0.1703387281150352</v>
      </c>
      <c r="BL320" s="207">
        <f t="shared" si="434"/>
        <v>0.15309955179597248</v>
      </c>
      <c r="BM320" s="207">
        <f t="shared" si="434"/>
        <v>0.16463414634146342</v>
      </c>
      <c r="BN320" s="207">
        <f t="shared" si="434"/>
        <v>0.14386046795908278</v>
      </c>
      <c r="BO320" s="42">
        <f t="shared" si="434"/>
        <v>0.15534711721584862</v>
      </c>
      <c r="BP320" s="207">
        <f t="shared" si="434"/>
        <v>0.10551888146295461</v>
      </c>
      <c r="BQ320" s="207">
        <f t="shared" si="434"/>
        <v>1.9131697445760053E-2</v>
      </c>
      <c r="BR320" s="207">
        <f t="shared" si="434"/>
        <v>0.11332423045311132</v>
      </c>
      <c r="BS320" s="207">
        <f t="shared" si="434"/>
        <v>0.18585949853173708</v>
      </c>
      <c r="BT320" s="42">
        <f t="shared" ref="BT320:CK320" si="435">BT304/BT272</f>
        <v>0.11250792956722369</v>
      </c>
      <c r="BU320" s="207">
        <f t="shared" si="435"/>
        <v>0.11937076827520895</v>
      </c>
      <c r="BV320" s="207">
        <f t="shared" si="435"/>
        <v>0.13289117990034982</v>
      </c>
      <c r="BW320" s="207">
        <f t="shared" si="435"/>
        <v>0.1295166245855261</v>
      </c>
      <c r="BX320" s="207">
        <f t="shared" si="435"/>
        <v>0.1359423562040947</v>
      </c>
      <c r="BY320" s="42">
        <f t="shared" si="435"/>
        <v>0.12986668243990898</v>
      </c>
      <c r="BZ320" s="207">
        <f t="shared" si="435"/>
        <v>0.12446929298255999</v>
      </c>
      <c r="CA320" s="207">
        <f t="shared" si="435"/>
        <v>0.1289492534407099</v>
      </c>
      <c r="CB320" s="207">
        <f t="shared" si="435"/>
        <v>8.268215480530712E-2</v>
      </c>
      <c r="CC320" s="207">
        <f t="shared" si="435"/>
        <v>0.10410800385728061</v>
      </c>
      <c r="CD320" s="42">
        <f t="shared" si="435"/>
        <v>0.1044776119402985</v>
      </c>
      <c r="CE320" s="207">
        <f t="shared" si="435"/>
        <v>8.7814050024828283E-2</v>
      </c>
      <c r="CF320" s="207">
        <f t="shared" si="435"/>
        <v>7.9165340274266749E-2</v>
      </c>
      <c r="CG320" s="207">
        <f t="shared" si="435"/>
        <v>7.4108612177729016E-2</v>
      </c>
      <c r="CH320" s="207">
        <f t="shared" si="435"/>
        <v>0.14926551640568197</v>
      </c>
      <c r="CI320" s="42">
        <f t="shared" si="435"/>
        <v>0.10303426244814078</v>
      </c>
      <c r="CJ320" s="42">
        <f t="shared" si="435"/>
        <v>0</v>
      </c>
      <c r="CK320" s="42">
        <f t="shared" si="435"/>
        <v>0</v>
      </c>
      <c r="CL320" s="42"/>
      <c r="CM320" s="42"/>
      <c r="CN320" s="42"/>
      <c r="CO320" s="74"/>
      <c r="CP320" s="74"/>
      <c r="CQ320" s="6"/>
      <c r="CR320" s="6"/>
      <c r="CS320" s="6"/>
      <c r="CT320" s="124"/>
      <c r="CU320" s="124"/>
      <c r="CV320" s="124"/>
      <c r="CW320" s="124"/>
      <c r="CX320" s="124"/>
      <c r="CY320" s="124"/>
      <c r="CZ320" s="124"/>
      <c r="DA320" s="124"/>
      <c r="DB320" s="124"/>
      <c r="DC320" s="124"/>
      <c r="DD320" s="124"/>
      <c r="DE320" s="124"/>
      <c r="DF320" s="124"/>
      <c r="DG320" s="124"/>
      <c r="DH320" s="124"/>
      <c r="DI320" s="124"/>
      <c r="DK320" s="124"/>
      <c r="DL320" s="124"/>
      <c r="DM320" s="6"/>
      <c r="DN320" s="124"/>
      <c r="DO320" s="124"/>
      <c r="DQ320" s="136"/>
      <c r="DR320" s="124"/>
      <c r="DS320" s="124"/>
      <c r="DT320" s="124"/>
      <c r="DV320" s="124"/>
      <c r="DW320" s="124"/>
      <c r="DX320" s="124"/>
      <c r="EA320" s="111"/>
      <c r="EB320" s="111"/>
      <c r="EC320" s="111"/>
      <c r="ED320" s="124"/>
      <c r="EE320" s="124"/>
      <c r="EF320" s="124"/>
      <c r="EJ320" s="111"/>
      <c r="EK320" s="111"/>
      <c r="EL320" s="124"/>
      <c r="EM320" s="124"/>
      <c r="EN320" s="124"/>
      <c r="EP320" s="111"/>
      <c r="EQ320" s="124"/>
      <c r="ER320" s="124"/>
      <c r="ES320" s="124"/>
      <c r="EV320" s="111"/>
      <c r="EW320" s="111"/>
      <c r="EX320" s="111"/>
      <c r="EY320" s="111"/>
      <c r="EZ320" s="124"/>
      <c r="FA320" s="124"/>
      <c r="FD320" s="111"/>
      <c r="FE320" s="111"/>
      <c r="FF320" s="111"/>
      <c r="FG320" s="124"/>
      <c r="FH320" s="124"/>
      <c r="FK320" s="124"/>
      <c r="FL320" s="124"/>
      <c r="FO320" s="111"/>
      <c r="FP320" s="111"/>
      <c r="FQ320" s="124"/>
      <c r="FR320" s="124"/>
      <c r="FU320" s="111"/>
      <c r="FV320" s="124"/>
      <c r="FW320" s="124"/>
      <c r="FX320" s="124"/>
      <c r="FY320" s="124"/>
      <c r="GA320" s="124"/>
      <c r="GB320" s="124"/>
      <c r="GC320" s="124"/>
      <c r="GF320" s="111" t="e">
        <v>#DIV/0!</v>
      </c>
      <c r="GG320" s="111"/>
      <c r="GH320" s="111"/>
      <c r="GI320" s="124"/>
      <c r="GJ320" s="124"/>
      <c r="GK320" s="124"/>
      <c r="GN320" s="111"/>
      <c r="GO320" s="111"/>
      <c r="GP320" s="124"/>
      <c r="GQ320" s="124"/>
      <c r="GR320" s="124"/>
      <c r="GV320" s="111"/>
      <c r="GW320" s="124"/>
      <c r="GX320" s="124"/>
      <c r="GY320" s="124"/>
      <c r="HC320" s="124"/>
      <c r="HD320" s="124"/>
      <c r="HE320" s="124"/>
      <c r="HF320" s="124"/>
      <c r="HI320" s="111"/>
      <c r="HJ320" s="111"/>
      <c r="HK320" s="111"/>
      <c r="HL320" s="111"/>
      <c r="HM320" s="124"/>
      <c r="HN320" s="124"/>
      <c r="HO320" s="124"/>
      <c r="HR320" s="111"/>
      <c r="HS320" s="111"/>
      <c r="HT320" s="111"/>
      <c r="HU320" s="124"/>
      <c r="HV320" s="124"/>
      <c r="HW320" s="124"/>
      <c r="HZ320" s="111"/>
      <c r="IA320" s="124"/>
      <c r="IB320" s="124"/>
      <c r="IC320" s="124"/>
      <c r="IE320" s="111"/>
      <c r="IF320" s="124"/>
      <c r="IG320" s="124"/>
      <c r="IH320" s="124"/>
      <c r="IK320" s="124"/>
      <c r="IL320" s="124"/>
      <c r="IO320" s="124"/>
      <c r="IP320" s="124"/>
      <c r="IS320" s="160"/>
      <c r="IT320" s="160"/>
      <c r="IU320" s="160"/>
      <c r="IX320" s="124"/>
      <c r="IY320" s="124"/>
      <c r="IZ320" s="124"/>
      <c r="JA320" s="124"/>
      <c r="JD320" s="124"/>
      <c r="JE320" s="124"/>
      <c r="JH320" s="124"/>
      <c r="JI320" s="124"/>
      <c r="JJ320" s="124"/>
      <c r="JM320" s="124"/>
      <c r="JN320" s="124"/>
      <c r="JQ320" s="124"/>
      <c r="JR320" s="124"/>
      <c r="JS320" s="124"/>
      <c r="JV320" s="124"/>
      <c r="JW320" s="124"/>
      <c r="JY320" s="124"/>
      <c r="JZ320" s="124"/>
      <c r="KB320" s="124"/>
      <c r="KC320" s="124"/>
      <c r="KD320" s="124"/>
    </row>
    <row r="321" spans="2:290" hidden="1" x14ac:dyDescent="0.25">
      <c r="B321" s="11" t="str">
        <f>B305</f>
        <v>Industrial Products</v>
      </c>
      <c r="C321" s="23"/>
      <c r="D321" s="23"/>
      <c r="E321" s="23"/>
      <c r="F321" s="23"/>
      <c r="G321" s="23"/>
      <c r="H321" s="197"/>
      <c r="I321" s="198"/>
      <c r="J321" s="198"/>
      <c r="K321" s="198"/>
      <c r="L321" s="198"/>
      <c r="M321" s="197"/>
      <c r="N321" s="198"/>
      <c r="O321" s="198"/>
      <c r="P321" s="198"/>
      <c r="Q321" s="198"/>
      <c r="R321" s="197"/>
      <c r="S321" s="198"/>
      <c r="T321" s="198"/>
      <c r="U321" s="198"/>
      <c r="V321" s="198"/>
      <c r="W321" s="197"/>
      <c r="X321" s="198"/>
      <c r="Y321" s="198"/>
      <c r="Z321" s="198"/>
      <c r="AA321" s="198"/>
      <c r="AB321" s="42"/>
      <c r="AC321" s="24"/>
      <c r="AD321" s="24"/>
      <c r="AE321" s="24"/>
      <c r="AF321" s="24"/>
      <c r="AG321" s="42"/>
      <c r="AH321" s="24">
        <v>3.3053141473144323E-2</v>
      </c>
      <c r="AI321" s="24">
        <v>4.0439999999999997E-2</v>
      </c>
      <c r="AJ321" s="24">
        <v>0.11052701623635877</v>
      </c>
      <c r="AK321" s="42">
        <v>6.3272867247269396E-2</v>
      </c>
      <c r="AL321" s="24">
        <f>AL305/AL273</f>
        <v>6.2557870370370375E-2</v>
      </c>
      <c r="AM321" s="24"/>
      <c r="AN321" s="24">
        <f t="shared" ref="AN321:BS321" si="436">AN305/AN273</f>
        <v>6.4397731064397737E-2</v>
      </c>
      <c r="AO321" s="24">
        <f t="shared" si="436"/>
        <v>0.1259385483785079</v>
      </c>
      <c r="AP321" s="42">
        <f t="shared" si="436"/>
        <v>8.9380998926402486E-2</v>
      </c>
      <c r="AQ321" s="24">
        <f t="shared" si="436"/>
        <v>6.5735612810016858E-2</v>
      </c>
      <c r="AR321" s="24">
        <f t="shared" si="436"/>
        <v>8.5313174946004322E-2</v>
      </c>
      <c r="AS321" s="24">
        <f t="shared" si="436"/>
        <v>9.5781663467026421E-2</v>
      </c>
      <c r="AT321" s="24">
        <f t="shared" si="436"/>
        <v>0.12950146627565981</v>
      </c>
      <c r="AU321" s="42">
        <f t="shared" si="436"/>
        <v>9.7898250834573208E-2</v>
      </c>
      <c r="AV321" s="207">
        <f t="shared" si="436"/>
        <v>8.6008771929824562E-2</v>
      </c>
      <c r="AW321" s="207">
        <f t="shared" si="436"/>
        <v>7.4286612687681788E-2</v>
      </c>
      <c r="AX321" s="207">
        <f t="shared" si="436"/>
        <v>5.6993516610544304E-2</v>
      </c>
      <c r="AY321" s="207">
        <f t="shared" si="436"/>
        <v>7.714570858283433E-2</v>
      </c>
      <c r="AZ321" s="42">
        <f t="shared" si="436"/>
        <v>7.1830508474576268E-2</v>
      </c>
      <c r="BA321" s="207">
        <f t="shared" si="436"/>
        <v>6.390098799532562E-2</v>
      </c>
      <c r="BB321" s="207">
        <f t="shared" si="436"/>
        <v>-1.1590774689532821E-2</v>
      </c>
      <c r="BC321" s="207">
        <f t="shared" si="436"/>
        <v>5.4228410832907512E-2</v>
      </c>
      <c r="BD321" s="207">
        <f t="shared" si="436"/>
        <v>8.7963834997174598E-2</v>
      </c>
      <c r="BE321" s="42">
        <f t="shared" si="436"/>
        <v>4.8381586179236172E-2</v>
      </c>
      <c r="BF321" s="207">
        <f t="shared" si="436"/>
        <v>-0.10783200908059022</v>
      </c>
      <c r="BG321" s="207">
        <f t="shared" si="436"/>
        <v>6.6078809589418572E-2</v>
      </c>
      <c r="BH321" s="207">
        <f t="shared" si="436"/>
        <v>9.2824074074074073E-2</v>
      </c>
      <c r="BI321" s="207">
        <f t="shared" si="436"/>
        <v>0.13313316728649904</v>
      </c>
      <c r="BJ321" s="42">
        <f t="shared" si="436"/>
        <v>8.337712844229557E-2</v>
      </c>
      <c r="BK321" s="207">
        <f t="shared" si="436"/>
        <v>6.1331188417454253E-2</v>
      </c>
      <c r="BL321" s="207">
        <f t="shared" si="436"/>
        <v>7.5943862423403841E-2</v>
      </c>
      <c r="BM321" s="207">
        <f t="shared" si="436"/>
        <v>8.0882352941176475E-2</v>
      </c>
      <c r="BN321" s="207">
        <f t="shared" si="436"/>
        <v>0.1047022778739843</v>
      </c>
      <c r="BO321" s="42">
        <f t="shared" si="436"/>
        <v>8.3288559789776007E-2</v>
      </c>
      <c r="BP321" s="207">
        <f t="shared" si="436"/>
        <v>8.4529874942102831E-2</v>
      </c>
      <c r="BQ321" s="207">
        <f t="shared" si="436"/>
        <v>8.9082004419757499E-2</v>
      </c>
      <c r="BR321" s="207">
        <f t="shared" si="436"/>
        <v>9.4122201048118151E-2</v>
      </c>
      <c r="BS321" s="207">
        <f t="shared" si="436"/>
        <v>0.10017088453088127</v>
      </c>
      <c r="BT321" s="42">
        <f t="shared" ref="BT321:CK321" si="437">BT305/BT273</f>
        <v>9.2365257187152938E-2</v>
      </c>
      <c r="BU321" s="207">
        <f t="shared" si="437"/>
        <v>6.3249581239530991E-2</v>
      </c>
      <c r="BV321" s="207">
        <f t="shared" si="437"/>
        <v>7.7468463214757061E-2</v>
      </c>
      <c r="BW321" s="207">
        <f t="shared" si="437"/>
        <v>8.9380930863081798E-2</v>
      </c>
      <c r="BX321" s="207">
        <f t="shared" si="437"/>
        <v>0.11247013312094664</v>
      </c>
      <c r="BY321" s="42">
        <f t="shared" si="437"/>
        <v>8.6655655977122242E-2</v>
      </c>
      <c r="BZ321" s="207">
        <f t="shared" si="437"/>
        <v>6.3777008943142505E-2</v>
      </c>
      <c r="CA321" s="207">
        <f t="shared" si="437"/>
        <v>8.5907925265600191E-2</v>
      </c>
      <c r="CB321" s="207">
        <f t="shared" si="437"/>
        <v>8.1838969791792032E-2</v>
      </c>
      <c r="CC321" s="207">
        <f t="shared" si="437"/>
        <v>0.10173410404624278</v>
      </c>
      <c r="CD321" s="42">
        <f t="shared" si="437"/>
        <v>8.3841463414634151E-2</v>
      </c>
      <c r="CE321" s="207">
        <f t="shared" si="437"/>
        <v>5.8490002984183831E-2</v>
      </c>
      <c r="CF321" s="207">
        <f t="shared" si="437"/>
        <v>4.1761041902604761E-2</v>
      </c>
      <c r="CG321" s="207">
        <f t="shared" si="437"/>
        <v>8.0238095238095247E-2</v>
      </c>
      <c r="CH321" s="207">
        <f t="shared" si="437"/>
        <v>0.11614738779950351</v>
      </c>
      <c r="CI321" s="42">
        <f t="shared" si="437"/>
        <v>7.6702811810543114E-2</v>
      </c>
      <c r="CJ321" s="42">
        <f t="shared" si="437"/>
        <v>0</v>
      </c>
      <c r="CK321" s="42">
        <f t="shared" si="437"/>
        <v>0</v>
      </c>
      <c r="CL321" s="42"/>
      <c r="CM321" s="42"/>
      <c r="CN321" s="42"/>
      <c r="CO321" s="74"/>
      <c r="CP321" s="74"/>
      <c r="CQ321" s="6"/>
      <c r="CR321" s="6"/>
      <c r="CS321" s="6"/>
      <c r="CT321" s="124"/>
      <c r="CU321" s="124"/>
      <c r="CV321" s="124"/>
      <c r="CW321" s="124"/>
      <c r="CX321" s="124"/>
      <c r="CY321" s="124"/>
      <c r="CZ321" s="124"/>
      <c r="DA321" s="124"/>
      <c r="DB321" s="124"/>
      <c r="DC321" s="124"/>
      <c r="DD321" s="124"/>
      <c r="DE321" s="124"/>
      <c r="DF321" s="124"/>
      <c r="DG321" s="124"/>
      <c r="DH321" s="124"/>
      <c r="DI321" s="124"/>
      <c r="DK321" s="124"/>
      <c r="DL321" s="124"/>
      <c r="DM321" s="6"/>
      <c r="DN321" s="124"/>
      <c r="DO321" s="124"/>
      <c r="DQ321" s="136"/>
      <c r="DR321" s="124"/>
      <c r="DS321" s="124"/>
      <c r="DT321" s="124"/>
      <c r="DV321" s="124"/>
      <c r="DW321" s="124"/>
      <c r="DX321" s="124"/>
      <c r="EA321" s="111"/>
      <c r="EB321" s="111"/>
      <c r="EC321" s="111"/>
      <c r="ED321" s="124"/>
      <c r="EE321" s="124"/>
      <c r="EF321" s="124"/>
      <c r="EJ321" s="111"/>
      <c r="EK321" s="111"/>
      <c r="EL321" s="124"/>
      <c r="EM321" s="124"/>
      <c r="EN321" s="124"/>
      <c r="EP321" s="111"/>
      <c r="EQ321" s="124"/>
      <c r="ER321" s="124"/>
      <c r="ES321" s="124"/>
      <c r="EV321" s="111"/>
      <c r="EW321" s="111"/>
      <c r="EX321" s="111"/>
      <c r="EY321" s="111"/>
      <c r="EZ321" s="124"/>
      <c r="FA321" s="124"/>
      <c r="FD321" s="111"/>
      <c r="FE321" s="111"/>
      <c r="FF321" s="111"/>
      <c r="FG321" s="124"/>
      <c r="FH321" s="124"/>
      <c r="FK321" s="124"/>
      <c r="FL321" s="124"/>
      <c r="FO321" s="111"/>
      <c r="FP321" s="111"/>
      <c r="FQ321" s="124"/>
      <c r="FR321" s="124"/>
      <c r="FU321" s="111"/>
      <c r="FV321" s="124"/>
      <c r="FW321" s="124"/>
      <c r="FX321" s="124"/>
      <c r="FY321" s="124"/>
      <c r="GA321" s="124"/>
      <c r="GB321" s="124"/>
      <c r="GC321" s="124"/>
      <c r="GF321" s="111" t="e">
        <v>#DIV/0!</v>
      </c>
      <c r="GG321" s="111"/>
      <c r="GH321" s="111"/>
      <c r="GI321" s="124"/>
      <c r="GJ321" s="124"/>
      <c r="GK321" s="124"/>
      <c r="GN321" s="111"/>
      <c r="GO321" s="111"/>
      <c r="GP321" s="124"/>
      <c r="GQ321" s="124"/>
      <c r="GR321" s="124"/>
      <c r="GV321" s="111"/>
      <c r="GW321" s="124"/>
      <c r="GX321" s="124"/>
      <c r="GY321" s="124"/>
      <c r="HC321" s="124"/>
      <c r="HD321" s="124"/>
      <c r="HE321" s="124"/>
      <c r="HF321" s="124"/>
      <c r="HI321" s="111"/>
      <c r="HJ321" s="111"/>
      <c r="HK321" s="111"/>
      <c r="HL321" s="111"/>
      <c r="HM321" s="124"/>
      <c r="HN321" s="124"/>
      <c r="HO321" s="124"/>
      <c r="HR321" s="111"/>
      <c r="HS321" s="111"/>
      <c r="HT321" s="111"/>
      <c r="HU321" s="124"/>
      <c r="HV321" s="124"/>
      <c r="HW321" s="124"/>
      <c r="HZ321" s="111"/>
      <c r="IA321" s="124"/>
      <c r="IB321" s="124"/>
      <c r="IC321" s="124"/>
      <c r="IE321" s="111"/>
      <c r="IF321" s="124"/>
      <c r="IG321" s="124"/>
      <c r="IH321" s="124"/>
      <c r="IK321" s="124"/>
      <c r="IL321" s="124"/>
      <c r="IO321" s="124"/>
      <c r="IP321" s="124"/>
      <c r="IS321" s="160"/>
      <c r="IT321" s="160"/>
      <c r="IU321" s="160"/>
      <c r="IX321" s="124"/>
      <c r="IY321" s="124"/>
      <c r="IZ321" s="124"/>
      <c r="JA321" s="124"/>
      <c r="JD321" s="124"/>
      <c r="JE321" s="124"/>
      <c r="JH321" s="124"/>
      <c r="JI321" s="124"/>
      <c r="JJ321" s="124"/>
      <c r="JM321" s="124"/>
      <c r="JN321" s="124"/>
      <c r="JQ321" s="124"/>
      <c r="JR321" s="124"/>
      <c r="JS321" s="124"/>
      <c r="JV321" s="124"/>
      <c r="JW321" s="124"/>
      <c r="JY321" s="124"/>
      <c r="JZ321" s="124"/>
      <c r="KB321" s="124"/>
      <c r="KC321" s="124"/>
      <c r="KD321" s="124"/>
    </row>
    <row r="322" spans="2:290" hidden="1" x14ac:dyDescent="0.25">
      <c r="B322" s="11" t="str">
        <f>B306</f>
        <v>Packaging Products</v>
      </c>
      <c r="C322" s="23"/>
      <c r="D322" s="23"/>
      <c r="E322" s="23"/>
      <c r="F322" s="23"/>
      <c r="G322" s="23"/>
      <c r="H322" s="197"/>
      <c r="I322" s="198"/>
      <c r="J322" s="198"/>
      <c r="K322" s="198"/>
      <c r="L322" s="198"/>
      <c r="M322" s="197"/>
      <c r="N322" s="198"/>
      <c r="O322" s="198"/>
      <c r="P322" s="198"/>
      <c r="Q322" s="198"/>
      <c r="R322" s="197"/>
      <c r="S322" s="198"/>
      <c r="T322" s="198"/>
      <c r="U322" s="198"/>
      <c r="V322" s="198"/>
      <c r="W322" s="197"/>
      <c r="X322" s="198"/>
      <c r="Y322" s="198"/>
      <c r="Z322" s="198"/>
      <c r="AA322" s="198"/>
      <c r="AB322" s="42"/>
      <c r="AC322" s="24"/>
      <c r="AD322" s="24"/>
      <c r="AE322" s="24"/>
      <c r="AF322" s="24"/>
      <c r="AG322" s="42"/>
      <c r="AH322" s="24">
        <v>0.11496718828874306</v>
      </c>
      <c r="AI322" s="24">
        <v>0.19132013201320131</v>
      </c>
      <c r="AJ322" s="24">
        <v>0.22252859015504223</v>
      </c>
      <c r="AK322" s="42">
        <v>0.1837090419065196</v>
      </c>
      <c r="AL322" s="24">
        <f>AL306/AL274</f>
        <v>0.18746434683399885</v>
      </c>
      <c r="AM322" s="24"/>
      <c r="AN322" s="24">
        <f t="shared" ref="AN322:BS322" si="438">AN306/AN274</f>
        <v>0.18136449982291769</v>
      </c>
      <c r="AO322" s="24">
        <f t="shared" si="438"/>
        <v>0.18621027922783168</v>
      </c>
      <c r="AP322" s="42">
        <f t="shared" si="438"/>
        <v>0.18508855960703585</v>
      </c>
      <c r="AQ322" s="24">
        <f t="shared" si="438"/>
        <v>0.15167570749758211</v>
      </c>
      <c r="AR322" s="24">
        <f t="shared" si="438"/>
        <v>0.12910569105691055</v>
      </c>
      <c r="AS322" s="24">
        <f t="shared" si="438"/>
        <v>0.19242457470472132</v>
      </c>
      <c r="AT322" s="24">
        <f t="shared" si="438"/>
        <v>0.20002434867299732</v>
      </c>
      <c r="AU322" s="42">
        <f t="shared" si="438"/>
        <v>0.17122736813197592</v>
      </c>
      <c r="AV322" s="207">
        <f t="shared" si="438"/>
        <v>0.14361538461538462</v>
      </c>
      <c r="AW322" s="207">
        <f t="shared" si="438"/>
        <v>0.11740344794375421</v>
      </c>
      <c r="AX322" s="207">
        <f t="shared" si="438"/>
        <v>0.11793451702231635</v>
      </c>
      <c r="AY322" s="207">
        <f t="shared" si="438"/>
        <v>0.11183816930900389</v>
      </c>
      <c r="AZ322" s="42">
        <f t="shared" si="438"/>
        <v>0.12267754318618042</v>
      </c>
      <c r="BA322" s="207">
        <f t="shared" si="438"/>
        <v>8.4003100648688336E-2</v>
      </c>
      <c r="BB322" s="207">
        <f t="shared" si="438"/>
        <v>1.929780247537257E-2</v>
      </c>
      <c r="BC322" s="207">
        <f t="shared" si="438"/>
        <v>0.14172309885623563</v>
      </c>
      <c r="BD322" s="207">
        <f t="shared" si="438"/>
        <v>0.16070912419308217</v>
      </c>
      <c r="BE322" s="42">
        <f t="shared" si="438"/>
        <v>0.10582005066352539</v>
      </c>
      <c r="BF322" s="207">
        <f t="shared" si="438"/>
        <v>9.7723516553819903E-2</v>
      </c>
      <c r="BG322" s="207">
        <f t="shared" si="438"/>
        <v>0.1164028384279476</v>
      </c>
      <c r="BH322" s="207">
        <f t="shared" si="438"/>
        <v>0.12537735849056603</v>
      </c>
      <c r="BI322" s="207">
        <f t="shared" si="438"/>
        <v>0.13172763374552027</v>
      </c>
      <c r="BJ322" s="42">
        <f t="shared" si="438"/>
        <v>0.12036983363283289</v>
      </c>
      <c r="BK322" s="207">
        <f t="shared" si="438"/>
        <v>7.0208495473723015E-2</v>
      </c>
      <c r="BL322" s="207">
        <f t="shared" si="438"/>
        <v>9.1892671667628406E-2</v>
      </c>
      <c r="BM322" s="207">
        <f t="shared" si="438"/>
        <v>6.7567567567567571E-2</v>
      </c>
      <c r="BN322" s="207">
        <f t="shared" si="438"/>
        <v>0.1056212182963915</v>
      </c>
      <c r="BO322" s="42">
        <f t="shared" si="438"/>
        <v>8.3389113386386368E-2</v>
      </c>
      <c r="BP322" s="207">
        <f t="shared" si="438"/>
        <v>6.9775993626084026E-2</v>
      </c>
      <c r="BQ322" s="207">
        <f t="shared" si="438"/>
        <v>6.5005185772680121E-2</v>
      </c>
      <c r="BR322" s="207">
        <f t="shared" si="438"/>
        <v>6.6011523500336344E-2</v>
      </c>
      <c r="BS322" s="207">
        <f t="shared" si="438"/>
        <v>7.701117404896772E-2</v>
      </c>
      <c r="BT322" s="42">
        <f t="shared" ref="BT322:CK322" si="439">BT306/BT274</f>
        <v>6.9386641195333276E-2</v>
      </c>
      <c r="BU322" s="207">
        <f t="shared" si="439"/>
        <v>7.8984834416589281E-2</v>
      </c>
      <c r="BV322" s="207">
        <f t="shared" si="439"/>
        <v>0.1357712728201925</v>
      </c>
      <c r="BW322" s="207">
        <f t="shared" si="439"/>
        <v>0.13148749823421388</v>
      </c>
      <c r="BX322" s="207">
        <f t="shared" si="439"/>
        <v>0.18014930527881831</v>
      </c>
      <c r="BY322" s="42">
        <f t="shared" si="439"/>
        <v>0.13352351547660546</v>
      </c>
      <c r="BZ322" s="207">
        <f t="shared" si="439"/>
        <v>0.11445570376810021</v>
      </c>
      <c r="CA322" s="207">
        <f t="shared" si="439"/>
        <v>0.10326114139948982</v>
      </c>
      <c r="CB322" s="207">
        <f t="shared" si="439"/>
        <v>0.11081257533145843</v>
      </c>
      <c r="CC322" s="207">
        <f t="shared" si="439"/>
        <v>0.13380281690140844</v>
      </c>
      <c r="CD322" s="42">
        <f t="shared" si="439"/>
        <v>0.11557788944723618</v>
      </c>
      <c r="CE322" s="207">
        <f t="shared" si="439"/>
        <v>0.11388370065994272</v>
      </c>
      <c r="CF322" s="207">
        <f t="shared" si="439"/>
        <v>0.12093720617011004</v>
      </c>
      <c r="CG322" s="207">
        <f t="shared" si="439"/>
        <v>8.574358974358974E-2</v>
      </c>
      <c r="CH322" s="207">
        <f t="shared" si="439"/>
        <v>0.12816247920861421</v>
      </c>
      <c r="CI322" s="42">
        <f t="shared" si="439"/>
        <v>0.11284380765647549</v>
      </c>
      <c r="CJ322" s="42">
        <f t="shared" si="439"/>
        <v>0</v>
      </c>
      <c r="CK322" s="42">
        <f t="shared" si="439"/>
        <v>0</v>
      </c>
      <c r="CL322" s="42"/>
      <c r="CM322" s="42"/>
      <c r="CN322" s="42"/>
      <c r="CO322" s="74"/>
      <c r="CP322" s="74"/>
      <c r="CQ322" s="6"/>
      <c r="CR322" s="6"/>
      <c r="CS322" s="6"/>
      <c r="CT322" s="124"/>
      <c r="CU322" s="124"/>
      <c r="CV322" s="124"/>
      <c r="CW322" s="124"/>
      <c r="CX322" s="124"/>
      <c r="CY322" s="124"/>
      <c r="CZ322" s="124"/>
      <c r="DA322" s="124"/>
      <c r="DB322" s="124"/>
      <c r="DC322" s="124"/>
      <c r="DD322" s="124"/>
      <c r="DE322" s="124"/>
      <c r="DF322" s="124"/>
      <c r="DG322" s="124"/>
      <c r="DH322" s="124"/>
      <c r="DI322" s="124"/>
      <c r="DK322" s="124"/>
      <c r="DL322" s="124"/>
      <c r="DM322" s="6"/>
      <c r="DN322" s="124"/>
      <c r="DO322" s="124"/>
      <c r="DQ322" s="136"/>
      <c r="DR322" s="124"/>
      <c r="DS322" s="124"/>
      <c r="DT322" s="124"/>
      <c r="DV322" s="124"/>
      <c r="DW322" s="124"/>
      <c r="DX322" s="124"/>
      <c r="EA322" s="111"/>
      <c r="EB322" s="111"/>
      <c r="EC322" s="111"/>
      <c r="ED322" s="124"/>
      <c r="EE322" s="124"/>
      <c r="EF322" s="124"/>
      <c r="EJ322" s="111"/>
      <c r="EK322" s="111"/>
      <c r="EL322" s="124"/>
      <c r="EM322" s="124"/>
      <c r="EN322" s="124"/>
      <c r="EP322" s="111"/>
      <c r="EQ322" s="124"/>
      <c r="ER322" s="124"/>
      <c r="ES322" s="124"/>
      <c r="EV322" s="111"/>
      <c r="EW322" s="111"/>
      <c r="EX322" s="111"/>
      <c r="EY322" s="111"/>
      <c r="EZ322" s="124"/>
      <c r="FA322" s="124"/>
      <c r="FD322" s="111"/>
      <c r="FE322" s="111"/>
      <c r="FF322" s="111"/>
      <c r="FG322" s="124"/>
      <c r="FH322" s="124"/>
      <c r="FK322" s="124"/>
      <c r="FL322" s="124"/>
      <c r="FO322" s="111"/>
      <c r="FP322" s="111"/>
      <c r="FQ322" s="124"/>
      <c r="FR322" s="124"/>
      <c r="FU322" s="111"/>
      <c r="FV322" s="124"/>
      <c r="FW322" s="124"/>
      <c r="FX322" s="124"/>
      <c r="FY322" s="124"/>
      <c r="GA322" s="124"/>
      <c r="GB322" s="124"/>
      <c r="GC322" s="124"/>
      <c r="GF322" s="111" t="e">
        <v>#DIV/0!</v>
      </c>
      <c r="GG322" s="111"/>
      <c r="GH322" s="111"/>
      <c r="GI322" s="124"/>
      <c r="GJ322" s="124"/>
      <c r="GK322" s="124"/>
      <c r="GN322" s="111"/>
      <c r="GO322" s="111"/>
      <c r="GP322" s="124"/>
      <c r="GQ322" s="124"/>
      <c r="GR322" s="124"/>
      <c r="GV322" s="111"/>
      <c r="GW322" s="124"/>
      <c r="GX322" s="124"/>
      <c r="GY322" s="124"/>
      <c r="HC322" s="124"/>
      <c r="HD322" s="124"/>
      <c r="HE322" s="124"/>
      <c r="HF322" s="124"/>
      <c r="HI322" s="111"/>
      <c r="HJ322" s="111"/>
      <c r="HK322" s="111"/>
      <c r="HL322" s="111"/>
      <c r="HM322" s="124"/>
      <c r="HN322" s="124"/>
      <c r="HO322" s="124"/>
      <c r="HR322" s="111"/>
      <c r="HS322" s="111"/>
      <c r="HT322" s="111"/>
      <c r="HU322" s="124"/>
      <c r="HV322" s="124"/>
      <c r="HW322" s="124"/>
      <c r="HZ322" s="111"/>
      <c r="IA322" s="124"/>
      <c r="IB322" s="124"/>
      <c r="IC322" s="124"/>
      <c r="IE322" s="111"/>
      <c r="IF322" s="124"/>
      <c r="IG322" s="124"/>
      <c r="IH322" s="124"/>
      <c r="IK322" s="124"/>
      <c r="IL322" s="124"/>
      <c r="IO322" s="124"/>
      <c r="IP322" s="124"/>
      <c r="IS322" s="160"/>
      <c r="IT322" s="160"/>
      <c r="IU322" s="160"/>
      <c r="IX322" s="124"/>
      <c r="IY322" s="124"/>
      <c r="IZ322" s="124"/>
      <c r="JA322" s="124"/>
      <c r="JD322" s="124"/>
      <c r="JE322" s="124"/>
      <c r="JH322" s="124"/>
      <c r="JI322" s="124"/>
      <c r="JJ322" s="124"/>
      <c r="JM322" s="124"/>
      <c r="JN322" s="124"/>
      <c r="JQ322" s="124"/>
      <c r="JR322" s="124"/>
      <c r="JS322" s="124"/>
      <c r="JV322" s="124"/>
      <c r="JW322" s="124"/>
      <c r="JY322" s="124"/>
      <c r="JZ322" s="124"/>
      <c r="KB322" s="124"/>
      <c r="KC322" s="124"/>
      <c r="KD322" s="124"/>
    </row>
    <row r="323" spans="2:290" hidden="1" x14ac:dyDescent="0.25">
      <c r="B323" s="11" t="str">
        <f>B307</f>
        <v>Consumer Products</v>
      </c>
      <c r="C323" s="23"/>
      <c r="D323" s="23"/>
      <c r="E323" s="23"/>
      <c r="F323" s="23"/>
      <c r="G323" s="23"/>
      <c r="H323" s="197"/>
      <c r="I323" s="198"/>
      <c r="J323" s="198"/>
      <c r="K323" s="198"/>
      <c r="L323" s="198"/>
      <c r="M323" s="197"/>
      <c r="N323" s="198"/>
      <c r="O323" s="198"/>
      <c r="P323" s="198"/>
      <c r="Q323" s="198"/>
      <c r="R323" s="197"/>
      <c r="S323" s="198"/>
      <c r="T323" s="198"/>
      <c r="U323" s="198"/>
      <c r="V323" s="198"/>
      <c r="W323" s="197"/>
      <c r="X323" s="198"/>
      <c r="Y323" s="198"/>
      <c r="Z323" s="198"/>
      <c r="AA323" s="198"/>
      <c r="AB323" s="42"/>
      <c r="AC323" s="24"/>
      <c r="AD323" s="24"/>
      <c r="AE323" s="24"/>
      <c r="AF323" s="24"/>
      <c r="AG323" s="42"/>
      <c r="AH323" s="24">
        <v>5.4551712269833075E-2</v>
      </c>
      <c r="AI323" s="24">
        <v>0.11608108108108108</v>
      </c>
      <c r="AJ323" s="24">
        <v>0.18060279113404476</v>
      </c>
      <c r="AK323" s="42">
        <v>0.12492869629220717</v>
      </c>
      <c r="AL323" s="24">
        <f>AL307/AL275</f>
        <v>0.14481938135409908</v>
      </c>
      <c r="AM323" s="24"/>
      <c r="AN323" s="24">
        <f t="shared" ref="AN323:BS323" si="440">AN307/AN275</f>
        <v>0.14927091327705294</v>
      </c>
      <c r="AO323" s="24">
        <f t="shared" si="440"/>
        <v>0.20997319034852546</v>
      </c>
      <c r="AP323" s="42">
        <f t="shared" si="440"/>
        <v>0.16883777085848636</v>
      </c>
      <c r="AQ323" s="24">
        <f t="shared" si="440"/>
        <v>0.11709486166007907</v>
      </c>
      <c r="AR323" s="24">
        <f t="shared" si="440"/>
        <v>0.13593731449602278</v>
      </c>
      <c r="AS323" s="24">
        <f t="shared" si="440"/>
        <v>0.13225312021020363</v>
      </c>
      <c r="AT323" s="24">
        <f t="shared" si="440"/>
        <v>0.25959723096286974</v>
      </c>
      <c r="AU323" s="42">
        <f t="shared" si="440"/>
        <v>0.16422195690488375</v>
      </c>
      <c r="AV323" s="207">
        <f t="shared" si="440"/>
        <v>0.1206</v>
      </c>
      <c r="AW323" s="207">
        <f t="shared" si="440"/>
        <v>0.12827140549273022</v>
      </c>
      <c r="AX323" s="207">
        <f t="shared" si="440"/>
        <v>0.12646651270207851</v>
      </c>
      <c r="AY323" s="207">
        <f t="shared" si="440"/>
        <v>0.18592351505288854</v>
      </c>
      <c r="AZ323" s="42">
        <f t="shared" si="440"/>
        <v>0.14022556390977445</v>
      </c>
      <c r="BA323" s="207">
        <f t="shared" si="440"/>
        <v>0.13207353394269281</v>
      </c>
      <c r="BB323" s="207">
        <f t="shared" si="440"/>
        <v>0.12699884125144845</v>
      </c>
      <c r="BC323" s="207">
        <f t="shared" si="440"/>
        <v>0.1460545193687231</v>
      </c>
      <c r="BD323" s="207">
        <f t="shared" si="440"/>
        <v>0.19498841861444513</v>
      </c>
      <c r="BE323" s="42">
        <f t="shared" si="440"/>
        <v>0.15033924843423799</v>
      </c>
      <c r="BF323" s="207">
        <f t="shared" si="440"/>
        <v>-0.16071428571428573</v>
      </c>
      <c r="BG323" s="207">
        <f t="shared" si="440"/>
        <v>0.14847314847314846</v>
      </c>
      <c r="BH323" s="207">
        <f t="shared" si="440"/>
        <v>0.19512820512820511</v>
      </c>
      <c r="BI323" s="207">
        <f t="shared" si="440"/>
        <v>0.23096774193548389</v>
      </c>
      <c r="BJ323" s="42">
        <f t="shared" si="440"/>
        <v>0.16843115665847944</v>
      </c>
      <c r="BK323" s="207">
        <f t="shared" si="440"/>
        <v>1.2794056954189021E-2</v>
      </c>
      <c r="BL323" s="207">
        <f t="shared" si="440"/>
        <v>0.15741656921831429</v>
      </c>
      <c r="BM323" s="207">
        <f t="shared" si="440"/>
        <v>0.16535433070866143</v>
      </c>
      <c r="BN323" s="207">
        <f t="shared" si="440"/>
        <v>0.1228813559322034</v>
      </c>
      <c r="BO323" s="42">
        <f t="shared" si="440"/>
        <v>0.13347651139253006</v>
      </c>
      <c r="BP323" s="207">
        <f t="shared" si="440"/>
        <v>0.11496293202464238</v>
      </c>
      <c r="BQ323" s="207">
        <f t="shared" si="440"/>
        <v>0.13868287016352426</v>
      </c>
      <c r="BR323" s="207">
        <f t="shared" si="440"/>
        <v>0.17062224907223611</v>
      </c>
      <c r="BS323" s="207">
        <f t="shared" si="440"/>
        <v>0.17777777777777778</v>
      </c>
      <c r="BT323" s="42">
        <f t="shared" ref="BT323:CK323" si="441">BT307/BT275</f>
        <v>0.15254161043634726</v>
      </c>
      <c r="BU323" s="207">
        <f t="shared" si="441"/>
        <v>0.16898589401448724</v>
      </c>
      <c r="BV323" s="207">
        <f t="shared" si="441"/>
        <v>0.16616084977238241</v>
      </c>
      <c r="BW323" s="207">
        <f t="shared" si="441"/>
        <v>0.17412979613638385</v>
      </c>
      <c r="BX323" s="207">
        <f t="shared" si="441"/>
        <v>0.17338403041825096</v>
      </c>
      <c r="BY323" s="42">
        <f t="shared" si="441"/>
        <v>0.17080083439143839</v>
      </c>
      <c r="BZ323" s="207">
        <f t="shared" si="441"/>
        <v>0.16544912027986416</v>
      </c>
      <c r="CA323" s="207">
        <f t="shared" si="441"/>
        <v>0.1607469438829531</v>
      </c>
      <c r="CB323" s="207">
        <f t="shared" si="441"/>
        <v>0.15899267055064839</v>
      </c>
      <c r="CC323" s="207">
        <f t="shared" si="441"/>
        <v>0.16602941176470587</v>
      </c>
      <c r="CD323" s="42">
        <f t="shared" si="441"/>
        <v>0.16316027088036117</v>
      </c>
      <c r="CE323" s="207">
        <f t="shared" si="441"/>
        <v>0.14096961073279804</v>
      </c>
      <c r="CF323" s="207">
        <f t="shared" si="441"/>
        <v>0.13667602361823636</v>
      </c>
      <c r="CG323" s="207">
        <f t="shared" si="441"/>
        <v>0.15312499999999998</v>
      </c>
      <c r="CH323" s="207">
        <f t="shared" si="441"/>
        <v>0.25485908649173955</v>
      </c>
      <c r="CI323" s="42">
        <f t="shared" si="441"/>
        <v>0.17757312858103877</v>
      </c>
      <c r="CJ323" s="42">
        <f t="shared" si="441"/>
        <v>0</v>
      </c>
      <c r="CK323" s="42">
        <f t="shared" si="441"/>
        <v>0</v>
      </c>
      <c r="CL323" s="42"/>
      <c r="CM323" s="42"/>
      <c r="CN323" s="42"/>
      <c r="CO323" s="74"/>
      <c r="CP323" s="74"/>
      <c r="CQ323" s="6"/>
      <c r="CR323" s="6"/>
      <c r="CS323" s="6"/>
      <c r="CT323" s="124"/>
      <c r="CU323" s="124"/>
      <c r="CV323" s="124"/>
      <c r="CW323" s="124"/>
      <c r="CX323" s="124"/>
      <c r="CY323" s="124"/>
      <c r="CZ323" s="124"/>
      <c r="DA323" s="124"/>
      <c r="DB323" s="124"/>
      <c r="DC323" s="124"/>
      <c r="DD323" s="124"/>
      <c r="DE323" s="124"/>
      <c r="DF323" s="124"/>
      <c r="DG323" s="124"/>
      <c r="DH323" s="124"/>
      <c r="DI323" s="124"/>
      <c r="DK323" s="124"/>
      <c r="DL323" s="124"/>
      <c r="DM323" s="6"/>
      <c r="DN323" s="124"/>
      <c r="DO323" s="124"/>
      <c r="DQ323" s="136"/>
      <c r="DR323" s="124"/>
      <c r="DS323" s="124"/>
      <c r="DT323" s="124"/>
      <c r="DV323" s="124"/>
      <c r="DW323" s="124"/>
      <c r="DX323" s="124"/>
      <c r="EA323" s="111"/>
      <c r="EB323" s="111"/>
      <c r="EC323" s="111"/>
      <c r="ED323" s="124"/>
      <c r="EE323" s="124"/>
      <c r="EF323" s="124"/>
      <c r="EJ323" s="111"/>
      <c r="EK323" s="111"/>
      <c r="EL323" s="124"/>
      <c r="EM323" s="124"/>
      <c r="EN323" s="124"/>
      <c r="EP323" s="111"/>
      <c r="EQ323" s="124"/>
      <c r="ER323" s="124"/>
      <c r="ES323" s="124"/>
      <c r="EV323" s="111"/>
      <c r="EW323" s="111"/>
      <c r="EX323" s="111"/>
      <c r="EY323" s="111"/>
      <c r="EZ323" s="124"/>
      <c r="FA323" s="124"/>
      <c r="FD323" s="111"/>
      <c r="FE323" s="111"/>
      <c r="FF323" s="111"/>
      <c r="FG323" s="124"/>
      <c r="FH323" s="124"/>
      <c r="FK323" s="124"/>
      <c r="FL323" s="124"/>
      <c r="FO323" s="111"/>
      <c r="FP323" s="111"/>
      <c r="FQ323" s="124"/>
      <c r="FR323" s="124"/>
      <c r="FU323" s="111"/>
      <c r="FV323" s="124"/>
      <c r="FW323" s="124"/>
      <c r="FX323" s="124"/>
      <c r="FY323" s="124"/>
      <c r="GA323" s="124"/>
      <c r="GB323" s="124"/>
      <c r="GC323" s="124"/>
      <c r="GF323" s="111" t="e">
        <v>#DIV/0!</v>
      </c>
      <c r="GG323" s="111"/>
      <c r="GH323" s="111"/>
      <c r="GI323" s="124"/>
      <c r="GJ323" s="124"/>
      <c r="GK323" s="124"/>
      <c r="GN323" s="111"/>
      <c r="GO323" s="111"/>
      <c r="GP323" s="124"/>
      <c r="GQ323" s="124"/>
      <c r="GR323" s="124"/>
      <c r="GV323" s="111"/>
      <c r="GW323" s="124"/>
      <c r="GX323" s="124"/>
      <c r="GY323" s="124"/>
      <c r="HC323" s="124"/>
      <c r="HD323" s="124"/>
      <c r="HE323" s="124"/>
      <c r="HF323" s="124"/>
      <c r="HI323" s="111"/>
      <c r="HJ323" s="111"/>
      <c r="HK323" s="111"/>
      <c r="HL323" s="111"/>
      <c r="HM323" s="124"/>
      <c r="HN323" s="124"/>
      <c r="HO323" s="124"/>
      <c r="HR323" s="111"/>
      <c r="HS323" s="111"/>
      <c r="HT323" s="111"/>
      <c r="HU323" s="124"/>
      <c r="HV323" s="124"/>
      <c r="HW323" s="124"/>
      <c r="HZ323" s="111"/>
      <c r="IA323" s="124"/>
      <c r="IB323" s="124"/>
      <c r="IC323" s="124"/>
      <c r="IE323" s="111"/>
      <c r="IF323" s="124"/>
      <c r="IG323" s="124"/>
      <c r="IH323" s="124"/>
      <c r="IK323" s="124"/>
      <c r="IL323" s="124"/>
      <c r="IO323" s="124"/>
      <c r="IP323" s="124"/>
      <c r="IS323" s="160"/>
      <c r="IT323" s="160"/>
      <c r="IU323" s="160"/>
      <c r="IX323" s="124"/>
      <c r="IY323" s="124"/>
      <c r="IZ323" s="124"/>
      <c r="JA323" s="124"/>
      <c r="JD323" s="124"/>
      <c r="JE323" s="124"/>
      <c r="JH323" s="124"/>
      <c r="JI323" s="124"/>
      <c r="JJ323" s="124"/>
      <c r="JM323" s="124"/>
      <c r="JN323" s="124"/>
      <c r="JQ323" s="124"/>
      <c r="JR323" s="124"/>
      <c r="JS323" s="124"/>
      <c r="JV323" s="124"/>
      <c r="JW323" s="124"/>
      <c r="JY323" s="124"/>
      <c r="JZ323" s="124"/>
      <c r="KB323" s="124"/>
      <c r="KC323" s="124"/>
      <c r="KD323" s="124"/>
    </row>
    <row r="324" spans="2:290" hidden="1" x14ac:dyDescent="0.25">
      <c r="B324" s="11" t="str">
        <f>B308</f>
        <v>Others</v>
      </c>
      <c r="C324" s="23"/>
      <c r="D324" s="23"/>
      <c r="E324" s="23"/>
      <c r="F324" s="23"/>
      <c r="G324" s="23"/>
      <c r="H324" s="197"/>
      <c r="I324" s="198"/>
      <c r="J324" s="198"/>
      <c r="K324" s="198"/>
      <c r="L324" s="198"/>
      <c r="M324" s="197"/>
      <c r="N324" s="198"/>
      <c r="O324" s="198"/>
      <c r="P324" s="198"/>
      <c r="Q324" s="198"/>
      <c r="R324" s="197"/>
      <c r="S324" s="198"/>
      <c r="T324" s="198"/>
      <c r="U324" s="198"/>
      <c r="V324" s="198"/>
      <c r="W324" s="197"/>
      <c r="X324" s="198"/>
      <c r="Y324" s="198"/>
      <c r="Z324" s="198"/>
      <c r="AA324" s="198"/>
      <c r="AB324" s="42"/>
      <c r="AC324" s="24"/>
      <c r="AD324" s="24"/>
      <c r="AE324" s="24"/>
      <c r="AF324" s="24"/>
      <c r="AG324" s="42"/>
      <c r="AH324" s="24" t="e">
        <v>#DIV/0!</v>
      </c>
      <c r="AI324" s="24" t="e">
        <v>#DIV/0!</v>
      </c>
      <c r="AJ324" s="24" t="e">
        <v>#DIV/0!</v>
      </c>
      <c r="AK324" s="42" t="e">
        <v>#DIV/0!</v>
      </c>
      <c r="AL324" s="24">
        <f>AL308/AL277</f>
        <v>-0.13965822038892164</v>
      </c>
      <c r="AM324" s="24"/>
      <c r="AN324" s="24">
        <f t="shared" ref="AN324:CK324" si="442">AN308/AN277</f>
        <v>-0.47832369942196534</v>
      </c>
      <c r="AO324" s="24">
        <f t="shared" si="442"/>
        <v>1.7368649587494573E-3</v>
      </c>
      <c r="AP324" s="42">
        <f t="shared" si="442"/>
        <v>-0.11414127976586404</v>
      </c>
      <c r="AQ324" s="24">
        <f t="shared" si="442"/>
        <v>-0.28700361010830328</v>
      </c>
      <c r="AR324" s="24">
        <f t="shared" si="442"/>
        <v>-0.79518072289156638</v>
      </c>
      <c r="AS324" s="24">
        <f t="shared" si="442"/>
        <v>-0.39930151338766007</v>
      </c>
      <c r="AT324" s="24">
        <f t="shared" si="442"/>
        <v>0.26601423487544484</v>
      </c>
      <c r="AU324" s="42">
        <f t="shared" si="442"/>
        <v>3.9746798174591487E-2</v>
      </c>
      <c r="AV324" s="207">
        <f t="shared" si="442"/>
        <v>-0.7533333333333333</v>
      </c>
      <c r="AW324" s="207">
        <f t="shared" si="442"/>
        <v>0</v>
      </c>
      <c r="AX324" s="207">
        <f t="shared" si="442"/>
        <v>0</v>
      </c>
      <c r="AY324" s="207">
        <f t="shared" si="442"/>
        <v>-1.0416666666666666E-2</v>
      </c>
      <c r="AZ324" s="42">
        <f t="shared" si="442"/>
        <v>0</v>
      </c>
      <c r="BA324" s="207">
        <f t="shared" si="442"/>
        <v>-2.5830258302583023E-2</v>
      </c>
      <c r="BB324" s="207">
        <f t="shared" si="442"/>
        <v>4.8092868988391373E-2</v>
      </c>
      <c r="BC324" s="207">
        <f t="shared" si="442"/>
        <v>1.9193857965451058E-2</v>
      </c>
      <c r="BD324" s="207">
        <f t="shared" si="442"/>
        <v>0.15139064475347661</v>
      </c>
      <c r="BE324" s="42">
        <f t="shared" si="442"/>
        <v>9.743187610272494E-2</v>
      </c>
      <c r="BF324" s="207">
        <f t="shared" si="442"/>
        <v>-3.692307692307692E-2</v>
      </c>
      <c r="BG324" s="207">
        <f t="shared" si="442"/>
        <v>0.24625950453765019</v>
      </c>
      <c r="BH324" s="207">
        <f t="shared" si="442"/>
        <v>0.26343679031037093</v>
      </c>
      <c r="BI324" s="207">
        <f t="shared" si="442"/>
        <v>3.5390199637023598E-2</v>
      </c>
      <c r="BJ324" s="42">
        <f t="shared" si="442"/>
        <v>0.2246014089729329</v>
      </c>
      <c r="BK324" s="207">
        <f t="shared" si="442"/>
        <v>-2.8688524590163939E-2</v>
      </c>
      <c r="BL324" s="207">
        <f t="shared" si="442"/>
        <v>0.10825780463242698</v>
      </c>
      <c r="BM324" s="207">
        <f t="shared" si="442"/>
        <v>0.20739950195659981</v>
      </c>
      <c r="BN324" s="207">
        <f t="shared" si="442"/>
        <v>5.1218299353555451E-2</v>
      </c>
      <c r="BO324" s="42">
        <f t="shared" si="442"/>
        <v>9.6066393815370618E-2</v>
      </c>
      <c r="BP324" s="207">
        <f t="shared" si="442"/>
        <v>-2.9540481400437638E-2</v>
      </c>
      <c r="BQ324" s="207">
        <f t="shared" si="442"/>
        <v>-0.18497109826589594</v>
      </c>
      <c r="BR324" s="207">
        <f t="shared" si="442"/>
        <v>-4.7562425683709874E-3</v>
      </c>
      <c r="BS324" s="207">
        <f t="shared" si="442"/>
        <v>7.4099252209381378E-2</v>
      </c>
      <c r="BT324" s="42">
        <f t="shared" si="442"/>
        <v>-4.5826235093696759E-2</v>
      </c>
      <c r="BU324" s="207">
        <f t="shared" si="442"/>
        <v>3.1347962382445144E-3</v>
      </c>
      <c r="BV324" s="207">
        <f t="shared" si="442"/>
        <v>-1.6300940438871474E-2</v>
      </c>
      <c r="BW324" s="207">
        <f t="shared" si="442"/>
        <v>-5.4016620498614963E-2</v>
      </c>
      <c r="BX324" s="207">
        <f t="shared" si="442"/>
        <v>-3.4292035398230093E-2</v>
      </c>
      <c r="BY324" s="42">
        <f t="shared" si="442"/>
        <v>-1.8895348837209305E-2</v>
      </c>
      <c r="BZ324" s="207">
        <f t="shared" si="442"/>
        <v>-3.9556962025316451E-2</v>
      </c>
      <c r="CA324" s="207">
        <f t="shared" si="442"/>
        <v>1.6172506738544475E-2</v>
      </c>
      <c r="CB324" s="207">
        <f t="shared" si="442"/>
        <v>4.1614123581336697E-2</v>
      </c>
      <c r="CC324" s="207">
        <f t="shared" si="442"/>
        <v>1.840909090909091E-2</v>
      </c>
      <c r="CD324" s="42">
        <f t="shared" si="442"/>
        <v>1.532258064516129E-2</v>
      </c>
      <c r="CE324" s="207">
        <f t="shared" si="442"/>
        <v>-1.040988939492518E-2</v>
      </c>
      <c r="CF324" s="207">
        <f t="shared" si="442"/>
        <v>4.8387096774193542E-3</v>
      </c>
      <c r="CG324" s="207">
        <f t="shared" si="442"/>
        <v>6.1538461538461538E-3</v>
      </c>
      <c r="CH324" s="207">
        <f t="shared" si="442"/>
        <v>-0.20990488684814695</v>
      </c>
      <c r="CI324" s="42">
        <f t="shared" si="442"/>
        <v>-7.5207591933570586E-2</v>
      </c>
      <c r="CJ324" s="42">
        <f t="shared" si="442"/>
        <v>-7.5207591933570586E-2</v>
      </c>
      <c r="CK324" s="42">
        <f t="shared" si="442"/>
        <v>-7.5207591933570586E-2</v>
      </c>
      <c r="CL324" s="42"/>
      <c r="CM324" s="42"/>
      <c r="CN324" s="42"/>
      <c r="CO324" s="74"/>
      <c r="CP324" s="74"/>
      <c r="CQ324" s="6"/>
      <c r="CR324" s="6"/>
      <c r="CS324" s="6"/>
      <c r="CT324" s="124"/>
      <c r="CU324" s="124"/>
      <c r="CV324" s="124"/>
      <c r="CW324" s="124"/>
      <c r="CX324" s="124"/>
      <c r="CY324" s="124"/>
      <c r="CZ324" s="124"/>
      <c r="DA324" s="124"/>
      <c r="DB324" s="124"/>
      <c r="DC324" s="124"/>
      <c r="DD324" s="124"/>
      <c r="DE324" s="124"/>
      <c r="DF324" s="124"/>
      <c r="DG324" s="124"/>
      <c r="DH324" s="124"/>
      <c r="DI324" s="124"/>
      <c r="DK324" s="124"/>
      <c r="DL324" s="124"/>
      <c r="DM324" s="6"/>
      <c r="DN324" s="124"/>
      <c r="DO324" s="124"/>
      <c r="DQ324" s="136"/>
      <c r="DR324" s="124"/>
      <c r="DS324" s="124"/>
      <c r="DT324" s="124"/>
      <c r="DV324" s="124"/>
      <c r="DW324" s="124"/>
      <c r="DX324" s="124"/>
      <c r="EA324" s="111"/>
      <c r="EB324" s="111"/>
      <c r="EC324" s="111"/>
      <c r="ED324" s="124"/>
      <c r="EE324" s="124"/>
      <c r="EF324" s="124"/>
      <c r="EJ324" s="111"/>
      <c r="EK324" s="111"/>
      <c r="EL324" s="124"/>
      <c r="EM324" s="124"/>
      <c r="EN324" s="124"/>
      <c r="EP324" s="111"/>
      <c r="EQ324" s="124"/>
      <c r="ER324" s="124"/>
      <c r="ES324" s="124"/>
      <c r="EV324" s="111"/>
      <c r="EW324" s="111"/>
      <c r="EX324" s="111"/>
      <c r="EY324" s="111"/>
      <c r="EZ324" s="124"/>
      <c r="FA324" s="124"/>
      <c r="FD324" s="111"/>
      <c r="FE324" s="111"/>
      <c r="FF324" s="111"/>
      <c r="FG324" s="124"/>
      <c r="FH324" s="124"/>
      <c r="FK324" s="124"/>
      <c r="FL324" s="124"/>
      <c r="FO324" s="111"/>
      <c r="FP324" s="111"/>
      <c r="FQ324" s="124"/>
      <c r="FR324" s="124"/>
      <c r="FU324" s="111"/>
      <c r="FV324" s="124"/>
      <c r="FW324" s="124"/>
      <c r="FX324" s="124"/>
      <c r="FY324" s="124"/>
      <c r="GA324" s="124"/>
      <c r="GB324" s="124"/>
      <c r="GC324" s="124"/>
      <c r="GF324" s="111" t="e">
        <v>#DIV/0!</v>
      </c>
      <c r="GG324" s="111"/>
      <c r="GH324" s="111"/>
      <c r="GI324" s="124"/>
      <c r="GJ324" s="124"/>
      <c r="GK324" s="124"/>
      <c r="GN324" s="111"/>
      <c r="GO324" s="111"/>
      <c r="GP324" s="124"/>
      <c r="GQ324" s="124"/>
      <c r="GR324" s="124"/>
      <c r="GV324" s="111"/>
      <c r="GW324" s="124"/>
      <c r="GX324" s="124"/>
      <c r="GY324" s="124"/>
      <c r="HC324" s="124"/>
      <c r="HD324" s="124"/>
      <c r="HE324" s="124">
        <v>-78</v>
      </c>
      <c r="HF324" s="124"/>
      <c r="HI324" s="111"/>
      <c r="HJ324" s="111"/>
      <c r="HK324" s="111"/>
      <c r="HL324" s="111"/>
      <c r="HM324" s="124">
        <v>-78</v>
      </c>
      <c r="HN324" s="124"/>
      <c r="HO324" s="124"/>
      <c r="HR324" s="111"/>
      <c r="HS324" s="111"/>
      <c r="HT324" s="111"/>
      <c r="HU324" s="124">
        <v>-78</v>
      </c>
      <c r="HV324" s="124"/>
      <c r="HW324" s="124"/>
      <c r="HZ324" s="111"/>
      <c r="IA324" s="124">
        <v>-78</v>
      </c>
      <c r="IB324" s="124"/>
      <c r="IC324" s="124"/>
      <c r="IE324" s="111"/>
      <c r="IF324" s="124">
        <v>-78</v>
      </c>
      <c r="IG324" s="124"/>
      <c r="IH324" s="124"/>
      <c r="IK324" s="124"/>
      <c r="IL324" s="124"/>
      <c r="IO324" s="124"/>
      <c r="IP324" s="124"/>
      <c r="IS324" s="160"/>
      <c r="IT324" s="160"/>
      <c r="IU324" s="160"/>
      <c r="IX324" s="124"/>
      <c r="IY324" s="124"/>
      <c r="IZ324" s="124"/>
      <c r="JA324" s="124"/>
      <c r="JD324" s="124"/>
      <c r="JE324" s="124"/>
      <c r="JH324" s="124"/>
      <c r="JI324" s="124"/>
      <c r="JJ324" s="124"/>
      <c r="JM324" s="124"/>
      <c r="JN324" s="124"/>
      <c r="JQ324" s="124"/>
      <c r="JR324" s="124"/>
      <c r="JS324" s="124"/>
      <c r="JV324" s="124"/>
      <c r="JW324" s="124"/>
      <c r="JY324" s="124"/>
      <c r="JZ324" s="124"/>
      <c r="KB324" s="124"/>
      <c r="KC324" s="124"/>
      <c r="KD324" s="124"/>
    </row>
    <row r="325" spans="2:290" hidden="1" x14ac:dyDescent="0.25">
      <c r="B325" s="11"/>
      <c r="C325" s="11"/>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c r="CO325" s="15"/>
      <c r="CP325" s="15"/>
      <c r="CQ325" s="6"/>
      <c r="CR325" s="6"/>
      <c r="CS325" s="6"/>
      <c r="CT325" s="15"/>
      <c r="CU325" s="15"/>
      <c r="CV325" s="15"/>
      <c r="CW325" s="15"/>
      <c r="CX325" s="15"/>
      <c r="DK325" s="6"/>
      <c r="DL325" s="6"/>
      <c r="DM325" s="6"/>
      <c r="DN325" s="6"/>
      <c r="DO325" s="6"/>
      <c r="EA325" s="15"/>
      <c r="EB325" s="15"/>
      <c r="EC325" s="15"/>
      <c r="ED325" s="15"/>
      <c r="EE325" s="15"/>
      <c r="EF325" s="15"/>
      <c r="EJ325" s="15"/>
      <c r="EK325" s="15"/>
      <c r="EL325" s="15"/>
      <c r="EM325" s="15"/>
      <c r="EN325" s="15"/>
      <c r="EP325" s="15"/>
      <c r="EQ325" s="15"/>
      <c r="ER325" s="15"/>
      <c r="ES325" s="15"/>
      <c r="EV325" s="15"/>
      <c r="EW325" s="15"/>
      <c r="EX325" s="15"/>
      <c r="EY325" s="15"/>
      <c r="EZ325" s="15"/>
      <c r="FA325" s="15"/>
      <c r="FD325" s="15"/>
      <c r="FE325" s="15"/>
      <c r="FF325" s="15"/>
      <c r="FG325" s="15"/>
      <c r="FH325" s="15"/>
      <c r="FK325" s="15"/>
      <c r="FL325" s="15"/>
      <c r="FO325" s="15"/>
      <c r="FP325" s="15"/>
      <c r="FQ325" s="15"/>
      <c r="FR325" s="15"/>
      <c r="FU325" s="15"/>
      <c r="FV325" s="15"/>
      <c r="FW325" s="15"/>
      <c r="FX325" s="15"/>
      <c r="FY325" s="15"/>
      <c r="GA325" s="15"/>
      <c r="GB325" s="15"/>
      <c r="GC325" s="15"/>
      <c r="GF325" s="15"/>
      <c r="GG325" s="15"/>
      <c r="GH325" s="15"/>
      <c r="GI325" s="15"/>
      <c r="GJ325" s="15"/>
      <c r="GK325" s="15"/>
      <c r="GN325" s="15"/>
      <c r="GO325" s="15"/>
      <c r="GP325" s="15"/>
      <c r="GQ325" s="15"/>
      <c r="GR325" s="15"/>
      <c r="GV325" s="15"/>
      <c r="GW325" s="15"/>
      <c r="GX325" s="15"/>
      <c r="GY325" s="15"/>
      <c r="HC325" s="15"/>
      <c r="HD325" s="15"/>
      <c r="HE325" s="15"/>
      <c r="HF325" s="15"/>
      <c r="HI325" s="15"/>
      <c r="HJ325" s="15"/>
      <c r="HK325" s="15"/>
      <c r="HL325" s="15"/>
      <c r="HM325" s="15"/>
      <c r="HN325" s="15"/>
      <c r="HO325" s="15"/>
      <c r="HR325" s="15"/>
      <c r="HS325" s="15"/>
      <c r="HT325" s="15"/>
      <c r="HU325" s="15"/>
      <c r="HV325" s="15"/>
      <c r="HW325" s="15"/>
      <c r="HZ325" s="15"/>
      <c r="IA325" s="15"/>
      <c r="IB325" s="15"/>
      <c r="IC325" s="15"/>
      <c r="IE325" s="15"/>
      <c r="IF325" s="15"/>
      <c r="IG325" s="15"/>
      <c r="IH325" s="15"/>
      <c r="IK325" s="15"/>
      <c r="IL325" s="15"/>
      <c r="IO325" s="15"/>
      <c r="IP325" s="15"/>
      <c r="IS325" s="15"/>
      <c r="IT325" s="15"/>
      <c r="IU325" s="15"/>
      <c r="IX325" s="15"/>
      <c r="IY325" s="15"/>
      <c r="IZ325" s="15"/>
      <c r="JA325" s="15"/>
      <c r="JD325" s="15"/>
      <c r="JE325" s="15"/>
      <c r="JH325" s="15"/>
      <c r="JI325" s="15"/>
      <c r="JJ325" s="15"/>
      <c r="JM325" s="15"/>
      <c r="JN325" s="15"/>
      <c r="JQ325" s="15"/>
      <c r="JR325" s="15"/>
      <c r="JS325" s="15"/>
      <c r="JV325" s="15"/>
      <c r="JW325" s="15"/>
      <c r="JY325" s="15"/>
      <c r="JZ325" s="15"/>
      <c r="KB325" s="15"/>
      <c r="KC325" s="15"/>
      <c r="KD325" s="15"/>
    </row>
    <row r="326" spans="2:290" s="60" customFormat="1" hidden="1" x14ac:dyDescent="0.25">
      <c r="B326" s="34" t="s">
        <v>247</v>
      </c>
      <c r="C326" s="99"/>
      <c r="D326" s="99">
        <f>D319</f>
        <v>0</v>
      </c>
      <c r="E326" s="99">
        <f t="shared" ref="E326:BP326" si="443">E319</f>
        <v>0</v>
      </c>
      <c r="F326" s="99">
        <f t="shared" si="443"/>
        <v>0</v>
      </c>
      <c r="G326" s="99">
        <f t="shared" si="443"/>
        <v>0</v>
      </c>
      <c r="H326" s="83">
        <f t="shared" si="443"/>
        <v>0</v>
      </c>
      <c r="I326" s="62">
        <f t="shared" si="443"/>
        <v>0</v>
      </c>
      <c r="J326" s="62">
        <f t="shared" si="443"/>
        <v>0</v>
      </c>
      <c r="K326" s="62">
        <f t="shared" si="443"/>
        <v>0</v>
      </c>
      <c r="L326" s="62">
        <f t="shared" si="443"/>
        <v>0</v>
      </c>
      <c r="M326" s="83">
        <f t="shared" si="443"/>
        <v>0</v>
      </c>
      <c r="N326" s="62">
        <f t="shared" si="443"/>
        <v>0</v>
      </c>
      <c r="O326" s="62">
        <f t="shared" si="443"/>
        <v>0</v>
      </c>
      <c r="P326" s="62">
        <f t="shared" si="443"/>
        <v>0</v>
      </c>
      <c r="Q326" s="62">
        <f t="shared" si="443"/>
        <v>0</v>
      </c>
      <c r="R326" s="83">
        <f t="shared" si="443"/>
        <v>0</v>
      </c>
      <c r="S326" s="62">
        <f t="shared" si="443"/>
        <v>0</v>
      </c>
      <c r="T326" s="62">
        <f t="shared" si="443"/>
        <v>0</v>
      </c>
      <c r="U326" s="62">
        <f t="shared" si="443"/>
        <v>0</v>
      </c>
      <c r="V326" s="62">
        <f t="shared" si="443"/>
        <v>0</v>
      </c>
      <c r="W326" s="83">
        <f t="shared" si="443"/>
        <v>0</v>
      </c>
      <c r="X326" s="62">
        <f t="shared" si="443"/>
        <v>0</v>
      </c>
      <c r="Y326" s="62">
        <f t="shared" si="443"/>
        <v>0</v>
      </c>
      <c r="Z326" s="62">
        <f t="shared" si="443"/>
        <v>0</v>
      </c>
      <c r="AA326" s="62">
        <f t="shared" si="443"/>
        <v>0</v>
      </c>
      <c r="AB326" s="83">
        <f t="shared" si="443"/>
        <v>0</v>
      </c>
      <c r="AC326" s="62">
        <f t="shared" si="443"/>
        <v>0</v>
      </c>
      <c r="AD326" s="62">
        <f t="shared" si="443"/>
        <v>0</v>
      </c>
      <c r="AE326" s="62">
        <f t="shared" si="443"/>
        <v>0</v>
      </c>
      <c r="AF326" s="62">
        <f t="shared" si="443"/>
        <v>0</v>
      </c>
      <c r="AG326" s="83">
        <f t="shared" si="443"/>
        <v>0</v>
      </c>
      <c r="AH326" s="62">
        <f t="shared" si="443"/>
        <v>0</v>
      </c>
      <c r="AI326" s="62">
        <f t="shared" si="443"/>
        <v>0</v>
      </c>
      <c r="AJ326" s="62">
        <f t="shared" si="443"/>
        <v>0</v>
      </c>
      <c r="AK326" s="83">
        <f t="shared" si="443"/>
        <v>0</v>
      </c>
      <c r="AL326" s="62">
        <f t="shared" si="443"/>
        <v>0</v>
      </c>
      <c r="AM326" s="62">
        <f t="shared" si="443"/>
        <v>0</v>
      </c>
      <c r="AN326" s="62">
        <f t="shared" si="443"/>
        <v>0</v>
      </c>
      <c r="AO326" s="62">
        <f t="shared" si="443"/>
        <v>0</v>
      </c>
      <c r="AP326" s="83">
        <f t="shared" si="443"/>
        <v>0</v>
      </c>
      <c r="AQ326" s="62">
        <f t="shared" si="443"/>
        <v>0</v>
      </c>
      <c r="AR326" s="62">
        <f t="shared" si="443"/>
        <v>0</v>
      </c>
      <c r="AS326" s="62">
        <f t="shared" si="443"/>
        <v>0</v>
      </c>
      <c r="AT326" s="62">
        <f t="shared" si="443"/>
        <v>0</v>
      </c>
      <c r="AU326" s="83">
        <f t="shared" si="443"/>
        <v>0</v>
      </c>
      <c r="AV326" s="196">
        <f t="shared" si="443"/>
        <v>0</v>
      </c>
      <c r="AW326" s="196">
        <f t="shared" si="443"/>
        <v>0</v>
      </c>
      <c r="AX326" s="196">
        <f t="shared" si="443"/>
        <v>0</v>
      </c>
      <c r="AY326" s="196">
        <f t="shared" si="443"/>
        <v>0</v>
      </c>
      <c r="AZ326" s="83">
        <f t="shared" si="443"/>
        <v>0</v>
      </c>
      <c r="BA326" s="196">
        <f t="shared" si="443"/>
        <v>0</v>
      </c>
      <c r="BB326" s="196">
        <f t="shared" si="443"/>
        <v>0</v>
      </c>
      <c r="BC326" s="196">
        <f t="shared" si="443"/>
        <v>0</v>
      </c>
      <c r="BD326" s="196">
        <f t="shared" si="443"/>
        <v>0</v>
      </c>
      <c r="BE326" s="83">
        <f t="shared" si="443"/>
        <v>0</v>
      </c>
      <c r="BF326" s="196">
        <f t="shared" si="443"/>
        <v>0</v>
      </c>
      <c r="BG326" s="196">
        <f t="shared" si="443"/>
        <v>0</v>
      </c>
      <c r="BH326" s="196">
        <f t="shared" si="443"/>
        <v>0</v>
      </c>
      <c r="BI326" s="196">
        <f t="shared" si="443"/>
        <v>0</v>
      </c>
      <c r="BJ326" s="83">
        <f t="shared" si="443"/>
        <v>0</v>
      </c>
      <c r="BK326" s="196">
        <f t="shared" si="443"/>
        <v>0</v>
      </c>
      <c r="BL326" s="196">
        <f t="shared" si="443"/>
        <v>0</v>
      </c>
      <c r="BM326" s="196">
        <f t="shared" si="443"/>
        <v>0</v>
      </c>
      <c r="BN326" s="196">
        <f t="shared" si="443"/>
        <v>0</v>
      </c>
      <c r="BO326" s="83">
        <f t="shared" si="443"/>
        <v>0</v>
      </c>
      <c r="BP326" s="196">
        <f t="shared" si="443"/>
        <v>0</v>
      </c>
      <c r="BQ326" s="196">
        <f t="shared" ref="BQ326:CK326" si="444">BQ319</f>
        <v>0</v>
      </c>
      <c r="BR326" s="196">
        <f t="shared" si="444"/>
        <v>0</v>
      </c>
      <c r="BS326" s="196">
        <f t="shared" si="444"/>
        <v>0</v>
      </c>
      <c r="BT326" s="83">
        <f t="shared" si="444"/>
        <v>0</v>
      </c>
      <c r="BU326" s="196">
        <f t="shared" si="444"/>
        <v>0</v>
      </c>
      <c r="BV326" s="196">
        <f t="shared" si="444"/>
        <v>0</v>
      </c>
      <c r="BW326" s="196">
        <f t="shared" si="444"/>
        <v>0</v>
      </c>
      <c r="BX326" s="196">
        <f t="shared" si="444"/>
        <v>0</v>
      </c>
      <c r="BY326" s="83">
        <f t="shared" si="444"/>
        <v>0</v>
      </c>
      <c r="BZ326" s="196">
        <f t="shared" si="444"/>
        <v>0</v>
      </c>
      <c r="CA326" s="196">
        <f t="shared" si="444"/>
        <v>0</v>
      </c>
      <c r="CB326" s="196">
        <f t="shared" si="444"/>
        <v>0</v>
      </c>
      <c r="CC326" s="196">
        <f t="shared" si="444"/>
        <v>0</v>
      </c>
      <c r="CD326" s="83">
        <f t="shared" si="444"/>
        <v>0</v>
      </c>
      <c r="CE326" s="196">
        <f t="shared" si="444"/>
        <v>0</v>
      </c>
      <c r="CF326" s="196">
        <f t="shared" si="444"/>
        <v>0</v>
      </c>
      <c r="CG326" s="196">
        <f t="shared" si="444"/>
        <v>0</v>
      </c>
      <c r="CH326" s="196">
        <f t="shared" si="444"/>
        <v>0</v>
      </c>
      <c r="CI326" s="83">
        <f t="shared" si="444"/>
        <v>0</v>
      </c>
      <c r="CJ326" s="83">
        <f t="shared" si="444"/>
        <v>0</v>
      </c>
      <c r="CK326" s="83">
        <f t="shared" si="444"/>
        <v>0</v>
      </c>
      <c r="CL326" s="83"/>
      <c r="CM326" s="83"/>
      <c r="CN326" s="83"/>
      <c r="CO326" s="148"/>
      <c r="CP326" s="148"/>
      <c r="CQ326" s="58"/>
      <c r="CR326" s="58"/>
      <c r="CS326" s="58"/>
      <c r="CT326" s="143"/>
      <c r="CU326" s="143"/>
      <c r="CV326" s="143"/>
      <c r="CW326" s="143"/>
      <c r="CX326" s="143"/>
      <c r="CY326" s="143"/>
      <c r="CZ326" s="143"/>
      <c r="DA326" s="143"/>
      <c r="DB326" s="143"/>
      <c r="DC326" s="143"/>
      <c r="DD326" s="143"/>
      <c r="DE326" s="143"/>
      <c r="DF326" s="143"/>
      <c r="DG326" s="143"/>
      <c r="DH326" s="143"/>
      <c r="DI326" s="143"/>
      <c r="DK326" s="143"/>
      <c r="DL326" s="143"/>
      <c r="DM326" s="58"/>
      <c r="DN326" s="143"/>
      <c r="DO326" s="143"/>
      <c r="DQ326" s="4"/>
      <c r="DR326" s="143"/>
      <c r="DS326" s="143"/>
      <c r="DT326" s="143"/>
      <c r="DV326" s="143"/>
      <c r="DW326" s="143"/>
      <c r="DX326" s="143"/>
      <c r="EA326" s="119"/>
      <c r="EB326" s="119"/>
      <c r="EC326" s="119"/>
      <c r="ED326" s="143"/>
      <c r="EE326" s="143"/>
      <c r="EF326" s="143"/>
      <c r="EJ326" s="119"/>
      <c r="EK326" s="119"/>
      <c r="EL326" s="143"/>
      <c r="EM326" s="143"/>
      <c r="EN326" s="143"/>
      <c r="EP326" s="119"/>
      <c r="EQ326" s="143"/>
      <c r="ER326" s="143"/>
      <c r="ES326" s="143"/>
      <c r="EV326" s="119"/>
      <c r="EW326" s="119"/>
      <c r="EX326" s="119"/>
      <c r="EY326" s="119"/>
      <c r="EZ326" s="143"/>
      <c r="FA326" s="143"/>
      <c r="FD326" s="119"/>
      <c r="FE326" s="119"/>
      <c r="FF326" s="119"/>
      <c r="FG326" s="143"/>
      <c r="FH326" s="143"/>
      <c r="FK326" s="143"/>
      <c r="FL326" s="143"/>
      <c r="FO326" s="119"/>
      <c r="FP326" s="119"/>
      <c r="FQ326" s="143"/>
      <c r="FR326" s="143"/>
      <c r="FU326" s="119"/>
      <c r="FV326" s="143"/>
      <c r="FW326" s="143"/>
      <c r="FX326" s="143"/>
      <c r="FY326" s="143"/>
      <c r="GA326" s="143"/>
      <c r="GB326" s="143"/>
      <c r="GC326" s="143"/>
      <c r="GF326" s="119"/>
      <c r="GG326" s="119"/>
      <c r="GH326" s="119"/>
      <c r="GI326" s="143"/>
      <c r="GJ326" s="143"/>
      <c r="GK326" s="143"/>
      <c r="GN326" s="119"/>
      <c r="GO326" s="119"/>
      <c r="GP326" s="143"/>
      <c r="GQ326" s="143"/>
      <c r="GR326" s="143"/>
      <c r="GV326" s="119"/>
      <c r="GW326" s="143"/>
      <c r="GX326" s="143"/>
      <c r="GY326" s="143"/>
      <c r="HC326" s="143"/>
      <c r="HD326" s="143"/>
      <c r="HE326" s="143"/>
      <c r="HF326" s="143"/>
      <c r="HI326" s="119"/>
      <c r="HJ326" s="119"/>
      <c r="HK326" s="119"/>
      <c r="HL326" s="119"/>
      <c r="HM326" s="143"/>
      <c r="HN326" s="143"/>
      <c r="HO326" s="143"/>
      <c r="HR326" s="119"/>
      <c r="HS326" s="119"/>
      <c r="HT326" s="119"/>
      <c r="HU326" s="143"/>
      <c r="HV326" s="143"/>
      <c r="HW326" s="143"/>
      <c r="HZ326" s="119"/>
      <c r="IA326" s="143"/>
      <c r="IB326" s="143"/>
      <c r="IC326" s="143"/>
      <c r="IE326" s="119"/>
      <c r="IF326" s="143"/>
      <c r="IG326" s="143"/>
      <c r="IH326" s="143"/>
      <c r="IK326" s="143"/>
      <c r="IL326" s="143"/>
      <c r="IO326" s="143"/>
      <c r="IP326" s="143"/>
      <c r="IS326" s="157"/>
      <c r="IT326" s="157"/>
      <c r="IU326" s="157"/>
      <c r="IX326" s="143"/>
      <c r="IY326" s="143"/>
      <c r="IZ326" s="143"/>
      <c r="JA326" s="143"/>
      <c r="JD326" s="143"/>
      <c r="JE326" s="143"/>
      <c r="JH326" s="143"/>
      <c r="JI326" s="143"/>
      <c r="JJ326" s="143"/>
      <c r="JM326" s="143"/>
      <c r="JN326" s="143"/>
      <c r="JQ326" s="143"/>
      <c r="JR326" s="143"/>
      <c r="JS326" s="143"/>
      <c r="JV326" s="143"/>
      <c r="JW326" s="143"/>
      <c r="JY326" s="143"/>
      <c r="JZ326" s="143"/>
      <c r="KB326" s="143"/>
      <c r="KC326" s="143"/>
      <c r="KD326" s="143"/>
    </row>
    <row r="327" spans="2:290" hidden="1" x14ac:dyDescent="0.25">
      <c r="B327" s="11" t="str">
        <f t="shared" ref="B327:B333" si="445">B304</f>
        <v>Plastics Piping Products</v>
      </c>
      <c r="C327" s="23"/>
      <c r="D327" s="23"/>
      <c r="E327" s="23"/>
      <c r="F327" s="23"/>
      <c r="G327" s="23"/>
      <c r="H327" s="197"/>
      <c r="I327" s="198"/>
      <c r="J327" s="198"/>
      <c r="K327" s="198"/>
      <c r="L327" s="198"/>
      <c r="M327" s="197"/>
      <c r="N327" s="198"/>
      <c r="O327" s="198"/>
      <c r="P327" s="198"/>
      <c r="Q327" s="198"/>
      <c r="R327" s="197"/>
      <c r="S327" s="198"/>
      <c r="T327" s="198"/>
      <c r="U327" s="198"/>
      <c r="V327" s="198"/>
      <c r="W327" s="197"/>
      <c r="X327" s="198"/>
      <c r="Y327" s="198"/>
      <c r="Z327" s="198"/>
      <c r="AA327" s="198"/>
      <c r="AB327" s="42"/>
      <c r="AC327" s="24"/>
      <c r="AD327" s="24"/>
      <c r="AE327" s="24"/>
      <c r="AF327" s="24"/>
      <c r="AG327" s="42"/>
      <c r="AH327" s="24">
        <v>0.63833992094861658</v>
      </c>
      <c r="AI327" s="24">
        <v>0.43151736442471261</v>
      </c>
      <c r="AJ327" s="24">
        <v>0.54632361619261183</v>
      </c>
      <c r="AK327" s="42">
        <v>0.52445781269765412</v>
      </c>
      <c r="AL327" s="24">
        <f t="shared" ref="AL327:CK331" si="446">AL304/AL$176</f>
        <v>0.56582920642589696</v>
      </c>
      <c r="AM327" s="24">
        <f t="shared" si="446"/>
        <v>0.63798008534850625</v>
      </c>
      <c r="AN327" s="24">
        <f t="shared" si="446"/>
        <v>0.50274781192753926</v>
      </c>
      <c r="AO327" s="24">
        <f t="shared" si="446"/>
        <v>0.51948433900299007</v>
      </c>
      <c r="AP327" s="42">
        <f t="shared" si="446"/>
        <v>0.54929738375414139</v>
      </c>
      <c r="AQ327" s="24">
        <f t="shared" si="446"/>
        <v>0.54975103384251833</v>
      </c>
      <c r="AR327" s="24">
        <f t="shared" si="446"/>
        <v>0.49537583628492721</v>
      </c>
      <c r="AS327" s="24">
        <f t="shared" si="446"/>
        <v>0.4360969962050556</v>
      </c>
      <c r="AT327" s="24">
        <f t="shared" si="446"/>
        <v>0.52322453731582963</v>
      </c>
      <c r="AU327" s="42">
        <f t="shared" si="446"/>
        <v>0.50204094699940771</v>
      </c>
      <c r="AV327" s="207">
        <f t="shared" si="446"/>
        <v>0.53871866295264614</v>
      </c>
      <c r="AW327" s="207">
        <f t="shared" si="446"/>
        <v>0.37199312714776633</v>
      </c>
      <c r="AX327" s="207">
        <f t="shared" si="446"/>
        <v>0.55222352252779394</v>
      </c>
      <c r="AY327" s="207">
        <f t="shared" si="446"/>
        <v>0.59979800530236083</v>
      </c>
      <c r="AZ327" s="42">
        <f t="shared" si="446"/>
        <v>0.55844549966082335</v>
      </c>
      <c r="BA327" s="207">
        <f t="shared" si="446"/>
        <v>0.63358963982193439</v>
      </c>
      <c r="BB327" s="207">
        <f t="shared" si="446"/>
        <v>0.89338863137350566</v>
      </c>
      <c r="BC327" s="207">
        <f t="shared" si="446"/>
        <v>0.6050017529508005</v>
      </c>
      <c r="BD327" s="207">
        <f t="shared" si="446"/>
        <v>0.70489749906058208</v>
      </c>
      <c r="BE327" s="42">
        <f t="shared" si="446"/>
        <v>0.70074714305278685</v>
      </c>
      <c r="BF327" s="207">
        <f t="shared" si="446"/>
        <v>0.91581702948470667</v>
      </c>
      <c r="BG327" s="207">
        <f t="shared" si="446"/>
        <v>0.70983882607649751</v>
      </c>
      <c r="BH327" s="207">
        <f t="shared" si="446"/>
        <v>0.72136392459791321</v>
      </c>
      <c r="BI327" s="207">
        <f t="shared" si="446"/>
        <v>0.76634611256600704</v>
      </c>
      <c r="BJ327" s="42">
        <f t="shared" si="446"/>
        <v>0.75125088041857613</v>
      </c>
      <c r="BK327" s="207">
        <f t="shared" si="446"/>
        <v>0.82802994852597112</v>
      </c>
      <c r="BL327" s="207">
        <f t="shared" si="446"/>
        <v>0.75096764204985289</v>
      </c>
      <c r="BM327" s="207">
        <f t="shared" si="446"/>
        <v>0.71909599360803567</v>
      </c>
      <c r="BN327" s="207">
        <f t="shared" si="446"/>
        <v>0.76246429307653807</v>
      </c>
      <c r="BO327" s="42">
        <f t="shared" si="446"/>
        <v>0.7591543430469605</v>
      </c>
      <c r="BP327" s="207">
        <f t="shared" si="446"/>
        <v>0.72424953095684796</v>
      </c>
      <c r="BQ327" s="207">
        <f t="shared" si="446"/>
        <v>0.28074351127734332</v>
      </c>
      <c r="BR327" s="207">
        <f t="shared" si="446"/>
        <v>0.69817869977131652</v>
      </c>
      <c r="BS327" s="207">
        <f t="shared" si="446"/>
        <v>0.79586013444890469</v>
      </c>
      <c r="BT327" s="42">
        <f t="shared" si="446"/>
        <v>0.70768349221232485</v>
      </c>
      <c r="BU327" s="207">
        <f t="shared" si="446"/>
        <v>0.75738421319598892</v>
      </c>
      <c r="BV327" s="207">
        <f t="shared" si="446"/>
        <v>0.68950462374093302</v>
      </c>
      <c r="BW327" s="207">
        <f t="shared" si="446"/>
        <v>0.69058586907156283</v>
      </c>
      <c r="BX327" s="207">
        <f t="shared" si="446"/>
        <v>0.69641582179066119</v>
      </c>
      <c r="BY327" s="42">
        <f t="shared" si="446"/>
        <v>0.70568037503331715</v>
      </c>
      <c r="BZ327" s="207">
        <f t="shared" si="446"/>
        <v>0.7490366244616431</v>
      </c>
      <c r="CA327" s="207">
        <f t="shared" si="446"/>
        <v>0.68267000478627438</v>
      </c>
      <c r="CB327" s="207">
        <f t="shared" si="446"/>
        <v>0.60846888260254606</v>
      </c>
      <c r="CC327" s="207">
        <f t="shared" si="446"/>
        <v>0.65132273536243246</v>
      </c>
      <c r="CD327" s="42">
        <f t="shared" si="446"/>
        <v>0.66682997196592364</v>
      </c>
      <c r="CE327" s="207">
        <f t="shared" si="446"/>
        <v>0.67125858318761467</v>
      </c>
      <c r="CF327" s="207">
        <f t="shared" si="446"/>
        <v>0.63288423153692608</v>
      </c>
      <c r="CG327" s="207">
        <f t="shared" si="446"/>
        <v>0.63483858841219865</v>
      </c>
      <c r="CH327" s="207">
        <f t="shared" si="446"/>
        <v>0.75298246997811213</v>
      </c>
      <c r="CI327" s="42">
        <f t="shared" si="446"/>
        <v>0.69381251353106732</v>
      </c>
      <c r="CJ327" s="42" t="e">
        <f t="shared" si="446"/>
        <v>#REF!</v>
      </c>
      <c r="CK327" s="42" t="e">
        <f t="shared" si="446"/>
        <v>#REF!</v>
      </c>
      <c r="CL327" s="42"/>
      <c r="CM327" s="42"/>
      <c r="CN327" s="42"/>
      <c r="CO327" s="74"/>
      <c r="CP327" s="74"/>
      <c r="CQ327" s="6"/>
      <c r="CR327" s="6"/>
      <c r="CS327" s="6"/>
      <c r="CT327" s="124"/>
      <c r="CU327" s="124"/>
      <c r="CV327" s="124"/>
      <c r="CW327" s="124"/>
      <c r="CX327" s="124"/>
      <c r="CY327" s="124"/>
      <c r="CZ327" s="124"/>
      <c r="DA327" s="124"/>
      <c r="DB327" s="124"/>
      <c r="DC327" s="124"/>
      <c r="DD327" s="124"/>
      <c r="DE327" s="124"/>
      <c r="DF327" s="124"/>
      <c r="DG327" s="124"/>
      <c r="DH327" s="124"/>
      <c r="DI327" s="124"/>
      <c r="DK327" s="124"/>
      <c r="DL327" s="124"/>
      <c r="DM327" s="6"/>
      <c r="DN327" s="124"/>
      <c r="DO327" s="124"/>
      <c r="DQ327" s="136"/>
      <c r="DR327" s="124"/>
      <c r="DS327" s="124"/>
      <c r="DT327" s="124"/>
      <c r="DV327" s="124"/>
      <c r="DW327" s="124"/>
      <c r="DX327" s="124"/>
      <c r="EA327" s="111"/>
      <c r="EB327" s="111"/>
      <c r="EC327" s="111"/>
      <c r="ED327" s="124"/>
      <c r="EE327" s="124"/>
      <c r="EF327" s="124"/>
      <c r="EJ327" s="111"/>
      <c r="EK327" s="111"/>
      <c r="EL327" s="124"/>
      <c r="EM327" s="124"/>
      <c r="EN327" s="124"/>
      <c r="EP327" s="111"/>
      <c r="EQ327" s="124"/>
      <c r="ER327" s="124"/>
      <c r="ES327" s="124"/>
      <c r="EV327" s="111"/>
      <c r="EW327" s="111"/>
      <c r="EX327" s="111"/>
      <c r="EY327" s="111"/>
      <c r="EZ327" s="124"/>
      <c r="FA327" s="124"/>
      <c r="FD327" s="111"/>
      <c r="FE327" s="111"/>
      <c r="FF327" s="111"/>
      <c r="FG327" s="124"/>
      <c r="FH327" s="124"/>
      <c r="FK327" s="124"/>
      <c r="FL327" s="124"/>
      <c r="FO327" s="111"/>
      <c r="FP327" s="111"/>
      <c r="FQ327" s="124"/>
      <c r="FR327" s="124"/>
      <c r="FU327" s="111"/>
      <c r="FV327" s="124"/>
      <c r="FW327" s="124"/>
      <c r="FX327" s="124"/>
      <c r="FY327" s="124"/>
      <c r="GA327" s="124"/>
      <c r="GB327" s="124"/>
      <c r="GC327" s="124"/>
      <c r="GF327" s="111"/>
      <c r="GG327" s="111"/>
      <c r="GH327" s="111"/>
      <c r="GI327" s="124"/>
      <c r="GJ327" s="124"/>
      <c r="GK327" s="124"/>
      <c r="GN327" s="111"/>
      <c r="GO327" s="111"/>
      <c r="GP327" s="124"/>
      <c r="GQ327" s="124"/>
      <c r="GR327" s="124"/>
      <c r="GV327" s="111"/>
      <c r="GW327" s="124"/>
      <c r="GX327" s="124"/>
      <c r="GY327" s="124"/>
      <c r="HC327" s="124"/>
      <c r="HD327" s="124"/>
      <c r="HE327" s="124"/>
      <c r="HF327" s="124"/>
      <c r="HI327" s="111"/>
      <c r="HJ327" s="111"/>
      <c r="HK327" s="111"/>
      <c r="HL327" s="111"/>
      <c r="HM327" s="124"/>
      <c r="HN327" s="124"/>
      <c r="HO327" s="124"/>
      <c r="HR327" s="111"/>
      <c r="HS327" s="111"/>
      <c r="HT327" s="111"/>
      <c r="HU327" s="124"/>
      <c r="HV327" s="124"/>
      <c r="HW327" s="124"/>
      <c r="HZ327" s="111"/>
      <c r="IA327" s="124"/>
      <c r="IB327" s="124"/>
      <c r="IC327" s="124"/>
      <c r="IE327" s="111"/>
      <c r="IF327" s="124"/>
      <c r="IG327" s="124"/>
      <c r="IH327" s="124"/>
      <c r="IK327" s="124"/>
      <c r="IL327" s="124"/>
      <c r="IO327" s="124"/>
      <c r="IP327" s="124"/>
      <c r="IS327" s="160"/>
      <c r="IT327" s="160"/>
      <c r="IU327" s="160"/>
      <c r="IX327" s="124"/>
      <c r="IY327" s="124"/>
      <c r="IZ327" s="124"/>
      <c r="JA327" s="124"/>
      <c r="JD327" s="124"/>
      <c r="JE327" s="124"/>
      <c r="JH327" s="124"/>
      <c r="JI327" s="124"/>
      <c r="JJ327" s="124"/>
      <c r="JM327" s="124"/>
      <c r="JN327" s="124"/>
      <c r="JQ327" s="124"/>
      <c r="JR327" s="124"/>
      <c r="JS327" s="124"/>
      <c r="JV327" s="124"/>
      <c r="JW327" s="124"/>
      <c r="JY327" s="124"/>
      <c r="JZ327" s="124"/>
      <c r="KB327" s="124"/>
      <c r="KC327" s="124"/>
      <c r="KD327" s="124"/>
    </row>
    <row r="328" spans="2:290" hidden="1" x14ac:dyDescent="0.25">
      <c r="B328" s="11" t="str">
        <f t="shared" si="445"/>
        <v>Industrial Products</v>
      </c>
      <c r="C328" s="23"/>
      <c r="D328" s="23"/>
      <c r="E328" s="23"/>
      <c r="F328" s="23"/>
      <c r="G328" s="23"/>
      <c r="H328" s="197"/>
      <c r="I328" s="198"/>
      <c r="J328" s="198"/>
      <c r="K328" s="198"/>
      <c r="L328" s="198"/>
      <c r="M328" s="197"/>
      <c r="N328" s="198"/>
      <c r="O328" s="198"/>
      <c r="P328" s="198"/>
      <c r="Q328" s="198"/>
      <c r="R328" s="197"/>
      <c r="S328" s="198"/>
      <c r="T328" s="198"/>
      <c r="U328" s="198"/>
      <c r="V328" s="198"/>
      <c r="W328" s="197"/>
      <c r="X328" s="198"/>
      <c r="Y328" s="198"/>
      <c r="Z328" s="198"/>
      <c r="AA328" s="198"/>
      <c r="AB328" s="42"/>
      <c r="AC328" s="24"/>
      <c r="AD328" s="24"/>
      <c r="AE328" s="24"/>
      <c r="AF328" s="24"/>
      <c r="AG328" s="42"/>
      <c r="AH328" s="24">
        <v>7.0538157494679232E-2</v>
      </c>
      <c r="AI328" s="24">
        <v>4.1948466868594658E-2</v>
      </c>
      <c r="AJ328" s="24">
        <v>9.8017231205004135E-2</v>
      </c>
      <c r="AK328" s="42">
        <v>7.3931437727521893E-2</v>
      </c>
      <c r="AL328" s="24">
        <f t="shared" si="446"/>
        <v>6.5285662519628002E-2</v>
      </c>
      <c r="AM328" s="24">
        <f t="shared" si="446"/>
        <v>0.11847185531396055</v>
      </c>
      <c r="AN328" s="24">
        <f t="shared" si="446"/>
        <v>6.5472555804328675E-2</v>
      </c>
      <c r="AO328" s="24">
        <f t="shared" si="446"/>
        <v>0.1159256899171609</v>
      </c>
      <c r="AP328" s="42">
        <f t="shared" si="446"/>
        <v>9.1038174666644905E-2</v>
      </c>
      <c r="AQ328" s="24">
        <f t="shared" si="446"/>
        <v>9.2159675922018736E-2</v>
      </c>
      <c r="AR328" s="24">
        <f t="shared" si="446"/>
        <v>0.15545060999606455</v>
      </c>
      <c r="AS328" s="24">
        <f t="shared" si="446"/>
        <v>0.11873673377500484</v>
      </c>
      <c r="AT328" s="24">
        <f t="shared" si="446"/>
        <v>0.13296398891966757</v>
      </c>
      <c r="AU328" s="42">
        <f t="shared" si="446"/>
        <v>0.12533815690480382</v>
      </c>
      <c r="AV328" s="207">
        <f t="shared" si="446"/>
        <v>0.13655988857938717</v>
      </c>
      <c r="AW328" s="207">
        <f t="shared" si="446"/>
        <v>0.10824742268041236</v>
      </c>
      <c r="AX328" s="207">
        <f t="shared" si="446"/>
        <v>8.2943241661790498E-2</v>
      </c>
      <c r="AY328" s="207">
        <f t="shared" si="446"/>
        <v>9.7588688296932222E-2</v>
      </c>
      <c r="AZ328" s="42">
        <f t="shared" si="446"/>
        <v>0.11348138098468351</v>
      </c>
      <c r="BA328" s="207">
        <f t="shared" si="446"/>
        <v>9.736948603804127E-2</v>
      </c>
      <c r="BB328" s="207">
        <f t="shared" si="446"/>
        <v>-1.593884687322111E-2</v>
      </c>
      <c r="BC328" s="207">
        <f t="shared" si="446"/>
        <v>4.9608507654551826E-2</v>
      </c>
      <c r="BD328" s="207">
        <f t="shared" si="446"/>
        <v>5.8494426119994988E-2</v>
      </c>
      <c r="BE328" s="42">
        <f t="shared" si="446"/>
        <v>4.9560996393627217E-2</v>
      </c>
      <c r="BF328" s="207">
        <f t="shared" si="446"/>
        <v>-0.10471204188481677</v>
      </c>
      <c r="BG328" s="207">
        <f t="shared" si="446"/>
        <v>5.7685831128217464E-2</v>
      </c>
      <c r="BH328" s="207">
        <f t="shared" si="446"/>
        <v>5.7790972502449994E-2</v>
      </c>
      <c r="BI328" s="207">
        <f t="shared" si="446"/>
        <v>8.3759069248272033E-2</v>
      </c>
      <c r="BJ328" s="42">
        <f t="shared" si="446"/>
        <v>5.8048169186721912E-2</v>
      </c>
      <c r="BK328" s="207">
        <f t="shared" si="446"/>
        <v>7.1361722040243339E-2</v>
      </c>
      <c r="BL328" s="207">
        <f t="shared" si="446"/>
        <v>7.4353615110698254E-2</v>
      </c>
      <c r="BM328" s="207">
        <f t="shared" si="446"/>
        <v>8.3704295552258112E-2</v>
      </c>
      <c r="BN328" s="207">
        <f t="shared" si="446"/>
        <v>9.2587684424419128E-2</v>
      </c>
      <c r="BO328" s="42">
        <f t="shared" si="446"/>
        <v>8.2570673174700029E-2</v>
      </c>
      <c r="BP328" s="207">
        <f t="shared" si="446"/>
        <v>0.1198405253283302</v>
      </c>
      <c r="BQ328" s="207">
        <f t="shared" si="446"/>
        <v>0.33809361895047035</v>
      </c>
      <c r="BR328" s="207">
        <f t="shared" si="446"/>
        <v>0.12908363279973864</v>
      </c>
      <c r="BS328" s="207">
        <f t="shared" si="446"/>
        <v>8.9302123131982408E-2</v>
      </c>
      <c r="BT328" s="42">
        <f t="shared" si="446"/>
        <v>0.12910350575610774</v>
      </c>
      <c r="BU328" s="207">
        <f t="shared" si="446"/>
        <v>7.3666549611767912E-2</v>
      </c>
      <c r="BV328" s="207">
        <f t="shared" si="446"/>
        <v>8.6768194162741924E-2</v>
      </c>
      <c r="BW328" s="207">
        <f t="shared" si="446"/>
        <v>9.624991889963018E-2</v>
      </c>
      <c r="BX328" s="207">
        <f t="shared" si="446"/>
        <v>9.4102527488219331E-2</v>
      </c>
      <c r="BY328" s="42">
        <f t="shared" si="446"/>
        <v>8.8843072388328823E-2</v>
      </c>
      <c r="BZ328" s="207">
        <f t="shared" si="446"/>
        <v>6.3275153006703153E-2</v>
      </c>
      <c r="CA328" s="207">
        <f t="shared" si="446"/>
        <v>0.10360443282647915</v>
      </c>
      <c r="CB328" s="207">
        <f t="shared" si="446"/>
        <v>0.12022630834512023</v>
      </c>
      <c r="CC328" s="207">
        <f t="shared" si="446"/>
        <v>0.10618080902536878</v>
      </c>
      <c r="CD328" s="42">
        <f t="shared" si="446"/>
        <v>9.9797682879253877E-2</v>
      </c>
      <c r="CE328" s="207">
        <f t="shared" si="446"/>
        <v>7.5233505352497135E-2</v>
      </c>
      <c r="CF328" s="207">
        <f t="shared" si="446"/>
        <v>5.8882235528942117E-2</v>
      </c>
      <c r="CG328" s="207">
        <f t="shared" si="446"/>
        <v>0.12668577604435882</v>
      </c>
      <c r="CH328" s="207">
        <f t="shared" si="446"/>
        <v>8.2109123893281802E-2</v>
      </c>
      <c r="CI328" s="42">
        <f t="shared" si="446"/>
        <v>8.4901493829833308E-2</v>
      </c>
      <c r="CJ328" s="42" t="e">
        <f t="shared" si="446"/>
        <v>#REF!</v>
      </c>
      <c r="CK328" s="42" t="e">
        <f t="shared" si="446"/>
        <v>#REF!</v>
      </c>
      <c r="CL328" s="42"/>
      <c r="CM328" s="42"/>
      <c r="CN328" s="42"/>
      <c r="CO328" s="74"/>
      <c r="CP328" s="74"/>
      <c r="CQ328" s="6"/>
      <c r="CR328" s="6"/>
      <c r="CS328" s="6"/>
      <c r="CT328" s="124"/>
      <c r="CU328" s="124"/>
      <c r="CV328" s="124"/>
      <c r="CW328" s="124"/>
      <c r="CX328" s="124"/>
      <c r="CY328" s="124"/>
      <c r="CZ328" s="124"/>
      <c r="DA328" s="124"/>
      <c r="DB328" s="124"/>
      <c r="DC328" s="124"/>
      <c r="DD328" s="124"/>
      <c r="DE328" s="124"/>
      <c r="DF328" s="124"/>
      <c r="DG328" s="124"/>
      <c r="DH328" s="124"/>
      <c r="DI328" s="124"/>
      <c r="DK328" s="124"/>
      <c r="DL328" s="124"/>
      <c r="DM328" s="6"/>
      <c r="DN328" s="124"/>
      <c r="DO328" s="124"/>
      <c r="DQ328" s="136"/>
      <c r="DR328" s="124"/>
      <c r="DS328" s="124"/>
      <c r="DT328" s="124"/>
      <c r="DV328" s="124"/>
      <c r="DW328" s="124"/>
      <c r="DX328" s="124"/>
      <c r="EA328" s="111"/>
      <c r="EB328" s="111"/>
      <c r="EC328" s="111"/>
      <c r="ED328" s="124"/>
      <c r="EE328" s="124"/>
      <c r="EF328" s="124"/>
      <c r="EJ328" s="111"/>
      <c r="EK328" s="111"/>
      <c r="EL328" s="124"/>
      <c r="EM328" s="124"/>
      <c r="EN328" s="124"/>
      <c r="EP328" s="111"/>
      <c r="EQ328" s="124"/>
      <c r="ER328" s="124"/>
      <c r="ES328" s="124"/>
      <c r="EV328" s="111"/>
      <c r="EW328" s="111"/>
      <c r="EX328" s="111"/>
      <c r="EY328" s="111"/>
      <c r="EZ328" s="124"/>
      <c r="FA328" s="124"/>
      <c r="FD328" s="111"/>
      <c r="FE328" s="111"/>
      <c r="FF328" s="111"/>
      <c r="FG328" s="124"/>
      <c r="FH328" s="124"/>
      <c r="FK328" s="124"/>
      <c r="FL328" s="124"/>
      <c r="FO328" s="111"/>
      <c r="FP328" s="111"/>
      <c r="FQ328" s="124"/>
      <c r="FR328" s="124"/>
      <c r="FU328" s="111"/>
      <c r="FV328" s="124"/>
      <c r="FW328" s="124"/>
      <c r="FX328" s="124"/>
      <c r="FY328" s="124"/>
      <c r="GA328" s="124"/>
      <c r="GB328" s="124"/>
      <c r="GC328" s="124"/>
      <c r="GF328" s="111"/>
      <c r="GG328" s="111"/>
      <c r="GH328" s="111"/>
      <c r="GI328" s="124"/>
      <c r="GJ328" s="124"/>
      <c r="GK328" s="124"/>
      <c r="GN328" s="111"/>
      <c r="GO328" s="111"/>
      <c r="GP328" s="124"/>
      <c r="GQ328" s="124"/>
      <c r="GR328" s="124"/>
      <c r="GV328" s="111"/>
      <c r="GW328" s="124"/>
      <c r="GX328" s="124"/>
      <c r="GY328" s="124"/>
      <c r="HC328" s="124"/>
      <c r="HD328" s="124"/>
      <c r="HE328" s="124"/>
      <c r="HF328" s="124"/>
      <c r="HI328" s="111"/>
      <c r="HJ328" s="111"/>
      <c r="HK328" s="111"/>
      <c r="HL328" s="111"/>
      <c r="HM328" s="124"/>
      <c r="HN328" s="124"/>
      <c r="HO328" s="124"/>
      <c r="HR328" s="111"/>
      <c r="HS328" s="111"/>
      <c r="HT328" s="111"/>
      <c r="HU328" s="124"/>
      <c r="HV328" s="124"/>
      <c r="HW328" s="124"/>
      <c r="HZ328" s="111"/>
      <c r="IA328" s="124"/>
      <c r="IB328" s="124"/>
      <c r="IC328" s="124"/>
      <c r="IE328" s="111"/>
      <c r="IF328" s="124"/>
      <c r="IG328" s="124"/>
      <c r="IH328" s="124"/>
      <c r="IK328" s="124"/>
      <c r="IL328" s="124"/>
      <c r="IO328" s="124"/>
      <c r="IP328" s="124"/>
      <c r="IS328" s="160"/>
      <c r="IT328" s="160"/>
      <c r="IU328" s="160"/>
      <c r="IX328" s="124"/>
      <c r="IY328" s="124"/>
      <c r="IZ328" s="124"/>
      <c r="JA328" s="124"/>
      <c r="JD328" s="124"/>
      <c r="JE328" s="124"/>
      <c r="JH328" s="124"/>
      <c r="JI328" s="124"/>
      <c r="JJ328" s="124"/>
      <c r="JM328" s="124"/>
      <c r="JN328" s="124"/>
      <c r="JQ328" s="124"/>
      <c r="JR328" s="124"/>
      <c r="JS328" s="124"/>
      <c r="JV328" s="124"/>
      <c r="JW328" s="124"/>
      <c r="JY328" s="124"/>
      <c r="JZ328" s="124"/>
      <c r="KB328" s="124"/>
      <c r="KC328" s="124"/>
      <c r="KD328" s="124"/>
    </row>
    <row r="329" spans="2:290" hidden="1" x14ac:dyDescent="0.25">
      <c r="B329" s="11" t="str">
        <f t="shared" si="445"/>
        <v>Packaging Products</v>
      </c>
      <c r="C329" s="23"/>
      <c r="D329" s="23"/>
      <c r="E329" s="23"/>
      <c r="F329" s="23"/>
      <c r="G329" s="23"/>
      <c r="H329" s="197"/>
      <c r="I329" s="198"/>
      <c r="J329" s="198"/>
      <c r="K329" s="198"/>
      <c r="L329" s="198"/>
      <c r="M329" s="197"/>
      <c r="N329" s="198"/>
      <c r="O329" s="198"/>
      <c r="P329" s="198"/>
      <c r="Q329" s="198"/>
      <c r="R329" s="197"/>
      <c r="S329" s="198"/>
      <c r="T329" s="198"/>
      <c r="U329" s="198"/>
      <c r="V329" s="198"/>
      <c r="W329" s="197"/>
      <c r="X329" s="198"/>
      <c r="Y329" s="198"/>
      <c r="Z329" s="198"/>
      <c r="AA329" s="198"/>
      <c r="AB329" s="42"/>
      <c r="AC329" s="24"/>
      <c r="AD329" s="24"/>
      <c r="AE329" s="24"/>
      <c r="AF329" s="24"/>
      <c r="AG329" s="42"/>
      <c r="AH329" s="24">
        <v>0.27698388567953786</v>
      </c>
      <c r="AI329" s="24">
        <v>0.48105887722501134</v>
      </c>
      <c r="AJ329" s="24">
        <v>0.29051103505251979</v>
      </c>
      <c r="AK329" s="42">
        <v>0.35256581444052454</v>
      </c>
      <c r="AL329" s="24">
        <f t="shared" si="446"/>
        <v>0.31755042879574835</v>
      </c>
      <c r="AM329" s="24">
        <f t="shared" si="446"/>
        <v>0.19874009347693553</v>
      </c>
      <c r="AN329" s="24">
        <f t="shared" si="446"/>
        <v>0.3821833231562522</v>
      </c>
      <c r="AO329" s="24">
        <f t="shared" si="446"/>
        <v>0.2605264447821185</v>
      </c>
      <c r="AP329" s="42">
        <f t="shared" si="446"/>
        <v>0.29642081898451145</v>
      </c>
      <c r="AQ329" s="24">
        <f t="shared" si="446"/>
        <v>0.30441387458857289</v>
      </c>
      <c r="AR329" s="24">
        <f t="shared" si="446"/>
        <v>0.27341597796143252</v>
      </c>
      <c r="AS329" s="24">
        <f t="shared" si="446"/>
        <v>0.39506014021997815</v>
      </c>
      <c r="AT329" s="24">
        <f t="shared" si="446"/>
        <v>0.19788028423461398</v>
      </c>
      <c r="AU329" s="42">
        <f t="shared" si="446"/>
        <v>0.27945766835811819</v>
      </c>
      <c r="AV329" s="207">
        <f t="shared" si="446"/>
        <v>0.26002785515320331</v>
      </c>
      <c r="AW329" s="207">
        <f t="shared" si="446"/>
        <v>0.13963344788087056</v>
      </c>
      <c r="AX329" s="207">
        <f t="shared" si="446"/>
        <v>0.264774722059684</v>
      </c>
      <c r="AY329" s="207">
        <f t="shared" si="446"/>
        <v>0.18880191894962758</v>
      </c>
      <c r="AZ329" s="42">
        <f t="shared" si="446"/>
        <v>0.22819450890785106</v>
      </c>
      <c r="BA329" s="207">
        <f t="shared" si="446"/>
        <v>0.16665317685147713</v>
      </c>
      <c r="BB329" s="207">
        <f t="shared" si="446"/>
        <v>3.1064487273318692E-2</v>
      </c>
      <c r="BC329" s="207">
        <f t="shared" si="446"/>
        <v>0.25558022671497022</v>
      </c>
      <c r="BD329" s="207">
        <f t="shared" si="446"/>
        <v>0.1392843722600309</v>
      </c>
      <c r="BE329" s="42">
        <f t="shared" si="446"/>
        <v>0.15446535903951791</v>
      </c>
      <c r="BF329" s="207">
        <f t="shared" si="446"/>
        <v>0.25254891154588044</v>
      </c>
      <c r="BG329" s="207">
        <f t="shared" si="446"/>
        <v>0.12311763290834737</v>
      </c>
      <c r="BH329" s="207">
        <f t="shared" si="446"/>
        <v>0.11491900616821352</v>
      </c>
      <c r="BI329" s="207">
        <f t="shared" si="446"/>
        <v>8.7579959644528402E-2</v>
      </c>
      <c r="BJ329" s="42">
        <f t="shared" si="446"/>
        <v>0.11396503937872177</v>
      </c>
      <c r="BK329" s="207">
        <f t="shared" si="446"/>
        <v>0.10025737014506318</v>
      </c>
      <c r="BL329" s="207">
        <f t="shared" si="446"/>
        <v>9.8622077721009435E-2</v>
      </c>
      <c r="BM329" s="207">
        <f t="shared" si="446"/>
        <v>9.5118517673020583E-2</v>
      </c>
      <c r="BN329" s="207">
        <f t="shared" si="446"/>
        <v>9.921371145860941E-2</v>
      </c>
      <c r="BO329" s="42">
        <f t="shared" si="446"/>
        <v>9.7727030612936652E-2</v>
      </c>
      <c r="BP329" s="207">
        <f t="shared" si="446"/>
        <v>0.10680112570356472</v>
      </c>
      <c r="BQ329" s="207">
        <f t="shared" si="446"/>
        <v>0.24152782500283351</v>
      </c>
      <c r="BR329" s="207">
        <f t="shared" si="446"/>
        <v>9.2167592290101283E-2</v>
      </c>
      <c r="BS329" s="207">
        <f t="shared" si="446"/>
        <v>6.0163466653769891E-2</v>
      </c>
      <c r="BT329" s="42">
        <f t="shared" si="446"/>
        <v>9.535864978902954E-2</v>
      </c>
      <c r="BU329" s="207">
        <f t="shared" si="446"/>
        <v>9.9574700534550697E-2</v>
      </c>
      <c r="BV329" s="207">
        <f t="shared" si="446"/>
        <v>0.1643920382275087</v>
      </c>
      <c r="BW329" s="207">
        <f t="shared" si="446"/>
        <v>0.15097644845260491</v>
      </c>
      <c r="BX329" s="207">
        <f t="shared" si="446"/>
        <v>0.16138321671664524</v>
      </c>
      <c r="BY329" s="42">
        <f t="shared" si="446"/>
        <v>0.14713629450776877</v>
      </c>
      <c r="BZ329" s="207">
        <f t="shared" si="446"/>
        <v>0.13642692917975455</v>
      </c>
      <c r="CA329" s="207">
        <f t="shared" si="446"/>
        <v>0.15201943963771583</v>
      </c>
      <c r="CB329" s="207">
        <f t="shared" si="446"/>
        <v>0.19505834512022632</v>
      </c>
      <c r="CC329" s="207">
        <f t="shared" si="446"/>
        <v>0.17194051461494375</v>
      </c>
      <c r="CD329" s="42">
        <f t="shared" si="446"/>
        <v>0.16693430590711558</v>
      </c>
      <c r="CE329" s="207">
        <f t="shared" si="446"/>
        <v>0.19503561223184204</v>
      </c>
      <c r="CF329" s="207">
        <f t="shared" si="446"/>
        <v>0.2374750499001996</v>
      </c>
      <c r="CG329" s="207">
        <f t="shared" si="446"/>
        <v>0.15713547295709787</v>
      </c>
      <c r="CH329" s="207">
        <f t="shared" si="446"/>
        <v>0.11547335002859228</v>
      </c>
      <c r="CI329" s="42">
        <f t="shared" si="446"/>
        <v>0.16048495345312838</v>
      </c>
      <c r="CJ329" s="42" t="e">
        <f t="shared" si="446"/>
        <v>#REF!</v>
      </c>
      <c r="CK329" s="42" t="e">
        <f t="shared" si="446"/>
        <v>#REF!</v>
      </c>
      <c r="CL329" s="42"/>
      <c r="CM329" s="42"/>
      <c r="CN329" s="42"/>
      <c r="CO329" s="74"/>
      <c r="CP329" s="74"/>
      <c r="CQ329" s="6"/>
      <c r="CR329" s="6"/>
      <c r="CS329" s="6"/>
      <c r="CT329" s="124"/>
      <c r="CU329" s="124"/>
      <c r="CV329" s="124"/>
      <c r="CW329" s="124"/>
      <c r="CX329" s="124"/>
      <c r="CY329" s="124"/>
      <c r="CZ329" s="124"/>
      <c r="DA329" s="124"/>
      <c r="DB329" s="124"/>
      <c r="DC329" s="124"/>
      <c r="DD329" s="124"/>
      <c r="DE329" s="124"/>
      <c r="DF329" s="124"/>
      <c r="DG329" s="124"/>
      <c r="DH329" s="124"/>
      <c r="DI329" s="124"/>
      <c r="DK329" s="124"/>
      <c r="DL329" s="124"/>
      <c r="DM329" s="6"/>
      <c r="DN329" s="124"/>
      <c r="DO329" s="124"/>
      <c r="DQ329" s="136"/>
      <c r="DR329" s="124"/>
      <c r="DS329" s="124"/>
      <c r="DT329" s="124"/>
      <c r="DV329" s="124"/>
      <c r="DW329" s="124"/>
      <c r="DX329" s="124"/>
      <c r="EA329" s="111"/>
      <c r="EB329" s="111"/>
      <c r="EC329" s="111"/>
      <c r="ED329" s="124"/>
      <c r="EE329" s="124"/>
      <c r="EF329" s="124"/>
      <c r="EJ329" s="111"/>
      <c r="EK329" s="111"/>
      <c r="EL329" s="124"/>
      <c r="EM329" s="124"/>
      <c r="EN329" s="124"/>
      <c r="EP329" s="111"/>
      <c r="EQ329" s="124"/>
      <c r="ER329" s="124"/>
      <c r="ES329" s="124"/>
      <c r="EV329" s="111"/>
      <c r="EW329" s="111"/>
      <c r="EX329" s="111"/>
      <c r="EY329" s="111"/>
      <c r="EZ329" s="124"/>
      <c r="FA329" s="124"/>
      <c r="FD329" s="111"/>
      <c r="FE329" s="111"/>
      <c r="FF329" s="111"/>
      <c r="FG329" s="124"/>
      <c r="FH329" s="124"/>
      <c r="FK329" s="124"/>
      <c r="FL329" s="124"/>
      <c r="FO329" s="111"/>
      <c r="FP329" s="111"/>
      <c r="FQ329" s="124"/>
      <c r="FR329" s="124"/>
      <c r="FU329" s="111"/>
      <c r="FV329" s="124"/>
      <c r="FW329" s="124"/>
      <c r="FX329" s="124"/>
      <c r="FY329" s="124"/>
      <c r="GA329" s="124"/>
      <c r="GB329" s="124"/>
      <c r="GC329" s="124"/>
      <c r="GF329" s="111"/>
      <c r="GG329" s="111"/>
      <c r="GH329" s="111"/>
      <c r="GI329" s="124"/>
      <c r="GJ329" s="124"/>
      <c r="GK329" s="124"/>
      <c r="GN329" s="111"/>
      <c r="GO329" s="111"/>
      <c r="GP329" s="124"/>
      <c r="GQ329" s="124"/>
      <c r="GR329" s="124"/>
      <c r="GV329" s="111"/>
      <c r="GW329" s="124"/>
      <c r="GX329" s="124"/>
      <c r="GY329" s="124"/>
      <c r="HC329" s="124"/>
      <c r="HD329" s="124"/>
      <c r="HE329" s="124"/>
      <c r="HF329" s="124"/>
      <c r="HI329" s="111"/>
      <c r="HJ329" s="111"/>
      <c r="HK329" s="111"/>
      <c r="HL329" s="111"/>
      <c r="HM329" s="124"/>
      <c r="HN329" s="124"/>
      <c r="HO329" s="124"/>
      <c r="HR329" s="111"/>
      <c r="HS329" s="111"/>
      <c r="HT329" s="111"/>
      <c r="HU329" s="124"/>
      <c r="HV329" s="124"/>
      <c r="HW329" s="124"/>
      <c r="HZ329" s="111"/>
      <c r="IA329" s="124"/>
      <c r="IB329" s="124"/>
      <c r="IC329" s="124"/>
      <c r="IE329" s="111"/>
      <c r="IF329" s="124"/>
      <c r="IG329" s="124"/>
      <c r="IH329" s="124"/>
      <c r="IK329" s="124"/>
      <c r="IL329" s="124"/>
      <c r="IO329" s="124"/>
      <c r="IP329" s="124"/>
      <c r="IS329" s="160"/>
      <c r="IT329" s="160"/>
      <c r="IU329" s="160"/>
      <c r="IX329" s="124"/>
      <c r="IY329" s="124"/>
      <c r="IZ329" s="124"/>
      <c r="JA329" s="124"/>
      <c r="JD329" s="124"/>
      <c r="JE329" s="124"/>
      <c r="JH329" s="124"/>
      <c r="JI329" s="124"/>
      <c r="JJ329" s="124"/>
      <c r="JM329" s="124"/>
      <c r="JN329" s="124"/>
      <c r="JQ329" s="124"/>
      <c r="JR329" s="124"/>
      <c r="JS329" s="124"/>
      <c r="JV329" s="124"/>
      <c r="JW329" s="124"/>
      <c r="JY329" s="124"/>
      <c r="JZ329" s="124"/>
      <c r="KB329" s="124"/>
      <c r="KC329" s="124"/>
      <c r="KD329" s="124"/>
    </row>
    <row r="330" spans="2:290" hidden="1" x14ac:dyDescent="0.25">
      <c r="B330" s="11" t="str">
        <f t="shared" si="445"/>
        <v>Consumer Products</v>
      </c>
      <c r="C330" s="23"/>
      <c r="D330" s="23"/>
      <c r="E330" s="23"/>
      <c r="F330" s="23"/>
      <c r="G330" s="23"/>
      <c r="H330" s="197"/>
      <c r="I330" s="198"/>
      <c r="J330" s="198"/>
      <c r="K330" s="198"/>
      <c r="L330" s="198"/>
      <c r="M330" s="197"/>
      <c r="N330" s="198"/>
      <c r="O330" s="198"/>
      <c r="P330" s="198"/>
      <c r="Q330" s="198"/>
      <c r="R330" s="197"/>
      <c r="S330" s="198"/>
      <c r="T330" s="198"/>
      <c r="U330" s="198"/>
      <c r="V330" s="198"/>
      <c r="W330" s="197"/>
      <c r="X330" s="198"/>
      <c r="Y330" s="198"/>
      <c r="Z330" s="198"/>
      <c r="AA330" s="198"/>
      <c r="AB330" s="42"/>
      <c r="AC330" s="24"/>
      <c r="AD330" s="24"/>
      <c r="AE330" s="24"/>
      <c r="AF330" s="24"/>
      <c r="AG330" s="42"/>
      <c r="AH330" s="24">
        <v>4.819093949528732E-2</v>
      </c>
      <c r="AI330" s="24">
        <v>7.12833492386208E-2</v>
      </c>
      <c r="AJ330" s="24">
        <v>9.0876903103977349E-2</v>
      </c>
      <c r="AK330" s="42">
        <v>7.6340534386551778E-2</v>
      </c>
      <c r="AL330" s="24">
        <f t="shared" si="446"/>
        <v>8.0867254499335697E-2</v>
      </c>
      <c r="AM330" s="24">
        <f t="shared" si="446"/>
        <v>8.6161349319244046E-2</v>
      </c>
      <c r="AN330" s="24">
        <f t="shared" si="446"/>
        <v>7.9177691837980888E-2</v>
      </c>
      <c r="AO330" s="24">
        <f t="shared" si="446"/>
        <v>9.5975687466300655E-2</v>
      </c>
      <c r="AP330" s="42">
        <f t="shared" si="446"/>
        <v>8.6729447862773576E-2</v>
      </c>
      <c r="AQ330" s="24">
        <f t="shared" si="446"/>
        <v>8.0006751624609684E-2</v>
      </c>
      <c r="AR330" s="24">
        <f t="shared" si="446"/>
        <v>0.11265249901613537</v>
      </c>
      <c r="AS330" s="24">
        <f t="shared" si="446"/>
        <v>7.7699877789927319E-2</v>
      </c>
      <c r="AT330" s="24">
        <f t="shared" si="446"/>
        <v>9.9361676502468979E-2</v>
      </c>
      <c r="AU330" s="42">
        <f t="shared" si="446"/>
        <v>9.2474908357477875E-2</v>
      </c>
      <c r="AV330" s="207">
        <f t="shared" si="446"/>
        <v>8.3983286908077978E-2</v>
      </c>
      <c r="AW330" s="207">
        <f t="shared" si="446"/>
        <v>6.8213058419243994E-2</v>
      </c>
      <c r="AX330" s="207">
        <f t="shared" si="446"/>
        <v>0.10013165593914568</v>
      </c>
      <c r="AY330" s="207">
        <f t="shared" si="446"/>
        <v>0.11538947102638557</v>
      </c>
      <c r="AZ330" s="42">
        <f t="shared" si="446"/>
        <v>9.987861044664216E-2</v>
      </c>
      <c r="BA330" s="207">
        <f t="shared" si="446"/>
        <v>0.10408741400242816</v>
      </c>
      <c r="BB330" s="207">
        <f t="shared" si="446"/>
        <v>8.912742945433845E-2</v>
      </c>
      <c r="BC330" s="207">
        <f t="shared" si="446"/>
        <v>8.9225195746172714E-2</v>
      </c>
      <c r="BD330" s="207">
        <f t="shared" si="446"/>
        <v>7.7324537597595097E-2</v>
      </c>
      <c r="BE330" s="42">
        <f t="shared" si="446"/>
        <v>8.7663770409483074E-2</v>
      </c>
      <c r="BF330" s="207">
        <f t="shared" si="446"/>
        <v>-6.2000551116009932E-2</v>
      </c>
      <c r="BG330" s="207">
        <f t="shared" si="446"/>
        <v>6.1053644455135912E-2</v>
      </c>
      <c r="BH330" s="207">
        <f t="shared" si="446"/>
        <v>6.5803885398051529E-2</v>
      </c>
      <c r="BI330" s="207">
        <f t="shared" si="446"/>
        <v>6.1477697162237589E-2</v>
      </c>
      <c r="BJ330" s="42">
        <f t="shared" si="446"/>
        <v>5.4572230912067907E-2</v>
      </c>
      <c r="BK330" s="207">
        <f t="shared" si="446"/>
        <v>3.6265793167992518E-3</v>
      </c>
      <c r="BL330" s="207">
        <f t="shared" si="446"/>
        <v>6.7734943489704283E-2</v>
      </c>
      <c r="BM330" s="207">
        <f t="shared" si="446"/>
        <v>7.9899554845337298E-2</v>
      </c>
      <c r="BN330" s="207">
        <f t="shared" si="446"/>
        <v>4.2701063109226375E-2</v>
      </c>
      <c r="BO330" s="42">
        <f t="shared" si="446"/>
        <v>5.2364488606099345E-2</v>
      </c>
      <c r="BP330" s="207">
        <f t="shared" si="446"/>
        <v>5.1641651031894928E-2</v>
      </c>
      <c r="BQ330" s="207">
        <f t="shared" si="446"/>
        <v>0.17590388756658734</v>
      </c>
      <c r="BR330" s="207">
        <f t="shared" si="446"/>
        <v>8.0733420450833066E-2</v>
      </c>
      <c r="BS330" s="207">
        <f t="shared" si="446"/>
        <v>5.2038496880591964E-2</v>
      </c>
      <c r="BT330" s="42">
        <f t="shared" si="446"/>
        <v>7.0656873469812989E-2</v>
      </c>
      <c r="BU330" s="207">
        <f t="shared" si="446"/>
        <v>6.9179445159779931E-2</v>
      </c>
      <c r="BV330" s="207">
        <f t="shared" si="446"/>
        <v>6.0228952525009455E-2</v>
      </c>
      <c r="BW330" s="207">
        <f t="shared" si="446"/>
        <v>6.3452929345357803E-2</v>
      </c>
      <c r="BX330" s="207">
        <f t="shared" si="446"/>
        <v>4.8836213051549338E-2</v>
      </c>
      <c r="BY330" s="42">
        <f t="shared" si="446"/>
        <v>5.9053636662956058E-2</v>
      </c>
      <c r="BZ330" s="207">
        <f t="shared" si="446"/>
        <v>5.20708526278294E-2</v>
      </c>
      <c r="CA330" s="207">
        <f t="shared" si="446"/>
        <v>6.1485217775486906E-2</v>
      </c>
      <c r="CB330" s="207">
        <f t="shared" si="446"/>
        <v>7.4787835926449803E-2</v>
      </c>
      <c r="CC330" s="207">
        <f t="shared" si="446"/>
        <v>6.8112575789568933E-2</v>
      </c>
      <c r="CD330" s="42">
        <f t="shared" si="446"/>
        <v>6.5576150168295183E-2</v>
      </c>
      <c r="CE330" s="207">
        <f t="shared" si="446"/>
        <v>5.9154689299270702E-2</v>
      </c>
      <c r="CF330" s="207">
        <f t="shared" si="446"/>
        <v>7.0459081836327334E-2</v>
      </c>
      <c r="CG330" s="207">
        <f t="shared" si="446"/>
        <v>8.058831821812884E-2</v>
      </c>
      <c r="CH330" s="207">
        <f t="shared" si="446"/>
        <v>6.2055094354504757E-2</v>
      </c>
      <c r="CI330" s="42">
        <f t="shared" si="446"/>
        <v>6.6291405066031608E-2</v>
      </c>
      <c r="CJ330" s="42" t="e">
        <f t="shared" si="446"/>
        <v>#REF!</v>
      </c>
      <c r="CK330" s="42" t="e">
        <f t="shared" si="446"/>
        <v>#REF!</v>
      </c>
      <c r="CL330" s="42"/>
      <c r="CM330" s="42"/>
      <c r="CN330" s="42"/>
      <c r="CO330" s="74"/>
      <c r="CP330" s="74"/>
      <c r="CQ330" s="6"/>
      <c r="CR330" s="6"/>
      <c r="CS330" s="6"/>
      <c r="CT330" s="124"/>
      <c r="CU330" s="124"/>
      <c r="CV330" s="124"/>
      <c r="CW330" s="124"/>
      <c r="CX330" s="124"/>
      <c r="CY330" s="124"/>
      <c r="CZ330" s="124"/>
      <c r="DA330" s="124"/>
      <c r="DB330" s="124"/>
      <c r="DC330" s="124"/>
      <c r="DD330" s="124"/>
      <c r="DE330" s="124"/>
      <c r="DF330" s="124"/>
      <c r="DG330" s="124"/>
      <c r="DH330" s="124"/>
      <c r="DI330" s="124"/>
      <c r="DK330" s="124"/>
      <c r="DL330" s="124"/>
      <c r="DM330" s="6"/>
      <c r="DN330" s="124"/>
      <c r="DO330" s="124"/>
      <c r="DQ330" s="136"/>
      <c r="DR330" s="124"/>
      <c r="DS330" s="124"/>
      <c r="DT330" s="124"/>
      <c r="DV330" s="124"/>
      <c r="DW330" s="124"/>
      <c r="DX330" s="124"/>
      <c r="EA330" s="111"/>
      <c r="EB330" s="111"/>
      <c r="EC330" s="111"/>
      <c r="ED330" s="124"/>
      <c r="EE330" s="124"/>
      <c r="EF330" s="124"/>
      <c r="EJ330" s="111"/>
      <c r="EK330" s="111"/>
      <c r="EL330" s="124"/>
      <c r="EM330" s="124"/>
      <c r="EN330" s="124"/>
      <c r="EP330" s="111"/>
      <c r="EQ330" s="124"/>
      <c r="ER330" s="124"/>
      <c r="ES330" s="124"/>
      <c r="EV330" s="111"/>
      <c r="EW330" s="111"/>
      <c r="EX330" s="111"/>
      <c r="EY330" s="111"/>
      <c r="EZ330" s="124"/>
      <c r="FA330" s="124"/>
      <c r="FD330" s="111"/>
      <c r="FE330" s="111"/>
      <c r="FF330" s="111"/>
      <c r="FG330" s="124"/>
      <c r="FH330" s="124"/>
      <c r="FK330" s="124"/>
      <c r="FL330" s="124"/>
      <c r="FO330" s="111"/>
      <c r="FP330" s="111"/>
      <c r="FQ330" s="124"/>
      <c r="FR330" s="124"/>
      <c r="FU330" s="111"/>
      <c r="FV330" s="124"/>
      <c r="FW330" s="124"/>
      <c r="FX330" s="124"/>
      <c r="FY330" s="124"/>
      <c r="GA330" s="124"/>
      <c r="GB330" s="124"/>
      <c r="GC330" s="124"/>
      <c r="GF330" s="111"/>
      <c r="GG330" s="111"/>
      <c r="GH330" s="111"/>
      <c r="GI330" s="124"/>
      <c r="GJ330" s="124"/>
      <c r="GK330" s="124"/>
      <c r="GN330" s="111"/>
      <c r="GO330" s="111"/>
      <c r="GP330" s="124"/>
      <c r="GQ330" s="124"/>
      <c r="GR330" s="124"/>
      <c r="GV330" s="111"/>
      <c r="GW330" s="124"/>
      <c r="GX330" s="124"/>
      <c r="GY330" s="124"/>
      <c r="HC330" s="124"/>
      <c r="HD330" s="124"/>
      <c r="HE330" s="124"/>
      <c r="HF330" s="124"/>
      <c r="HI330" s="111"/>
      <c r="HJ330" s="111"/>
      <c r="HK330" s="111"/>
      <c r="HL330" s="111"/>
      <c r="HM330" s="124"/>
      <c r="HN330" s="124"/>
      <c r="HO330" s="124"/>
      <c r="HR330" s="111"/>
      <c r="HS330" s="111"/>
      <c r="HT330" s="111"/>
      <c r="HU330" s="124"/>
      <c r="HV330" s="124"/>
      <c r="HW330" s="124"/>
      <c r="HZ330" s="111"/>
      <c r="IA330" s="124"/>
      <c r="IB330" s="124"/>
      <c r="IC330" s="124"/>
      <c r="IE330" s="111"/>
      <c r="IF330" s="124"/>
      <c r="IG330" s="124"/>
      <c r="IH330" s="124"/>
      <c r="IK330" s="124"/>
      <c r="IL330" s="124"/>
      <c r="IO330" s="124"/>
      <c r="IP330" s="124"/>
      <c r="IS330" s="160"/>
      <c r="IT330" s="160"/>
      <c r="IU330" s="160"/>
      <c r="IX330" s="124"/>
      <c r="IY330" s="124"/>
      <c r="IZ330" s="124"/>
      <c r="JA330" s="124"/>
      <c r="JD330" s="124"/>
      <c r="JE330" s="124"/>
      <c r="JH330" s="124"/>
      <c r="JI330" s="124"/>
      <c r="JJ330" s="124"/>
      <c r="JM330" s="124"/>
      <c r="JN330" s="124"/>
      <c r="JQ330" s="124"/>
      <c r="JR330" s="124"/>
      <c r="JS330" s="124"/>
      <c r="JV330" s="124"/>
      <c r="JW330" s="124"/>
      <c r="JY330" s="124"/>
      <c r="JZ330" s="124"/>
      <c r="KB330" s="124"/>
      <c r="KC330" s="124"/>
      <c r="KD330" s="124"/>
    </row>
    <row r="331" spans="2:290" hidden="1" x14ac:dyDescent="0.25">
      <c r="B331" s="11" t="str">
        <f t="shared" si="445"/>
        <v>Others</v>
      </c>
      <c r="C331" s="23"/>
      <c r="D331" s="23"/>
      <c r="E331" s="23"/>
      <c r="F331" s="23"/>
      <c r="G331" s="23"/>
      <c r="H331" s="197"/>
      <c r="I331" s="198"/>
      <c r="J331" s="198"/>
      <c r="K331" s="198"/>
      <c r="L331" s="198"/>
      <c r="M331" s="197"/>
      <c r="N331" s="198"/>
      <c r="O331" s="198"/>
      <c r="P331" s="198"/>
      <c r="Q331" s="198"/>
      <c r="R331" s="197"/>
      <c r="S331" s="198"/>
      <c r="T331" s="198"/>
      <c r="U331" s="198"/>
      <c r="V331" s="198"/>
      <c r="W331" s="197"/>
      <c r="X331" s="198"/>
      <c r="Y331" s="198"/>
      <c r="Z331" s="198"/>
      <c r="AA331" s="198"/>
      <c r="AB331" s="42"/>
      <c r="AC331" s="24"/>
      <c r="AD331" s="24"/>
      <c r="AE331" s="24"/>
      <c r="AF331" s="24"/>
      <c r="AG331" s="42"/>
      <c r="AH331" s="24">
        <v>-3.4052903618121015E-2</v>
      </c>
      <c r="AI331" s="24">
        <v>-2.5808057756939545E-2</v>
      </c>
      <c r="AJ331" s="24">
        <v>-2.5728785554113068E-2</v>
      </c>
      <c r="AK331" s="42">
        <v>-2.7295599252252379E-2</v>
      </c>
      <c r="AL331" s="24">
        <f t="shared" si="446"/>
        <v>-1.4313322865080328E-2</v>
      </c>
      <c r="AM331" s="24">
        <f t="shared" si="446"/>
        <v>-2.4791709002235315E-2</v>
      </c>
      <c r="AN331" s="24">
        <f t="shared" si="446"/>
        <v>-2.2457425876925171E-2</v>
      </c>
      <c r="AO331" s="24">
        <f t="shared" si="446"/>
        <v>3.921376403117494E-4</v>
      </c>
      <c r="AP331" s="42">
        <f t="shared" si="446"/>
        <v>-1.4003362112581809E-2</v>
      </c>
      <c r="AQ331" s="24">
        <f t="shared" si="446"/>
        <v>-2.6837707823445019E-2</v>
      </c>
      <c r="AR331" s="24">
        <f t="shared" si="446"/>
        <v>-2.5974025974025976E-2</v>
      </c>
      <c r="AS331" s="24">
        <f t="shared" si="446"/>
        <v>-2.206213417379559E-2</v>
      </c>
      <c r="AT331" s="24">
        <f t="shared" si="446"/>
        <v>4.8014773776546629E-2</v>
      </c>
      <c r="AU331" s="42">
        <f t="shared" si="446"/>
        <v>4.3220054105104766E-3</v>
      </c>
      <c r="AV331" s="207">
        <f t="shared" si="446"/>
        <v>-1.5738161559888577E-2</v>
      </c>
      <c r="AW331" s="207">
        <f t="shared" si="446"/>
        <v>0</v>
      </c>
      <c r="AX331" s="207">
        <f t="shared" si="446"/>
        <v>0</v>
      </c>
      <c r="AY331" s="207">
        <f t="shared" si="446"/>
        <v>-1.5780835753061483E-3</v>
      </c>
      <c r="AZ331" s="42">
        <f t="shared" si="446"/>
        <v>0</v>
      </c>
      <c r="BA331" s="207">
        <f t="shared" si="446"/>
        <v>-1.6997167138810196E-3</v>
      </c>
      <c r="BB331" s="207">
        <f t="shared" si="446"/>
        <v>2.3582987720582251E-3</v>
      </c>
      <c r="BC331" s="207">
        <f t="shared" si="446"/>
        <v>5.8431693350473291E-4</v>
      </c>
      <c r="BD331" s="207">
        <f t="shared" si="446"/>
        <v>1.9999164961797003E-2</v>
      </c>
      <c r="BE331" s="42">
        <f t="shared" si="446"/>
        <v>7.5627311045848092E-3</v>
      </c>
      <c r="BF331" s="207">
        <f t="shared" si="446"/>
        <v>-1.6533480297602648E-3</v>
      </c>
      <c r="BG331" s="207">
        <f t="shared" si="446"/>
        <v>4.8304065431801775E-2</v>
      </c>
      <c r="BH331" s="207">
        <f t="shared" si="446"/>
        <v>4.0122211333371766E-2</v>
      </c>
      <c r="BI331" s="207">
        <f t="shared" si="446"/>
        <v>8.3716137895505094E-4</v>
      </c>
      <c r="BJ331" s="42">
        <f t="shared" si="446"/>
        <v>2.2163680103912259E-2</v>
      </c>
      <c r="BK331" s="207">
        <f t="shared" si="446"/>
        <v>-3.275620028076744E-3</v>
      </c>
      <c r="BL331" s="207">
        <f t="shared" si="446"/>
        <v>8.3217216287350976E-3</v>
      </c>
      <c r="BM331" s="207">
        <f t="shared" si="446"/>
        <v>2.2181638321348403E-2</v>
      </c>
      <c r="BN331" s="207">
        <f t="shared" si="446"/>
        <v>3.0332479312071151E-3</v>
      </c>
      <c r="BO331" s="42">
        <f t="shared" si="446"/>
        <v>8.1834645593034851E-3</v>
      </c>
      <c r="BP331" s="207">
        <f t="shared" si="446"/>
        <v>-2.5328330206378985E-3</v>
      </c>
      <c r="BQ331" s="207">
        <f t="shared" si="446"/>
        <v>-3.626884279723451E-2</v>
      </c>
      <c r="BR331" s="207">
        <f t="shared" si="446"/>
        <v>-1.6334531198954589E-4</v>
      </c>
      <c r="BS331" s="207">
        <f t="shared" si="446"/>
        <v>2.635778884751173E-3</v>
      </c>
      <c r="BT331" s="42">
        <f t="shared" si="446"/>
        <v>-2.8025212272750951E-3</v>
      </c>
      <c r="BU331" s="207">
        <f t="shared" si="446"/>
        <v>1.9509149791252097E-4</v>
      </c>
      <c r="BV331" s="207">
        <f t="shared" si="446"/>
        <v>-8.9380865619306273E-4</v>
      </c>
      <c r="BW331" s="207">
        <f t="shared" si="446"/>
        <v>-1.2651657691559071E-3</v>
      </c>
      <c r="BX331" s="207">
        <f t="shared" si="446"/>
        <v>-7.3777904707506307E-4</v>
      </c>
      <c r="BY331" s="42">
        <f t="shared" si="446"/>
        <v>-7.1337859237076884E-4</v>
      </c>
      <c r="BZ331" s="207">
        <f t="shared" si="446"/>
        <v>-8.095592759301836E-4</v>
      </c>
      <c r="CA331" s="207">
        <f t="shared" si="446"/>
        <v>2.2090497404366553E-4</v>
      </c>
      <c r="CB331" s="207">
        <f t="shared" si="446"/>
        <v>1.4586280056577089E-3</v>
      </c>
      <c r="CC331" s="207">
        <f t="shared" si="446"/>
        <v>2.4433652076860427E-3</v>
      </c>
      <c r="CD331" s="42">
        <f t="shared" si="446"/>
        <v>8.6188907941173794E-4</v>
      </c>
      <c r="CE331" s="207">
        <f t="shared" si="446"/>
        <v>-6.8239007122446378E-4</v>
      </c>
      <c r="CF331" s="207">
        <f t="shared" si="446"/>
        <v>2.9940119760479042E-4</v>
      </c>
      <c r="CG331" s="207">
        <f t="shared" ref="CG331:CK331" si="447">CG308/CG$176</f>
        <v>7.5184436821577937E-4</v>
      </c>
      <c r="CH331" s="207">
        <f t="shared" si="447"/>
        <v>-1.262003825449096E-2</v>
      </c>
      <c r="CI331" s="42">
        <f t="shared" si="447"/>
        <v>-5.4903658800606187E-3</v>
      </c>
      <c r="CJ331" s="42" t="e">
        <f t="shared" si="447"/>
        <v>#REF!</v>
      </c>
      <c r="CK331" s="42" t="e">
        <f t="shared" si="447"/>
        <v>#REF!</v>
      </c>
      <c r="CL331" s="42"/>
      <c r="CM331" s="42"/>
      <c r="CN331" s="42"/>
      <c r="CO331" s="74"/>
      <c r="CP331" s="74"/>
      <c r="CQ331" s="6"/>
      <c r="CR331" s="6"/>
      <c r="CS331" s="6"/>
      <c r="CT331" s="124"/>
      <c r="CU331" s="124"/>
      <c r="CV331" s="124"/>
      <c r="CW331" s="124"/>
      <c r="CX331" s="124"/>
      <c r="CY331" s="124"/>
      <c r="CZ331" s="124"/>
      <c r="DA331" s="124"/>
      <c r="DB331" s="124"/>
      <c r="DC331" s="124"/>
      <c r="DD331" s="124"/>
      <c r="DE331" s="124"/>
      <c r="DF331" s="124"/>
      <c r="DG331" s="124"/>
      <c r="DH331" s="124"/>
      <c r="DI331" s="124"/>
      <c r="DK331" s="124"/>
      <c r="DL331" s="124"/>
      <c r="DM331" s="6"/>
      <c r="DN331" s="124"/>
      <c r="DO331" s="124"/>
      <c r="DQ331" s="136"/>
      <c r="DR331" s="124"/>
      <c r="DS331" s="124"/>
      <c r="DT331" s="124"/>
      <c r="DV331" s="124"/>
      <c r="DW331" s="124"/>
      <c r="DX331" s="124"/>
      <c r="EA331" s="111"/>
      <c r="EB331" s="111"/>
      <c r="EC331" s="111"/>
      <c r="ED331" s="124"/>
      <c r="EE331" s="124"/>
      <c r="EF331" s="124"/>
      <c r="EJ331" s="111"/>
      <c r="EK331" s="111"/>
      <c r="EL331" s="124"/>
      <c r="EM331" s="124"/>
      <c r="EN331" s="124"/>
      <c r="EP331" s="111"/>
      <c r="EQ331" s="124"/>
      <c r="ER331" s="124"/>
      <c r="ES331" s="124"/>
      <c r="EV331" s="111"/>
      <c r="EW331" s="111"/>
      <c r="EX331" s="111"/>
      <c r="EY331" s="111"/>
      <c r="EZ331" s="124"/>
      <c r="FA331" s="124"/>
      <c r="FD331" s="111"/>
      <c r="FE331" s="111"/>
      <c r="FF331" s="111"/>
      <c r="FG331" s="124"/>
      <c r="FH331" s="124"/>
      <c r="FK331" s="124"/>
      <c r="FL331" s="124"/>
      <c r="FO331" s="111"/>
      <c r="FP331" s="111"/>
      <c r="FQ331" s="124"/>
      <c r="FR331" s="124"/>
      <c r="FU331" s="111"/>
      <c r="FV331" s="124"/>
      <c r="FW331" s="124"/>
      <c r="FX331" s="124"/>
      <c r="FY331" s="124"/>
      <c r="GA331" s="124"/>
      <c r="GB331" s="124"/>
      <c r="GC331" s="124"/>
      <c r="GF331" s="111"/>
      <c r="GG331" s="111"/>
      <c r="GH331" s="111"/>
      <c r="GI331" s="124"/>
      <c r="GJ331" s="124"/>
      <c r="GK331" s="124"/>
      <c r="GN331" s="111"/>
      <c r="GO331" s="111"/>
      <c r="GP331" s="124"/>
      <c r="GQ331" s="124"/>
      <c r="GR331" s="124"/>
      <c r="GV331" s="111"/>
      <c r="GW331" s="124"/>
      <c r="GX331" s="124"/>
      <c r="GY331" s="124"/>
      <c r="HC331" s="124"/>
      <c r="HD331" s="124"/>
      <c r="HE331" s="124"/>
      <c r="HF331" s="124"/>
      <c r="HI331" s="111"/>
      <c r="HJ331" s="111"/>
      <c r="HK331" s="111"/>
      <c r="HL331" s="111"/>
      <c r="HM331" s="124"/>
      <c r="HN331" s="124"/>
      <c r="HO331" s="124"/>
      <c r="HR331" s="111"/>
      <c r="HS331" s="111"/>
      <c r="HT331" s="111"/>
      <c r="HU331" s="124"/>
      <c r="HV331" s="124"/>
      <c r="HW331" s="124"/>
      <c r="HZ331" s="111"/>
      <c r="IA331" s="124"/>
      <c r="IB331" s="124"/>
      <c r="IC331" s="124"/>
      <c r="IE331" s="111"/>
      <c r="IF331" s="124"/>
      <c r="IG331" s="124"/>
      <c r="IH331" s="124"/>
      <c r="IK331" s="124"/>
      <c r="IL331" s="124"/>
      <c r="IO331" s="124"/>
      <c r="IP331" s="124"/>
      <c r="IS331" s="160"/>
      <c r="IT331" s="160"/>
      <c r="IU331" s="160"/>
      <c r="IX331" s="124"/>
      <c r="IY331" s="124"/>
      <c r="IZ331" s="124"/>
      <c r="JA331" s="124"/>
      <c r="JD331" s="124"/>
      <c r="JE331" s="124"/>
      <c r="JH331" s="124"/>
      <c r="JI331" s="124"/>
      <c r="JJ331" s="124"/>
      <c r="JM331" s="124"/>
      <c r="JN331" s="124"/>
      <c r="JQ331" s="124"/>
      <c r="JR331" s="124"/>
      <c r="JS331" s="124"/>
      <c r="JV331" s="124"/>
      <c r="JW331" s="124"/>
      <c r="JY331" s="124"/>
      <c r="JZ331" s="124"/>
      <c r="KB331" s="124"/>
      <c r="KC331" s="124"/>
      <c r="KD331" s="124"/>
    </row>
    <row r="332" spans="2:290" hidden="1" x14ac:dyDescent="0.25">
      <c r="B332" s="11" t="str">
        <f t="shared" si="445"/>
        <v>Other Unallocable</v>
      </c>
      <c r="C332" s="23"/>
      <c r="D332" s="23"/>
      <c r="E332" s="23"/>
      <c r="F332" s="23"/>
      <c r="G332" s="23"/>
      <c r="H332" s="197"/>
      <c r="I332" s="198"/>
      <c r="J332" s="198"/>
      <c r="K332" s="198"/>
      <c r="L332" s="198"/>
      <c r="M332" s="197"/>
      <c r="N332" s="198"/>
      <c r="O332" s="198"/>
      <c r="P332" s="198"/>
      <c r="Q332" s="198"/>
      <c r="R332" s="197"/>
      <c r="S332" s="198"/>
      <c r="T332" s="198"/>
      <c r="U332" s="198"/>
      <c r="V332" s="198"/>
      <c r="W332" s="197"/>
      <c r="X332" s="198"/>
      <c r="Y332" s="198"/>
      <c r="Z332" s="198"/>
      <c r="AA332" s="198"/>
      <c r="AB332" s="42"/>
      <c r="AC332" s="24"/>
      <c r="AD332" s="24"/>
      <c r="AE332" s="24"/>
      <c r="AF332" s="24"/>
      <c r="AG332" s="42"/>
      <c r="AH332" s="24">
        <v>0</v>
      </c>
      <c r="AI332" s="24">
        <v>0</v>
      </c>
      <c r="AJ332" s="24">
        <v>0</v>
      </c>
      <c r="AK332" s="42">
        <v>0</v>
      </c>
      <c r="AL332" s="24">
        <f t="shared" ref="AL332:CK333" si="448">AL309/AL$176</f>
        <v>-1.5219229375528449E-2</v>
      </c>
      <c r="AM332" s="24">
        <f t="shared" si="448"/>
        <v>-1.6561674456411296E-2</v>
      </c>
      <c r="AN332" s="24">
        <f t="shared" si="448"/>
        <v>-7.1239568491756585E-3</v>
      </c>
      <c r="AO332" s="24">
        <f t="shared" si="448"/>
        <v>7.6957011911180824E-3</v>
      </c>
      <c r="AP332" s="42">
        <f t="shared" si="448"/>
        <v>-9.4824631554895449E-3</v>
      </c>
      <c r="AQ332" s="24">
        <f t="shared" si="448"/>
        <v>5.0637184572537768E-4</v>
      </c>
      <c r="AR332" s="24">
        <f t="shared" si="448"/>
        <v>-1.0920897284533649E-2</v>
      </c>
      <c r="AS332" s="24">
        <f t="shared" si="448"/>
        <v>-5.5316138161703226E-3</v>
      </c>
      <c r="AT332" s="24">
        <f t="shared" si="448"/>
        <v>-1.4452607491268216E-3</v>
      </c>
      <c r="AU332" s="42">
        <f t="shared" si="448"/>
        <v>-3.6336860303180672E-3</v>
      </c>
      <c r="AV332" s="207">
        <f t="shared" si="448"/>
        <v>-3.5515320334261833E-3</v>
      </c>
      <c r="AW332" s="207">
        <f t="shared" si="448"/>
        <v>0.31191294387170676</v>
      </c>
      <c r="AX332" s="207">
        <f t="shared" si="448"/>
        <v>-7.3142188414277343E-5</v>
      </c>
      <c r="AY332" s="207">
        <f t="shared" si="448"/>
        <v>0</v>
      </c>
      <c r="AZ332" s="42">
        <f t="shared" si="448"/>
        <v>0</v>
      </c>
      <c r="BA332" s="207">
        <f t="shared" si="448"/>
        <v>0</v>
      </c>
      <c r="BB332" s="207">
        <f t="shared" si="448"/>
        <v>0</v>
      </c>
      <c r="BC332" s="207">
        <f t="shared" si="448"/>
        <v>0</v>
      </c>
      <c r="BD332" s="207">
        <f t="shared" si="448"/>
        <v>0</v>
      </c>
      <c r="BE332" s="42">
        <f t="shared" si="448"/>
        <v>0</v>
      </c>
      <c r="BF332" s="207">
        <f t="shared" si="448"/>
        <v>0</v>
      </c>
      <c r="BG332" s="207">
        <f t="shared" si="448"/>
        <v>0</v>
      </c>
      <c r="BH332" s="207">
        <f t="shared" si="448"/>
        <v>0</v>
      </c>
      <c r="BI332" s="207">
        <f t="shared" si="448"/>
        <v>0</v>
      </c>
      <c r="BJ332" s="42">
        <f t="shared" si="448"/>
        <v>0</v>
      </c>
      <c r="BK332" s="207">
        <f t="shared" si="448"/>
        <v>0</v>
      </c>
      <c r="BL332" s="207">
        <f t="shared" si="448"/>
        <v>0</v>
      </c>
      <c r="BM332" s="207">
        <f t="shared" si="448"/>
        <v>0</v>
      </c>
      <c r="BN332" s="207">
        <f t="shared" si="448"/>
        <v>0</v>
      </c>
      <c r="BO332" s="42">
        <f t="shared" si="448"/>
        <v>0</v>
      </c>
      <c r="BP332" s="207">
        <f t="shared" si="448"/>
        <v>0</v>
      </c>
      <c r="BQ332" s="207">
        <f t="shared" si="448"/>
        <v>0</v>
      </c>
      <c r="BR332" s="207">
        <f t="shared" si="448"/>
        <v>0</v>
      </c>
      <c r="BS332" s="207">
        <f t="shared" si="448"/>
        <v>0</v>
      </c>
      <c r="BT332" s="42">
        <f t="shared" si="448"/>
        <v>0</v>
      </c>
      <c r="BU332" s="207">
        <f t="shared" si="448"/>
        <v>0</v>
      </c>
      <c r="BV332" s="207">
        <f t="shared" si="448"/>
        <v>0</v>
      </c>
      <c r="BW332" s="207">
        <f t="shared" si="448"/>
        <v>0</v>
      </c>
      <c r="BX332" s="207">
        <f t="shared" si="448"/>
        <v>0</v>
      </c>
      <c r="BY332" s="42">
        <f t="shared" si="448"/>
        <v>0</v>
      </c>
      <c r="BZ332" s="207">
        <f t="shared" si="448"/>
        <v>0</v>
      </c>
      <c r="CA332" s="207">
        <f t="shared" si="448"/>
        <v>0</v>
      </c>
      <c r="CB332" s="207">
        <f t="shared" si="448"/>
        <v>0</v>
      </c>
      <c r="CC332" s="207">
        <f t="shared" si="448"/>
        <v>0</v>
      </c>
      <c r="CD332" s="42">
        <f t="shared" si="448"/>
        <v>0</v>
      </c>
      <c r="CE332" s="207">
        <f t="shared" si="448"/>
        <v>0</v>
      </c>
      <c r="CF332" s="207">
        <f t="shared" si="448"/>
        <v>0</v>
      </c>
      <c r="CG332" s="207">
        <f t="shared" si="448"/>
        <v>0</v>
      </c>
      <c r="CH332" s="207">
        <f t="shared" si="448"/>
        <v>0</v>
      </c>
      <c r="CI332" s="42">
        <f t="shared" si="448"/>
        <v>0</v>
      </c>
      <c r="CJ332" s="42" t="e">
        <f t="shared" si="448"/>
        <v>#REF!</v>
      </c>
      <c r="CK332" s="42" t="e">
        <f t="shared" si="448"/>
        <v>#REF!</v>
      </c>
      <c r="CL332" s="42"/>
      <c r="CM332" s="42"/>
      <c r="CN332" s="42"/>
      <c r="CO332" s="74"/>
      <c r="CP332" s="74"/>
      <c r="CQ332" s="6"/>
      <c r="CR332" s="6"/>
      <c r="CS332" s="6"/>
      <c r="CT332" s="124"/>
      <c r="CU332" s="124"/>
      <c r="CV332" s="124"/>
      <c r="CW332" s="124"/>
      <c r="CX332" s="124"/>
      <c r="CY332" s="124"/>
      <c r="CZ332" s="124"/>
      <c r="DA332" s="124"/>
      <c r="DB332" s="124"/>
      <c r="DC332" s="124"/>
      <c r="DD332" s="124"/>
      <c r="DE332" s="124"/>
      <c r="DF332" s="124"/>
      <c r="DG332" s="124"/>
      <c r="DH332" s="124"/>
      <c r="DI332" s="124"/>
      <c r="DK332" s="124"/>
      <c r="DL332" s="124"/>
      <c r="DM332" s="6"/>
      <c r="DN332" s="124"/>
      <c r="DO332" s="124"/>
      <c r="DQ332" s="136"/>
      <c r="DR332" s="124"/>
      <c r="DS332" s="124"/>
      <c r="DT332" s="124"/>
      <c r="DV332" s="124"/>
      <c r="DW332" s="124"/>
      <c r="DX332" s="124"/>
      <c r="EA332" s="111"/>
      <c r="EB332" s="111"/>
      <c r="EC332" s="111"/>
      <c r="ED332" s="124"/>
      <c r="EE332" s="124"/>
      <c r="EF332" s="124"/>
      <c r="EJ332" s="111"/>
      <c r="EK332" s="111"/>
      <c r="EL332" s="124"/>
      <c r="EM332" s="124"/>
      <c r="EN332" s="124"/>
      <c r="EP332" s="111"/>
      <c r="EQ332" s="124"/>
      <c r="ER332" s="124"/>
      <c r="ES332" s="124"/>
      <c r="EV332" s="111"/>
      <c r="EW332" s="111"/>
      <c r="EX332" s="111"/>
      <c r="EY332" s="111"/>
      <c r="EZ332" s="124"/>
      <c r="FA332" s="124"/>
      <c r="FD332" s="111"/>
      <c r="FE332" s="111"/>
      <c r="FF332" s="111"/>
      <c r="FG332" s="124"/>
      <c r="FH332" s="124"/>
      <c r="FK332" s="124"/>
      <c r="FL332" s="124"/>
      <c r="FO332" s="111"/>
      <c r="FP332" s="111"/>
      <c r="FQ332" s="124"/>
      <c r="FR332" s="124"/>
      <c r="FU332" s="111"/>
      <c r="FV332" s="124"/>
      <c r="FW332" s="124"/>
      <c r="FX332" s="124"/>
      <c r="FY332" s="124"/>
      <c r="GA332" s="124"/>
      <c r="GB332" s="124"/>
      <c r="GC332" s="124"/>
      <c r="GF332" s="111"/>
      <c r="GG332" s="111"/>
      <c r="GH332" s="111"/>
      <c r="GI332" s="124"/>
      <c r="GJ332" s="124"/>
      <c r="GK332" s="124"/>
      <c r="GN332" s="111"/>
      <c r="GO332" s="111"/>
      <c r="GP332" s="124"/>
      <c r="GQ332" s="124"/>
      <c r="GR332" s="124"/>
      <c r="GV332" s="111"/>
      <c r="GW332" s="124"/>
      <c r="GX332" s="124"/>
      <c r="GY332" s="124"/>
      <c r="HC332" s="124"/>
      <c r="HD332" s="124"/>
      <c r="HE332" s="124"/>
      <c r="HF332" s="124"/>
      <c r="HI332" s="111"/>
      <c r="HJ332" s="111"/>
      <c r="HK332" s="111"/>
      <c r="HL332" s="111"/>
      <c r="HM332" s="124"/>
      <c r="HN332" s="124"/>
      <c r="HO332" s="124"/>
      <c r="HR332" s="111"/>
      <c r="HS332" s="111"/>
      <c r="HT332" s="111"/>
      <c r="HU332" s="124"/>
      <c r="HV332" s="124"/>
      <c r="HW332" s="124"/>
      <c r="HZ332" s="111"/>
      <c r="IA332" s="124"/>
      <c r="IB332" s="124"/>
      <c r="IC332" s="124"/>
      <c r="IE332" s="111"/>
      <c r="IF332" s="124"/>
      <c r="IG332" s="124"/>
      <c r="IH332" s="124"/>
      <c r="IK332" s="124"/>
      <c r="IL332" s="124"/>
      <c r="IO332" s="124"/>
      <c r="IP332" s="124"/>
      <c r="IS332" s="160"/>
      <c r="IT332" s="160"/>
      <c r="IU332" s="160"/>
      <c r="IX332" s="124"/>
      <c r="IY332" s="124"/>
      <c r="IZ332" s="124"/>
      <c r="JA332" s="124"/>
      <c r="JD332" s="124"/>
      <c r="JE332" s="124"/>
      <c r="JH332" s="124"/>
      <c r="JI332" s="124"/>
      <c r="JJ332" s="124"/>
      <c r="JM332" s="124"/>
      <c r="JN332" s="124"/>
      <c r="JQ332" s="124"/>
      <c r="JR332" s="124"/>
      <c r="JS332" s="124"/>
      <c r="JV332" s="124"/>
      <c r="JW332" s="124"/>
      <c r="JY332" s="124"/>
      <c r="JZ332" s="124"/>
      <c r="KB332" s="124"/>
      <c r="KC332" s="124"/>
      <c r="KD332" s="124"/>
    </row>
    <row r="333" spans="2:290" hidden="1" x14ac:dyDescent="0.25">
      <c r="B333" s="11" t="str">
        <f t="shared" si="445"/>
        <v>Total EBIT</v>
      </c>
      <c r="C333" s="23"/>
      <c r="D333" s="23"/>
      <c r="E333" s="23"/>
      <c r="F333" s="23"/>
      <c r="G333" s="23"/>
      <c r="H333" s="197"/>
      <c r="I333" s="198"/>
      <c r="J333" s="198"/>
      <c r="K333" s="198"/>
      <c r="L333" s="198"/>
      <c r="M333" s="197"/>
      <c r="N333" s="198"/>
      <c r="O333" s="198"/>
      <c r="P333" s="198"/>
      <c r="Q333" s="198"/>
      <c r="R333" s="197"/>
      <c r="S333" s="198"/>
      <c r="T333" s="198"/>
      <c r="U333" s="198"/>
      <c r="V333" s="198"/>
      <c r="W333" s="197"/>
      <c r="X333" s="198"/>
      <c r="Y333" s="198"/>
      <c r="Z333" s="198"/>
      <c r="AA333" s="198"/>
      <c r="AB333" s="42"/>
      <c r="AC333" s="24"/>
      <c r="AD333" s="24"/>
      <c r="AE333" s="24"/>
      <c r="AF333" s="24"/>
      <c r="AG333" s="42"/>
      <c r="AH333" s="24">
        <v>1</v>
      </c>
      <c r="AI333" s="24">
        <v>1</v>
      </c>
      <c r="AJ333" s="24">
        <v>1</v>
      </c>
      <c r="AK333" s="42">
        <v>1</v>
      </c>
      <c r="AL333" s="24">
        <f>AL310/AL$176</f>
        <v>1</v>
      </c>
      <c r="AM333" s="24">
        <f>AM310/AM$176</f>
        <v>1</v>
      </c>
      <c r="AN333" s="24"/>
      <c r="AO333" s="24">
        <f t="shared" si="448"/>
        <v>1</v>
      </c>
      <c r="AP333" s="42">
        <f t="shared" si="448"/>
        <v>1</v>
      </c>
      <c r="AQ333" s="24">
        <f t="shared" si="448"/>
        <v>1</v>
      </c>
      <c r="AR333" s="24">
        <f t="shared" si="448"/>
        <v>1</v>
      </c>
      <c r="AS333" s="24">
        <f t="shared" si="448"/>
        <v>1</v>
      </c>
      <c r="AT333" s="24">
        <f t="shared" si="448"/>
        <v>1</v>
      </c>
      <c r="AU333" s="42">
        <f t="shared" si="448"/>
        <v>1</v>
      </c>
      <c r="AV333" s="207">
        <f t="shared" si="448"/>
        <v>1</v>
      </c>
      <c r="AW333" s="207">
        <f t="shared" si="448"/>
        <v>1</v>
      </c>
      <c r="AX333" s="207">
        <f t="shared" si="448"/>
        <v>1</v>
      </c>
      <c r="AY333" s="207">
        <f t="shared" si="448"/>
        <v>1</v>
      </c>
      <c r="AZ333" s="42">
        <f t="shared" si="448"/>
        <v>1</v>
      </c>
      <c r="BA333" s="207">
        <f t="shared" si="448"/>
        <v>1</v>
      </c>
      <c r="BB333" s="207">
        <f t="shared" si="448"/>
        <v>1</v>
      </c>
      <c r="BC333" s="207">
        <f t="shared" si="448"/>
        <v>1</v>
      </c>
      <c r="BD333" s="207">
        <f t="shared" si="448"/>
        <v>1</v>
      </c>
      <c r="BE333" s="42">
        <f t="shared" si="448"/>
        <v>1</v>
      </c>
      <c r="BF333" s="207">
        <f t="shared" si="448"/>
        <v>1</v>
      </c>
      <c r="BG333" s="207">
        <f t="shared" si="448"/>
        <v>1</v>
      </c>
      <c r="BH333" s="207">
        <f t="shared" si="448"/>
        <v>1</v>
      </c>
      <c r="BI333" s="207">
        <f t="shared" si="448"/>
        <v>1</v>
      </c>
      <c r="BJ333" s="42">
        <f t="shared" si="448"/>
        <v>1</v>
      </c>
      <c r="BK333" s="207">
        <f t="shared" si="448"/>
        <v>1</v>
      </c>
      <c r="BL333" s="207">
        <f t="shared" si="448"/>
        <v>1</v>
      </c>
      <c r="BM333" s="207">
        <f t="shared" si="448"/>
        <v>1</v>
      </c>
      <c r="BN333" s="207">
        <f t="shared" si="448"/>
        <v>1</v>
      </c>
      <c r="BO333" s="42">
        <f t="shared" si="448"/>
        <v>1</v>
      </c>
      <c r="BP333" s="207">
        <f t="shared" si="448"/>
        <v>1</v>
      </c>
      <c r="BQ333" s="207">
        <f t="shared" si="448"/>
        <v>1</v>
      </c>
      <c r="BR333" s="207">
        <f t="shared" si="448"/>
        <v>1</v>
      </c>
      <c r="BS333" s="207">
        <f t="shared" si="448"/>
        <v>1</v>
      </c>
      <c r="BT333" s="42">
        <f t="shared" si="448"/>
        <v>1</v>
      </c>
      <c r="BU333" s="207">
        <f t="shared" si="448"/>
        <v>1</v>
      </c>
      <c r="BV333" s="207">
        <f t="shared" si="448"/>
        <v>1</v>
      </c>
      <c r="BW333" s="207">
        <f t="shared" si="448"/>
        <v>1</v>
      </c>
      <c r="BX333" s="207">
        <f t="shared" si="448"/>
        <v>1</v>
      </c>
      <c r="BY333" s="42">
        <f t="shared" si="448"/>
        <v>1</v>
      </c>
      <c r="BZ333" s="207">
        <f t="shared" si="448"/>
        <v>1</v>
      </c>
      <c r="CA333" s="207">
        <f t="shared" si="448"/>
        <v>1</v>
      </c>
      <c r="CB333" s="207">
        <f t="shared" si="448"/>
        <v>1</v>
      </c>
      <c r="CC333" s="207">
        <f t="shared" si="448"/>
        <v>1</v>
      </c>
      <c r="CD333" s="42">
        <f t="shared" si="448"/>
        <v>1</v>
      </c>
      <c r="CE333" s="207">
        <f t="shared" si="448"/>
        <v>1</v>
      </c>
      <c r="CF333" s="207">
        <f t="shared" si="448"/>
        <v>1</v>
      </c>
      <c r="CG333" s="207">
        <f t="shared" si="448"/>
        <v>1</v>
      </c>
      <c r="CH333" s="207">
        <f t="shared" si="448"/>
        <v>1</v>
      </c>
      <c r="CI333" s="42">
        <f t="shared" si="448"/>
        <v>1</v>
      </c>
      <c r="CJ333" s="42" t="e">
        <f t="shared" si="448"/>
        <v>#REF!</v>
      </c>
      <c r="CK333" s="42" t="e">
        <f t="shared" si="448"/>
        <v>#REF!</v>
      </c>
      <c r="CL333" s="42"/>
      <c r="CM333" s="42"/>
      <c r="CN333" s="42"/>
      <c r="CO333" s="74"/>
      <c r="CP333" s="74"/>
      <c r="CQ333" s="6"/>
      <c r="CR333" s="6"/>
      <c r="CS333" s="6"/>
      <c r="CT333" s="124"/>
      <c r="CU333" s="124"/>
      <c r="CV333" s="124"/>
      <c r="CW333" s="124"/>
      <c r="CX333" s="124"/>
      <c r="CY333" s="124"/>
      <c r="CZ333" s="124"/>
      <c r="DA333" s="124"/>
      <c r="DB333" s="124"/>
      <c r="DC333" s="124"/>
      <c r="DD333" s="124"/>
      <c r="DE333" s="124"/>
      <c r="DF333" s="124"/>
      <c r="DG333" s="124"/>
      <c r="DH333" s="124"/>
      <c r="DI333" s="124"/>
      <c r="DK333" s="124"/>
      <c r="DL333" s="124"/>
      <c r="DM333" s="6"/>
      <c r="DN333" s="124"/>
      <c r="DO333" s="124"/>
      <c r="DQ333" s="136"/>
      <c r="DR333" s="124"/>
      <c r="DS333" s="124"/>
      <c r="DT333" s="124"/>
      <c r="DV333" s="124"/>
      <c r="DW333" s="124"/>
      <c r="DX333" s="124"/>
      <c r="EA333" s="111"/>
      <c r="EB333" s="111"/>
      <c r="EC333" s="111"/>
      <c r="ED333" s="124"/>
      <c r="EE333" s="124"/>
      <c r="EF333" s="124"/>
      <c r="EJ333" s="111"/>
      <c r="EK333" s="111"/>
      <c r="EL333" s="124"/>
      <c r="EM333" s="124"/>
      <c r="EN333" s="124"/>
      <c r="EP333" s="111"/>
      <c r="EQ333" s="124"/>
      <c r="ER333" s="124"/>
      <c r="ES333" s="124"/>
      <c r="EV333" s="111"/>
      <c r="EW333" s="111"/>
      <c r="EX333" s="111"/>
      <c r="EY333" s="111"/>
      <c r="EZ333" s="124"/>
      <c r="FA333" s="124"/>
      <c r="FD333" s="111"/>
      <c r="FE333" s="111"/>
      <c r="FF333" s="111"/>
      <c r="FG333" s="124"/>
      <c r="FH333" s="124"/>
      <c r="FK333" s="124"/>
      <c r="FL333" s="124"/>
      <c r="FO333" s="111"/>
      <c r="FP333" s="111"/>
      <c r="FQ333" s="124"/>
      <c r="FR333" s="124"/>
      <c r="FU333" s="111"/>
      <c r="FV333" s="124"/>
      <c r="FW333" s="124"/>
      <c r="FX333" s="124"/>
      <c r="FY333" s="124"/>
      <c r="GA333" s="124"/>
      <c r="GB333" s="124"/>
      <c r="GC333" s="124"/>
      <c r="GF333" s="111"/>
      <c r="GG333" s="111"/>
      <c r="GH333" s="111"/>
      <c r="GI333" s="124"/>
      <c r="GJ333" s="124"/>
      <c r="GK333" s="124"/>
      <c r="GN333" s="111"/>
      <c r="GO333" s="111"/>
      <c r="GP333" s="124"/>
      <c r="GQ333" s="124"/>
      <c r="GR333" s="124"/>
      <c r="GV333" s="111"/>
      <c r="GW333" s="124"/>
      <c r="GX333" s="124"/>
      <c r="GY333" s="124"/>
      <c r="HC333" s="124"/>
      <c r="HD333" s="124"/>
      <c r="HE333" s="124"/>
      <c r="HF333" s="124"/>
      <c r="HI333" s="111"/>
      <c r="HJ333" s="111"/>
      <c r="HK333" s="111"/>
      <c r="HL333" s="111"/>
      <c r="HM333" s="124"/>
      <c r="HN333" s="124"/>
      <c r="HO333" s="124"/>
      <c r="HR333" s="111"/>
      <c r="HS333" s="111"/>
      <c r="HT333" s="111"/>
      <c r="HU333" s="124"/>
      <c r="HV333" s="124"/>
      <c r="HW333" s="124"/>
      <c r="HZ333" s="111"/>
      <c r="IA333" s="124"/>
      <c r="IB333" s="124"/>
      <c r="IC333" s="124"/>
      <c r="IE333" s="111"/>
      <c r="IF333" s="124"/>
      <c r="IG333" s="124"/>
      <c r="IH333" s="124"/>
      <c r="IK333" s="124"/>
      <c r="IL333" s="124"/>
      <c r="IO333" s="124"/>
      <c r="IP333" s="124"/>
      <c r="IS333" s="160"/>
      <c r="IT333" s="160"/>
      <c r="IU333" s="160"/>
      <c r="IX333" s="124"/>
      <c r="IY333" s="124"/>
      <c r="IZ333" s="124"/>
      <c r="JA333" s="124"/>
      <c r="JD333" s="124"/>
      <c r="JE333" s="124"/>
      <c r="JH333" s="124"/>
      <c r="JI333" s="124"/>
      <c r="JJ333" s="124"/>
      <c r="JM333" s="124"/>
      <c r="JN333" s="124"/>
      <c r="JQ333" s="124"/>
      <c r="JR333" s="124"/>
      <c r="JS333" s="124"/>
      <c r="JV333" s="124"/>
      <c r="JW333" s="124"/>
      <c r="JY333" s="124"/>
      <c r="JZ333" s="124"/>
      <c r="KB333" s="124"/>
      <c r="KC333" s="124"/>
      <c r="KD333" s="124"/>
    </row>
    <row r="334" spans="2:290" hidden="1" x14ac:dyDescent="0.25">
      <c r="B334" s="11"/>
      <c r="C334" s="11"/>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c r="CO334" s="15"/>
      <c r="CP334" s="15"/>
      <c r="CQ334" s="6"/>
      <c r="CR334" s="6"/>
      <c r="CS334" s="6"/>
      <c r="CT334" s="15"/>
      <c r="CU334" s="15"/>
      <c r="CV334" s="15"/>
      <c r="CW334" s="15"/>
      <c r="CX334" s="15"/>
      <c r="DK334" s="6"/>
      <c r="DL334" s="6"/>
      <c r="DM334" s="6"/>
      <c r="DN334" s="6"/>
      <c r="DO334" s="6"/>
      <c r="EA334" s="15"/>
      <c r="EB334" s="15"/>
      <c r="EC334" s="15"/>
      <c r="ED334" s="15"/>
      <c r="EE334" s="15"/>
      <c r="EF334" s="15"/>
      <c r="EJ334" s="15"/>
      <c r="EK334" s="15"/>
      <c r="EL334" s="15"/>
      <c r="EM334" s="15"/>
      <c r="EN334" s="15"/>
      <c r="EP334" s="15"/>
      <c r="EQ334" s="15"/>
      <c r="ER334" s="15"/>
      <c r="ES334" s="15"/>
      <c r="EV334" s="15"/>
      <c r="EW334" s="15"/>
      <c r="EX334" s="15"/>
      <c r="EY334" s="15"/>
      <c r="EZ334" s="15"/>
      <c r="FA334" s="15"/>
      <c r="FD334" s="15"/>
      <c r="FE334" s="15"/>
      <c r="FF334" s="15"/>
      <c r="FG334" s="15"/>
      <c r="FH334" s="15"/>
      <c r="FK334" s="15"/>
      <c r="FL334" s="15"/>
      <c r="FO334" s="15"/>
      <c r="FP334" s="15"/>
      <c r="FQ334" s="15"/>
      <c r="FR334" s="15"/>
      <c r="FU334" s="15"/>
      <c r="FV334" s="15"/>
      <c r="FW334" s="15"/>
      <c r="FX334" s="15"/>
      <c r="FY334" s="15"/>
      <c r="GA334" s="15"/>
      <c r="GB334" s="15"/>
      <c r="GC334" s="15"/>
      <c r="GF334" s="15"/>
      <c r="GG334" s="15"/>
      <c r="GH334" s="15"/>
      <c r="GI334" s="15"/>
      <c r="GJ334" s="15"/>
      <c r="GK334" s="15"/>
      <c r="GN334" s="15"/>
      <c r="GO334" s="15"/>
      <c r="GP334" s="15"/>
      <c r="GQ334" s="15"/>
      <c r="GR334" s="15"/>
      <c r="GV334" s="15"/>
      <c r="GW334" s="15"/>
      <c r="GX334" s="15"/>
      <c r="GY334" s="15"/>
      <c r="HC334" s="15"/>
      <c r="HD334" s="15"/>
      <c r="HE334" s="15"/>
      <c r="HF334" s="15"/>
      <c r="HI334" s="15"/>
      <c r="HJ334" s="15"/>
      <c r="HK334" s="15"/>
      <c r="HL334" s="15"/>
      <c r="HM334" s="15"/>
      <c r="HN334" s="15"/>
      <c r="HO334" s="15"/>
      <c r="HR334" s="15"/>
      <c r="HS334" s="15"/>
      <c r="HT334" s="15"/>
      <c r="HU334" s="15"/>
      <c r="HV334" s="15"/>
      <c r="HW334" s="15"/>
      <c r="HZ334" s="15"/>
      <c r="IA334" s="15"/>
      <c r="IB334" s="15"/>
      <c r="IC334" s="15"/>
      <c r="IE334" s="15"/>
      <c r="IF334" s="15"/>
      <c r="IG334" s="15"/>
      <c r="IH334" s="15"/>
      <c r="IK334" s="15"/>
      <c r="IL334" s="15"/>
      <c r="IO334" s="15"/>
      <c r="IP334" s="15"/>
      <c r="IS334" s="15"/>
      <c r="IT334" s="15"/>
      <c r="IU334" s="15"/>
      <c r="IX334" s="15"/>
      <c r="IY334" s="15"/>
      <c r="IZ334" s="15"/>
      <c r="JA334" s="15"/>
      <c r="JD334" s="15"/>
      <c r="JE334" s="15"/>
      <c r="JH334" s="15"/>
      <c r="JI334" s="15"/>
      <c r="JJ334" s="15"/>
      <c r="JM334" s="15"/>
      <c r="JN334" s="15"/>
      <c r="JQ334" s="15"/>
      <c r="JR334" s="15"/>
      <c r="JS334" s="15"/>
      <c r="JV334" s="15"/>
      <c r="JW334" s="15"/>
      <c r="JY334" s="15"/>
      <c r="JZ334" s="15"/>
      <c r="KB334" s="15"/>
      <c r="KC334" s="15"/>
      <c r="KD334" s="15"/>
    </row>
    <row r="335" spans="2:290" s="60" customFormat="1" hidden="1" x14ac:dyDescent="0.25">
      <c r="B335" s="34" t="s">
        <v>248</v>
      </c>
      <c r="C335" s="99"/>
      <c r="D335" s="99">
        <f>D326</f>
        <v>0</v>
      </c>
      <c r="E335" s="99">
        <f t="shared" ref="E335:BP335" si="449">E326</f>
        <v>0</v>
      </c>
      <c r="F335" s="99">
        <f t="shared" si="449"/>
        <v>0</v>
      </c>
      <c r="G335" s="99">
        <f t="shared" si="449"/>
        <v>0</v>
      </c>
      <c r="H335" s="83">
        <f t="shared" si="449"/>
        <v>0</v>
      </c>
      <c r="I335" s="62">
        <f t="shared" si="449"/>
        <v>0</v>
      </c>
      <c r="J335" s="62">
        <f t="shared" si="449"/>
        <v>0</v>
      </c>
      <c r="K335" s="62">
        <f t="shared" si="449"/>
        <v>0</v>
      </c>
      <c r="L335" s="62">
        <f t="shared" si="449"/>
        <v>0</v>
      </c>
      <c r="M335" s="83">
        <f t="shared" si="449"/>
        <v>0</v>
      </c>
      <c r="N335" s="62">
        <f t="shared" si="449"/>
        <v>0</v>
      </c>
      <c r="O335" s="62">
        <f t="shared" si="449"/>
        <v>0</v>
      </c>
      <c r="P335" s="62">
        <f t="shared" si="449"/>
        <v>0</v>
      </c>
      <c r="Q335" s="62">
        <f t="shared" si="449"/>
        <v>0</v>
      </c>
      <c r="R335" s="83">
        <f t="shared" si="449"/>
        <v>0</v>
      </c>
      <c r="S335" s="62">
        <f t="shared" si="449"/>
        <v>0</v>
      </c>
      <c r="T335" s="62">
        <f t="shared" si="449"/>
        <v>0</v>
      </c>
      <c r="U335" s="62">
        <f t="shared" si="449"/>
        <v>0</v>
      </c>
      <c r="V335" s="62">
        <f t="shared" si="449"/>
        <v>0</v>
      </c>
      <c r="W335" s="83">
        <f t="shared" si="449"/>
        <v>0</v>
      </c>
      <c r="X335" s="62">
        <f t="shared" si="449"/>
        <v>0</v>
      </c>
      <c r="Y335" s="62">
        <f t="shared" si="449"/>
        <v>0</v>
      </c>
      <c r="Z335" s="62">
        <f t="shared" si="449"/>
        <v>0</v>
      </c>
      <c r="AA335" s="62">
        <f t="shared" si="449"/>
        <v>0</v>
      </c>
      <c r="AB335" s="83">
        <f t="shared" si="449"/>
        <v>0</v>
      </c>
      <c r="AC335" s="62">
        <f t="shared" si="449"/>
        <v>0</v>
      </c>
      <c r="AD335" s="62">
        <f t="shared" si="449"/>
        <v>0</v>
      </c>
      <c r="AE335" s="62">
        <f t="shared" si="449"/>
        <v>0</v>
      </c>
      <c r="AF335" s="62">
        <f t="shared" si="449"/>
        <v>0</v>
      </c>
      <c r="AG335" s="83">
        <f t="shared" si="449"/>
        <v>0</v>
      </c>
      <c r="AH335" s="62">
        <f t="shared" si="449"/>
        <v>0</v>
      </c>
      <c r="AI335" s="62">
        <f t="shared" si="449"/>
        <v>0</v>
      </c>
      <c r="AJ335" s="62">
        <f t="shared" si="449"/>
        <v>0</v>
      </c>
      <c r="AK335" s="83">
        <f t="shared" si="449"/>
        <v>0</v>
      </c>
      <c r="AL335" s="62">
        <f t="shared" si="449"/>
        <v>0</v>
      </c>
      <c r="AM335" s="62">
        <f t="shared" si="449"/>
        <v>0</v>
      </c>
      <c r="AN335" s="62">
        <f t="shared" si="449"/>
        <v>0</v>
      </c>
      <c r="AO335" s="62">
        <f t="shared" si="449"/>
        <v>0</v>
      </c>
      <c r="AP335" s="83">
        <f t="shared" si="449"/>
        <v>0</v>
      </c>
      <c r="AQ335" s="62">
        <f t="shared" si="449"/>
        <v>0</v>
      </c>
      <c r="AR335" s="62">
        <f t="shared" si="449"/>
        <v>0</v>
      </c>
      <c r="AS335" s="62">
        <f t="shared" si="449"/>
        <v>0</v>
      </c>
      <c r="AT335" s="62">
        <f t="shared" si="449"/>
        <v>0</v>
      </c>
      <c r="AU335" s="83">
        <f t="shared" si="449"/>
        <v>0</v>
      </c>
      <c r="AV335" s="196">
        <f t="shared" si="449"/>
        <v>0</v>
      </c>
      <c r="AW335" s="196">
        <f t="shared" si="449"/>
        <v>0</v>
      </c>
      <c r="AX335" s="196">
        <f t="shared" si="449"/>
        <v>0</v>
      </c>
      <c r="AY335" s="196">
        <f t="shared" si="449"/>
        <v>0</v>
      </c>
      <c r="AZ335" s="83">
        <f t="shared" si="449"/>
        <v>0</v>
      </c>
      <c r="BA335" s="196">
        <f t="shared" si="449"/>
        <v>0</v>
      </c>
      <c r="BB335" s="196">
        <f t="shared" si="449"/>
        <v>0</v>
      </c>
      <c r="BC335" s="196">
        <f t="shared" si="449"/>
        <v>0</v>
      </c>
      <c r="BD335" s="196">
        <f t="shared" si="449"/>
        <v>0</v>
      </c>
      <c r="BE335" s="83">
        <f t="shared" si="449"/>
        <v>0</v>
      </c>
      <c r="BF335" s="196">
        <f t="shared" si="449"/>
        <v>0</v>
      </c>
      <c r="BG335" s="196">
        <f t="shared" si="449"/>
        <v>0</v>
      </c>
      <c r="BH335" s="196">
        <f t="shared" si="449"/>
        <v>0</v>
      </c>
      <c r="BI335" s="196">
        <f t="shared" si="449"/>
        <v>0</v>
      </c>
      <c r="BJ335" s="83">
        <f t="shared" si="449"/>
        <v>0</v>
      </c>
      <c r="BK335" s="196">
        <f t="shared" si="449"/>
        <v>0</v>
      </c>
      <c r="BL335" s="196">
        <f t="shared" si="449"/>
        <v>0</v>
      </c>
      <c r="BM335" s="196">
        <f t="shared" si="449"/>
        <v>0</v>
      </c>
      <c r="BN335" s="196">
        <f t="shared" si="449"/>
        <v>0</v>
      </c>
      <c r="BO335" s="83">
        <f t="shared" si="449"/>
        <v>0</v>
      </c>
      <c r="BP335" s="196">
        <f t="shared" si="449"/>
        <v>0</v>
      </c>
      <c r="BQ335" s="196">
        <f t="shared" ref="BQ335:CK335" si="450">BQ326</f>
        <v>0</v>
      </c>
      <c r="BR335" s="196">
        <f t="shared" si="450"/>
        <v>0</v>
      </c>
      <c r="BS335" s="196">
        <f t="shared" si="450"/>
        <v>0</v>
      </c>
      <c r="BT335" s="83">
        <f t="shared" si="450"/>
        <v>0</v>
      </c>
      <c r="BU335" s="196">
        <f t="shared" si="450"/>
        <v>0</v>
      </c>
      <c r="BV335" s="196">
        <f t="shared" si="450"/>
        <v>0</v>
      </c>
      <c r="BW335" s="196">
        <f t="shared" si="450"/>
        <v>0</v>
      </c>
      <c r="BX335" s="196">
        <f t="shared" si="450"/>
        <v>0</v>
      </c>
      <c r="BY335" s="83">
        <f t="shared" si="450"/>
        <v>0</v>
      </c>
      <c r="BZ335" s="196">
        <f t="shared" si="450"/>
        <v>0</v>
      </c>
      <c r="CA335" s="196">
        <f t="shared" si="450"/>
        <v>0</v>
      </c>
      <c r="CB335" s="196">
        <f t="shared" si="450"/>
        <v>0</v>
      </c>
      <c r="CC335" s="196">
        <f t="shared" si="450"/>
        <v>0</v>
      </c>
      <c r="CD335" s="83">
        <f t="shared" si="450"/>
        <v>0</v>
      </c>
      <c r="CE335" s="196">
        <f t="shared" si="450"/>
        <v>0</v>
      </c>
      <c r="CF335" s="196">
        <f t="shared" si="450"/>
        <v>0</v>
      </c>
      <c r="CG335" s="196">
        <f t="shared" si="450"/>
        <v>0</v>
      </c>
      <c r="CH335" s="196">
        <f t="shared" si="450"/>
        <v>0</v>
      </c>
      <c r="CI335" s="83">
        <f t="shared" si="450"/>
        <v>0</v>
      </c>
      <c r="CJ335" s="83">
        <f t="shared" si="450"/>
        <v>0</v>
      </c>
      <c r="CK335" s="83">
        <f t="shared" si="450"/>
        <v>0</v>
      </c>
      <c r="CL335" s="83"/>
      <c r="CM335" s="83"/>
      <c r="CN335" s="83"/>
      <c r="CO335" s="148"/>
      <c r="CP335" s="148"/>
      <c r="CQ335" s="58"/>
      <c r="CR335" s="58"/>
      <c r="CS335" s="58"/>
      <c r="CT335" s="143"/>
      <c r="CU335" s="143"/>
      <c r="CV335" s="143"/>
      <c r="CW335" s="143"/>
      <c r="CX335" s="143"/>
      <c r="CY335" s="143"/>
      <c r="CZ335" s="143"/>
      <c r="DA335" s="143"/>
      <c r="DB335" s="143"/>
      <c r="DC335" s="143"/>
      <c r="DD335" s="143"/>
      <c r="DE335" s="143"/>
      <c r="DF335" s="143"/>
      <c r="DG335" s="143"/>
      <c r="DH335" s="143"/>
      <c r="DI335" s="143"/>
      <c r="DK335" s="143"/>
      <c r="DL335" s="143"/>
      <c r="DM335" s="58"/>
      <c r="DN335" s="143"/>
      <c r="DO335" s="143"/>
      <c r="DQ335" s="4"/>
      <c r="DR335" s="143"/>
      <c r="DS335" s="143"/>
      <c r="DT335" s="143"/>
      <c r="DV335" s="143"/>
      <c r="DW335" s="143"/>
      <c r="DX335" s="143"/>
      <c r="EA335" s="119"/>
      <c r="EB335" s="119"/>
      <c r="EC335" s="119"/>
      <c r="ED335" s="143"/>
      <c r="EE335" s="143"/>
      <c r="EF335" s="143"/>
      <c r="EJ335" s="119"/>
      <c r="EK335" s="119"/>
      <c r="EL335" s="143"/>
      <c r="EM335" s="143"/>
      <c r="EN335" s="143"/>
      <c r="EP335" s="119"/>
      <c r="EQ335" s="143"/>
      <c r="ER335" s="143"/>
      <c r="ES335" s="143"/>
      <c r="EV335" s="119"/>
      <c r="EW335" s="119"/>
      <c r="EX335" s="119"/>
      <c r="EY335" s="119"/>
      <c r="EZ335" s="143"/>
      <c r="FA335" s="143"/>
      <c r="FD335" s="119"/>
      <c r="FE335" s="119"/>
      <c r="FF335" s="119"/>
      <c r="FG335" s="143"/>
      <c r="FH335" s="143"/>
      <c r="FK335" s="143"/>
      <c r="FL335" s="143"/>
      <c r="FO335" s="119"/>
      <c r="FP335" s="119"/>
      <c r="FQ335" s="143"/>
      <c r="FR335" s="143"/>
      <c r="FU335" s="119"/>
      <c r="FV335" s="143"/>
      <c r="FW335" s="143"/>
      <c r="FX335" s="143"/>
      <c r="FY335" s="143"/>
      <c r="GA335" s="143"/>
      <c r="GB335" s="143"/>
      <c r="GC335" s="143"/>
      <c r="GF335" s="119"/>
      <c r="GG335" s="119"/>
      <c r="GH335" s="119"/>
      <c r="GI335" s="143"/>
      <c r="GJ335" s="143"/>
      <c r="GK335" s="143"/>
      <c r="GN335" s="119"/>
      <c r="GO335" s="119"/>
      <c r="GP335" s="143"/>
      <c r="GQ335" s="143"/>
      <c r="GR335" s="143"/>
      <c r="GV335" s="119"/>
      <c r="GW335" s="143"/>
      <c r="GX335" s="143"/>
      <c r="GY335" s="143"/>
      <c r="HC335" s="143"/>
      <c r="HD335" s="143"/>
      <c r="HE335" s="143"/>
      <c r="HF335" s="143"/>
      <c r="HI335" s="119"/>
      <c r="HJ335" s="119"/>
      <c r="HK335" s="119"/>
      <c r="HL335" s="119"/>
      <c r="HM335" s="143"/>
      <c r="HN335" s="143"/>
      <c r="HO335" s="143"/>
      <c r="HR335" s="119"/>
      <c r="HS335" s="119"/>
      <c r="HT335" s="119"/>
      <c r="HU335" s="143"/>
      <c r="HV335" s="143"/>
      <c r="HW335" s="143"/>
      <c r="HZ335" s="119"/>
      <c r="IA335" s="143"/>
      <c r="IB335" s="143"/>
      <c r="IC335" s="143"/>
      <c r="IE335" s="119"/>
      <c r="IF335" s="143"/>
      <c r="IG335" s="143"/>
      <c r="IH335" s="143"/>
      <c r="IK335" s="143"/>
      <c r="IL335" s="143"/>
      <c r="IO335" s="143"/>
      <c r="IP335" s="143"/>
      <c r="IS335" s="157"/>
      <c r="IT335" s="157"/>
      <c r="IU335" s="157"/>
      <c r="IX335" s="143"/>
      <c r="IY335" s="143"/>
      <c r="IZ335" s="143"/>
      <c r="JA335" s="143"/>
      <c r="JD335" s="143"/>
      <c r="JE335" s="143"/>
      <c r="JH335" s="143"/>
      <c r="JI335" s="143"/>
      <c r="JJ335" s="143"/>
      <c r="JM335" s="143"/>
      <c r="JN335" s="143"/>
      <c r="JQ335" s="143"/>
      <c r="JR335" s="143"/>
      <c r="JS335" s="143"/>
      <c r="JV335" s="143"/>
      <c r="JW335" s="143"/>
      <c r="JY335" s="143"/>
      <c r="JZ335" s="143"/>
      <c r="KB335" s="143"/>
      <c r="KC335" s="143"/>
      <c r="KD335" s="143"/>
    </row>
    <row r="336" spans="2:290" hidden="1" x14ac:dyDescent="0.25">
      <c r="B336" s="11" t="str">
        <f t="shared" ref="B336:B342" si="451">B304</f>
        <v>Plastics Piping Products</v>
      </c>
      <c r="C336" s="23"/>
      <c r="D336" s="23"/>
      <c r="E336" s="23"/>
      <c r="F336" s="23"/>
      <c r="G336" s="23"/>
      <c r="H336" s="197"/>
      <c r="I336" s="198"/>
      <c r="J336" s="198"/>
      <c r="K336" s="198"/>
      <c r="L336" s="198"/>
      <c r="M336" s="197"/>
      <c r="N336" s="198"/>
      <c r="O336" s="198"/>
      <c r="P336" s="198"/>
      <c r="Q336" s="198"/>
      <c r="R336" s="197"/>
      <c r="S336" s="198"/>
      <c r="T336" s="198"/>
      <c r="U336" s="198"/>
      <c r="V336" s="198"/>
      <c r="W336" s="197"/>
      <c r="X336" s="198"/>
      <c r="Y336" s="198"/>
      <c r="Z336" s="198"/>
      <c r="AA336" s="198"/>
      <c r="AB336" s="42"/>
      <c r="AC336" s="24"/>
      <c r="AD336" s="24"/>
      <c r="AE336" s="24"/>
      <c r="AF336" s="24"/>
      <c r="AG336" s="42"/>
      <c r="AH336" s="24"/>
      <c r="AI336" s="24"/>
      <c r="AJ336" s="24"/>
      <c r="AK336" s="42"/>
      <c r="AL336" s="24"/>
      <c r="AM336" s="24"/>
      <c r="AN336" s="24"/>
      <c r="AO336" s="24"/>
      <c r="AP336" s="42"/>
      <c r="AQ336" s="24">
        <f t="shared" ref="AQ336:CI341" si="452">(AQ304/AL304-1)</f>
        <v>-0.30472835948340271</v>
      </c>
      <c r="AR336" s="24">
        <f t="shared" si="452"/>
        <v>-0.19812071985985025</v>
      </c>
      <c r="AS336" s="24">
        <f t="shared" si="452"/>
        <v>-8.5020242914979671E-2</v>
      </c>
      <c r="AT336" s="24">
        <f t="shared" si="452"/>
        <v>0.2297603321381394</v>
      </c>
      <c r="AU336" s="42">
        <f t="shared" si="452"/>
        <v>-6.8130496791062534E-2</v>
      </c>
      <c r="AV336" s="207">
        <f t="shared" si="452"/>
        <v>0.1875959471906663</v>
      </c>
      <c r="AW336" s="207">
        <f t="shared" si="452"/>
        <v>0.28997020854021849</v>
      </c>
      <c r="AX336" s="207">
        <f t="shared" si="452"/>
        <v>0.1135693215339233</v>
      </c>
      <c r="AY336" s="207">
        <f t="shared" si="452"/>
        <v>-0.27092764520831747</v>
      </c>
      <c r="AZ336" s="42">
        <f t="shared" si="452"/>
        <v>-2.5507763925645133E-3</v>
      </c>
      <c r="BA336" s="207">
        <f t="shared" si="452"/>
        <v>1.1892450879007255E-2</v>
      </c>
      <c r="BB336" s="207">
        <f t="shared" si="452"/>
        <v>0.69145496535796758</v>
      </c>
      <c r="BC336" s="207">
        <f t="shared" si="452"/>
        <v>0.3713907284768212</v>
      </c>
      <c r="BD336" s="207">
        <f t="shared" si="452"/>
        <v>0.77678383498210923</v>
      </c>
      <c r="BE336" s="42">
        <f t="shared" si="452"/>
        <v>0.47207748617459977</v>
      </c>
      <c r="BF336" s="207">
        <f t="shared" si="452"/>
        <v>-0.15086867654573333</v>
      </c>
      <c r="BG336" s="207">
        <f t="shared" si="452"/>
        <v>0.34298197706171485</v>
      </c>
      <c r="BH336" s="207">
        <f t="shared" si="452"/>
        <v>1.4171334749855129</v>
      </c>
      <c r="BI336" s="207">
        <f t="shared" si="452"/>
        <v>1.1146123319315286</v>
      </c>
      <c r="BJ336" s="42">
        <f t="shared" si="452"/>
        <v>0.78343575600964144</v>
      </c>
      <c r="BK336" s="207">
        <f t="shared" si="452"/>
        <v>1.1296825635625094</v>
      </c>
      <c r="BL336" s="207">
        <f t="shared" si="452"/>
        <v>0.31503321133252005</v>
      </c>
      <c r="BM336" s="207">
        <f t="shared" si="452"/>
        <v>-0.24481559915291484</v>
      </c>
      <c r="BN336" s="207">
        <f t="shared" si="452"/>
        <v>-0.27478221898546251</v>
      </c>
      <c r="BO336" s="42">
        <f t="shared" si="452"/>
        <v>-4.5550292832008177E-2</v>
      </c>
      <c r="BP336" s="207">
        <f t="shared" si="452"/>
        <v>9.0774230008476842E-2</v>
      </c>
      <c r="BQ336" s="207">
        <f t="shared" si="452"/>
        <v>-0.87233274920111326</v>
      </c>
      <c r="BR336" s="207">
        <f t="shared" si="452"/>
        <v>-9.5396825396825369E-2</v>
      </c>
      <c r="BS336" s="207">
        <f t="shared" si="452"/>
        <v>0.27117531188443844</v>
      </c>
      <c r="BT336" s="42">
        <f t="shared" si="452"/>
        <v>-0.13345154870643472</v>
      </c>
      <c r="BU336" s="207">
        <f t="shared" si="452"/>
        <v>0.2571077002784794</v>
      </c>
      <c r="BV336" s="207">
        <f t="shared" si="452"/>
        <v>7.0972951150585377</v>
      </c>
      <c r="BW336" s="207">
        <f t="shared" si="452"/>
        <v>0.24513072468854191</v>
      </c>
      <c r="BX336" s="207">
        <f t="shared" si="452"/>
        <v>-0.11090179873602335</v>
      </c>
      <c r="BY336" s="42">
        <f t="shared" si="452"/>
        <v>0.325216776833954</v>
      </c>
      <c r="BZ336" s="207">
        <f t="shared" si="452"/>
        <v>0.19164391324506713</v>
      </c>
      <c r="CA336" s="207">
        <f t="shared" si="452"/>
        <v>-7.5534726030812238E-2</v>
      </c>
      <c r="CB336" s="207">
        <f t="shared" si="452"/>
        <v>-0.35334460729049233</v>
      </c>
      <c r="CC336" s="207">
        <f t="shared" si="452"/>
        <v>-0.26211468799125148</v>
      </c>
      <c r="CD336" s="42">
        <f t="shared" si="452"/>
        <v>-0.18349663400653193</v>
      </c>
      <c r="CE336" s="207">
        <f t="shared" si="452"/>
        <v>-0.3195711382992521</v>
      </c>
      <c r="CF336" s="207">
        <f t="shared" si="452"/>
        <v>-0.31598533060079814</v>
      </c>
      <c r="CG336" s="207">
        <f t="shared" si="452"/>
        <v>-1.8596542205433719E-2</v>
      </c>
      <c r="CH336" s="207">
        <f t="shared" si="452"/>
        <v>0.76852537977028557</v>
      </c>
      <c r="CI336" s="42">
        <f t="shared" si="452"/>
        <v>9.0040816326530493E-2</v>
      </c>
      <c r="CJ336" s="42"/>
      <c r="CK336" s="42"/>
      <c r="CL336" s="42"/>
      <c r="CM336" s="42"/>
      <c r="CN336" s="42"/>
      <c r="CO336" s="74"/>
      <c r="CP336" s="74"/>
      <c r="CQ336" s="6"/>
      <c r="CR336" s="6"/>
      <c r="CS336" s="6"/>
      <c r="CT336" s="124"/>
      <c r="CU336" s="124"/>
      <c r="CV336" s="124"/>
      <c r="CW336" s="124"/>
      <c r="CX336" s="124"/>
      <c r="CY336" s="124"/>
      <c r="CZ336" s="124"/>
      <c r="DA336" s="124"/>
      <c r="DB336" s="124"/>
      <c r="DC336" s="124"/>
      <c r="DD336" s="124"/>
      <c r="DE336" s="124"/>
      <c r="DF336" s="124"/>
      <c r="DG336" s="124"/>
      <c r="DH336" s="124"/>
      <c r="DI336" s="124"/>
      <c r="DK336" s="124"/>
      <c r="DL336" s="124"/>
      <c r="DM336" s="6"/>
      <c r="DN336" s="124"/>
      <c r="DO336" s="124"/>
      <c r="DQ336" s="136"/>
      <c r="DR336" s="124"/>
      <c r="DS336" s="124"/>
      <c r="DT336" s="124"/>
      <c r="DV336" s="124"/>
      <c r="DW336" s="124"/>
      <c r="DX336" s="124"/>
      <c r="EA336" s="111"/>
      <c r="EB336" s="111"/>
      <c r="EC336" s="111"/>
      <c r="ED336" s="124"/>
      <c r="EE336" s="124"/>
      <c r="EF336" s="124"/>
      <c r="EJ336" s="111"/>
      <c r="EK336" s="111"/>
      <c r="EL336" s="124"/>
      <c r="EM336" s="124"/>
      <c r="EN336" s="124"/>
      <c r="EP336" s="111"/>
      <c r="EQ336" s="124"/>
      <c r="ER336" s="124"/>
      <c r="ES336" s="124"/>
      <c r="EV336" s="111"/>
      <c r="EW336" s="111"/>
      <c r="EX336" s="111"/>
      <c r="EY336" s="111"/>
      <c r="EZ336" s="124"/>
      <c r="FA336" s="124"/>
      <c r="FD336" s="111"/>
      <c r="FE336" s="111">
        <v>898</v>
      </c>
      <c r="FF336" s="111">
        <v>0.13139999999999999</v>
      </c>
      <c r="FG336" s="124"/>
      <c r="FH336" s="124"/>
      <c r="FK336" s="124"/>
      <c r="FL336" s="124"/>
      <c r="FO336" s="111">
        <v>898</v>
      </c>
      <c r="FP336" s="111">
        <v>0.13139999999999999</v>
      </c>
      <c r="FQ336" s="124"/>
      <c r="FR336" s="124"/>
      <c r="FU336" s="111">
        <v>0.13139999999999999</v>
      </c>
      <c r="FV336" s="124"/>
      <c r="FW336" s="124"/>
      <c r="FX336" s="124"/>
      <c r="FY336" s="124"/>
      <c r="GA336" s="124"/>
      <c r="GB336" s="124"/>
      <c r="GC336" s="124"/>
      <c r="GF336" s="111"/>
      <c r="GG336" s="111"/>
      <c r="GH336" s="111"/>
      <c r="GI336" s="124"/>
      <c r="GJ336" s="124"/>
      <c r="GK336" s="124"/>
      <c r="GN336" s="111"/>
      <c r="GO336" s="111"/>
      <c r="GP336" s="124"/>
      <c r="GQ336" s="124"/>
      <c r="GR336" s="124"/>
      <c r="GV336" s="111"/>
      <c r="GW336" s="124"/>
      <c r="GX336" s="124"/>
      <c r="GY336" s="124"/>
      <c r="HC336" s="124"/>
      <c r="HD336" s="124"/>
      <c r="HE336" s="124"/>
      <c r="HF336" s="124"/>
      <c r="HI336" s="111"/>
      <c r="HJ336" s="111"/>
      <c r="HK336" s="111"/>
      <c r="HL336" s="111"/>
      <c r="HM336" s="124"/>
      <c r="HN336" s="124"/>
      <c r="HO336" s="124"/>
      <c r="HR336" s="111"/>
      <c r="HS336" s="111"/>
      <c r="HT336" s="111"/>
      <c r="HU336" s="124"/>
      <c r="HV336" s="124"/>
      <c r="HW336" s="124"/>
      <c r="HZ336" s="111"/>
      <c r="IA336" s="124"/>
      <c r="IB336" s="124"/>
      <c r="IC336" s="124"/>
      <c r="IE336" s="111"/>
      <c r="IF336" s="124"/>
      <c r="IG336" s="124"/>
      <c r="IH336" s="124"/>
      <c r="IK336" s="124"/>
      <c r="IL336" s="124"/>
      <c r="IO336" s="124"/>
      <c r="IP336" s="124"/>
      <c r="IS336" s="160"/>
      <c r="IT336" s="160"/>
      <c r="IU336" s="160"/>
      <c r="IX336" s="124"/>
      <c r="IY336" s="124"/>
      <c r="IZ336" s="124"/>
      <c r="JA336" s="124"/>
      <c r="JD336" s="124"/>
      <c r="JE336" s="124"/>
      <c r="JH336" s="124"/>
      <c r="JI336" s="124"/>
      <c r="JJ336" s="124"/>
      <c r="JM336" s="124"/>
      <c r="JN336" s="124"/>
      <c r="JQ336" s="124"/>
      <c r="JR336" s="124"/>
      <c r="JS336" s="124"/>
      <c r="JV336" s="124"/>
      <c r="JW336" s="124"/>
      <c r="JY336" s="124"/>
      <c r="JZ336" s="124"/>
      <c r="KB336" s="124"/>
      <c r="KC336" s="124"/>
      <c r="KD336" s="124"/>
    </row>
    <row r="337" spans="2:290" hidden="1" x14ac:dyDescent="0.25">
      <c r="B337" s="11" t="str">
        <f t="shared" si="451"/>
        <v>Industrial Products</v>
      </c>
      <c r="C337" s="23"/>
      <c r="D337" s="23"/>
      <c r="E337" s="23"/>
      <c r="F337" s="23"/>
      <c r="G337" s="23"/>
      <c r="H337" s="197"/>
      <c r="I337" s="198"/>
      <c r="J337" s="198"/>
      <c r="K337" s="198"/>
      <c r="L337" s="198"/>
      <c r="M337" s="197"/>
      <c r="N337" s="198"/>
      <c r="O337" s="198"/>
      <c r="P337" s="198"/>
      <c r="Q337" s="198"/>
      <c r="R337" s="197"/>
      <c r="S337" s="198"/>
      <c r="T337" s="198"/>
      <c r="U337" s="198"/>
      <c r="V337" s="198"/>
      <c r="W337" s="197"/>
      <c r="X337" s="198"/>
      <c r="Y337" s="198"/>
      <c r="Z337" s="198"/>
      <c r="AA337" s="198"/>
      <c r="AB337" s="42"/>
      <c r="AC337" s="24"/>
      <c r="AD337" s="24"/>
      <c r="AE337" s="24"/>
      <c r="AF337" s="24"/>
      <c r="AG337" s="42"/>
      <c r="AH337" s="24"/>
      <c r="AI337" s="24"/>
      <c r="AJ337" s="24"/>
      <c r="AK337" s="42"/>
      <c r="AL337" s="24"/>
      <c r="AM337" s="24"/>
      <c r="AN337" s="24"/>
      <c r="AO337" s="24"/>
      <c r="AP337" s="42"/>
      <c r="AQ337" s="24">
        <f t="shared" si="452"/>
        <v>1.0175763182238562E-2</v>
      </c>
      <c r="AR337" s="24">
        <f t="shared" si="452"/>
        <v>0.35506003430531741</v>
      </c>
      <c r="AS337" s="24">
        <f t="shared" si="452"/>
        <v>0.91295336787564763</v>
      </c>
      <c r="AT337" s="24">
        <f t="shared" si="452"/>
        <v>0.40042283298097248</v>
      </c>
      <c r="AU337" s="42">
        <f t="shared" si="452"/>
        <v>0.4037289351021871</v>
      </c>
      <c r="AV337" s="207">
        <f t="shared" si="452"/>
        <v>0.79578754578754585</v>
      </c>
      <c r="AW337" s="207">
        <f t="shared" si="452"/>
        <v>0.19620253164556956</v>
      </c>
      <c r="AX337" s="207">
        <f t="shared" si="452"/>
        <v>-0.38569880823401959</v>
      </c>
      <c r="AY337" s="207">
        <f t="shared" si="452"/>
        <v>-0.53321256038647336</v>
      </c>
      <c r="AZ337" s="42">
        <f t="shared" si="452"/>
        <v>-0.18812260536398462</v>
      </c>
      <c r="BA337" s="207">
        <f t="shared" si="452"/>
        <v>-0.38653748087710349</v>
      </c>
      <c r="BB337" s="207">
        <f t="shared" si="452"/>
        <v>-1.1037037037037036</v>
      </c>
      <c r="BC337" s="207">
        <f t="shared" si="452"/>
        <v>-0.25132275132275128</v>
      </c>
      <c r="BD337" s="207">
        <f t="shared" si="452"/>
        <v>-9.3790426908150093E-2</v>
      </c>
      <c r="BE337" s="42">
        <f t="shared" si="452"/>
        <v>-0.48765140789680672</v>
      </c>
      <c r="BF337" s="207">
        <f t="shared" si="452"/>
        <v>-1.6317539484621779</v>
      </c>
      <c r="BG337" s="207">
        <f t="shared" si="452"/>
        <v>-7.1173469387755102</v>
      </c>
      <c r="BH337" s="207">
        <f t="shared" si="452"/>
        <v>1.3616018845700824</v>
      </c>
      <c r="BI337" s="207">
        <f t="shared" si="452"/>
        <v>1.7851534618129912</v>
      </c>
      <c r="BJ337" s="42">
        <f t="shared" si="452"/>
        <v>0.94841879029782006</v>
      </c>
      <c r="BK337" s="207">
        <f t="shared" si="452"/>
        <v>-2.6052631578947367</v>
      </c>
      <c r="BL337" s="207">
        <f t="shared" si="452"/>
        <v>0.60216847372810678</v>
      </c>
      <c r="BM337" s="207">
        <f t="shared" si="452"/>
        <v>9.7256857855361645E-2</v>
      </c>
      <c r="BN337" s="207">
        <f t="shared" si="452"/>
        <v>-0.19425935417734497</v>
      </c>
      <c r="BO337" s="42">
        <f t="shared" si="452"/>
        <v>0.34352347935707539</v>
      </c>
      <c r="BP337" s="207">
        <f t="shared" si="452"/>
        <v>1.0942622950819674</v>
      </c>
      <c r="BQ337" s="207">
        <f t="shared" si="452"/>
        <v>0.55283706402915134</v>
      </c>
      <c r="BR337" s="207">
        <f t="shared" si="452"/>
        <v>0.43681818181818177</v>
      </c>
      <c r="BS337" s="207">
        <f t="shared" si="452"/>
        <v>0.17461832061068705</v>
      </c>
      <c r="BT337" s="42">
        <f t="shared" si="452"/>
        <v>0.45343654703260605</v>
      </c>
      <c r="BU337" s="207">
        <f t="shared" si="452"/>
        <v>-0.26105675146771046</v>
      </c>
      <c r="BV337" s="207">
        <f t="shared" si="452"/>
        <v>-0.15387194099899426</v>
      </c>
      <c r="BW337" s="207">
        <f t="shared" si="452"/>
        <v>-6.1372983233153988E-2</v>
      </c>
      <c r="BX337" s="207">
        <f t="shared" si="452"/>
        <v>7.0674248578391552E-2</v>
      </c>
      <c r="BY337" s="42">
        <f t="shared" si="452"/>
        <v>-8.5458360232408048E-2</v>
      </c>
      <c r="BZ337" s="207">
        <f t="shared" si="452"/>
        <v>3.495762711864403E-2</v>
      </c>
      <c r="CA337" s="207">
        <f t="shared" si="452"/>
        <v>0.11489698890649769</v>
      </c>
      <c r="CB337" s="207">
        <f t="shared" si="452"/>
        <v>-8.3249073137849794E-2</v>
      </c>
      <c r="CC337" s="207">
        <f t="shared" si="452"/>
        <v>-0.10976226605968631</v>
      </c>
      <c r="CD337" s="42">
        <f t="shared" si="452"/>
        <v>-2.9383217153445718E-2</v>
      </c>
      <c r="CE337" s="207">
        <f t="shared" si="452"/>
        <v>-9.7236438075742004E-2</v>
      </c>
      <c r="CF337" s="207">
        <f t="shared" si="452"/>
        <v>-0.58066808813077464</v>
      </c>
      <c r="CG337" s="207">
        <f t="shared" si="452"/>
        <v>-8.8235294117646745E-3</v>
      </c>
      <c r="CH337" s="207">
        <f t="shared" si="452"/>
        <v>0.18295454545454537</v>
      </c>
      <c r="CI337" s="42">
        <f t="shared" si="452"/>
        <v>-0.10872727272727267</v>
      </c>
      <c r="CJ337" s="42"/>
      <c r="CK337" s="42"/>
      <c r="CL337" s="42"/>
      <c r="CM337" s="42"/>
      <c r="CN337" s="42"/>
      <c r="CO337" s="74"/>
      <c r="CP337" s="74"/>
      <c r="CQ337" s="6"/>
      <c r="CR337" s="6"/>
      <c r="CS337" s="6"/>
      <c r="CT337" s="124"/>
      <c r="CU337" s="124"/>
      <c r="CV337" s="124"/>
      <c r="CW337" s="124"/>
      <c r="CX337" s="124"/>
      <c r="CY337" s="124"/>
      <c r="CZ337" s="124"/>
      <c r="DA337" s="124"/>
      <c r="DB337" s="124"/>
      <c r="DC337" s="124"/>
      <c r="DD337" s="124"/>
      <c r="DE337" s="124"/>
      <c r="DF337" s="124"/>
      <c r="DG337" s="124"/>
      <c r="DH337" s="124"/>
      <c r="DI337" s="124"/>
      <c r="DK337" s="124"/>
      <c r="DL337" s="124"/>
      <c r="DM337" s="6"/>
      <c r="DN337" s="124"/>
      <c r="DO337" s="124"/>
      <c r="DQ337" s="136"/>
      <c r="DR337" s="124"/>
      <c r="DS337" s="124"/>
      <c r="DT337" s="124"/>
      <c r="DV337" s="124"/>
      <c r="DW337" s="124"/>
      <c r="DX337" s="124"/>
      <c r="EA337" s="111"/>
      <c r="EB337" s="111"/>
      <c r="EC337" s="111"/>
      <c r="ED337" s="124"/>
      <c r="EE337" s="124"/>
      <c r="EF337" s="124"/>
      <c r="EJ337" s="111"/>
      <c r="EK337" s="111"/>
      <c r="EL337" s="124"/>
      <c r="EM337" s="124"/>
      <c r="EN337" s="124"/>
      <c r="EP337" s="111"/>
      <c r="EQ337" s="124"/>
      <c r="ER337" s="124"/>
      <c r="ES337" s="124"/>
      <c r="EV337" s="111"/>
      <c r="EW337" s="111"/>
      <c r="EX337" s="111"/>
      <c r="EY337" s="111"/>
      <c r="EZ337" s="124"/>
      <c r="FA337" s="124"/>
      <c r="FD337" s="111"/>
      <c r="FE337" s="111">
        <v>1.88</v>
      </c>
      <c r="FF337" s="111"/>
      <c r="FG337" s="124"/>
      <c r="FH337" s="124"/>
      <c r="FK337" s="124"/>
      <c r="FL337" s="124"/>
      <c r="FO337" s="111">
        <v>1.88</v>
      </c>
      <c r="FP337" s="111"/>
      <c r="FQ337" s="124"/>
      <c r="FR337" s="124"/>
      <c r="FU337" s="111"/>
      <c r="FV337" s="124"/>
      <c r="FW337" s="124"/>
      <c r="FX337" s="124"/>
      <c r="FY337" s="124"/>
      <c r="GA337" s="124"/>
      <c r="GB337" s="124"/>
      <c r="GC337" s="124"/>
      <c r="GF337" s="111"/>
      <c r="GG337" s="111"/>
      <c r="GH337" s="111"/>
      <c r="GI337" s="124"/>
      <c r="GJ337" s="124"/>
      <c r="GK337" s="124"/>
      <c r="GN337" s="111"/>
      <c r="GO337" s="111"/>
      <c r="GP337" s="124"/>
      <c r="GQ337" s="124"/>
      <c r="GR337" s="124"/>
      <c r="GV337" s="111"/>
      <c r="GW337" s="124"/>
      <c r="GX337" s="124"/>
      <c r="GY337" s="124"/>
      <c r="HC337" s="124"/>
      <c r="HD337" s="124"/>
      <c r="HE337" s="124"/>
      <c r="HF337" s="124"/>
      <c r="HI337" s="111"/>
      <c r="HJ337" s="111"/>
      <c r="HK337" s="111"/>
      <c r="HL337" s="111"/>
      <c r="HM337" s="124"/>
      <c r="HN337" s="124"/>
      <c r="HO337" s="124"/>
      <c r="HR337" s="111"/>
      <c r="HS337" s="111"/>
      <c r="HT337" s="111"/>
      <c r="HU337" s="124"/>
      <c r="HV337" s="124"/>
      <c r="HW337" s="124"/>
      <c r="HZ337" s="111"/>
      <c r="IA337" s="124"/>
      <c r="IB337" s="124"/>
      <c r="IC337" s="124"/>
      <c r="IE337" s="111"/>
      <c r="IF337" s="124"/>
      <c r="IG337" s="124"/>
      <c r="IH337" s="124"/>
      <c r="IK337" s="124"/>
      <c r="IL337" s="124"/>
      <c r="IO337" s="124"/>
      <c r="IP337" s="124"/>
      <c r="IS337" s="160"/>
      <c r="IT337" s="160"/>
      <c r="IU337" s="160"/>
      <c r="IX337" s="124"/>
      <c r="IY337" s="124"/>
      <c r="IZ337" s="124"/>
      <c r="JA337" s="124"/>
      <c r="JD337" s="124"/>
      <c r="JE337" s="124"/>
      <c r="JH337" s="124"/>
      <c r="JI337" s="124"/>
      <c r="JJ337" s="124"/>
      <c r="JM337" s="124"/>
      <c r="JN337" s="124"/>
      <c r="JQ337" s="124"/>
      <c r="JR337" s="124"/>
      <c r="JS337" s="124"/>
      <c r="JV337" s="124"/>
      <c r="JW337" s="124"/>
      <c r="JY337" s="124"/>
      <c r="JZ337" s="124"/>
      <c r="KB337" s="124"/>
      <c r="KC337" s="124"/>
      <c r="KD337" s="124"/>
    </row>
    <row r="338" spans="2:290" hidden="1" x14ac:dyDescent="0.25">
      <c r="B338" s="11" t="str">
        <f t="shared" si="451"/>
        <v>Packaging Products</v>
      </c>
      <c r="C338" s="23"/>
      <c r="D338" s="23"/>
      <c r="E338" s="23"/>
      <c r="F338" s="23"/>
      <c r="G338" s="23"/>
      <c r="H338" s="197"/>
      <c r="I338" s="198"/>
      <c r="J338" s="198"/>
      <c r="K338" s="198"/>
      <c r="L338" s="198"/>
      <c r="M338" s="197"/>
      <c r="N338" s="198"/>
      <c r="O338" s="198"/>
      <c r="P338" s="198"/>
      <c r="Q338" s="198"/>
      <c r="R338" s="197"/>
      <c r="S338" s="198"/>
      <c r="T338" s="198"/>
      <c r="U338" s="198"/>
      <c r="V338" s="198"/>
      <c r="W338" s="197"/>
      <c r="X338" s="198"/>
      <c r="Y338" s="198"/>
      <c r="Z338" s="198"/>
      <c r="AA338" s="198"/>
      <c r="AB338" s="42"/>
      <c r="AC338" s="24"/>
      <c r="AD338" s="24"/>
      <c r="AE338" s="24"/>
      <c r="AF338" s="24"/>
      <c r="AG338" s="42"/>
      <c r="AH338" s="24"/>
      <c r="AI338" s="24"/>
      <c r="AJ338" s="24"/>
      <c r="AK338" s="42"/>
      <c r="AL338" s="24"/>
      <c r="AM338" s="24"/>
      <c r="AN338" s="24"/>
      <c r="AO338" s="24"/>
      <c r="AP338" s="42"/>
      <c r="AQ338" s="24">
        <f t="shared" si="452"/>
        <v>-0.31399771776340812</v>
      </c>
      <c r="AR338" s="24">
        <f t="shared" si="452"/>
        <v>0.42075664621676889</v>
      </c>
      <c r="AS338" s="24">
        <f t="shared" si="452"/>
        <v>9.0360376353630478E-2</v>
      </c>
      <c r="AT338" s="24">
        <f t="shared" si="452"/>
        <v>-7.2624647224835415E-2</v>
      </c>
      <c r="AU338" s="42">
        <f t="shared" si="452"/>
        <v>-3.8762250853430213E-2</v>
      </c>
      <c r="AV338" s="207">
        <f t="shared" si="452"/>
        <v>3.5209315220404935E-2</v>
      </c>
      <c r="AW338" s="207">
        <f t="shared" si="452"/>
        <v>-0.12270600935588338</v>
      </c>
      <c r="AX338" s="207">
        <f t="shared" si="452"/>
        <v>-0.41061543471182027</v>
      </c>
      <c r="AY338" s="207">
        <f t="shared" si="452"/>
        <v>-0.39318320146074248</v>
      </c>
      <c r="AZ338" s="42">
        <f t="shared" si="452"/>
        <v>-0.26778554244472452</v>
      </c>
      <c r="BA338" s="207">
        <f t="shared" si="452"/>
        <v>-0.44858061060524912</v>
      </c>
      <c r="BB338" s="207">
        <f t="shared" si="452"/>
        <v>-0.84331419196062352</v>
      </c>
      <c r="BC338" s="207">
        <f t="shared" si="452"/>
        <v>0.20828729281767955</v>
      </c>
      <c r="BD338" s="207">
        <f t="shared" si="452"/>
        <v>0.11534603811434296</v>
      </c>
      <c r="BE338" s="42">
        <f t="shared" si="452"/>
        <v>-0.20589845889071423</v>
      </c>
      <c r="BF338" s="207">
        <f t="shared" si="452"/>
        <v>-0.10976202039825167</v>
      </c>
      <c r="BG338" s="207">
        <f t="shared" si="452"/>
        <v>5.6989528795811522</v>
      </c>
      <c r="BH338" s="207">
        <f t="shared" si="452"/>
        <v>-8.847736625514413E-2</v>
      </c>
      <c r="BI338" s="207">
        <f t="shared" si="452"/>
        <v>0.2230215827338129</v>
      </c>
      <c r="BJ338" s="42">
        <f t="shared" si="452"/>
        <v>0.22736676189537963</v>
      </c>
      <c r="BK338" s="207">
        <f t="shared" si="452"/>
        <v>-6.4920894708128674E-2</v>
      </c>
      <c r="BL338" s="207">
        <f t="shared" si="452"/>
        <v>-4.2985541227041901E-3</v>
      </c>
      <c r="BM338" s="207">
        <f t="shared" si="452"/>
        <v>-0.37296212691246544</v>
      </c>
      <c r="BN338" s="207">
        <f t="shared" si="452"/>
        <v>-0.17426470588235299</v>
      </c>
      <c r="BO338" s="42">
        <f t="shared" si="452"/>
        <v>-0.19006340797816845</v>
      </c>
      <c r="BP338" s="207">
        <f t="shared" si="452"/>
        <v>0.32847141190198359</v>
      </c>
      <c r="BQ338" s="207">
        <f t="shared" si="452"/>
        <v>-0.16365777080062804</v>
      </c>
      <c r="BR338" s="207">
        <f t="shared" si="452"/>
        <v>-9.7199999999999953E-2</v>
      </c>
      <c r="BS338" s="207">
        <f t="shared" si="452"/>
        <v>-0.26150192935589189</v>
      </c>
      <c r="BT338" s="42">
        <f t="shared" si="452"/>
        <v>-9.2954117530472669E-2</v>
      </c>
      <c r="BU338" s="207">
        <f t="shared" si="452"/>
        <v>0.12077294685990347</v>
      </c>
      <c r="BV338" s="207">
        <f t="shared" si="452"/>
        <v>1.2440168934772409</v>
      </c>
      <c r="BW338" s="207">
        <f t="shared" si="452"/>
        <v>1.0620292423571112</v>
      </c>
      <c r="BX338" s="207">
        <f t="shared" si="452"/>
        <v>1.7254823151125405</v>
      </c>
      <c r="BY338" s="42">
        <f t="shared" si="452"/>
        <v>1.0505845078116463</v>
      </c>
      <c r="BZ338" s="207">
        <f t="shared" si="452"/>
        <v>0.65086206896551735</v>
      </c>
      <c r="CA338" s="207">
        <f t="shared" si="452"/>
        <v>-0.13655374320368052</v>
      </c>
      <c r="CB338" s="207">
        <f t="shared" si="452"/>
        <v>-5.1783412118607597E-2</v>
      </c>
      <c r="CC338" s="207">
        <f t="shared" si="452"/>
        <v>-0.15941601533697103</v>
      </c>
      <c r="CD338" s="42">
        <f t="shared" si="452"/>
        <v>-1.9660077787841623E-2</v>
      </c>
      <c r="CE338" s="207">
        <f t="shared" si="452"/>
        <v>8.5449798243531827E-2</v>
      </c>
      <c r="CF338" s="207">
        <f t="shared" si="452"/>
        <v>0.15257931702591443</v>
      </c>
      <c r="CG338" s="207">
        <f t="shared" si="452"/>
        <v>-0.24223883979152516</v>
      </c>
      <c r="CH338" s="207">
        <f t="shared" si="452"/>
        <v>2.7368421052631708E-2</v>
      </c>
      <c r="CI338" s="42">
        <f t="shared" si="452"/>
        <v>7.1739130434782528E-3</v>
      </c>
      <c r="CJ338" s="42"/>
      <c r="CK338" s="42"/>
      <c r="CL338" s="42"/>
      <c r="CM338" s="42"/>
      <c r="CN338" s="42"/>
      <c r="CO338" s="74"/>
      <c r="CP338" s="74"/>
      <c r="CQ338" s="6"/>
      <c r="CR338" s="6"/>
      <c r="CS338" s="6"/>
      <c r="CT338" s="124"/>
      <c r="CU338" s="124"/>
      <c r="CV338" s="124"/>
      <c r="CW338" s="124"/>
      <c r="CX338" s="124"/>
      <c r="CY338" s="124"/>
      <c r="CZ338" s="124"/>
      <c r="DA338" s="124"/>
      <c r="DB338" s="124"/>
      <c r="DC338" s="124"/>
      <c r="DD338" s="124"/>
      <c r="DE338" s="124"/>
      <c r="DF338" s="124"/>
      <c r="DG338" s="124"/>
      <c r="DH338" s="124"/>
      <c r="DI338" s="124"/>
      <c r="DK338" s="124"/>
      <c r="DL338" s="124"/>
      <c r="DM338" s="6"/>
      <c r="DN338" s="124"/>
      <c r="DO338" s="124"/>
      <c r="DQ338" s="136"/>
      <c r="DR338" s="124"/>
      <c r="DS338" s="124"/>
      <c r="DT338" s="124"/>
      <c r="DV338" s="124"/>
      <c r="DW338" s="124"/>
      <c r="DX338" s="124"/>
      <c r="EA338" s="111"/>
      <c r="EB338" s="111"/>
      <c r="EC338" s="111"/>
      <c r="ED338" s="124"/>
      <c r="EE338" s="124"/>
      <c r="EF338" s="124"/>
      <c r="EJ338" s="111"/>
      <c r="EK338" s="111"/>
      <c r="EL338" s="124"/>
      <c r="EM338" s="124"/>
      <c r="EN338" s="124"/>
      <c r="EP338" s="111"/>
      <c r="EQ338" s="124"/>
      <c r="ER338" s="124"/>
      <c r="ES338" s="124"/>
      <c r="EV338" s="111"/>
      <c r="EW338" s="111"/>
      <c r="EX338" s="111"/>
      <c r="EY338" s="111"/>
      <c r="EZ338" s="124"/>
      <c r="FA338" s="124"/>
      <c r="FD338" s="111"/>
      <c r="FE338" s="111"/>
      <c r="FF338" s="111"/>
      <c r="FG338" s="124"/>
      <c r="FH338" s="124"/>
      <c r="FK338" s="124"/>
      <c r="FL338" s="124"/>
      <c r="FO338" s="111"/>
      <c r="FP338" s="111"/>
      <c r="FQ338" s="124"/>
      <c r="FR338" s="124"/>
      <c r="FU338" s="111"/>
      <c r="FV338" s="124"/>
      <c r="FW338" s="124"/>
      <c r="FX338" s="124"/>
      <c r="FY338" s="124"/>
      <c r="GA338" s="124"/>
      <c r="GB338" s="124"/>
      <c r="GC338" s="124"/>
      <c r="GF338" s="111"/>
      <c r="GG338" s="111"/>
      <c r="GH338" s="111"/>
      <c r="GI338" s="124"/>
      <c r="GJ338" s="124"/>
      <c r="GK338" s="124"/>
      <c r="GN338" s="111"/>
      <c r="GO338" s="111"/>
      <c r="GP338" s="124"/>
      <c r="GQ338" s="124"/>
      <c r="GR338" s="124"/>
      <c r="GV338" s="111"/>
      <c r="GW338" s="124"/>
      <c r="GX338" s="124"/>
      <c r="GY338" s="124"/>
      <c r="HC338" s="124"/>
      <c r="HD338" s="124"/>
      <c r="HE338" s="124"/>
      <c r="HF338" s="124"/>
      <c r="HI338" s="111"/>
      <c r="HJ338" s="111"/>
      <c r="HK338" s="111"/>
      <c r="HL338" s="111"/>
      <c r="HM338" s="124"/>
      <c r="HN338" s="124"/>
      <c r="HO338" s="124"/>
      <c r="HR338" s="111"/>
      <c r="HS338" s="111"/>
      <c r="HT338" s="111"/>
      <c r="HU338" s="124"/>
      <c r="HV338" s="124"/>
      <c r="HW338" s="124"/>
      <c r="HZ338" s="111"/>
      <c r="IA338" s="124"/>
      <c r="IB338" s="124"/>
      <c r="IC338" s="124"/>
      <c r="IE338" s="111"/>
      <c r="IF338" s="124"/>
      <c r="IG338" s="124"/>
      <c r="IH338" s="124"/>
      <c r="IK338" s="124"/>
      <c r="IL338" s="124"/>
      <c r="IO338" s="124"/>
      <c r="IP338" s="124"/>
      <c r="IS338" s="160"/>
      <c r="IT338" s="160"/>
      <c r="IU338" s="160"/>
      <c r="IX338" s="124"/>
      <c r="IY338" s="124"/>
      <c r="IZ338" s="124"/>
      <c r="JA338" s="124"/>
      <c r="JD338" s="124"/>
      <c r="JE338" s="124"/>
      <c r="JH338" s="124"/>
      <c r="JI338" s="124"/>
      <c r="JJ338" s="124"/>
      <c r="JM338" s="124"/>
      <c r="JN338" s="124"/>
      <c r="JQ338" s="124"/>
      <c r="JR338" s="124"/>
      <c r="JS338" s="124"/>
      <c r="JV338" s="124"/>
      <c r="JW338" s="124"/>
      <c r="JY338" s="124"/>
      <c r="JZ338" s="124"/>
      <c r="KB338" s="124"/>
      <c r="KC338" s="124"/>
      <c r="KD338" s="124"/>
    </row>
    <row r="339" spans="2:290" hidden="1" x14ac:dyDescent="0.25">
      <c r="B339" s="11" t="str">
        <f t="shared" si="451"/>
        <v>Consumer Products</v>
      </c>
      <c r="C339" s="23"/>
      <c r="D339" s="23"/>
      <c r="E339" s="23"/>
      <c r="F339" s="23"/>
      <c r="G339" s="23"/>
      <c r="H339" s="197"/>
      <c r="I339" s="198"/>
      <c r="J339" s="198"/>
      <c r="K339" s="198"/>
      <c r="L339" s="198"/>
      <c r="M339" s="197"/>
      <c r="N339" s="198"/>
      <c r="O339" s="198"/>
      <c r="P339" s="198"/>
      <c r="Q339" s="198"/>
      <c r="R339" s="197"/>
      <c r="S339" s="198"/>
      <c r="T339" s="198"/>
      <c r="U339" s="198"/>
      <c r="V339" s="198"/>
      <c r="W339" s="197"/>
      <c r="X339" s="198"/>
      <c r="Y339" s="198"/>
      <c r="Z339" s="198"/>
      <c r="AA339" s="198"/>
      <c r="AB339" s="42"/>
      <c r="AC339" s="24"/>
      <c r="AD339" s="24"/>
      <c r="AE339" s="24"/>
      <c r="AF339" s="24"/>
      <c r="AG339" s="42"/>
      <c r="AH339" s="24"/>
      <c r="AI339" s="24"/>
      <c r="AJ339" s="24"/>
      <c r="AK339" s="42"/>
      <c r="AL339" s="24"/>
      <c r="AM339" s="24"/>
      <c r="AN339" s="24"/>
      <c r="AO339" s="24"/>
      <c r="AP339" s="42"/>
      <c r="AQ339" s="24">
        <f t="shared" si="452"/>
        <v>-0.29200896191187453</v>
      </c>
      <c r="AR339" s="24">
        <f t="shared" si="452"/>
        <v>0.35023584905660354</v>
      </c>
      <c r="AS339" s="24">
        <f t="shared" si="452"/>
        <v>3.5132819194515941E-2</v>
      </c>
      <c r="AT339" s="24">
        <f t="shared" si="452"/>
        <v>0.26404494382022481</v>
      </c>
      <c r="AU339" s="42">
        <f t="shared" si="452"/>
        <v>8.7128340233346036E-2</v>
      </c>
      <c r="AV339" s="207">
        <f t="shared" si="452"/>
        <v>0.27215189873417711</v>
      </c>
      <c r="AW339" s="207">
        <f t="shared" si="452"/>
        <v>4.0174672489083019E-2</v>
      </c>
      <c r="AX339" s="207">
        <f t="shared" si="452"/>
        <v>0.13327814569536423</v>
      </c>
      <c r="AY339" s="207">
        <f t="shared" si="452"/>
        <v>-0.26141414141414132</v>
      </c>
      <c r="AZ339" s="42">
        <f t="shared" si="452"/>
        <v>-3.1504240955513296E-2</v>
      </c>
      <c r="BA339" s="207">
        <f t="shared" si="452"/>
        <v>6.6334991708125957E-2</v>
      </c>
      <c r="BB339" s="207">
        <f t="shared" si="452"/>
        <v>-7.9764903442485213E-2</v>
      </c>
      <c r="BC339" s="207">
        <f t="shared" si="452"/>
        <v>0.11541271000730458</v>
      </c>
      <c r="BD339" s="207">
        <f t="shared" si="452"/>
        <v>1.3129102844638973E-2</v>
      </c>
      <c r="BE339" s="42">
        <f t="shared" si="452"/>
        <v>2.9669347631813947E-2</v>
      </c>
      <c r="BF339" s="207">
        <f t="shared" si="452"/>
        <v>-1.3499222395023329</v>
      </c>
      <c r="BG339" s="207">
        <f t="shared" si="452"/>
        <v>0.15784671532846706</v>
      </c>
      <c r="BH339" s="207">
        <f t="shared" si="452"/>
        <v>0.49508840864440073</v>
      </c>
      <c r="BI339" s="207">
        <f t="shared" si="452"/>
        <v>0.54643628509719222</v>
      </c>
      <c r="BJ339" s="42">
        <f t="shared" si="452"/>
        <v>3.5584099982641781E-2</v>
      </c>
      <c r="BK339" s="207">
        <f t="shared" si="452"/>
        <v>-1.1377777777777778</v>
      </c>
      <c r="BL339" s="207">
        <f t="shared" si="452"/>
        <v>0.37903861308116626</v>
      </c>
      <c r="BM339" s="207">
        <f t="shared" si="452"/>
        <v>-8.0157687253613608E-2</v>
      </c>
      <c r="BN339" s="207">
        <f t="shared" si="452"/>
        <v>-0.49371508379888274</v>
      </c>
      <c r="BO339" s="42">
        <f t="shared" si="452"/>
        <v>-9.3697619845792723E-2</v>
      </c>
      <c r="BP339" s="207">
        <f t="shared" si="452"/>
        <v>16.758064516129032</v>
      </c>
      <c r="BQ339" s="207">
        <f t="shared" si="452"/>
        <v>-0.11314285714285721</v>
      </c>
      <c r="BR339" s="207">
        <f t="shared" si="452"/>
        <v>-5.8571428571428608E-2</v>
      </c>
      <c r="BS339" s="207">
        <f t="shared" si="452"/>
        <v>0.48413793103448266</v>
      </c>
      <c r="BT339" s="42">
        <f t="shared" si="452"/>
        <v>0.25429998150545585</v>
      </c>
      <c r="BU339" s="207">
        <f t="shared" si="452"/>
        <v>0.61035422343324264</v>
      </c>
      <c r="BV339" s="207">
        <f t="shared" si="452"/>
        <v>0.12886597938144329</v>
      </c>
      <c r="BW339" s="207">
        <f t="shared" si="452"/>
        <v>-1.0622154779969639E-2</v>
      </c>
      <c r="BX339" s="207">
        <f t="shared" si="452"/>
        <v>-4.6468401486988831E-2</v>
      </c>
      <c r="BY339" s="42">
        <f t="shared" si="452"/>
        <v>0.11073429666764967</v>
      </c>
      <c r="BZ339" s="207">
        <f t="shared" si="452"/>
        <v>-9.3062605752961214E-2</v>
      </c>
      <c r="CA339" s="207">
        <f t="shared" si="452"/>
        <v>-4.6803652968036569E-2</v>
      </c>
      <c r="CB339" s="207">
        <f t="shared" si="452"/>
        <v>-0.13496932515337412</v>
      </c>
      <c r="CC339" s="207">
        <f t="shared" si="452"/>
        <v>0.10038986354775825</v>
      </c>
      <c r="CD339" s="42">
        <f t="shared" si="452"/>
        <v>-4.0488517191026085E-2</v>
      </c>
      <c r="CE339" s="207">
        <f t="shared" si="452"/>
        <v>-0.13743781094527363</v>
      </c>
      <c r="CF339" s="207">
        <f t="shared" si="452"/>
        <v>-0.15449101796407183</v>
      </c>
      <c r="CG339" s="207">
        <f t="shared" si="452"/>
        <v>1.3593380614657091E-2</v>
      </c>
      <c r="CH339" s="207">
        <f t="shared" si="452"/>
        <v>0.3937112488928256</v>
      </c>
      <c r="CI339" s="42">
        <f t="shared" si="452"/>
        <v>5.9075816270060866E-2</v>
      </c>
      <c r="CJ339" s="42"/>
      <c r="CK339" s="42"/>
      <c r="CL339" s="42"/>
      <c r="CM339" s="42"/>
      <c r="CN339" s="42"/>
      <c r="CO339" s="74"/>
      <c r="CP339" s="74"/>
      <c r="CQ339" s="6"/>
      <c r="CR339" s="6"/>
      <c r="CS339" s="6"/>
      <c r="CT339" s="124"/>
      <c r="CU339" s="124"/>
      <c r="CV339" s="124"/>
      <c r="CW339" s="124"/>
      <c r="CX339" s="124"/>
      <c r="CY339" s="124"/>
      <c r="CZ339" s="124"/>
      <c r="DA339" s="124"/>
      <c r="DB339" s="124"/>
      <c r="DC339" s="124"/>
      <c r="DD339" s="124"/>
      <c r="DE339" s="124"/>
      <c r="DF339" s="124"/>
      <c r="DG339" s="124"/>
      <c r="DH339" s="124"/>
      <c r="DI339" s="124"/>
      <c r="DK339" s="124"/>
      <c r="DL339" s="124"/>
      <c r="DM339" s="6"/>
      <c r="DN339" s="124"/>
      <c r="DO339" s="124"/>
      <c r="DQ339" s="136"/>
      <c r="DR339" s="124"/>
      <c r="DS339" s="124"/>
      <c r="DT339" s="124"/>
      <c r="DV339" s="124"/>
      <c r="DW339" s="124"/>
      <c r="DX339" s="124"/>
      <c r="EA339" s="111"/>
      <c r="EB339" s="111"/>
      <c r="EC339" s="111"/>
      <c r="ED339" s="124"/>
      <c r="EE339" s="124"/>
      <c r="EF339" s="124"/>
      <c r="EJ339" s="111"/>
      <c r="EK339" s="111"/>
      <c r="EL339" s="124"/>
      <c r="EM339" s="124"/>
      <c r="EN339" s="124"/>
      <c r="EP339" s="111"/>
      <c r="EQ339" s="124"/>
      <c r="ER339" s="124"/>
      <c r="ES339" s="124"/>
      <c r="EV339" s="111"/>
      <c r="EW339" s="111"/>
      <c r="EX339" s="111"/>
      <c r="EY339" s="111"/>
      <c r="EZ339" s="124"/>
      <c r="FA339" s="124"/>
      <c r="FD339" s="111"/>
      <c r="FE339" s="111"/>
      <c r="FF339" s="111"/>
      <c r="FG339" s="124"/>
      <c r="FH339" s="124"/>
      <c r="FK339" s="124"/>
      <c r="FL339" s="124"/>
      <c r="FO339" s="111"/>
      <c r="FP339" s="111"/>
      <c r="FQ339" s="124"/>
      <c r="FR339" s="124"/>
      <c r="FU339" s="111"/>
      <c r="FV339" s="124"/>
      <c r="FW339" s="124"/>
      <c r="FX339" s="124"/>
      <c r="FY339" s="124"/>
      <c r="GA339" s="124"/>
      <c r="GB339" s="124"/>
      <c r="GC339" s="124"/>
      <c r="GF339" s="111"/>
      <c r="GG339" s="111"/>
      <c r="GH339" s="111"/>
      <c r="GI339" s="124"/>
      <c r="GJ339" s="124"/>
      <c r="GK339" s="124"/>
      <c r="GN339" s="111"/>
      <c r="GO339" s="111"/>
      <c r="GP339" s="124"/>
      <c r="GQ339" s="124"/>
      <c r="GR339" s="124"/>
      <c r="GV339" s="111"/>
      <c r="GW339" s="124"/>
      <c r="GX339" s="124"/>
      <c r="GY339" s="124"/>
      <c r="HC339" s="124"/>
      <c r="HD339" s="124"/>
      <c r="HE339" s="124"/>
      <c r="HF339" s="124"/>
      <c r="HI339" s="111"/>
      <c r="HJ339" s="111"/>
      <c r="HK339" s="111"/>
      <c r="HL339" s="111"/>
      <c r="HM339" s="124"/>
      <c r="HN339" s="124"/>
      <c r="HO339" s="124"/>
      <c r="HR339" s="111"/>
      <c r="HS339" s="111"/>
      <c r="HT339" s="111"/>
      <c r="HU339" s="124"/>
      <c r="HV339" s="124"/>
      <c r="HW339" s="124"/>
      <c r="HZ339" s="111"/>
      <c r="IA339" s="124"/>
      <c r="IB339" s="124"/>
      <c r="IC339" s="124"/>
      <c r="IE339" s="111"/>
      <c r="IF339" s="124"/>
      <c r="IG339" s="124"/>
      <c r="IH339" s="124"/>
      <c r="IK339" s="124"/>
      <c r="IL339" s="124"/>
      <c r="IO339" s="124"/>
      <c r="IP339" s="124"/>
      <c r="IS339" s="160"/>
      <c r="IT339" s="160"/>
      <c r="IU339" s="160"/>
      <c r="IX339" s="124"/>
      <c r="IY339" s="124"/>
      <c r="IZ339" s="124"/>
      <c r="JA339" s="124"/>
      <c r="JD339" s="124"/>
      <c r="JE339" s="124"/>
      <c r="JH339" s="124"/>
      <c r="JI339" s="124"/>
      <c r="JJ339" s="124"/>
      <c r="JM339" s="124"/>
      <c r="JN339" s="124"/>
      <c r="JQ339" s="124"/>
      <c r="JR339" s="124"/>
      <c r="JS339" s="124"/>
      <c r="JV339" s="124"/>
      <c r="JW339" s="124"/>
      <c r="JY339" s="124"/>
      <c r="JZ339" s="124"/>
      <c r="KB339" s="124"/>
      <c r="KC339" s="124"/>
      <c r="KD339" s="124"/>
    </row>
    <row r="340" spans="2:290" hidden="1" x14ac:dyDescent="0.25">
      <c r="B340" s="11" t="str">
        <f t="shared" si="451"/>
        <v>Others</v>
      </c>
      <c r="C340" s="23"/>
      <c r="D340" s="23"/>
      <c r="E340" s="23"/>
      <c r="F340" s="23"/>
      <c r="G340" s="23"/>
      <c r="H340" s="197"/>
      <c r="I340" s="198"/>
      <c r="J340" s="198"/>
      <c r="K340" s="198"/>
      <c r="L340" s="198"/>
      <c r="M340" s="197"/>
      <c r="N340" s="198"/>
      <c r="O340" s="198"/>
      <c r="P340" s="198"/>
      <c r="Q340" s="198"/>
      <c r="R340" s="197"/>
      <c r="S340" s="198"/>
      <c r="T340" s="198"/>
      <c r="U340" s="198"/>
      <c r="V340" s="198"/>
      <c r="W340" s="197"/>
      <c r="X340" s="198"/>
      <c r="Y340" s="198"/>
      <c r="Z340" s="198"/>
      <c r="AA340" s="198"/>
      <c r="AB340" s="42"/>
      <c r="AC340" s="24"/>
      <c r="AD340" s="24"/>
      <c r="AE340" s="24"/>
      <c r="AF340" s="24"/>
      <c r="AG340" s="42"/>
      <c r="AH340" s="24"/>
      <c r="AI340" s="24"/>
      <c r="AJ340" s="24"/>
      <c r="AK340" s="42"/>
      <c r="AL340" s="24"/>
      <c r="AM340" s="24"/>
      <c r="AN340" s="24"/>
      <c r="AO340" s="24"/>
      <c r="AP340" s="42"/>
      <c r="AQ340" s="24">
        <f t="shared" si="452"/>
        <v>0.34177215189873422</v>
      </c>
      <c r="AR340" s="24">
        <f t="shared" si="452"/>
        <v>8.1967213114754189E-2</v>
      </c>
      <c r="AS340" s="24">
        <f t="shared" si="452"/>
        <v>3.6253776435045459E-2</v>
      </c>
      <c r="AT340" s="24">
        <f t="shared" si="452"/>
        <v>148.5</v>
      </c>
      <c r="AU340" s="42">
        <f t="shared" si="452"/>
        <v>-1.3146853146853146</v>
      </c>
      <c r="AV340" s="207">
        <f t="shared" si="452"/>
        <v>-0.28930817610062909</v>
      </c>
      <c r="AW340" s="207">
        <f t="shared" si="452"/>
        <v>-1</v>
      </c>
      <c r="AX340" s="207">
        <f t="shared" si="452"/>
        <v>-1</v>
      </c>
      <c r="AY340" s="207">
        <f t="shared" si="452"/>
        <v>-1.0209030100334449</v>
      </c>
      <c r="AZ340" s="42">
        <f t="shared" si="452"/>
        <v>-1</v>
      </c>
      <c r="BA340" s="207">
        <f t="shared" si="452"/>
        <v>-0.90707964601769908</v>
      </c>
      <c r="BB340" s="207" t="e">
        <f t="shared" si="452"/>
        <v>#DIV/0!</v>
      </c>
      <c r="BC340" s="207" t="e">
        <f t="shared" si="452"/>
        <v>#DIV/0!</v>
      </c>
      <c r="BD340" s="207">
        <f t="shared" si="452"/>
        <v>-20.16</v>
      </c>
      <c r="BE340" s="42" t="e">
        <f t="shared" si="452"/>
        <v>#DIV/0!</v>
      </c>
      <c r="BF340" s="207">
        <f t="shared" si="452"/>
        <v>-0.4285714285714286</v>
      </c>
      <c r="BG340" s="207">
        <f t="shared" si="452"/>
        <v>33.620689655172413</v>
      </c>
      <c r="BH340" s="207">
        <f t="shared" si="452"/>
        <v>138.19999999999999</v>
      </c>
      <c r="BI340" s="207">
        <f t="shared" si="452"/>
        <v>-0.91858037578288099</v>
      </c>
      <c r="BJ340" s="42">
        <f t="shared" si="452"/>
        <v>3.8752515090543262</v>
      </c>
      <c r="BK340" s="207">
        <f t="shared" si="452"/>
        <v>3.666666666666667</v>
      </c>
      <c r="BL340" s="207">
        <f t="shared" si="452"/>
        <v>-0.78585657370517925</v>
      </c>
      <c r="BM340" s="207">
        <f t="shared" si="452"/>
        <v>-0.58117816091954022</v>
      </c>
      <c r="BN340" s="207">
        <f t="shared" si="452"/>
        <v>1.641025641025641</v>
      </c>
      <c r="BO340" s="42">
        <f t="shared" si="452"/>
        <v>-0.65125877011968636</v>
      </c>
      <c r="BP340" s="207">
        <f t="shared" si="452"/>
        <v>-3.5714285714285698E-2</v>
      </c>
      <c r="BQ340" s="207">
        <f t="shared" si="452"/>
        <v>-2.4883720930232558</v>
      </c>
      <c r="BR340" s="207">
        <f t="shared" si="452"/>
        <v>-1.0068610634648369</v>
      </c>
      <c r="BS340" s="207">
        <f t="shared" si="452"/>
        <v>5.8252427184465994E-2</v>
      </c>
      <c r="BT340" s="42">
        <f t="shared" si="452"/>
        <v>-1.3183431952662721</v>
      </c>
      <c r="BU340" s="207">
        <f t="shared" si="452"/>
        <v>-1.0925925925925926</v>
      </c>
      <c r="BV340" s="207">
        <f t="shared" si="452"/>
        <v>-0.91874999999999996</v>
      </c>
      <c r="BW340" s="207">
        <f t="shared" si="452"/>
        <v>8.75</v>
      </c>
      <c r="BX340" s="207">
        <f t="shared" si="452"/>
        <v>-1.2844036697247705</v>
      </c>
      <c r="BY340" s="42">
        <f t="shared" si="452"/>
        <v>-0.6617100371747211</v>
      </c>
      <c r="BZ340" s="207">
        <f t="shared" si="452"/>
        <v>-6</v>
      </c>
      <c r="CA340" s="207">
        <f t="shared" si="452"/>
        <v>-1.2307692307692308</v>
      </c>
      <c r="CB340" s="207">
        <f t="shared" si="452"/>
        <v>-1.8461538461538463</v>
      </c>
      <c r="CC340" s="207">
        <f t="shared" si="452"/>
        <v>-3.612903225806452</v>
      </c>
      <c r="CD340" s="42">
        <f t="shared" si="452"/>
        <v>-2.0439560439560438</v>
      </c>
      <c r="CE340" s="207">
        <f t="shared" si="452"/>
        <v>-0.36</v>
      </c>
      <c r="CF340" s="207">
        <f t="shared" si="452"/>
        <v>0</v>
      </c>
      <c r="CG340" s="207">
        <f t="shared" si="452"/>
        <v>-0.51515151515151514</v>
      </c>
      <c r="CH340" s="207">
        <f t="shared" si="452"/>
        <v>-8.9012345679012341</v>
      </c>
      <c r="CI340" s="42">
        <f t="shared" si="452"/>
        <v>-7.6736842105263161</v>
      </c>
      <c r="CJ340" s="42"/>
      <c r="CK340" s="42"/>
      <c r="CL340" s="42"/>
      <c r="CM340" s="42"/>
      <c r="CN340" s="42"/>
      <c r="CO340" s="74"/>
      <c r="CP340" s="74"/>
      <c r="CQ340" s="6"/>
      <c r="CR340" s="6"/>
      <c r="CS340" s="6"/>
      <c r="CT340" s="124"/>
      <c r="CU340" s="124"/>
      <c r="CV340" s="124"/>
      <c r="CW340" s="124"/>
      <c r="CX340" s="124"/>
      <c r="CY340" s="124"/>
      <c r="CZ340" s="124"/>
      <c r="DA340" s="124"/>
      <c r="DB340" s="124"/>
      <c r="DC340" s="124"/>
      <c r="DD340" s="124"/>
      <c r="DE340" s="124"/>
      <c r="DF340" s="124"/>
      <c r="DG340" s="124"/>
      <c r="DH340" s="124"/>
      <c r="DI340" s="124"/>
      <c r="DK340" s="124"/>
      <c r="DL340" s="124"/>
      <c r="DM340" s="6"/>
      <c r="DN340" s="124"/>
      <c r="DO340" s="124"/>
      <c r="DQ340" s="136"/>
      <c r="DR340" s="124"/>
      <c r="DS340" s="124"/>
      <c r="DT340" s="124"/>
      <c r="DV340" s="124"/>
      <c r="DW340" s="124"/>
      <c r="DX340" s="124"/>
      <c r="EA340" s="111"/>
      <c r="EB340" s="111"/>
      <c r="EC340" s="111"/>
      <c r="ED340" s="124"/>
      <c r="EE340" s="124"/>
      <c r="EF340" s="124"/>
      <c r="EJ340" s="111"/>
      <c r="EK340" s="111"/>
      <c r="EL340" s="124"/>
      <c r="EM340" s="124"/>
      <c r="EN340" s="124"/>
      <c r="EP340" s="111"/>
      <c r="EQ340" s="124"/>
      <c r="ER340" s="124"/>
      <c r="ES340" s="124"/>
      <c r="EV340" s="111"/>
      <c r="EW340" s="111"/>
      <c r="EX340" s="111"/>
      <c r="EY340" s="111"/>
      <c r="EZ340" s="124"/>
      <c r="FA340" s="124"/>
      <c r="FD340" s="111"/>
      <c r="FE340" s="111"/>
      <c r="FF340" s="111"/>
      <c r="FG340" s="124"/>
      <c r="FH340" s="124"/>
      <c r="FK340" s="124"/>
      <c r="FL340" s="124"/>
      <c r="FO340" s="111"/>
      <c r="FP340" s="111"/>
      <c r="FQ340" s="124"/>
      <c r="FR340" s="124"/>
      <c r="FU340" s="111"/>
      <c r="FV340" s="124"/>
      <c r="FW340" s="124"/>
      <c r="FX340" s="124"/>
      <c r="FY340" s="124"/>
      <c r="GA340" s="124"/>
      <c r="GB340" s="124"/>
      <c r="GC340" s="124"/>
      <c r="GF340" s="111"/>
      <c r="GG340" s="111"/>
      <c r="GH340" s="111"/>
      <c r="GI340" s="124"/>
      <c r="GJ340" s="124"/>
      <c r="GK340" s="124"/>
      <c r="GN340" s="111"/>
      <c r="GO340" s="111"/>
      <c r="GP340" s="124"/>
      <c r="GQ340" s="124"/>
      <c r="GR340" s="124"/>
      <c r="GV340" s="111"/>
      <c r="GW340" s="124"/>
      <c r="GX340" s="124"/>
      <c r="GY340" s="124"/>
      <c r="HC340" s="124"/>
      <c r="HD340" s="124"/>
      <c r="HE340" s="124"/>
      <c r="HF340" s="124"/>
      <c r="HI340" s="111"/>
      <c r="HJ340" s="111"/>
      <c r="HK340" s="111"/>
      <c r="HL340" s="111"/>
      <c r="HM340" s="124"/>
      <c r="HN340" s="124"/>
      <c r="HO340" s="124"/>
      <c r="HR340" s="111"/>
      <c r="HS340" s="111"/>
      <c r="HT340" s="111"/>
      <c r="HU340" s="124"/>
      <c r="HV340" s="124"/>
      <c r="HW340" s="124"/>
      <c r="HZ340" s="111"/>
      <c r="IA340" s="124"/>
      <c r="IB340" s="124"/>
      <c r="IC340" s="124"/>
      <c r="IE340" s="111"/>
      <c r="IF340" s="124"/>
      <c r="IG340" s="124"/>
      <c r="IH340" s="124"/>
      <c r="IK340" s="124"/>
      <c r="IL340" s="124"/>
      <c r="IO340" s="124"/>
      <c r="IP340" s="124"/>
      <c r="IS340" s="160"/>
      <c r="IT340" s="160"/>
      <c r="IU340" s="160"/>
      <c r="IX340" s="124"/>
      <c r="IY340" s="124"/>
      <c r="IZ340" s="124"/>
      <c r="JA340" s="124"/>
      <c r="JD340" s="124"/>
      <c r="JE340" s="124"/>
      <c r="JH340" s="124"/>
      <c r="JI340" s="124"/>
      <c r="JJ340" s="124"/>
      <c r="JM340" s="124"/>
      <c r="JN340" s="124"/>
      <c r="JQ340" s="124"/>
      <c r="JR340" s="124"/>
      <c r="JS340" s="124"/>
      <c r="JV340" s="124"/>
      <c r="JW340" s="124"/>
      <c r="JY340" s="124"/>
      <c r="JZ340" s="124"/>
      <c r="KB340" s="124"/>
      <c r="KC340" s="124"/>
      <c r="KD340" s="124"/>
    </row>
    <row r="341" spans="2:290" hidden="1" x14ac:dyDescent="0.25">
      <c r="B341" s="11" t="str">
        <f t="shared" si="451"/>
        <v>Other Unallocable</v>
      </c>
      <c r="C341" s="23"/>
      <c r="D341" s="23"/>
      <c r="E341" s="23"/>
      <c r="F341" s="23"/>
      <c r="G341" s="23"/>
      <c r="H341" s="197"/>
      <c r="I341" s="198"/>
      <c r="J341" s="198"/>
      <c r="K341" s="198"/>
      <c r="L341" s="198"/>
      <c r="M341" s="197"/>
      <c r="N341" s="198"/>
      <c r="O341" s="198"/>
      <c r="P341" s="198"/>
      <c r="Q341" s="198"/>
      <c r="R341" s="197"/>
      <c r="S341" s="198"/>
      <c r="T341" s="198"/>
      <c r="U341" s="198"/>
      <c r="V341" s="198"/>
      <c r="W341" s="197"/>
      <c r="X341" s="198"/>
      <c r="Y341" s="198"/>
      <c r="Z341" s="198"/>
      <c r="AA341" s="198"/>
      <c r="AB341" s="42"/>
      <c r="AC341" s="24"/>
      <c r="AD341" s="24"/>
      <c r="AE341" s="24"/>
      <c r="AF341" s="24"/>
      <c r="AG341" s="42"/>
      <c r="AH341" s="24"/>
      <c r="AI341" s="24"/>
      <c r="AJ341" s="24"/>
      <c r="AK341" s="42"/>
      <c r="AL341" s="24"/>
      <c r="AM341" s="24"/>
      <c r="AN341" s="24"/>
      <c r="AO341" s="24"/>
      <c r="AP341" s="42"/>
      <c r="AQ341" s="24">
        <f t="shared" si="452"/>
        <v>-1.0238095238095237</v>
      </c>
      <c r="AR341" s="24">
        <f t="shared" si="452"/>
        <v>-0.31901840490797539</v>
      </c>
      <c r="AS341" s="24">
        <f t="shared" si="452"/>
        <v>-0.18095238095238098</v>
      </c>
      <c r="AT341" s="24">
        <f t="shared" si="452"/>
        <v>-1.2292993630573248</v>
      </c>
      <c r="AU341" s="42">
        <f t="shared" si="452"/>
        <v>-0.60929432013769358</v>
      </c>
      <c r="AV341" s="207">
        <f t="shared" si="452"/>
        <v>-9.5</v>
      </c>
      <c r="AW341" s="207">
        <f t="shared" si="452"/>
        <v>-50.063063063063062</v>
      </c>
      <c r="AX341" s="207">
        <f t="shared" si="452"/>
        <v>-0.98837209302325579</v>
      </c>
      <c r="AY341" s="207">
        <f t="shared" si="452"/>
        <v>-1</v>
      </c>
      <c r="AZ341" s="42">
        <f t="shared" si="452"/>
        <v>-1</v>
      </c>
      <c r="BA341" s="207">
        <f t="shared" si="452"/>
        <v>-1</v>
      </c>
      <c r="BB341" s="207">
        <f t="shared" si="452"/>
        <v>-1</v>
      </c>
      <c r="BC341" s="207">
        <f t="shared" si="452"/>
        <v>-1</v>
      </c>
      <c r="BD341" s="207" t="e">
        <f t="shared" si="452"/>
        <v>#DIV/0!</v>
      </c>
      <c r="BE341" s="42" t="e">
        <f t="shared" si="452"/>
        <v>#DIV/0!</v>
      </c>
      <c r="BF341" s="207" t="e">
        <f t="shared" si="452"/>
        <v>#DIV/0!</v>
      </c>
      <c r="BG341" s="207" t="e">
        <f t="shared" si="452"/>
        <v>#DIV/0!</v>
      </c>
      <c r="BH341" s="207" t="e">
        <f t="shared" si="452"/>
        <v>#DIV/0!</v>
      </c>
      <c r="BI341" s="207" t="e">
        <f t="shared" si="452"/>
        <v>#DIV/0!</v>
      </c>
      <c r="BJ341" s="42" t="e">
        <f t="shared" si="452"/>
        <v>#DIV/0!</v>
      </c>
      <c r="BK341" s="207" t="e">
        <f t="shared" si="452"/>
        <v>#DIV/0!</v>
      </c>
      <c r="BL341" s="207" t="e">
        <f t="shared" si="452"/>
        <v>#DIV/0!</v>
      </c>
      <c r="BM341" s="207" t="e">
        <f t="shared" si="452"/>
        <v>#DIV/0!</v>
      </c>
      <c r="BN341" s="207" t="e">
        <f t="shared" si="452"/>
        <v>#DIV/0!</v>
      </c>
      <c r="BO341" s="42" t="e">
        <f t="shared" si="452"/>
        <v>#DIV/0!</v>
      </c>
      <c r="BP341" s="207" t="e">
        <f t="shared" si="452"/>
        <v>#DIV/0!</v>
      </c>
      <c r="BQ341" s="207" t="e">
        <f t="shared" si="452"/>
        <v>#DIV/0!</v>
      </c>
      <c r="BR341" s="207" t="e">
        <f t="shared" si="452"/>
        <v>#DIV/0!</v>
      </c>
      <c r="BS341" s="207" t="e">
        <f t="shared" si="452"/>
        <v>#DIV/0!</v>
      </c>
      <c r="BT341" s="42" t="e">
        <f t="shared" si="452"/>
        <v>#DIV/0!</v>
      </c>
      <c r="BU341" s="207" t="e">
        <f t="shared" ref="BU341:CI342" si="453">(BU309/BP309-1)</f>
        <v>#DIV/0!</v>
      </c>
      <c r="BV341" s="207" t="e">
        <f t="shared" si="453"/>
        <v>#DIV/0!</v>
      </c>
      <c r="BW341" s="207" t="e">
        <f t="shared" si="453"/>
        <v>#DIV/0!</v>
      </c>
      <c r="BX341" s="207" t="e">
        <f t="shared" si="453"/>
        <v>#DIV/0!</v>
      </c>
      <c r="BY341" s="42" t="e">
        <f t="shared" si="453"/>
        <v>#DIV/0!</v>
      </c>
      <c r="BZ341" s="207" t="e">
        <f t="shared" si="453"/>
        <v>#DIV/0!</v>
      </c>
      <c r="CA341" s="207" t="e">
        <f t="shared" si="453"/>
        <v>#DIV/0!</v>
      </c>
      <c r="CB341" s="207" t="e">
        <f t="shared" si="453"/>
        <v>#DIV/0!</v>
      </c>
      <c r="CC341" s="207" t="e">
        <f t="shared" si="453"/>
        <v>#DIV/0!</v>
      </c>
      <c r="CD341" s="42" t="e">
        <f t="shared" si="453"/>
        <v>#DIV/0!</v>
      </c>
      <c r="CE341" s="207" t="e">
        <f t="shared" si="453"/>
        <v>#DIV/0!</v>
      </c>
      <c r="CF341" s="207" t="e">
        <f t="shared" si="453"/>
        <v>#DIV/0!</v>
      </c>
      <c r="CG341" s="207" t="e">
        <f t="shared" si="453"/>
        <v>#DIV/0!</v>
      </c>
      <c r="CH341" s="207" t="e">
        <f t="shared" si="453"/>
        <v>#DIV/0!</v>
      </c>
      <c r="CI341" s="42" t="e">
        <f t="shared" si="453"/>
        <v>#DIV/0!</v>
      </c>
      <c r="CJ341" s="42" t="e">
        <f>(CJ309/CI309-1)</f>
        <v>#DIV/0!</v>
      </c>
      <c r="CK341" s="42" t="e">
        <f>(CK309/CJ309-1)</f>
        <v>#DIV/0!</v>
      </c>
      <c r="CL341" s="42"/>
      <c r="CM341" s="42"/>
      <c r="CN341" s="42"/>
      <c r="CO341" s="74"/>
      <c r="CP341" s="74"/>
      <c r="CQ341" s="6"/>
      <c r="CR341" s="6"/>
      <c r="CS341" s="6"/>
      <c r="CT341" s="124"/>
      <c r="CU341" s="124"/>
      <c r="CV341" s="124"/>
      <c r="CW341" s="124"/>
      <c r="CX341" s="124"/>
      <c r="CY341" s="124"/>
      <c r="CZ341" s="124"/>
      <c r="DA341" s="124"/>
      <c r="DB341" s="124"/>
      <c r="DC341" s="124"/>
      <c r="DD341" s="124"/>
      <c r="DE341" s="124"/>
      <c r="DF341" s="124"/>
      <c r="DG341" s="124"/>
      <c r="DH341" s="124"/>
      <c r="DI341" s="124"/>
      <c r="DK341" s="124"/>
      <c r="DL341" s="124"/>
      <c r="DM341" s="6"/>
      <c r="DN341" s="124"/>
      <c r="DO341" s="124"/>
      <c r="DQ341" s="136"/>
      <c r="DR341" s="124"/>
      <c r="DS341" s="124"/>
      <c r="DT341" s="124"/>
      <c r="DV341" s="124"/>
      <c r="DW341" s="124"/>
      <c r="DX341" s="124"/>
      <c r="EA341" s="111"/>
      <c r="EB341" s="111"/>
      <c r="EC341" s="111"/>
      <c r="ED341" s="124"/>
      <c r="EE341" s="124"/>
      <c r="EF341" s="124"/>
      <c r="EJ341" s="111"/>
      <c r="EK341" s="111"/>
      <c r="EL341" s="124"/>
      <c r="EM341" s="124"/>
      <c r="EN341" s="124"/>
      <c r="EP341" s="111"/>
      <c r="EQ341" s="124"/>
      <c r="ER341" s="124"/>
      <c r="ES341" s="124"/>
      <c r="EV341" s="111"/>
      <c r="EW341" s="111"/>
      <c r="EX341" s="111"/>
      <c r="EY341" s="111"/>
      <c r="EZ341" s="124"/>
      <c r="FA341" s="124"/>
      <c r="FD341" s="111"/>
      <c r="FE341" s="111"/>
      <c r="FF341" s="111"/>
      <c r="FG341" s="124"/>
      <c r="FH341" s="124"/>
      <c r="FK341" s="124"/>
      <c r="FL341" s="124"/>
      <c r="FO341" s="111"/>
      <c r="FP341" s="111"/>
      <c r="FQ341" s="124"/>
      <c r="FR341" s="124"/>
      <c r="FU341" s="111"/>
      <c r="FV341" s="124"/>
      <c r="FW341" s="124"/>
      <c r="FX341" s="124"/>
      <c r="FY341" s="124"/>
      <c r="GA341" s="124"/>
      <c r="GB341" s="124"/>
      <c r="GC341" s="124"/>
      <c r="GF341" s="111"/>
      <c r="GG341" s="111"/>
      <c r="GH341" s="111"/>
      <c r="GI341" s="124"/>
      <c r="GJ341" s="124"/>
      <c r="GK341" s="124"/>
      <c r="GN341" s="111"/>
      <c r="GO341" s="111"/>
      <c r="GP341" s="124"/>
      <c r="GQ341" s="124"/>
      <c r="GR341" s="124"/>
      <c r="GV341" s="111"/>
      <c r="GW341" s="124"/>
      <c r="GX341" s="124"/>
      <c r="GY341" s="124"/>
      <c r="HC341" s="124"/>
      <c r="HD341" s="124"/>
      <c r="HE341" s="124"/>
      <c r="HF341" s="124"/>
      <c r="HI341" s="111"/>
      <c r="HJ341" s="111"/>
      <c r="HK341" s="111"/>
      <c r="HL341" s="111"/>
      <c r="HM341" s="124"/>
      <c r="HN341" s="124"/>
      <c r="HO341" s="124"/>
      <c r="HR341" s="111"/>
      <c r="HS341" s="111"/>
      <c r="HT341" s="111"/>
      <c r="HU341" s="124"/>
      <c r="HV341" s="124"/>
      <c r="HW341" s="124"/>
      <c r="HZ341" s="111"/>
      <c r="IA341" s="124"/>
      <c r="IB341" s="124"/>
      <c r="IC341" s="124"/>
      <c r="IE341" s="111"/>
      <c r="IF341" s="124"/>
      <c r="IG341" s="124"/>
      <c r="IH341" s="124"/>
      <c r="IK341" s="124"/>
      <c r="IL341" s="124"/>
      <c r="IO341" s="124"/>
      <c r="IP341" s="124"/>
      <c r="IS341" s="160"/>
      <c r="IT341" s="160"/>
      <c r="IU341" s="160"/>
      <c r="IX341" s="124"/>
      <c r="IY341" s="124"/>
      <c r="IZ341" s="124"/>
      <c r="JA341" s="124"/>
      <c r="JD341" s="124"/>
      <c r="JE341" s="124"/>
      <c r="JH341" s="124"/>
      <c r="JI341" s="124"/>
      <c r="JJ341" s="124"/>
      <c r="JM341" s="124"/>
      <c r="JN341" s="124"/>
      <c r="JQ341" s="124"/>
      <c r="JR341" s="124"/>
      <c r="JS341" s="124"/>
      <c r="JV341" s="124"/>
      <c r="JW341" s="124"/>
      <c r="JY341" s="124"/>
      <c r="JZ341" s="124"/>
      <c r="KB341" s="124"/>
      <c r="KC341" s="124"/>
      <c r="KD341" s="124"/>
    </row>
    <row r="342" spans="2:290" hidden="1" x14ac:dyDescent="0.25">
      <c r="B342" s="11" t="str">
        <f t="shared" si="451"/>
        <v>Total EBIT</v>
      </c>
      <c r="C342" s="23"/>
      <c r="D342" s="23"/>
      <c r="E342" s="23"/>
      <c r="F342" s="23"/>
      <c r="G342" s="23"/>
      <c r="H342" s="197"/>
      <c r="I342" s="198"/>
      <c r="J342" s="198"/>
      <c r="K342" s="198"/>
      <c r="L342" s="198"/>
      <c r="M342" s="197"/>
      <c r="N342" s="198"/>
      <c r="O342" s="198"/>
      <c r="P342" s="198"/>
      <c r="Q342" s="198"/>
      <c r="R342" s="197"/>
      <c r="S342" s="198"/>
      <c r="T342" s="198"/>
      <c r="U342" s="198"/>
      <c r="V342" s="198"/>
      <c r="W342" s="197"/>
      <c r="X342" s="198"/>
      <c r="Y342" s="198"/>
      <c r="Z342" s="198"/>
      <c r="AA342" s="198"/>
      <c r="AB342" s="42"/>
      <c r="AC342" s="24"/>
      <c r="AD342" s="24"/>
      <c r="AE342" s="24"/>
      <c r="AF342" s="24"/>
      <c r="AG342" s="42"/>
      <c r="AH342" s="24"/>
      <c r="AI342" s="24"/>
      <c r="AJ342" s="24"/>
      <c r="AK342" s="42"/>
      <c r="AL342" s="24"/>
      <c r="AM342" s="24"/>
      <c r="AN342" s="24"/>
      <c r="AO342" s="24"/>
      <c r="AP342" s="42"/>
      <c r="AQ342" s="24">
        <f t="shared" ref="AQ342:BT342" si="454">(AQ310/AL310-1)</f>
        <v>-0.28439425051334688</v>
      </c>
      <c r="AR342" s="24">
        <f t="shared" si="454"/>
        <v>3.2716927453769307E-2</v>
      </c>
      <c r="AS342" s="24">
        <f t="shared" si="454"/>
        <v>5.4820544134609239E-2</v>
      </c>
      <c r="AT342" s="24">
        <f t="shared" si="454"/>
        <v>0.22096956031567072</v>
      </c>
      <c r="AU342" s="42">
        <f t="shared" si="454"/>
        <v>1.9585121835778763E-2</v>
      </c>
      <c r="AV342" s="207">
        <f t="shared" si="454"/>
        <v>0.21191661743607071</v>
      </c>
      <c r="AW342" s="207">
        <f t="shared" si="454"/>
        <v>0.71782762691853597</v>
      </c>
      <c r="AX342" s="207">
        <f t="shared" si="454"/>
        <v>-0.12060204541068997</v>
      </c>
      <c r="AY342" s="207">
        <f t="shared" si="454"/>
        <v>-0.36400497812035815</v>
      </c>
      <c r="AZ342" s="42">
        <f t="shared" si="454"/>
        <v>-0.10329592931120057</v>
      </c>
      <c r="BA342" s="207">
        <f t="shared" si="454"/>
        <v>-0.13962395543175499</v>
      </c>
      <c r="BB342" s="207">
        <f t="shared" si="454"/>
        <v>-0.29570446735395184</v>
      </c>
      <c r="BC342" s="207">
        <f t="shared" si="454"/>
        <v>0.25175541252194256</v>
      </c>
      <c r="BD342" s="207">
        <f t="shared" si="454"/>
        <v>0.51186718848630219</v>
      </c>
      <c r="BE342" s="42">
        <f t="shared" si="454"/>
        <v>0.17314077617908552</v>
      </c>
      <c r="BF342" s="207">
        <f t="shared" si="454"/>
        <v>-0.41254552812626488</v>
      </c>
      <c r="BG342" s="207">
        <f t="shared" si="454"/>
        <v>0.69024965438724872</v>
      </c>
      <c r="BH342" s="207">
        <f t="shared" si="454"/>
        <v>1.0272291691013202</v>
      </c>
      <c r="BI342" s="207">
        <f t="shared" si="454"/>
        <v>0.94505448624274546</v>
      </c>
      <c r="BJ342" s="42">
        <f t="shared" si="454"/>
        <v>0.66354215804129812</v>
      </c>
      <c r="BK342" s="207">
        <f t="shared" si="454"/>
        <v>1.355469826398457</v>
      </c>
      <c r="BL342" s="207">
        <f t="shared" si="454"/>
        <v>0.24301178734664441</v>
      </c>
      <c r="BM342" s="207">
        <f t="shared" si="454"/>
        <v>-0.24243385023346975</v>
      </c>
      <c r="BN342" s="207">
        <f t="shared" si="454"/>
        <v>-0.27109002704675222</v>
      </c>
      <c r="BO342" s="42">
        <f t="shared" si="454"/>
        <v>-5.5486951510661187E-2</v>
      </c>
      <c r="BP342" s="207">
        <f t="shared" si="454"/>
        <v>0.24707533926064595</v>
      </c>
      <c r="BQ342" s="207">
        <f t="shared" si="454"/>
        <v>-0.65849976776590813</v>
      </c>
      <c r="BR342" s="207">
        <f t="shared" si="454"/>
        <v>-6.8295095689228758E-2</v>
      </c>
      <c r="BS342" s="207">
        <f t="shared" si="454"/>
        <v>0.21783431987513602</v>
      </c>
      <c r="BT342" s="42">
        <f t="shared" si="454"/>
        <v>-7.0426218077224823E-2</v>
      </c>
      <c r="BU342" s="207">
        <f t="shared" si="453"/>
        <v>0.20211069418386485</v>
      </c>
      <c r="BV342" s="207">
        <f t="shared" si="453"/>
        <v>2.2969511504023576</v>
      </c>
      <c r="BW342" s="207">
        <f t="shared" si="453"/>
        <v>0.25882064684743566</v>
      </c>
      <c r="BX342" s="207">
        <f t="shared" si="453"/>
        <v>1.6056487885089732E-2</v>
      </c>
      <c r="BY342" s="42">
        <f t="shared" si="453"/>
        <v>0.32897848622180548</v>
      </c>
      <c r="BZ342" s="207">
        <f t="shared" si="453"/>
        <v>0.20492410940731198</v>
      </c>
      <c r="CA342" s="207">
        <f t="shared" si="453"/>
        <v>-6.6279349582316294E-2</v>
      </c>
      <c r="CB342" s="207">
        <f t="shared" si="453"/>
        <v>-0.26607409329786558</v>
      </c>
      <c r="CC342" s="207">
        <f t="shared" si="453"/>
        <v>-0.2110286067875673</v>
      </c>
      <c r="CD342" s="42">
        <f t="shared" si="453"/>
        <v>-0.13592605948479941</v>
      </c>
      <c r="CE342" s="207">
        <f t="shared" si="453"/>
        <v>-0.24073054629059953</v>
      </c>
      <c r="CF342" s="207">
        <f t="shared" si="453"/>
        <v>-0.26217738669415713</v>
      </c>
      <c r="CG342" s="207">
        <f t="shared" si="453"/>
        <v>-5.9361739745403042E-2</v>
      </c>
      <c r="CH342" s="207">
        <f t="shared" si="453"/>
        <v>0.5297577750294109</v>
      </c>
      <c r="CI342" s="42">
        <f t="shared" si="453"/>
        <v>4.7648857316531013E-2</v>
      </c>
      <c r="CJ342" s="42" t="e">
        <f>(CJ310/CI310-1)</f>
        <v>#REF!</v>
      </c>
      <c r="CK342" s="42" t="e">
        <f>(CK310/CJ310-1)</f>
        <v>#REF!</v>
      </c>
      <c r="CL342" s="42"/>
      <c r="CM342" s="42"/>
      <c r="CN342" s="42"/>
      <c r="CO342" s="74"/>
      <c r="CP342" s="74"/>
      <c r="CQ342" s="6"/>
      <c r="CR342" s="6"/>
      <c r="CS342" s="6"/>
      <c r="CT342" s="124"/>
      <c r="CU342" s="124"/>
      <c r="CV342" s="124"/>
      <c r="CW342" s="124"/>
      <c r="CX342" s="124"/>
      <c r="CY342" s="124"/>
      <c r="CZ342" s="124"/>
      <c r="DA342" s="124"/>
      <c r="DB342" s="124"/>
      <c r="DC342" s="124"/>
      <c r="DD342" s="124"/>
      <c r="DE342" s="124"/>
      <c r="DF342" s="124"/>
      <c r="DG342" s="124"/>
      <c r="DH342" s="124"/>
      <c r="DI342" s="124"/>
      <c r="DK342" s="124"/>
      <c r="DL342" s="124"/>
      <c r="DM342" s="6"/>
      <c r="DN342" s="124"/>
      <c r="DO342" s="124"/>
      <c r="DQ342" s="136"/>
      <c r="DR342" s="124"/>
      <c r="DS342" s="124"/>
      <c r="DT342" s="124"/>
      <c r="DV342" s="124"/>
      <c r="DW342" s="124"/>
      <c r="DX342" s="124"/>
      <c r="EA342" s="111"/>
      <c r="EB342" s="111"/>
      <c r="EC342" s="111"/>
      <c r="ED342" s="124"/>
      <c r="EE342" s="124"/>
      <c r="EF342" s="124"/>
      <c r="EJ342" s="111"/>
      <c r="EK342" s="111"/>
      <c r="EL342" s="124"/>
      <c r="EM342" s="124"/>
      <c r="EN342" s="124"/>
      <c r="EP342" s="111"/>
      <c r="EQ342" s="124"/>
      <c r="ER342" s="124"/>
      <c r="ES342" s="124"/>
      <c r="EV342" s="111"/>
      <c r="EW342" s="111"/>
      <c r="EX342" s="111"/>
      <c r="EY342" s="111"/>
      <c r="EZ342" s="124"/>
      <c r="FA342" s="124"/>
      <c r="FD342" s="111"/>
      <c r="FE342" s="111"/>
      <c r="FF342" s="111"/>
      <c r="FG342" s="124"/>
      <c r="FH342" s="124"/>
      <c r="FK342" s="124"/>
      <c r="FL342" s="124"/>
      <c r="FO342" s="111"/>
      <c r="FP342" s="111"/>
      <c r="FQ342" s="124"/>
      <c r="FR342" s="124"/>
      <c r="FU342" s="111"/>
      <c r="FV342" s="124"/>
      <c r="FW342" s="124"/>
      <c r="FX342" s="124"/>
      <c r="FY342" s="124"/>
      <c r="GA342" s="124"/>
      <c r="GB342" s="124"/>
      <c r="GC342" s="124"/>
      <c r="GF342" s="111"/>
      <c r="GG342" s="111"/>
      <c r="GH342" s="111"/>
      <c r="GI342" s="124"/>
      <c r="GJ342" s="124"/>
      <c r="GK342" s="124"/>
      <c r="GN342" s="111"/>
      <c r="GO342" s="111"/>
      <c r="GP342" s="124"/>
      <c r="GQ342" s="124"/>
      <c r="GR342" s="124"/>
      <c r="GV342" s="111"/>
      <c r="GW342" s="124"/>
      <c r="GX342" s="124"/>
      <c r="GY342" s="124"/>
      <c r="HC342" s="124"/>
      <c r="HD342" s="124"/>
      <c r="HE342" s="124"/>
      <c r="HF342" s="124"/>
      <c r="HI342" s="111"/>
      <c r="HJ342" s="111"/>
      <c r="HK342" s="111"/>
      <c r="HL342" s="111"/>
      <c r="HM342" s="124"/>
      <c r="HN342" s="124"/>
      <c r="HO342" s="124"/>
      <c r="HR342" s="111"/>
      <c r="HS342" s="111"/>
      <c r="HT342" s="111"/>
      <c r="HU342" s="124"/>
      <c r="HV342" s="124"/>
      <c r="HW342" s="124"/>
      <c r="HZ342" s="111"/>
      <c r="IA342" s="124"/>
      <c r="IB342" s="124"/>
      <c r="IC342" s="124"/>
      <c r="IE342" s="111"/>
      <c r="IF342" s="124"/>
      <c r="IG342" s="124"/>
      <c r="IH342" s="124"/>
      <c r="IK342" s="124"/>
      <c r="IL342" s="124"/>
      <c r="IO342" s="124"/>
      <c r="IP342" s="124"/>
      <c r="IS342" s="160"/>
      <c r="IT342" s="160"/>
      <c r="IU342" s="160"/>
      <c r="IX342" s="124"/>
      <c r="IY342" s="124"/>
      <c r="IZ342" s="124"/>
      <c r="JA342" s="124"/>
      <c r="JD342" s="124"/>
      <c r="JE342" s="124"/>
      <c r="JH342" s="124"/>
      <c r="JI342" s="124"/>
      <c r="JJ342" s="124"/>
      <c r="JM342" s="124"/>
      <c r="JN342" s="124"/>
      <c r="JQ342" s="124"/>
      <c r="JR342" s="124"/>
      <c r="JS342" s="124"/>
      <c r="JV342" s="124"/>
      <c r="JW342" s="124"/>
      <c r="JY342" s="124"/>
      <c r="JZ342" s="124"/>
      <c r="KB342" s="124"/>
      <c r="KC342" s="124"/>
      <c r="KD342" s="124"/>
    </row>
    <row r="343" spans="2:290" x14ac:dyDescent="0.25">
      <c r="B343" s="11"/>
      <c r="C343" s="11"/>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c r="CO343" s="15"/>
      <c r="CP343" s="15"/>
      <c r="CQ343" s="6"/>
      <c r="CR343" s="6"/>
      <c r="CS343" s="6"/>
      <c r="CT343" s="15"/>
      <c r="CU343" s="15"/>
      <c r="CV343" s="15"/>
      <c r="CW343" s="15"/>
      <c r="CX343" s="15"/>
      <c r="DK343" s="6"/>
      <c r="DL343" s="6"/>
      <c r="DM343" s="6"/>
      <c r="DN343" s="6"/>
      <c r="DO343" s="6"/>
      <c r="EA343" s="15"/>
      <c r="EB343" s="15"/>
      <c r="EC343" s="15"/>
      <c r="ED343" s="15"/>
      <c r="EE343" s="15"/>
      <c r="EF343" s="15"/>
      <c r="EJ343" s="15"/>
      <c r="EK343" s="15"/>
      <c r="EL343" s="15"/>
      <c r="EM343" s="15"/>
      <c r="EN343" s="15"/>
      <c r="EP343" s="15"/>
      <c r="EQ343" s="15"/>
      <c r="ER343" s="15"/>
      <c r="ES343" s="15"/>
      <c r="EV343" s="15"/>
      <c r="EW343" s="15"/>
      <c r="EX343" s="15"/>
      <c r="EY343" s="15"/>
      <c r="EZ343" s="15"/>
      <c r="FA343" s="15"/>
      <c r="FD343" s="15"/>
      <c r="FE343" s="15"/>
      <c r="FF343" s="15"/>
      <c r="FG343" s="15"/>
      <c r="FH343" s="15"/>
      <c r="FK343" s="15"/>
      <c r="FL343" s="15"/>
      <c r="FO343" s="15"/>
      <c r="FP343" s="15"/>
      <c r="FQ343" s="15"/>
      <c r="FR343" s="15"/>
      <c r="FU343" s="15"/>
      <c r="FV343" s="15"/>
      <c r="FW343" s="15"/>
      <c r="FX343" s="15"/>
      <c r="FY343" s="15"/>
      <c r="GA343" s="15"/>
      <c r="GB343" s="15"/>
      <c r="GC343" s="15"/>
      <c r="GF343" s="15"/>
      <c r="GG343" s="15"/>
      <c r="GH343" s="15"/>
      <c r="GI343" s="15"/>
      <c r="GJ343" s="15"/>
      <c r="GK343" s="15"/>
      <c r="GN343" s="15"/>
      <c r="GO343" s="15"/>
      <c r="GP343" s="15"/>
      <c r="GQ343" s="15"/>
      <c r="GR343" s="15"/>
      <c r="GV343" s="15"/>
      <c r="GW343" s="15"/>
      <c r="GX343" s="15"/>
      <c r="GY343" s="15"/>
      <c r="HC343" s="15"/>
      <c r="HD343" s="15"/>
      <c r="HE343" s="15"/>
      <c r="HF343" s="15"/>
      <c r="HI343" s="15"/>
      <c r="HJ343" s="15"/>
      <c r="HK343" s="15"/>
      <c r="HL343" s="15"/>
      <c r="HM343" s="15"/>
      <c r="HN343" s="15"/>
      <c r="HO343" s="15"/>
      <c r="HR343" s="15"/>
      <c r="HS343" s="15"/>
      <c r="HT343" s="15"/>
      <c r="HU343" s="15"/>
      <c r="HV343" s="15"/>
      <c r="HW343" s="15"/>
      <c r="HZ343" s="15"/>
      <c r="IA343" s="15"/>
      <c r="IB343" s="15"/>
      <c r="IC343" s="15"/>
      <c r="IE343" s="15"/>
      <c r="IF343" s="15"/>
      <c r="IG343" s="15"/>
      <c r="IH343" s="15"/>
      <c r="IK343" s="15"/>
      <c r="IL343" s="15"/>
      <c r="IO343" s="15"/>
      <c r="IP343" s="15"/>
      <c r="IS343" s="15"/>
      <c r="IT343" s="15"/>
      <c r="IU343" s="15"/>
      <c r="IX343" s="15"/>
      <c r="IY343" s="15"/>
      <c r="IZ343" s="15"/>
      <c r="JA343" s="15"/>
      <c r="JD343" s="15"/>
      <c r="JE343" s="15"/>
      <c r="JH343" s="15"/>
      <c r="JI343" s="15"/>
      <c r="JJ343" s="15"/>
      <c r="JM343" s="15"/>
      <c r="JN343" s="15"/>
      <c r="JQ343" s="15"/>
      <c r="JR343" s="15"/>
      <c r="JS343" s="15"/>
      <c r="JV343" s="15"/>
      <c r="JW343" s="15"/>
      <c r="JY343" s="15"/>
      <c r="JZ343" s="15"/>
      <c r="KB343" s="15"/>
      <c r="KC343" s="15"/>
      <c r="KD343" s="15"/>
    </row>
    <row r="344" spans="2:290" s="60" customFormat="1" x14ac:dyDescent="0.25">
      <c r="B344" s="34" t="s">
        <v>249</v>
      </c>
      <c r="C344" s="99"/>
      <c r="D344" s="99"/>
      <c r="E344" s="99"/>
      <c r="F344" s="99"/>
      <c r="G344" s="99"/>
      <c r="H344" s="196"/>
      <c r="I344" s="196"/>
      <c r="J344" s="196"/>
      <c r="K344" s="196"/>
      <c r="L344" s="196"/>
      <c r="M344" s="196"/>
      <c r="N344" s="196"/>
      <c r="O344" s="196"/>
      <c r="P344" s="196"/>
      <c r="Q344" s="196"/>
      <c r="R344" s="196"/>
      <c r="S344" s="196"/>
      <c r="T344" s="196"/>
      <c r="U344" s="196"/>
      <c r="V344" s="196"/>
      <c r="W344" s="196"/>
      <c r="X344" s="196"/>
      <c r="Y344" s="196"/>
      <c r="Z344" s="196"/>
      <c r="AA344" s="196"/>
      <c r="AB344" s="196"/>
      <c r="AC344" s="196"/>
      <c r="AD344" s="196"/>
      <c r="AE344" s="196"/>
      <c r="AF344" s="196"/>
      <c r="AG344" s="196"/>
      <c r="AH344" s="196"/>
      <c r="AI344" s="196"/>
      <c r="AJ344" s="196"/>
      <c r="AK344" s="196"/>
      <c r="AL344" s="196"/>
      <c r="AM344" s="196"/>
      <c r="AN344" s="196"/>
      <c r="AO344" s="196"/>
      <c r="AP344" s="196"/>
      <c r="AQ344" s="196"/>
      <c r="AR344" s="196"/>
      <c r="AS344" s="196"/>
      <c r="AT344" s="196"/>
      <c r="AU344" s="196"/>
      <c r="AV344" s="196"/>
      <c r="AW344" s="196"/>
      <c r="AX344" s="196"/>
      <c r="AY344" s="196"/>
      <c r="AZ344" s="196"/>
      <c r="BA344" s="196"/>
      <c r="BB344" s="196"/>
      <c r="BC344" s="196"/>
      <c r="BD344" s="196"/>
      <c r="BE344" s="196"/>
      <c r="BF344" s="196"/>
      <c r="BG344" s="196"/>
      <c r="BH344" s="196"/>
      <c r="BI344" s="196"/>
      <c r="BJ344" s="196"/>
      <c r="BK344" s="196"/>
      <c r="BL344" s="196"/>
      <c r="BM344" s="196"/>
      <c r="BN344" s="196"/>
      <c r="BO344" s="196"/>
      <c r="BP344" s="196"/>
      <c r="BQ344" s="196"/>
      <c r="BR344" s="196"/>
      <c r="BS344" s="196"/>
      <c r="BT344" s="196"/>
      <c r="BU344" s="196"/>
      <c r="BV344" s="196"/>
      <c r="BW344" s="196"/>
      <c r="BX344" s="196"/>
      <c r="BY344" s="196"/>
      <c r="BZ344" s="196"/>
      <c r="CA344" s="196"/>
      <c r="CB344" s="196"/>
      <c r="CC344" s="196"/>
      <c r="CD344" s="196"/>
      <c r="CE344" s="196"/>
      <c r="CF344" s="196"/>
      <c r="CG344" s="196"/>
      <c r="CH344" s="196"/>
      <c r="CI344" s="196"/>
      <c r="CJ344" s="196"/>
      <c r="CK344" s="196"/>
      <c r="CL344" s="196"/>
      <c r="CM344" s="196"/>
      <c r="CN344" s="196"/>
      <c r="CO344" s="148"/>
      <c r="CP344" s="148"/>
      <c r="CQ344" s="58"/>
      <c r="CR344" s="58"/>
      <c r="CS344" s="58"/>
      <c r="CT344" s="143"/>
      <c r="CU344" s="143"/>
      <c r="CV344" s="143"/>
      <c r="CW344" s="143"/>
      <c r="CX344" s="143"/>
      <c r="CY344" s="143"/>
      <c r="CZ344" s="143"/>
      <c r="DA344" s="143"/>
      <c r="DB344" s="143"/>
      <c r="DC344" s="143"/>
      <c r="DD344" s="143"/>
      <c r="DE344" s="143"/>
      <c r="DF344" s="143"/>
      <c r="DG344" s="143"/>
      <c r="DH344" s="143"/>
      <c r="DI344" s="143"/>
      <c r="DK344" s="143"/>
      <c r="DL344" s="143"/>
      <c r="DM344" s="58"/>
      <c r="DN344" s="143"/>
      <c r="DO344" s="143"/>
      <c r="DQ344" s="4"/>
      <c r="DR344" s="143"/>
      <c r="DS344" s="143"/>
      <c r="DT344" s="143"/>
      <c r="DV344" s="143"/>
      <c r="DW344" s="143"/>
      <c r="DX344" s="143"/>
      <c r="EA344" s="119"/>
      <c r="EB344" s="119"/>
      <c r="EC344" s="119"/>
      <c r="ED344" s="143"/>
      <c r="EE344" s="143"/>
      <c r="EF344" s="143"/>
      <c r="EJ344" s="119"/>
      <c r="EK344" s="119"/>
      <c r="EL344" s="143"/>
      <c r="EM344" s="143"/>
      <c r="EN344" s="143"/>
      <c r="EP344" s="119"/>
      <c r="EQ344" s="143"/>
      <c r="ER344" s="143"/>
      <c r="ES344" s="143"/>
      <c r="EV344" s="119"/>
      <c r="EW344" s="119"/>
      <c r="EX344" s="119"/>
      <c r="EY344" s="119"/>
      <c r="EZ344" s="143"/>
      <c r="FA344" s="143"/>
      <c r="FD344" s="119"/>
      <c r="FE344" s="119"/>
      <c r="FF344" s="119"/>
      <c r="FG344" s="143"/>
      <c r="FH344" s="143"/>
      <c r="FK344" s="143"/>
      <c r="FL344" s="143"/>
      <c r="FO344" s="119"/>
      <c r="FP344" s="119"/>
      <c r="FQ344" s="143"/>
      <c r="FR344" s="143"/>
      <c r="FU344" s="119"/>
      <c r="FV344" s="143"/>
      <c r="FW344" s="143"/>
      <c r="FX344" s="143"/>
      <c r="FY344" s="143"/>
      <c r="GA344" s="143"/>
      <c r="GB344" s="143"/>
      <c r="GC344" s="143"/>
      <c r="GF344" s="119"/>
      <c r="GG344" s="119"/>
      <c r="GH344" s="119"/>
      <c r="GI344" s="143"/>
      <c r="GJ344" s="143"/>
      <c r="GK344" s="143"/>
      <c r="GN344" s="119"/>
      <c r="GO344" s="119"/>
      <c r="GP344" s="143"/>
      <c r="GQ344" s="143"/>
      <c r="GR344" s="143"/>
      <c r="GV344" s="119"/>
      <c r="GW344" s="143"/>
      <c r="GX344" s="143"/>
      <c r="GY344" s="143"/>
      <c r="HC344" s="143"/>
      <c r="HD344" s="143"/>
      <c r="HE344" s="143"/>
      <c r="HF344" s="143"/>
      <c r="HI344" s="119"/>
      <c r="HJ344" s="119"/>
      <c r="HK344" s="119"/>
      <c r="HL344" s="119"/>
      <c r="HM344" s="143"/>
      <c r="HN344" s="143"/>
      <c r="HO344" s="143"/>
      <c r="HR344" s="119"/>
      <c r="HS344" s="119"/>
      <c r="HT344" s="119"/>
      <c r="HU344" s="143"/>
      <c r="HV344" s="143"/>
      <c r="HW344" s="143"/>
      <c r="HZ344" s="119"/>
      <c r="IA344" s="143"/>
      <c r="IB344" s="143"/>
      <c r="IC344" s="143"/>
      <c r="IE344" s="119"/>
      <c r="IF344" s="143"/>
      <c r="IG344" s="143"/>
      <c r="IH344" s="143"/>
      <c r="IK344" s="143"/>
      <c r="IL344" s="143"/>
      <c r="IO344" s="143"/>
      <c r="IP344" s="143"/>
      <c r="IS344" s="157">
        <v>25.222882989683143</v>
      </c>
      <c r="IT344" s="157">
        <v>28.156450384563371</v>
      </c>
      <c r="IU344" s="157">
        <v>28.150143071093876</v>
      </c>
      <c r="IX344" s="143"/>
      <c r="IY344" s="143"/>
      <c r="IZ344" s="143"/>
      <c r="JA344" s="143"/>
      <c r="JD344" s="143"/>
      <c r="JE344" s="143"/>
      <c r="JH344" s="143"/>
      <c r="JI344" s="143"/>
      <c r="JJ344" s="143"/>
      <c r="JM344" s="143"/>
      <c r="JN344" s="143"/>
      <c r="JQ344" s="143"/>
      <c r="JR344" s="143"/>
      <c r="JS344" s="143"/>
      <c r="JV344" s="143"/>
      <c r="JW344" s="143"/>
      <c r="JY344" s="143"/>
      <c r="JZ344" s="143"/>
      <c r="KB344" s="143"/>
      <c r="KC344" s="143"/>
      <c r="KD344" s="143"/>
    </row>
    <row r="345" spans="2:290" x14ac:dyDescent="0.25">
      <c r="B345" s="11" t="s">
        <v>233</v>
      </c>
      <c r="C345" s="23"/>
      <c r="D345" s="23"/>
      <c r="E345" s="23"/>
      <c r="F345" s="23"/>
      <c r="G345" s="23"/>
      <c r="H345" s="197"/>
      <c r="I345" s="198"/>
      <c r="J345" s="198"/>
      <c r="K345" s="198"/>
      <c r="L345" s="198"/>
      <c r="M345" s="197"/>
      <c r="N345" s="198"/>
      <c r="O345" s="198"/>
      <c r="P345" s="198"/>
      <c r="Q345" s="198"/>
      <c r="R345" s="197"/>
      <c r="S345" s="198"/>
      <c r="T345" s="198"/>
      <c r="U345" s="198"/>
      <c r="V345" s="198"/>
      <c r="W345" s="197">
        <f t="shared" ref="W345:BK345" si="455">W354*10000/W247</f>
        <v>14.969072621247497</v>
      </c>
      <c r="X345" s="198">
        <f t="shared" si="455"/>
        <v>17.364319510158641</v>
      </c>
      <c r="Y345" s="198">
        <f t="shared" si="455"/>
        <v>14.554826837784281</v>
      </c>
      <c r="Z345" s="198">
        <f t="shared" si="455"/>
        <v>14.697650481977792</v>
      </c>
      <c r="AA345" s="198">
        <f t="shared" si="455"/>
        <v>18.815086516226778</v>
      </c>
      <c r="AB345" s="197">
        <f t="shared" si="455"/>
        <v>16.550058259865605</v>
      </c>
      <c r="AC345" s="198">
        <f t="shared" si="455"/>
        <v>14.731689157747789</v>
      </c>
      <c r="AD345" s="198">
        <f t="shared" si="455"/>
        <v>7.8431043523859456</v>
      </c>
      <c r="AE345" s="198">
        <f t="shared" si="455"/>
        <v>12.746089694209065</v>
      </c>
      <c r="AF345" s="198">
        <f t="shared" si="455"/>
        <v>18.814175987063738</v>
      </c>
      <c r="AG345" s="197">
        <f t="shared" si="455"/>
        <v>13.866557004660637</v>
      </c>
      <c r="AH345" s="198">
        <f t="shared" si="455"/>
        <v>14.313201468296935</v>
      </c>
      <c r="AI345" s="198">
        <f t="shared" si="455"/>
        <v>12.865591181558514</v>
      </c>
      <c r="AJ345" s="198">
        <f t="shared" si="455"/>
        <v>14.52927236580517</v>
      </c>
      <c r="AK345" s="197">
        <f t="shared" si="455"/>
        <v>13.971769786114297</v>
      </c>
      <c r="AL345" s="198" t="e">
        <f t="shared" si="455"/>
        <v>#REF!</v>
      </c>
      <c r="AM345" s="198" t="e">
        <f t="shared" si="455"/>
        <v>#REF!</v>
      </c>
      <c r="AN345" s="198" t="e">
        <f t="shared" si="455"/>
        <v>#REF!</v>
      </c>
      <c r="AO345" s="198" t="e">
        <f t="shared" si="455"/>
        <v>#REF!</v>
      </c>
      <c r="AP345" s="197">
        <f t="shared" si="455"/>
        <v>16.956653107027634</v>
      </c>
      <c r="AQ345" s="198" t="e">
        <f t="shared" si="455"/>
        <v>#REF!</v>
      </c>
      <c r="AR345" s="198" t="e">
        <f t="shared" si="455"/>
        <v>#REF!</v>
      </c>
      <c r="AS345" s="198" t="e">
        <f t="shared" si="455"/>
        <v>#REF!</v>
      </c>
      <c r="AT345" s="198" t="e">
        <f t="shared" si="455"/>
        <v>#REF!</v>
      </c>
      <c r="AU345" s="197">
        <f t="shared" si="455"/>
        <v>15.161103850505208</v>
      </c>
      <c r="AV345" s="199" t="e">
        <f t="shared" si="455"/>
        <v>#REF!</v>
      </c>
      <c r="AW345" s="199" t="e">
        <f t="shared" si="455"/>
        <v>#REF!</v>
      </c>
      <c r="AX345" s="199" t="e">
        <f t="shared" si="455"/>
        <v>#REF!</v>
      </c>
      <c r="AY345" s="199" t="e">
        <f t="shared" si="455"/>
        <v>#REF!</v>
      </c>
      <c r="AZ345" s="197">
        <f t="shared" si="455"/>
        <v>14.461497490598681</v>
      </c>
      <c r="BA345" s="199" t="e">
        <f t="shared" si="455"/>
        <v>#REF!</v>
      </c>
      <c r="BB345" s="199" t="e">
        <f t="shared" si="455"/>
        <v>#REF!</v>
      </c>
      <c r="BC345" s="199" t="e">
        <f t="shared" si="455"/>
        <v>#REF!</v>
      </c>
      <c r="BD345" s="199" t="e">
        <f t="shared" si="455"/>
        <v>#REF!</v>
      </c>
      <c r="BE345" s="197">
        <f t="shared" si="455"/>
        <v>18.474376969930709</v>
      </c>
      <c r="BF345" s="199" t="e">
        <f t="shared" si="455"/>
        <v>#REF!</v>
      </c>
      <c r="BG345" s="199" t="e">
        <f t="shared" si="455"/>
        <v>#REF!</v>
      </c>
      <c r="BH345" s="199" t="e">
        <f t="shared" si="455"/>
        <v>#REF!</v>
      </c>
      <c r="BI345" s="199" t="e">
        <f t="shared" si="455"/>
        <v>#REF!</v>
      </c>
      <c r="BJ345" s="197">
        <f t="shared" si="455"/>
        <v>30.63401923514644</v>
      </c>
      <c r="BK345" s="199" t="e">
        <f t="shared" si="455"/>
        <v>#REF!</v>
      </c>
      <c r="BL345" s="199"/>
      <c r="BM345" s="199"/>
      <c r="BN345" s="199"/>
      <c r="BO345" s="197">
        <v>33.5</v>
      </c>
      <c r="BP345" s="199"/>
      <c r="BQ345" s="199"/>
      <c r="BR345" s="199"/>
      <c r="BS345" s="199"/>
      <c r="BT345" s="197">
        <v>18.5</v>
      </c>
      <c r="BU345" s="199"/>
      <c r="BV345" s="199"/>
      <c r="BW345" s="199"/>
      <c r="BX345" s="199"/>
      <c r="BY345" s="197">
        <v>23.2</v>
      </c>
      <c r="BZ345" s="199"/>
      <c r="CA345" s="199"/>
      <c r="CB345" s="199"/>
      <c r="CC345" s="199"/>
      <c r="CD345" s="197">
        <v>19.5</v>
      </c>
      <c r="CE345" s="199"/>
      <c r="CF345" s="199"/>
      <c r="CG345" s="199"/>
      <c r="CH345" s="199"/>
      <c r="CI345" s="197">
        <v>19</v>
      </c>
      <c r="CJ345" s="202">
        <v>21</v>
      </c>
      <c r="CK345" s="202">
        <v>21</v>
      </c>
      <c r="CL345" s="202">
        <v>21</v>
      </c>
      <c r="CM345" s="202">
        <v>22</v>
      </c>
      <c r="CN345" s="202">
        <v>22</v>
      </c>
      <c r="CO345" s="137"/>
      <c r="CP345" s="137"/>
      <c r="CQ345" s="6"/>
      <c r="CR345" s="6"/>
      <c r="CS345" s="6"/>
      <c r="CT345" s="124"/>
      <c r="CU345" s="124"/>
      <c r="CV345" s="124"/>
      <c r="CW345" s="124"/>
      <c r="CX345" s="124"/>
      <c r="CY345" s="124"/>
      <c r="CZ345" s="124"/>
      <c r="DA345" s="124"/>
      <c r="DB345" s="124"/>
      <c r="DC345" s="124"/>
      <c r="DD345" s="124"/>
      <c r="DE345" s="124"/>
      <c r="DF345" s="124"/>
      <c r="DG345" s="124"/>
      <c r="DH345" s="124"/>
      <c r="DI345" s="124"/>
      <c r="DK345" s="124"/>
      <c r="DL345" s="124"/>
      <c r="DM345" s="6"/>
      <c r="DN345" s="124"/>
      <c r="DO345" s="124"/>
      <c r="DQ345" s="136"/>
      <c r="DR345" s="124"/>
      <c r="DS345" s="124"/>
      <c r="DT345" s="124"/>
      <c r="DV345" s="124"/>
      <c r="DW345" s="124"/>
      <c r="DX345" s="124"/>
      <c r="EA345" s="111"/>
      <c r="EB345" s="111"/>
      <c r="EC345" s="111"/>
      <c r="ED345" s="124"/>
      <c r="EE345" s="124"/>
      <c r="EF345" s="124"/>
      <c r="EJ345" s="111"/>
      <c r="EK345" s="111"/>
      <c r="EL345" s="124"/>
      <c r="EM345" s="124"/>
      <c r="EN345" s="124"/>
      <c r="EP345" s="111"/>
      <c r="EQ345" s="124"/>
      <c r="ER345" s="124"/>
      <c r="ES345" s="124"/>
      <c r="EV345" s="111"/>
      <c r="EW345" s="111"/>
      <c r="EX345" s="111"/>
      <c r="EY345" s="111"/>
      <c r="EZ345" s="124"/>
      <c r="FA345" s="124"/>
      <c r="FD345" s="111">
        <v>-2.3511452883849788</v>
      </c>
      <c r="FE345" s="111"/>
      <c r="FF345" s="111"/>
      <c r="FG345" s="124">
        <v>2.3511452883849788</v>
      </c>
      <c r="FH345" s="124"/>
      <c r="FK345" s="124">
        <v>2.3511452883849788</v>
      </c>
      <c r="FL345" s="124"/>
      <c r="FO345" s="111">
        <v>18.674082463280833</v>
      </c>
      <c r="FP345" s="111">
        <v>21.829736661687082</v>
      </c>
      <c r="FQ345" s="124">
        <v>18</v>
      </c>
      <c r="FR345" s="124">
        <v>19</v>
      </c>
      <c r="FU345" s="111">
        <v>17.259082780862641</v>
      </c>
      <c r="FV345" s="124">
        <v>16.5</v>
      </c>
      <c r="FW345" s="124">
        <v>15</v>
      </c>
      <c r="FX345" s="124">
        <v>20</v>
      </c>
      <c r="FY345" s="124">
        <v>20</v>
      </c>
      <c r="GA345" s="124">
        <v>17</v>
      </c>
      <c r="GB345" s="124">
        <v>21</v>
      </c>
      <c r="GC345" s="124">
        <v>21</v>
      </c>
      <c r="GF345" s="111"/>
      <c r="GG345" s="111"/>
      <c r="GH345" s="111"/>
      <c r="GI345" s="124">
        <v>18.5</v>
      </c>
      <c r="GJ345" s="124">
        <v>21</v>
      </c>
      <c r="GK345" s="124">
        <v>21</v>
      </c>
      <c r="GN345" s="111"/>
      <c r="GO345" s="111"/>
      <c r="GP345" s="124">
        <v>23</v>
      </c>
      <c r="GQ345" s="124">
        <v>21</v>
      </c>
      <c r="GR345" s="124">
        <v>21</v>
      </c>
      <c r="GV345" s="111">
        <v>0</v>
      </c>
      <c r="GW345" s="124">
        <v>27</v>
      </c>
      <c r="GX345" s="124">
        <v>19</v>
      </c>
      <c r="GY345" s="124">
        <v>22</v>
      </c>
      <c r="HC345" s="124"/>
      <c r="HD345" s="124">
        <v>33.5</v>
      </c>
      <c r="HE345" s="124">
        <v>28</v>
      </c>
      <c r="HF345" s="124">
        <v>28</v>
      </c>
      <c r="HI345" s="111"/>
      <c r="HJ345" s="111"/>
      <c r="HK345" s="111"/>
      <c r="HL345" s="111"/>
      <c r="HM345" s="124"/>
      <c r="HN345" s="124"/>
      <c r="HO345" s="124"/>
      <c r="HR345" s="111"/>
      <c r="HS345" s="111"/>
      <c r="HT345" s="111"/>
      <c r="HU345" s="124">
        <v>18</v>
      </c>
      <c r="HV345" s="124">
        <v>22</v>
      </c>
      <c r="HW345" s="124">
        <v>22.5</v>
      </c>
      <c r="HZ345" s="111"/>
      <c r="IA345" s="124">
        <v>20</v>
      </c>
      <c r="IB345" s="124">
        <v>23</v>
      </c>
      <c r="IC345" s="124">
        <v>25</v>
      </c>
      <c r="IE345" s="111"/>
      <c r="IF345" s="124">
        <v>18.5</v>
      </c>
      <c r="IG345" s="124">
        <v>23</v>
      </c>
      <c r="IH345" s="124">
        <v>25</v>
      </c>
      <c r="IK345" s="124">
        <v>23</v>
      </c>
      <c r="IL345" s="124">
        <v>25</v>
      </c>
      <c r="IO345" s="124">
        <v>24</v>
      </c>
      <c r="IP345" s="124">
        <v>28</v>
      </c>
      <c r="IS345" s="160">
        <v>25</v>
      </c>
      <c r="IT345" s="160">
        <v>24</v>
      </c>
      <c r="IU345" s="160">
        <v>24</v>
      </c>
      <c r="IX345" s="124"/>
      <c r="IY345" s="124"/>
      <c r="IZ345" s="124"/>
      <c r="JA345" s="124"/>
      <c r="JD345" s="124">
        <v>27</v>
      </c>
      <c r="JE345" s="124">
        <v>27</v>
      </c>
      <c r="JH345" s="124">
        <v>24</v>
      </c>
      <c r="JI345" s="124">
        <v>24.5</v>
      </c>
      <c r="JJ345" s="124">
        <v>24.5</v>
      </c>
      <c r="JM345" s="124">
        <v>25.5</v>
      </c>
      <c r="JN345" s="124">
        <v>25.5</v>
      </c>
      <c r="JQ345" s="124">
        <v>19.5</v>
      </c>
      <c r="JR345" s="124">
        <v>22</v>
      </c>
      <c r="JS345" s="124">
        <v>23</v>
      </c>
      <c r="JV345" s="124">
        <v>22</v>
      </c>
      <c r="JW345" s="124">
        <v>23</v>
      </c>
      <c r="JY345" s="124">
        <v>22</v>
      </c>
      <c r="JZ345" s="124">
        <v>23</v>
      </c>
      <c r="KB345" s="124">
        <v>19</v>
      </c>
      <c r="KC345" s="124">
        <v>21</v>
      </c>
      <c r="KD345" s="124">
        <v>21</v>
      </c>
    </row>
    <row r="346" spans="2:290" x14ac:dyDescent="0.25">
      <c r="B346" s="11" t="s">
        <v>224</v>
      </c>
      <c r="C346" s="23"/>
      <c r="D346" s="23"/>
      <c r="E346" s="23"/>
      <c r="F346" s="23"/>
      <c r="G346" s="23"/>
      <c r="H346" s="197"/>
      <c r="I346" s="198"/>
      <c r="J346" s="198"/>
      <c r="K346" s="198"/>
      <c r="L346" s="198"/>
      <c r="M346" s="197"/>
      <c r="N346" s="198"/>
      <c r="O346" s="198"/>
      <c r="P346" s="198"/>
      <c r="Q346" s="198"/>
      <c r="R346" s="197"/>
      <c r="S346" s="198"/>
      <c r="T346" s="198"/>
      <c r="U346" s="198"/>
      <c r="V346" s="198"/>
      <c r="W346" s="197">
        <f t="shared" ref="W346:BK346" si="456">W355*10000/W249</f>
        <v>18.18000149876352</v>
      </c>
      <c r="X346" s="198">
        <f t="shared" si="456"/>
        <v>16.110072134651347</v>
      </c>
      <c r="Y346" s="198">
        <f t="shared" si="456"/>
        <v>15.567316380534399</v>
      </c>
      <c r="Z346" s="198">
        <f t="shared" si="456"/>
        <v>15.825262938665</v>
      </c>
      <c r="AA346" s="198">
        <f t="shared" si="456"/>
        <v>30.05464480874317</v>
      </c>
      <c r="AB346" s="197">
        <f t="shared" si="456"/>
        <v>19.452706722189173</v>
      </c>
      <c r="AC346" s="198">
        <f t="shared" si="456"/>
        <v>17.331470829909613</v>
      </c>
      <c r="AD346" s="198">
        <f t="shared" si="456"/>
        <v>20.798992673992679</v>
      </c>
      <c r="AE346" s="198">
        <f t="shared" si="456"/>
        <v>20.100741826174559</v>
      </c>
      <c r="AF346" s="198">
        <f t="shared" si="456"/>
        <v>26.506024096385541</v>
      </c>
      <c r="AG346" s="197">
        <f t="shared" si="456"/>
        <v>21.263538831064853</v>
      </c>
      <c r="AH346" s="198">
        <f t="shared" si="456"/>
        <v>16.288110047846889</v>
      </c>
      <c r="AI346" s="198">
        <f t="shared" si="456"/>
        <v>17.950391644908617</v>
      </c>
      <c r="AJ346" s="198">
        <f t="shared" si="456"/>
        <v>23.999201517117484</v>
      </c>
      <c r="AK346" s="197">
        <f t="shared" si="456"/>
        <v>19.744099235761745</v>
      </c>
      <c r="AL346" s="198" t="e">
        <f t="shared" si="456"/>
        <v>#REF!</v>
      </c>
      <c r="AM346" s="198" t="e">
        <f t="shared" si="456"/>
        <v>#REF!</v>
      </c>
      <c r="AN346" s="198" t="e">
        <f t="shared" si="456"/>
        <v>#REF!</v>
      </c>
      <c r="AO346" s="198" t="e">
        <f t="shared" si="456"/>
        <v>#REF!</v>
      </c>
      <c r="AP346" s="197">
        <f t="shared" si="456"/>
        <v>21.403180535604353</v>
      </c>
      <c r="AQ346" s="198" t="e">
        <f t="shared" si="456"/>
        <v>#REF!</v>
      </c>
      <c r="AR346" s="198" t="e">
        <f t="shared" si="456"/>
        <v>#REF!</v>
      </c>
      <c r="AS346" s="198" t="e">
        <f t="shared" si="456"/>
        <v>#REF!</v>
      </c>
      <c r="AT346" s="198" t="e">
        <f t="shared" si="456"/>
        <v>#REF!</v>
      </c>
      <c r="AU346" s="197">
        <f t="shared" si="456"/>
        <v>24.540115311994242</v>
      </c>
      <c r="AV346" s="199" t="e">
        <f t="shared" si="456"/>
        <v>#REF!</v>
      </c>
      <c r="AW346" s="199" t="e">
        <f t="shared" si="456"/>
        <v>#REF!</v>
      </c>
      <c r="AX346" s="199" t="e">
        <f t="shared" si="456"/>
        <v>#REF!</v>
      </c>
      <c r="AY346" s="199" t="e">
        <f t="shared" si="456"/>
        <v>#REF!</v>
      </c>
      <c r="AZ346" s="197">
        <f t="shared" si="456"/>
        <v>22.12350919749343</v>
      </c>
      <c r="BA346" s="199" t="e">
        <f t="shared" si="456"/>
        <v>#REF!</v>
      </c>
      <c r="BB346" s="199" t="e">
        <f t="shared" si="456"/>
        <v>#REF!</v>
      </c>
      <c r="BC346" s="199" t="e">
        <f t="shared" si="456"/>
        <v>#REF!</v>
      </c>
      <c r="BD346" s="199" t="e">
        <f t="shared" si="456"/>
        <v>#REF!</v>
      </c>
      <c r="BE346" s="197">
        <f t="shared" si="456"/>
        <v>17.153558277442578</v>
      </c>
      <c r="BF346" s="199" t="e">
        <f t="shared" si="456"/>
        <v>#REF!</v>
      </c>
      <c r="BG346" s="199" t="e">
        <f t="shared" si="456"/>
        <v>#REF!</v>
      </c>
      <c r="BH346" s="199" t="e">
        <f t="shared" si="456"/>
        <v>#REF!</v>
      </c>
      <c r="BI346" s="199" t="e">
        <f t="shared" si="456"/>
        <v>#REF!</v>
      </c>
      <c r="BJ346" s="197">
        <f t="shared" si="456"/>
        <v>23.870497696074885</v>
      </c>
      <c r="BK346" s="199" t="e">
        <f t="shared" si="456"/>
        <v>#REF!</v>
      </c>
      <c r="BL346" s="199"/>
      <c r="BM346" s="199"/>
      <c r="BN346" s="199"/>
      <c r="BO346" s="197">
        <v>24</v>
      </c>
      <c r="BP346" s="199"/>
      <c r="BQ346" s="199"/>
      <c r="BR346" s="199"/>
      <c r="BS346" s="199"/>
      <c r="BT346" s="197">
        <v>24</v>
      </c>
      <c r="BU346" s="199"/>
      <c r="BV346" s="199"/>
      <c r="BW346" s="199"/>
      <c r="BX346" s="199"/>
      <c r="BY346" s="197">
        <v>25</v>
      </c>
      <c r="BZ346" s="199"/>
      <c r="CA346" s="199"/>
      <c r="CB346" s="199"/>
      <c r="CC346" s="199"/>
      <c r="CD346" s="197">
        <v>23</v>
      </c>
      <c r="CE346" s="199"/>
      <c r="CF346" s="199"/>
      <c r="CG346" s="199"/>
      <c r="CH346" s="199"/>
      <c r="CI346" s="197">
        <v>20</v>
      </c>
      <c r="CJ346" s="202">
        <v>20</v>
      </c>
      <c r="CK346" s="202">
        <v>20</v>
      </c>
      <c r="CL346" s="202">
        <v>21</v>
      </c>
      <c r="CM346" s="202">
        <v>22</v>
      </c>
      <c r="CN346" s="202">
        <v>22</v>
      </c>
      <c r="CO346" s="137"/>
      <c r="CP346" s="137"/>
      <c r="CQ346" s="6"/>
      <c r="CR346" s="6"/>
      <c r="CS346" s="6"/>
      <c r="CT346" s="124"/>
      <c r="CU346" s="124"/>
      <c r="CV346" s="124"/>
      <c r="CW346" s="124"/>
      <c r="CX346" s="124"/>
      <c r="CY346" s="124"/>
      <c r="CZ346" s="124"/>
      <c r="DA346" s="124"/>
      <c r="DB346" s="124"/>
      <c r="DC346" s="124"/>
      <c r="DD346" s="124"/>
      <c r="DE346" s="124"/>
      <c r="DF346" s="124"/>
      <c r="DG346" s="124"/>
      <c r="DH346" s="124"/>
      <c r="DI346" s="124"/>
      <c r="DK346" s="124"/>
      <c r="DL346" s="124"/>
      <c r="DM346" s="6"/>
      <c r="DN346" s="124"/>
      <c r="DO346" s="124"/>
      <c r="DQ346" s="136"/>
      <c r="DR346" s="124"/>
      <c r="DS346" s="124"/>
      <c r="DT346" s="124"/>
      <c r="DV346" s="124"/>
      <c r="DW346" s="124"/>
      <c r="DX346" s="124"/>
      <c r="EA346" s="111"/>
      <c r="EB346" s="111"/>
      <c r="EC346" s="111"/>
      <c r="ED346" s="124"/>
      <c r="EE346" s="124"/>
      <c r="EF346" s="124"/>
      <c r="EJ346" s="111"/>
      <c r="EK346" s="111"/>
      <c r="EL346" s="124"/>
      <c r="EM346" s="124"/>
      <c r="EN346" s="124"/>
      <c r="EP346" s="111"/>
      <c r="EQ346" s="124"/>
      <c r="ER346" s="124"/>
      <c r="ES346" s="124"/>
      <c r="EV346" s="111"/>
      <c r="EW346" s="111"/>
      <c r="EX346" s="111"/>
      <c r="EY346" s="111"/>
      <c r="EZ346" s="124"/>
      <c r="FA346" s="124"/>
      <c r="FD346" s="111">
        <v>-2.7255826053290342</v>
      </c>
      <c r="FE346" s="111"/>
      <c r="FF346" s="111"/>
      <c r="FG346" s="124"/>
      <c r="FH346" s="124"/>
      <c r="FK346" s="124"/>
      <c r="FL346" s="124"/>
      <c r="FO346" s="111">
        <v>9.5241032854415746</v>
      </c>
      <c r="FP346" s="111">
        <v>19.295821496407008</v>
      </c>
      <c r="FQ346" s="124">
        <v>12</v>
      </c>
      <c r="FR346" s="124">
        <v>13.5</v>
      </c>
      <c r="FU346" s="111">
        <v>18.021111159721769</v>
      </c>
      <c r="FV346" s="124">
        <v>11.5</v>
      </c>
      <c r="FW346" s="124">
        <v>10</v>
      </c>
      <c r="FX346" s="124">
        <v>13.5</v>
      </c>
      <c r="FY346" s="124">
        <v>13.5</v>
      </c>
      <c r="GA346" s="124">
        <v>12</v>
      </c>
      <c r="GB346" s="124">
        <v>16</v>
      </c>
      <c r="GC346" s="124">
        <v>16</v>
      </c>
      <c r="GF346" s="111"/>
      <c r="GG346" s="111"/>
      <c r="GH346" s="111"/>
      <c r="GI346" s="124">
        <v>12</v>
      </c>
      <c r="GJ346" s="124">
        <v>16</v>
      </c>
      <c r="GK346" s="124">
        <v>16</v>
      </c>
      <c r="GN346" s="111"/>
      <c r="GO346" s="111"/>
      <c r="GP346" s="124">
        <v>16</v>
      </c>
      <c r="GQ346" s="124">
        <v>16</v>
      </c>
      <c r="GR346" s="124">
        <v>16</v>
      </c>
      <c r="GV346" s="111">
        <v>0</v>
      </c>
      <c r="GW346" s="124">
        <v>22</v>
      </c>
      <c r="GX346" s="124">
        <v>18</v>
      </c>
      <c r="GY346" s="124">
        <v>20</v>
      </c>
      <c r="HC346" s="124"/>
      <c r="HD346" s="124">
        <v>24</v>
      </c>
      <c r="HE346" s="124">
        <v>24</v>
      </c>
      <c r="HF346" s="124">
        <v>24</v>
      </c>
      <c r="HI346" s="111"/>
      <c r="HJ346" s="111"/>
      <c r="HK346" s="111"/>
      <c r="HL346" s="111"/>
      <c r="HM346" s="124"/>
      <c r="HN346" s="124"/>
      <c r="HO346" s="124"/>
      <c r="HR346" s="111"/>
      <c r="HS346" s="111"/>
      <c r="HT346" s="111"/>
      <c r="HU346" s="124">
        <v>24</v>
      </c>
      <c r="HV346" s="124">
        <v>24</v>
      </c>
      <c r="HW346" s="124">
        <v>24</v>
      </c>
      <c r="HZ346" s="111"/>
      <c r="IA346" s="124">
        <v>24</v>
      </c>
      <c r="IB346" s="124">
        <v>24</v>
      </c>
      <c r="IC346" s="124">
        <v>24</v>
      </c>
      <c r="IE346" s="111"/>
      <c r="IF346" s="124">
        <v>24</v>
      </c>
      <c r="IG346" s="124">
        <v>24</v>
      </c>
      <c r="IH346" s="124">
        <v>24</v>
      </c>
      <c r="IK346" s="124">
        <v>24</v>
      </c>
      <c r="IL346" s="124">
        <v>24</v>
      </c>
      <c r="IO346" s="124">
        <v>25</v>
      </c>
      <c r="IP346" s="124">
        <v>24</v>
      </c>
      <c r="IS346" s="160">
        <v>31</v>
      </c>
      <c r="IT346" s="160">
        <v>31</v>
      </c>
      <c r="IU346" s="160">
        <v>31</v>
      </c>
      <c r="IX346" s="124"/>
      <c r="IY346" s="124"/>
      <c r="IZ346" s="124"/>
      <c r="JA346" s="124"/>
      <c r="JD346" s="124">
        <v>23</v>
      </c>
      <c r="JE346" s="124">
        <v>23</v>
      </c>
      <c r="JH346" s="124">
        <v>23</v>
      </c>
      <c r="JI346" s="124">
        <v>23</v>
      </c>
      <c r="JJ346" s="124">
        <v>23</v>
      </c>
      <c r="JM346" s="124">
        <v>23</v>
      </c>
      <c r="JN346" s="124">
        <v>23</v>
      </c>
      <c r="JQ346" s="124">
        <v>23</v>
      </c>
      <c r="JR346" s="124">
        <v>23</v>
      </c>
      <c r="JS346" s="124">
        <v>23</v>
      </c>
      <c r="JV346" s="124">
        <v>23</v>
      </c>
      <c r="JW346" s="124">
        <v>23</v>
      </c>
      <c r="JY346" s="124">
        <v>23</v>
      </c>
      <c r="JZ346" s="124">
        <v>23</v>
      </c>
      <c r="KB346" s="124">
        <v>19</v>
      </c>
      <c r="KC346" s="124">
        <v>20</v>
      </c>
      <c r="KD346" s="124">
        <v>20</v>
      </c>
    </row>
    <row r="347" spans="2:290" x14ac:dyDescent="0.25">
      <c r="B347" s="11" t="s">
        <v>223</v>
      </c>
      <c r="C347" s="23"/>
      <c r="D347" s="23"/>
      <c r="E347" s="23"/>
      <c r="F347" s="23"/>
      <c r="G347" s="23"/>
      <c r="H347" s="197"/>
      <c r="I347" s="198"/>
      <c r="J347" s="198"/>
      <c r="K347" s="198"/>
      <c r="L347" s="198"/>
      <c r="M347" s="197"/>
      <c r="N347" s="198"/>
      <c r="O347" s="198"/>
      <c r="P347" s="198"/>
      <c r="Q347" s="198"/>
      <c r="R347" s="197"/>
      <c r="S347" s="198"/>
      <c r="T347" s="198"/>
      <c r="U347" s="198"/>
      <c r="V347" s="198"/>
      <c r="W347" s="197">
        <f t="shared" ref="W347:BK347" si="457">W356*10000/W248</f>
        <v>33.892560582952044</v>
      </c>
      <c r="X347" s="198">
        <f t="shared" si="457"/>
        <v>29.288503253796094</v>
      </c>
      <c r="Y347" s="198">
        <f t="shared" si="457"/>
        <v>35.708041237113399</v>
      </c>
      <c r="Z347" s="198">
        <f t="shared" si="457"/>
        <v>35.507246376811594</v>
      </c>
      <c r="AA347" s="198">
        <f t="shared" si="457"/>
        <v>49.43345323741007</v>
      </c>
      <c r="AB347" s="197">
        <f t="shared" si="457"/>
        <v>38.495712366980058</v>
      </c>
      <c r="AC347" s="198">
        <f t="shared" si="457"/>
        <v>27.90359529537557</v>
      </c>
      <c r="AD347" s="198">
        <f t="shared" si="457"/>
        <v>30.785291368027423</v>
      </c>
      <c r="AE347" s="198">
        <f t="shared" si="457"/>
        <v>33.014650638617589</v>
      </c>
      <c r="AF347" s="198">
        <f t="shared" si="457"/>
        <v>55.31185743660042</v>
      </c>
      <c r="AG347" s="197">
        <f t="shared" si="457"/>
        <v>38.069728099417198</v>
      </c>
      <c r="AH347" s="198">
        <f t="shared" si="457"/>
        <v>31.610346158795522</v>
      </c>
      <c r="AI347" s="198">
        <f t="shared" si="457"/>
        <v>44.307977481806951</v>
      </c>
      <c r="AJ347" s="198">
        <f t="shared" si="457"/>
        <v>52.925837320574161</v>
      </c>
      <c r="AK347" s="197">
        <f t="shared" si="457"/>
        <v>44.15696431260352</v>
      </c>
      <c r="AL347" s="198">
        <f t="shared" si="457"/>
        <v>0</v>
      </c>
      <c r="AM347" s="198">
        <f t="shared" si="457"/>
        <v>0</v>
      </c>
      <c r="AN347" s="198">
        <f t="shared" si="457"/>
        <v>0</v>
      </c>
      <c r="AO347" s="198">
        <f t="shared" si="457"/>
        <v>0</v>
      </c>
      <c r="AP347" s="197">
        <f t="shared" si="457"/>
        <v>45.069212449596776</v>
      </c>
      <c r="AQ347" s="198">
        <f t="shared" si="457"/>
        <v>0</v>
      </c>
      <c r="AR347" s="198">
        <f t="shared" si="457"/>
        <v>0</v>
      </c>
      <c r="AS347" s="198">
        <f t="shared" si="457"/>
        <v>0</v>
      </c>
      <c r="AT347" s="198">
        <f t="shared" si="457"/>
        <v>0</v>
      </c>
      <c r="AU347" s="197">
        <f t="shared" si="457"/>
        <v>41.676769541967914</v>
      </c>
      <c r="AV347" s="199">
        <f t="shared" si="457"/>
        <v>0</v>
      </c>
      <c r="AW347" s="199">
        <f t="shared" si="457"/>
        <v>0</v>
      </c>
      <c r="AX347" s="199">
        <f t="shared" si="457"/>
        <v>0</v>
      </c>
      <c r="AY347" s="199">
        <f t="shared" si="457"/>
        <v>121.32401862940785</v>
      </c>
      <c r="AZ347" s="197">
        <f t="shared" si="457"/>
        <v>31.389143906357585</v>
      </c>
      <c r="BA347" s="199">
        <f t="shared" si="457"/>
        <v>0</v>
      </c>
      <c r="BB347" s="199">
        <f t="shared" si="457"/>
        <v>0</v>
      </c>
      <c r="BC347" s="199">
        <f t="shared" si="457"/>
        <v>0</v>
      </c>
      <c r="BD347" s="199">
        <f t="shared" si="457"/>
        <v>127.70760563380283</v>
      </c>
      <c r="BE347" s="197">
        <f t="shared" si="457"/>
        <v>27.721003252000859</v>
      </c>
      <c r="BF347" s="199">
        <f t="shared" si="457"/>
        <v>0</v>
      </c>
      <c r="BG347" s="199">
        <f t="shared" si="457"/>
        <v>0</v>
      </c>
      <c r="BH347" s="199">
        <f t="shared" si="457"/>
        <v>0</v>
      </c>
      <c r="BI347" s="199">
        <f t="shared" si="457"/>
        <v>105.97657899788827</v>
      </c>
      <c r="BJ347" s="197">
        <f t="shared" si="457"/>
        <v>30.202542264694618</v>
      </c>
      <c r="BK347" s="199">
        <f t="shared" si="457"/>
        <v>0</v>
      </c>
      <c r="BL347" s="199"/>
      <c r="BM347" s="199"/>
      <c r="BN347" s="199"/>
      <c r="BO347" s="197">
        <v>33</v>
      </c>
      <c r="BP347" s="199"/>
      <c r="BQ347" s="199"/>
      <c r="BR347" s="199"/>
      <c r="BS347" s="199"/>
      <c r="BT347" s="197">
        <v>31</v>
      </c>
      <c r="BU347" s="199"/>
      <c r="BV347" s="199"/>
      <c r="BW347" s="199"/>
      <c r="BX347" s="199"/>
      <c r="BY347" s="197">
        <v>31</v>
      </c>
      <c r="BZ347" s="199"/>
      <c r="CA347" s="199"/>
      <c r="CB347" s="199"/>
      <c r="CC347" s="199"/>
      <c r="CD347" s="197">
        <v>31</v>
      </c>
      <c r="CE347" s="199"/>
      <c r="CF347" s="199"/>
      <c r="CG347" s="199"/>
      <c r="CH347" s="199"/>
      <c r="CI347" s="197">
        <v>32</v>
      </c>
      <c r="CJ347" s="202">
        <v>32</v>
      </c>
      <c r="CK347" s="202">
        <v>32</v>
      </c>
      <c r="CL347" s="202">
        <v>35</v>
      </c>
      <c r="CM347" s="202">
        <v>35</v>
      </c>
      <c r="CN347" s="202">
        <v>35</v>
      </c>
      <c r="CO347" s="137"/>
      <c r="CP347" s="137"/>
      <c r="CQ347" s="6"/>
      <c r="CR347" s="6"/>
      <c r="CS347" s="6"/>
      <c r="CT347" s="124"/>
      <c r="CU347" s="124"/>
      <c r="CV347" s="124"/>
      <c r="CW347" s="124"/>
      <c r="CX347" s="124"/>
      <c r="CY347" s="124"/>
      <c r="CZ347" s="124"/>
      <c r="DA347" s="124"/>
      <c r="DB347" s="124"/>
      <c r="DC347" s="124"/>
      <c r="DD347" s="124"/>
      <c r="DE347" s="124"/>
      <c r="DF347" s="124"/>
      <c r="DG347" s="124"/>
      <c r="DH347" s="124"/>
      <c r="DI347" s="124"/>
      <c r="DK347" s="124"/>
      <c r="DL347" s="124"/>
      <c r="DM347" s="6"/>
      <c r="DN347" s="124"/>
      <c r="DO347" s="124"/>
      <c r="DQ347" s="136"/>
      <c r="DR347" s="124"/>
      <c r="DS347" s="124"/>
      <c r="DT347" s="124"/>
      <c r="DV347" s="124"/>
      <c r="DW347" s="124"/>
      <c r="DX347" s="124"/>
      <c r="EA347" s="111"/>
      <c r="EB347" s="111"/>
      <c r="EC347" s="111"/>
      <c r="ED347" s="124"/>
      <c r="EE347" s="124"/>
      <c r="EF347" s="124"/>
      <c r="EJ347" s="111"/>
      <c r="EK347" s="111"/>
      <c r="EL347" s="124"/>
      <c r="EM347" s="124"/>
      <c r="EN347" s="124"/>
      <c r="EP347" s="111"/>
      <c r="EQ347" s="124"/>
      <c r="ER347" s="124"/>
      <c r="ES347" s="124"/>
      <c r="EV347" s="111"/>
      <c r="EW347" s="111"/>
      <c r="EX347" s="111"/>
      <c r="EY347" s="111"/>
      <c r="EZ347" s="124"/>
      <c r="FA347" s="124"/>
      <c r="FD347" s="111">
        <v>-6.3459308781417185</v>
      </c>
      <c r="FE347" s="111"/>
      <c r="FF347" s="111"/>
      <c r="FG347" s="124"/>
      <c r="FH347" s="124"/>
      <c r="FK347" s="124"/>
      <c r="FL347" s="124"/>
      <c r="FO347" s="111">
        <v>17.723056409329232</v>
      </c>
      <c r="FP347" s="111">
        <v>15.373786180022373</v>
      </c>
      <c r="FQ347" s="124">
        <v>20</v>
      </c>
      <c r="FR347" s="124">
        <v>20</v>
      </c>
      <c r="FU347" s="111">
        <v>25.381296477050569</v>
      </c>
      <c r="FV347" s="124">
        <v>34</v>
      </c>
      <c r="FW347" s="124">
        <v>26</v>
      </c>
      <c r="FX347" s="124">
        <v>26</v>
      </c>
      <c r="FY347" s="124">
        <v>26</v>
      </c>
      <c r="GA347" s="124">
        <v>32</v>
      </c>
      <c r="GB347" s="124">
        <v>30</v>
      </c>
      <c r="GC347" s="124">
        <v>32</v>
      </c>
      <c r="GF347" s="111"/>
      <c r="GG347" s="111"/>
      <c r="GH347" s="111"/>
      <c r="GI347" s="124">
        <v>32</v>
      </c>
      <c r="GJ347" s="124">
        <v>30</v>
      </c>
      <c r="GK347" s="124">
        <v>32</v>
      </c>
      <c r="GN347" s="111"/>
      <c r="GO347" s="111"/>
      <c r="GP347" s="124">
        <v>32</v>
      </c>
      <c r="GQ347" s="124">
        <v>30</v>
      </c>
      <c r="GR347" s="124">
        <v>32</v>
      </c>
      <c r="GV347" s="111">
        <v>0</v>
      </c>
      <c r="GW347" s="124">
        <v>34</v>
      </c>
      <c r="GX347" s="124">
        <v>33</v>
      </c>
      <c r="GY347" s="124">
        <v>34</v>
      </c>
      <c r="HC347" s="124"/>
      <c r="HD347" s="124">
        <v>33</v>
      </c>
      <c r="HE347" s="124">
        <v>31</v>
      </c>
      <c r="HF347" s="124">
        <v>31</v>
      </c>
      <c r="HI347" s="111"/>
      <c r="HJ347" s="111"/>
      <c r="HK347" s="111"/>
      <c r="HL347" s="111"/>
      <c r="HM347" s="124"/>
      <c r="HN347" s="124"/>
      <c r="HO347" s="124"/>
      <c r="HR347" s="111"/>
      <c r="HS347" s="111"/>
      <c r="HT347" s="111"/>
      <c r="HU347" s="124">
        <v>31</v>
      </c>
      <c r="HV347" s="124">
        <v>31</v>
      </c>
      <c r="HW347" s="124">
        <v>31</v>
      </c>
      <c r="HZ347" s="111"/>
      <c r="IA347" s="124">
        <v>31</v>
      </c>
      <c r="IB347" s="124">
        <v>31</v>
      </c>
      <c r="IC347" s="124">
        <v>31</v>
      </c>
      <c r="IE347" s="111"/>
      <c r="IF347" s="124">
        <v>31</v>
      </c>
      <c r="IG347" s="124">
        <v>31</v>
      </c>
      <c r="IH347" s="124">
        <v>31</v>
      </c>
      <c r="IK347" s="124">
        <v>31</v>
      </c>
      <c r="IL347" s="124">
        <v>31</v>
      </c>
      <c r="IO347" s="124">
        <v>31</v>
      </c>
      <c r="IP347" s="124">
        <v>31</v>
      </c>
      <c r="IS347" s="160">
        <v>36</v>
      </c>
      <c r="IT347" s="160">
        <v>36</v>
      </c>
      <c r="IU347" s="160">
        <v>36</v>
      </c>
      <c r="IX347" s="124"/>
      <c r="IY347" s="124"/>
      <c r="IZ347" s="124"/>
      <c r="JA347" s="124"/>
      <c r="JD347" s="124">
        <v>31</v>
      </c>
      <c r="JE347" s="124">
        <v>31</v>
      </c>
      <c r="JH347" s="124">
        <v>31</v>
      </c>
      <c r="JI347" s="124">
        <v>31</v>
      </c>
      <c r="JJ347" s="124">
        <v>31</v>
      </c>
      <c r="JM347" s="124">
        <v>31</v>
      </c>
      <c r="JN347" s="124">
        <v>31</v>
      </c>
      <c r="JQ347" s="124">
        <v>31</v>
      </c>
      <c r="JR347" s="124">
        <v>31</v>
      </c>
      <c r="JS347" s="124">
        <v>31</v>
      </c>
      <c r="JV347" s="124">
        <v>31</v>
      </c>
      <c r="JW347" s="124">
        <v>31</v>
      </c>
      <c r="JY347" s="124">
        <v>31</v>
      </c>
      <c r="JZ347" s="124">
        <v>31</v>
      </c>
      <c r="KB347" s="124">
        <v>25</v>
      </c>
      <c r="KC347" s="124">
        <v>28</v>
      </c>
      <c r="KD347" s="124">
        <v>28</v>
      </c>
    </row>
    <row r="348" spans="2:290" x14ac:dyDescent="0.25">
      <c r="B348" s="11" t="s">
        <v>225</v>
      </c>
      <c r="C348" s="23"/>
      <c r="D348" s="23"/>
      <c r="E348" s="23"/>
      <c r="F348" s="23"/>
      <c r="G348" s="23"/>
      <c r="H348" s="197"/>
      <c r="I348" s="198"/>
      <c r="J348" s="198"/>
      <c r="K348" s="198"/>
      <c r="L348" s="198"/>
      <c r="M348" s="197"/>
      <c r="N348" s="198"/>
      <c r="O348" s="198"/>
      <c r="P348" s="198"/>
      <c r="Q348" s="198"/>
      <c r="R348" s="197"/>
      <c r="S348" s="198"/>
      <c r="T348" s="198"/>
      <c r="U348" s="198"/>
      <c r="V348" s="198"/>
      <c r="W348" s="197">
        <f t="shared" ref="W348:BK348" si="458">W357*10000/W250</f>
        <v>17.685014974697921</v>
      </c>
      <c r="X348" s="198">
        <f t="shared" si="458"/>
        <v>6.2222222222222223</v>
      </c>
      <c r="Y348" s="198">
        <f t="shared" si="458"/>
        <v>11.729916214884181</v>
      </c>
      <c r="Z348" s="198">
        <f t="shared" si="458"/>
        <v>15.110384300899426</v>
      </c>
      <c r="AA348" s="198">
        <f t="shared" si="458"/>
        <v>29.094796863863149</v>
      </c>
      <c r="AB348" s="197">
        <f t="shared" si="458"/>
        <v>16.238139167105956</v>
      </c>
      <c r="AC348" s="198">
        <f t="shared" si="458"/>
        <v>13.807245386192754</v>
      </c>
      <c r="AD348" s="198">
        <f t="shared" si="458"/>
        <v>15.991572293916249</v>
      </c>
      <c r="AE348" s="198">
        <f t="shared" si="458"/>
        <v>28.33032490974729</v>
      </c>
      <c r="AF348" s="198">
        <f t="shared" si="458"/>
        <v>37.406793703396851</v>
      </c>
      <c r="AG348" s="197">
        <f t="shared" si="458"/>
        <v>25.338484639929927</v>
      </c>
      <c r="AH348" s="198">
        <f t="shared" si="458"/>
        <v>20.162081784386618</v>
      </c>
      <c r="AI348" s="198">
        <f t="shared" si="458"/>
        <v>25.845296764516824</v>
      </c>
      <c r="AJ348" s="198">
        <f t="shared" si="458"/>
        <v>34.90584795321638</v>
      </c>
      <c r="AK348" s="197">
        <f t="shared" si="458"/>
        <v>28.005389635316707</v>
      </c>
      <c r="AL348" s="198">
        <f t="shared" si="458"/>
        <v>0</v>
      </c>
      <c r="AM348" s="198">
        <f t="shared" si="458"/>
        <v>0</v>
      </c>
      <c r="AN348" s="198">
        <f t="shared" si="458"/>
        <v>0</v>
      </c>
      <c r="AO348" s="198">
        <f t="shared" si="458"/>
        <v>0</v>
      </c>
      <c r="AP348" s="197">
        <f t="shared" si="458"/>
        <v>32.785067829972867</v>
      </c>
      <c r="AQ348" s="198">
        <f t="shared" si="458"/>
        <v>0</v>
      </c>
      <c r="AR348" s="198">
        <f t="shared" si="458"/>
        <v>0</v>
      </c>
      <c r="AS348" s="198">
        <f t="shared" si="458"/>
        <v>0</v>
      </c>
      <c r="AT348" s="198">
        <f t="shared" si="458"/>
        <v>0</v>
      </c>
      <c r="AU348" s="197">
        <f t="shared" si="458"/>
        <v>35.462737306843266</v>
      </c>
      <c r="AV348" s="199">
        <f t="shared" si="458"/>
        <v>0</v>
      </c>
      <c r="AW348" s="199">
        <f t="shared" si="458"/>
        <v>0</v>
      </c>
      <c r="AX348" s="199">
        <f t="shared" si="458"/>
        <v>0</v>
      </c>
      <c r="AY348" s="199">
        <f t="shared" si="458"/>
        <v>113.89719626168224</v>
      </c>
      <c r="AZ348" s="197">
        <f t="shared" si="458"/>
        <v>32.418284487586334</v>
      </c>
      <c r="BA348" s="199">
        <f t="shared" si="458"/>
        <v>0</v>
      </c>
      <c r="BB348" s="199">
        <f t="shared" si="458"/>
        <v>0</v>
      </c>
      <c r="BC348" s="199">
        <f t="shared" si="458"/>
        <v>0</v>
      </c>
      <c r="BD348" s="199">
        <f t="shared" si="458"/>
        <v>139.35209763539285</v>
      </c>
      <c r="BE348" s="197">
        <f t="shared" si="458"/>
        <v>35.168314163337989</v>
      </c>
      <c r="BF348" s="199">
        <f t="shared" si="458"/>
        <v>0</v>
      </c>
      <c r="BG348" s="199">
        <f t="shared" si="458"/>
        <v>0</v>
      </c>
      <c r="BH348" s="199">
        <f t="shared" si="458"/>
        <v>0</v>
      </c>
      <c r="BI348" s="199">
        <f t="shared" si="458"/>
        <v>126.71908006814309</v>
      </c>
      <c r="BJ348" s="197">
        <f t="shared" si="458"/>
        <v>40.277290448343074</v>
      </c>
      <c r="BK348" s="199">
        <f t="shared" si="458"/>
        <v>0</v>
      </c>
      <c r="BL348" s="199"/>
      <c r="BM348" s="199"/>
      <c r="BN348" s="199"/>
      <c r="BO348" s="197">
        <v>32</v>
      </c>
      <c r="BP348" s="199"/>
      <c r="BQ348" s="199"/>
      <c r="BR348" s="199"/>
      <c r="BS348" s="199"/>
      <c r="BT348" s="197">
        <v>36</v>
      </c>
      <c r="BU348" s="199"/>
      <c r="BV348" s="199"/>
      <c r="BW348" s="199"/>
      <c r="BX348" s="199"/>
      <c r="BY348" s="197">
        <v>36</v>
      </c>
      <c r="BZ348" s="199"/>
      <c r="CA348" s="199"/>
      <c r="CB348" s="199"/>
      <c r="CC348" s="199"/>
      <c r="CD348" s="197">
        <v>35</v>
      </c>
      <c r="CE348" s="199"/>
      <c r="CF348" s="199"/>
      <c r="CG348" s="199"/>
      <c r="CH348" s="199"/>
      <c r="CI348" s="197">
        <v>35</v>
      </c>
      <c r="CJ348" s="202">
        <v>35</v>
      </c>
      <c r="CK348" s="202">
        <v>35</v>
      </c>
      <c r="CL348" s="202">
        <v>35</v>
      </c>
      <c r="CM348" s="202">
        <v>35</v>
      </c>
      <c r="CN348" s="202">
        <v>35</v>
      </c>
      <c r="CO348" s="137"/>
      <c r="CP348" s="137"/>
      <c r="CQ348" s="6"/>
      <c r="CR348" s="6"/>
      <c r="CS348" s="6"/>
      <c r="CT348" s="124"/>
      <c r="CU348" s="124"/>
      <c r="CV348" s="124"/>
      <c r="CW348" s="124"/>
      <c r="CX348" s="124"/>
      <c r="CY348" s="124"/>
      <c r="CZ348" s="124"/>
      <c r="DA348" s="124"/>
      <c r="DB348" s="124"/>
      <c r="DC348" s="124"/>
      <c r="DD348" s="124"/>
      <c r="DE348" s="124"/>
      <c r="DF348" s="124"/>
      <c r="DG348" s="124"/>
      <c r="DH348" s="124"/>
      <c r="DI348" s="124"/>
      <c r="DK348" s="124"/>
      <c r="DL348" s="124"/>
      <c r="DM348" s="6"/>
      <c r="DN348" s="124"/>
      <c r="DO348" s="124"/>
      <c r="DQ348" s="136"/>
      <c r="DR348" s="124"/>
      <c r="DS348" s="124"/>
      <c r="DT348" s="124"/>
      <c r="DV348" s="124"/>
      <c r="DW348" s="124"/>
      <c r="DX348" s="124"/>
      <c r="EA348" s="111"/>
      <c r="EB348" s="111"/>
      <c r="EC348" s="111"/>
      <c r="ED348" s="124"/>
      <c r="EE348" s="124"/>
      <c r="EF348" s="124"/>
      <c r="EJ348" s="111"/>
      <c r="EK348" s="111"/>
      <c r="EL348" s="124"/>
      <c r="EM348" s="124"/>
      <c r="EN348" s="124"/>
      <c r="EP348" s="111"/>
      <c r="EQ348" s="124"/>
      <c r="ER348" s="124"/>
      <c r="ES348" s="124"/>
      <c r="EV348" s="111"/>
      <c r="EW348" s="111"/>
      <c r="EX348" s="111"/>
      <c r="EY348" s="111"/>
      <c r="EZ348" s="124"/>
      <c r="FA348" s="124"/>
      <c r="FD348" s="111">
        <v>-3.9735450556021803</v>
      </c>
      <c r="FE348" s="111"/>
      <c r="FF348" s="111"/>
      <c r="FG348" s="124"/>
      <c r="FH348" s="124"/>
      <c r="FK348" s="124"/>
      <c r="FL348" s="124"/>
      <c r="FO348" s="111">
        <v>32.895249304515303</v>
      </c>
      <c r="FP348" s="111">
        <v>28.380490057645332</v>
      </c>
      <c r="FQ348" s="124">
        <v>31</v>
      </c>
      <c r="FR348" s="124">
        <v>31</v>
      </c>
      <c r="FU348" s="111">
        <v>23.265157633291185</v>
      </c>
      <c r="FV348" s="124">
        <v>30</v>
      </c>
      <c r="FW348" s="124">
        <v>26</v>
      </c>
      <c r="FX348" s="124">
        <v>31</v>
      </c>
      <c r="FY348" s="124">
        <v>31</v>
      </c>
      <c r="GA348" s="124">
        <v>20</v>
      </c>
      <c r="GB348" s="124">
        <v>34</v>
      </c>
      <c r="GC348" s="124">
        <v>31</v>
      </c>
      <c r="GF348" s="111"/>
      <c r="GG348" s="111"/>
      <c r="GH348" s="111"/>
      <c r="GI348" s="124">
        <v>20</v>
      </c>
      <c r="GJ348" s="124">
        <v>34</v>
      </c>
      <c r="GK348" s="124">
        <v>31</v>
      </c>
      <c r="GN348" s="111"/>
      <c r="GO348" s="111"/>
      <c r="GP348" s="124">
        <v>25</v>
      </c>
      <c r="GQ348" s="124">
        <v>34</v>
      </c>
      <c r="GR348" s="124">
        <v>31</v>
      </c>
      <c r="GV348" s="111">
        <v>0</v>
      </c>
      <c r="GW348" s="124">
        <v>30</v>
      </c>
      <c r="GX348" s="124">
        <v>32</v>
      </c>
      <c r="GY348" s="124">
        <v>33</v>
      </c>
      <c r="HC348" s="124"/>
      <c r="HD348" s="124">
        <v>32</v>
      </c>
      <c r="HE348" s="124">
        <v>36</v>
      </c>
      <c r="HF348" s="124">
        <v>36</v>
      </c>
      <c r="HI348" s="111"/>
      <c r="HJ348" s="111"/>
      <c r="HK348" s="111"/>
      <c r="HL348" s="111"/>
      <c r="HM348" s="124"/>
      <c r="HN348" s="124"/>
      <c r="HO348" s="124"/>
      <c r="HR348" s="111"/>
      <c r="HS348" s="111"/>
      <c r="HT348" s="111"/>
      <c r="HU348" s="124">
        <v>36</v>
      </c>
      <c r="HV348" s="124">
        <v>36</v>
      </c>
      <c r="HW348" s="124">
        <v>36</v>
      </c>
      <c r="HZ348" s="111"/>
      <c r="IA348" s="124">
        <v>36</v>
      </c>
      <c r="IB348" s="124">
        <v>36</v>
      </c>
      <c r="IC348" s="124">
        <v>36</v>
      </c>
      <c r="IE348" s="111"/>
      <c r="IF348" s="124">
        <v>36</v>
      </c>
      <c r="IG348" s="124">
        <v>36</v>
      </c>
      <c r="IH348" s="124">
        <v>36</v>
      </c>
      <c r="IK348" s="124">
        <v>36</v>
      </c>
      <c r="IL348" s="124">
        <v>36</v>
      </c>
      <c r="IO348" s="124">
        <v>36</v>
      </c>
      <c r="IP348" s="124">
        <v>36</v>
      </c>
      <c r="IS348" s="160"/>
      <c r="IT348" s="160"/>
      <c r="IU348" s="160"/>
      <c r="IX348" s="124"/>
      <c r="IY348" s="124"/>
      <c r="IZ348" s="124"/>
      <c r="JA348" s="124"/>
      <c r="JD348" s="124">
        <v>35</v>
      </c>
      <c r="JE348" s="124">
        <v>36</v>
      </c>
      <c r="JH348" s="124">
        <v>35</v>
      </c>
      <c r="JI348" s="124">
        <v>36</v>
      </c>
      <c r="JJ348" s="124">
        <v>36</v>
      </c>
      <c r="JM348" s="124">
        <v>36</v>
      </c>
      <c r="JN348" s="124">
        <v>36</v>
      </c>
      <c r="JQ348" s="124">
        <v>35</v>
      </c>
      <c r="JR348" s="124">
        <v>36</v>
      </c>
      <c r="JS348" s="124">
        <v>36</v>
      </c>
      <c r="JV348" s="124">
        <v>36</v>
      </c>
      <c r="JW348" s="124">
        <v>36</v>
      </c>
      <c r="JY348" s="124">
        <v>36</v>
      </c>
      <c r="JZ348" s="124">
        <v>36</v>
      </c>
      <c r="KB348" s="124">
        <v>25</v>
      </c>
      <c r="KC348" s="124">
        <v>30</v>
      </c>
      <c r="KD348" s="124">
        <v>30</v>
      </c>
    </row>
    <row r="349" spans="2:290" x14ac:dyDescent="0.25">
      <c r="B349" s="11" t="s">
        <v>226</v>
      </c>
      <c r="C349" s="23"/>
      <c r="D349" s="23"/>
      <c r="E349" s="23"/>
      <c r="F349" s="23"/>
      <c r="G349" s="23"/>
      <c r="H349" s="197"/>
      <c r="I349" s="198"/>
      <c r="J349" s="198"/>
      <c r="K349" s="198"/>
      <c r="L349" s="198"/>
      <c r="M349" s="197"/>
      <c r="N349" s="198"/>
      <c r="O349" s="198"/>
      <c r="P349" s="198"/>
      <c r="Q349" s="198"/>
      <c r="R349" s="197"/>
      <c r="S349" s="198"/>
      <c r="T349" s="198"/>
      <c r="U349" s="198"/>
      <c r="V349" s="198"/>
      <c r="W349" s="197"/>
      <c r="X349" s="198"/>
      <c r="Y349" s="198"/>
      <c r="Z349" s="198"/>
      <c r="AA349" s="198"/>
      <c r="AB349" s="197"/>
      <c r="AC349" s="198"/>
      <c r="AD349" s="198"/>
      <c r="AE349" s="198"/>
      <c r="AF349" s="198"/>
      <c r="AG349" s="197"/>
      <c r="AH349" s="198"/>
      <c r="AI349" s="198"/>
      <c r="AJ349" s="198"/>
      <c r="AK349" s="197"/>
      <c r="AL349" s="198"/>
      <c r="AM349" s="198"/>
      <c r="AN349" s="198"/>
      <c r="AO349" s="198"/>
      <c r="AP349" s="197"/>
      <c r="AQ349" s="198"/>
      <c r="AR349" s="198"/>
      <c r="AS349" s="198"/>
      <c r="AT349" s="198"/>
      <c r="AU349" s="197"/>
      <c r="AV349" s="199"/>
      <c r="AW349" s="199"/>
      <c r="AX349" s="199"/>
      <c r="AY349" s="199"/>
      <c r="AZ349" s="197"/>
      <c r="BA349" s="199"/>
      <c r="BB349" s="199"/>
      <c r="BC349" s="199"/>
      <c r="BD349" s="199"/>
      <c r="BE349" s="197"/>
      <c r="BF349" s="199"/>
      <c r="BG349" s="199"/>
      <c r="BH349" s="199"/>
      <c r="BI349" s="199"/>
      <c r="BJ349" s="197"/>
      <c r="BK349" s="199"/>
      <c r="BL349" s="199"/>
      <c r="BM349" s="199"/>
      <c r="BN349" s="199"/>
      <c r="BO349" s="197"/>
      <c r="BP349" s="199"/>
      <c r="BQ349" s="199"/>
      <c r="BR349" s="199"/>
      <c r="BS349" s="199"/>
      <c r="BT349" s="197"/>
      <c r="BU349" s="199"/>
      <c r="BV349" s="199"/>
      <c r="BW349" s="199"/>
      <c r="BX349" s="199"/>
      <c r="BY349" s="197"/>
      <c r="BZ349" s="199"/>
      <c r="CA349" s="199"/>
      <c r="CB349" s="199"/>
      <c r="CC349" s="199"/>
      <c r="CD349" s="197"/>
      <c r="CE349" s="199"/>
      <c r="CF349" s="199"/>
      <c r="CG349" s="199"/>
      <c r="CH349" s="199"/>
      <c r="CI349" s="197"/>
      <c r="CJ349" s="202"/>
      <c r="CK349" s="202"/>
      <c r="CL349" s="202">
        <v>100</v>
      </c>
      <c r="CM349" s="202">
        <v>100</v>
      </c>
      <c r="CN349" s="202">
        <v>100</v>
      </c>
      <c r="CO349" s="137"/>
      <c r="CP349" s="137"/>
      <c r="CQ349" s="6"/>
      <c r="CR349" s="6"/>
      <c r="CS349" s="6"/>
      <c r="CT349" s="124"/>
      <c r="CU349" s="124"/>
      <c r="CV349" s="124"/>
      <c r="CW349" s="124"/>
      <c r="CX349" s="124"/>
      <c r="CY349" s="124"/>
      <c r="CZ349" s="124"/>
      <c r="DA349" s="124"/>
      <c r="DB349" s="124"/>
      <c r="DC349" s="124"/>
      <c r="DD349" s="124"/>
      <c r="DE349" s="124"/>
      <c r="DF349" s="124"/>
      <c r="DG349" s="124"/>
      <c r="DH349" s="124"/>
      <c r="DI349" s="124"/>
      <c r="DK349" s="124"/>
      <c r="DL349" s="124"/>
      <c r="DM349" s="6"/>
      <c r="DN349" s="124"/>
      <c r="DO349" s="124"/>
      <c r="DQ349" s="136"/>
      <c r="DR349" s="124"/>
      <c r="DS349" s="124"/>
      <c r="DT349" s="124"/>
      <c r="DV349" s="124"/>
      <c r="DW349" s="124"/>
      <c r="DX349" s="124"/>
      <c r="EA349" s="111"/>
      <c r="EB349" s="111"/>
      <c r="EC349" s="111"/>
      <c r="ED349" s="124"/>
      <c r="EE349" s="124"/>
      <c r="EF349" s="124"/>
      <c r="EJ349" s="111"/>
      <c r="EK349" s="111"/>
      <c r="EL349" s="124"/>
      <c r="EM349" s="124"/>
      <c r="EN349" s="124"/>
      <c r="EP349" s="111"/>
      <c r="EQ349" s="124"/>
      <c r="ER349" s="124"/>
      <c r="ES349" s="124"/>
      <c r="EV349" s="111"/>
      <c r="EW349" s="111"/>
      <c r="EX349" s="111"/>
      <c r="EY349" s="111"/>
      <c r="EZ349" s="124"/>
      <c r="FA349" s="124"/>
      <c r="FD349" s="111"/>
      <c r="FE349" s="111"/>
      <c r="FF349" s="111"/>
      <c r="FG349" s="124"/>
      <c r="FH349" s="124"/>
      <c r="FK349" s="124"/>
      <c r="FL349" s="124"/>
      <c r="FO349" s="111"/>
      <c r="FP349" s="111"/>
      <c r="FQ349" s="124"/>
      <c r="FR349" s="124"/>
      <c r="FU349" s="111"/>
      <c r="FV349" s="124"/>
      <c r="FW349" s="124"/>
      <c r="FX349" s="124"/>
      <c r="FY349" s="124"/>
      <c r="GA349" s="124"/>
      <c r="GB349" s="124"/>
      <c r="GC349" s="124"/>
      <c r="GF349" s="111"/>
      <c r="GG349" s="111"/>
      <c r="GH349" s="111"/>
      <c r="GI349" s="124"/>
      <c r="GJ349" s="124"/>
      <c r="GK349" s="124"/>
      <c r="GN349" s="111"/>
      <c r="GO349" s="111"/>
      <c r="GP349" s="124"/>
      <c r="GQ349" s="124"/>
      <c r="GR349" s="124"/>
      <c r="GV349" s="111"/>
      <c r="GW349" s="124"/>
      <c r="GX349" s="124"/>
      <c r="GY349" s="124"/>
      <c r="HC349" s="124"/>
      <c r="HD349" s="124"/>
      <c r="HE349" s="124"/>
      <c r="HF349" s="124"/>
      <c r="HI349" s="111"/>
      <c r="HJ349" s="111"/>
      <c r="HK349" s="111"/>
      <c r="HL349" s="111"/>
      <c r="HM349" s="124"/>
      <c r="HN349" s="124"/>
      <c r="HO349" s="124"/>
      <c r="HR349" s="111"/>
      <c r="HS349" s="111"/>
      <c r="HT349" s="111"/>
      <c r="HU349" s="124"/>
      <c r="HV349" s="124"/>
      <c r="HW349" s="124"/>
      <c r="HZ349" s="111"/>
      <c r="IA349" s="124"/>
      <c r="IB349" s="124"/>
      <c r="IC349" s="124"/>
      <c r="IE349" s="111"/>
      <c r="IF349" s="124"/>
      <c r="IG349" s="124"/>
      <c r="IH349" s="124"/>
      <c r="IK349" s="124"/>
      <c r="IL349" s="124"/>
      <c r="IO349" s="124"/>
      <c r="IP349" s="124"/>
      <c r="IS349" s="160"/>
      <c r="IT349" s="160"/>
      <c r="IU349" s="160"/>
      <c r="IX349" s="124"/>
      <c r="IY349" s="124"/>
      <c r="IZ349" s="124"/>
      <c r="JA349" s="124"/>
      <c r="JD349" s="124"/>
      <c r="JE349" s="124"/>
      <c r="JH349" s="124"/>
      <c r="JI349" s="124"/>
      <c r="JJ349" s="124"/>
      <c r="JM349" s="124"/>
      <c r="JN349" s="124"/>
      <c r="JQ349" s="124"/>
      <c r="JR349" s="124"/>
      <c r="JS349" s="124"/>
      <c r="JV349" s="124"/>
      <c r="JW349" s="124"/>
      <c r="JY349" s="124"/>
      <c r="JZ349" s="124"/>
      <c r="KB349" s="124"/>
      <c r="KC349" s="124"/>
      <c r="KD349" s="124"/>
    </row>
    <row r="350" spans="2:290" s="60" customFormat="1" x14ac:dyDescent="0.25">
      <c r="B350" s="34" t="s">
        <v>250</v>
      </c>
      <c r="C350" s="99"/>
      <c r="D350" s="99"/>
      <c r="E350" s="99"/>
      <c r="F350" s="99"/>
      <c r="G350" s="99"/>
      <c r="H350" s="83"/>
      <c r="I350" s="62"/>
      <c r="J350" s="62"/>
      <c r="K350" s="62"/>
      <c r="L350" s="62"/>
      <c r="M350" s="83"/>
      <c r="N350" s="62"/>
      <c r="O350" s="62"/>
      <c r="P350" s="62"/>
      <c r="Q350" s="62"/>
      <c r="R350" s="83"/>
      <c r="S350" s="62"/>
      <c r="T350" s="62"/>
      <c r="U350" s="62"/>
      <c r="V350" s="62"/>
      <c r="W350" s="83">
        <f>W359/W252*10000</f>
        <v>18.389949263107031</v>
      </c>
      <c r="X350" s="62">
        <f t="shared" ref="X350:BI350" si="459">X150*10000/X252</f>
        <v>0</v>
      </c>
      <c r="Y350" s="62">
        <f t="shared" si="459"/>
        <v>0</v>
      </c>
      <c r="Z350" s="62">
        <f t="shared" si="459"/>
        <v>0</v>
      </c>
      <c r="AA350" s="62">
        <f t="shared" si="459"/>
        <v>0</v>
      </c>
      <c r="AB350" s="83">
        <f>AB359/AB252*10000</f>
        <v>19.971575129872253</v>
      </c>
      <c r="AC350" s="62">
        <f t="shared" si="459"/>
        <v>-8.4556883646066307E-3</v>
      </c>
      <c r="AD350" s="62">
        <f t="shared" si="459"/>
        <v>1.0484972517988312E-2</v>
      </c>
      <c r="AE350" s="62">
        <f t="shared" si="459"/>
        <v>5.5953995829791754E-3</v>
      </c>
      <c r="AF350" s="62">
        <f t="shared" si="459"/>
        <v>1.2257430055733287E-3</v>
      </c>
      <c r="AG350" s="83">
        <f>AG359/AG252*10000</f>
        <v>18.921369191534463</v>
      </c>
      <c r="AH350" s="62">
        <f t="shared" si="459"/>
        <v>2.4699677161905912E-2</v>
      </c>
      <c r="AI350" s="62">
        <f t="shared" si="459"/>
        <v>0</v>
      </c>
      <c r="AJ350" s="62">
        <f t="shared" si="459"/>
        <v>2.4957812551836416E-2</v>
      </c>
      <c r="AK350" s="83">
        <f>AK359/AK252*10000</f>
        <v>19.646547049374007</v>
      </c>
      <c r="AL350" s="62">
        <f t="shared" si="459"/>
        <v>0</v>
      </c>
      <c r="AM350" s="62">
        <f t="shared" si="459"/>
        <v>0</v>
      </c>
      <c r="AN350" s="62">
        <f t="shared" si="459"/>
        <v>0</v>
      </c>
      <c r="AO350" s="62">
        <f t="shared" si="459"/>
        <v>0</v>
      </c>
      <c r="AP350" s="83">
        <f>AP359/AP252*10000</f>
        <v>22.268429168599226</v>
      </c>
      <c r="AQ350" s="62">
        <f t="shared" si="459"/>
        <v>-1.5065726838891926E-2</v>
      </c>
      <c r="AR350" s="62">
        <f t="shared" si="459"/>
        <v>2.1936711979524362E-2</v>
      </c>
      <c r="AS350" s="62">
        <f t="shared" si="459"/>
        <v>1.9238487226541191E-2</v>
      </c>
      <c r="AT350" s="62">
        <f t="shared" si="459"/>
        <v>1.2075397331892566E-3</v>
      </c>
      <c r="AU350" s="83">
        <f>AU359/AU252*10000</f>
        <v>20.967782741543488</v>
      </c>
      <c r="AV350" s="196">
        <f t="shared" si="459"/>
        <v>1.2371804146301627E-2</v>
      </c>
      <c r="AW350" s="196">
        <f t="shared" si="459"/>
        <v>2.3988594008316089E-2</v>
      </c>
      <c r="AX350" s="196">
        <f t="shared" si="459"/>
        <v>1.9802538100535755E-2</v>
      </c>
      <c r="AY350" s="196">
        <f t="shared" si="459"/>
        <v>1.185013449921707E-2</v>
      </c>
      <c r="AZ350" s="83">
        <f>AZ359/AZ252*10000</f>
        <v>18.509305673860442</v>
      </c>
      <c r="BA350" s="196">
        <f t="shared" si="459"/>
        <v>1.781644333089313E-2</v>
      </c>
      <c r="BB350" s="196">
        <f t="shared" si="459"/>
        <v>2.0648220796965974E-2</v>
      </c>
      <c r="BC350" s="196">
        <f t="shared" si="459"/>
        <v>-1.6648987916237921E-4</v>
      </c>
      <c r="BD350" s="196">
        <f t="shared" si="459"/>
        <v>-3.8419782995177437E-4</v>
      </c>
      <c r="BE350" s="83">
        <f>BE359/BE252*10000</f>
        <v>20.347232219011911</v>
      </c>
      <c r="BF350" s="196">
        <f t="shared" si="459"/>
        <v>-1.6240997560984294E-2</v>
      </c>
      <c r="BG350" s="196">
        <f t="shared" si="459"/>
        <v>4.6425924488205095E-3</v>
      </c>
      <c r="BH350" s="196">
        <f t="shared" si="459"/>
        <v>3.8348631105881111E-2</v>
      </c>
      <c r="BI350" s="196">
        <f t="shared" si="459"/>
        <v>3.93093381013234E-2</v>
      </c>
      <c r="BJ350" s="83">
        <f>BJ359/BJ252*10000</f>
        <v>30.326223573668631</v>
      </c>
      <c r="BK350" s="196">
        <f>BK150*10000/BK252</f>
        <v>1.2197238838183772E-2</v>
      </c>
      <c r="BL350" s="196">
        <f>BL150*10000/BL252</f>
        <v>4.8285027264305669E-2</v>
      </c>
      <c r="BM350" s="196">
        <f>BM150*10000/BM252</f>
        <v>7.6809472758656617E-4</v>
      </c>
      <c r="BN350" s="196">
        <f>BN150*10000/BN252</f>
        <v>2.6153356610588614E-2</v>
      </c>
      <c r="BO350" s="83">
        <f>BO359/BO252*10000</f>
        <v>32.066453502984203</v>
      </c>
      <c r="BP350" s="196">
        <f>BP150*10000/BP252</f>
        <v>6.98511486703733E-2</v>
      </c>
      <c r="BQ350" s="196">
        <f>BQ150*10000/BQ252</f>
        <v>1.9359751103598033E-3</v>
      </c>
      <c r="BR350" s="196">
        <f>BR150*10000/BR252</f>
        <v>2.2707187281839646E-2</v>
      </c>
      <c r="BS350" s="196">
        <f>BS150*10000/BS252</f>
        <v>-1.0904414382104011E-3</v>
      </c>
      <c r="BT350" s="83">
        <f>BT359/BT252*10000</f>
        <v>21.174740030128273</v>
      </c>
      <c r="BU350" s="196">
        <f>BU150*10000/BU252</f>
        <v>7.4881408532475749E-3</v>
      </c>
      <c r="BV350" s="196">
        <f>BV150*10000/BV252</f>
        <v>1.2029952351297474E-2</v>
      </c>
      <c r="BW350" s="196">
        <f>BW150*10000/BW252</f>
        <v>5.6612758376558469E-3</v>
      </c>
      <c r="BX350" s="196">
        <f>BX150*10000/BX252</f>
        <v>1.1033952891421339E-2</v>
      </c>
      <c r="BY350" s="83">
        <f>BY359/BY252*10000</f>
        <v>24.485136337132506</v>
      </c>
      <c r="BZ350" s="196">
        <f>BZ150*10000/BZ252</f>
        <v>8.216507938819527E-3</v>
      </c>
      <c r="CA350" s="196">
        <f>CA150*10000/CA252</f>
        <v>-3.4237560903040082E-3</v>
      </c>
      <c r="CB350" s="196">
        <f>CB150*10000/CB252</f>
        <v>7.9030614346820526E-4</v>
      </c>
      <c r="CC350" s="196">
        <f>CC150*10000/CC252</f>
        <v>-1.8252824603653757E-3</v>
      </c>
      <c r="CD350" s="83">
        <f>CD359/CD252*10000</f>
        <v>21.322021170924078</v>
      </c>
      <c r="CE350" s="196">
        <f>CE150*10000/CE252</f>
        <v>-1.9340932832837706E-3</v>
      </c>
      <c r="CF350" s="196">
        <f>CF150*10000/CF252</f>
        <v>7.3925643756391039E-3</v>
      </c>
      <c r="CG350" s="196">
        <f>CG150*10000/CG252</f>
        <v>5.1656163121452433E-3</v>
      </c>
      <c r="CH350" s="196">
        <f>CH150*10000/CH252</f>
        <v>1.0069164677559949E-2</v>
      </c>
      <c r="CI350" s="83">
        <f>CI359/CI252*10000</f>
        <v>20.634525570197841</v>
      </c>
      <c r="CJ350" s="83">
        <f t="shared" ref="CJ350:CM350" si="460">CJ359/CJ252*10000</f>
        <v>22.177829793937153</v>
      </c>
      <c r="CK350" s="83">
        <f t="shared" si="460"/>
        <v>22.065809745199147</v>
      </c>
      <c r="CL350" s="83">
        <f t="shared" si="460"/>
        <v>22.264309558062742</v>
      </c>
      <c r="CM350" s="83">
        <f t="shared" si="460"/>
        <v>23.149806263885104</v>
      </c>
      <c r="CN350" s="83">
        <f>CN359/CN252*10000</f>
        <v>23.126172082112536</v>
      </c>
      <c r="CO350" s="148"/>
      <c r="CP350" s="148"/>
      <c r="CQ350" s="58"/>
      <c r="CR350" s="58"/>
      <c r="CS350" s="58"/>
      <c r="CT350" s="143"/>
      <c r="CU350" s="143"/>
      <c r="CV350" s="143"/>
      <c r="CW350" s="143"/>
      <c r="CX350" s="143"/>
      <c r="CY350" s="143"/>
      <c r="CZ350" s="143"/>
      <c r="DA350" s="143"/>
      <c r="DB350" s="143"/>
      <c r="DC350" s="143"/>
      <c r="DD350" s="143"/>
      <c r="DE350" s="143"/>
      <c r="DF350" s="143"/>
      <c r="DG350" s="143"/>
      <c r="DH350" s="143"/>
      <c r="DI350" s="143"/>
      <c r="DK350" s="143"/>
      <c r="DL350" s="143"/>
      <c r="DM350" s="58"/>
      <c r="DN350" s="143"/>
      <c r="DO350" s="143"/>
      <c r="DQ350" s="4"/>
      <c r="DR350" s="143"/>
      <c r="DS350" s="143"/>
      <c r="DT350" s="143"/>
      <c r="DV350" s="143"/>
      <c r="DW350" s="143"/>
      <c r="DX350" s="143"/>
      <c r="EA350" s="119"/>
      <c r="EB350" s="119"/>
      <c r="EC350" s="119"/>
      <c r="ED350" s="143"/>
      <c r="EE350" s="143"/>
      <c r="EF350" s="143"/>
      <c r="EJ350" s="119"/>
      <c r="EK350" s="119"/>
      <c r="EL350" s="143"/>
      <c r="EM350" s="143"/>
      <c r="EN350" s="143"/>
      <c r="EP350" s="119">
        <v>20.910184997740032</v>
      </c>
      <c r="EQ350" s="143">
        <v>19.056295225498737</v>
      </c>
      <c r="ER350" s="143">
        <v>21.842900301132172</v>
      </c>
      <c r="ES350" s="143">
        <v>22.936898653184034</v>
      </c>
      <c r="EV350" s="119">
        <v>18.150166625524559</v>
      </c>
      <c r="EW350" s="119">
        <v>22.27862407271591</v>
      </c>
      <c r="EX350" s="119">
        <v>21.966999969391477</v>
      </c>
      <c r="EY350" s="119">
        <v>21.287260814337621</v>
      </c>
      <c r="EZ350" s="143">
        <v>21.243483903949297</v>
      </c>
      <c r="FA350" s="143">
        <v>21.919412937256773</v>
      </c>
      <c r="FD350" s="119">
        <v>20.05076166544432</v>
      </c>
      <c r="FE350" s="119">
        <v>21.966999969391477</v>
      </c>
      <c r="FF350" s="119">
        <v>21.261270043274088</v>
      </c>
      <c r="FG350" s="143">
        <v>18.411019383422726</v>
      </c>
      <c r="FH350" s="143">
        <v>20.458118741439655</v>
      </c>
      <c r="FK350" s="143">
        <v>18.810762360109944</v>
      </c>
      <c r="FL350" s="143">
        <v>20.128149084319659</v>
      </c>
      <c r="FO350" s="119">
        <v>20.345941158949309</v>
      </c>
      <c r="FP350" s="119">
        <v>17.781761680681765</v>
      </c>
      <c r="FQ350" s="143">
        <v>18.095527673620584</v>
      </c>
      <c r="FR350" s="143">
        <v>18.998321361560059</v>
      </c>
      <c r="FU350" s="119">
        <v>16.836890507351622</v>
      </c>
      <c r="FV350" s="143">
        <v>18.175678242278511</v>
      </c>
      <c r="FW350" s="143">
        <v>15.88603571768166</v>
      </c>
      <c r="FX350" s="143">
        <v>20.209249223644505</v>
      </c>
      <c r="FY350" s="143">
        <v>20.18390909282839</v>
      </c>
      <c r="GA350" s="143">
        <v>17.63105630740429</v>
      </c>
      <c r="GB350" s="143">
        <v>21.512201958720343</v>
      </c>
      <c r="GC350" s="143">
        <v>21.513009506678323</v>
      </c>
      <c r="GF350" s="119">
        <v>21</v>
      </c>
      <c r="GG350" s="119">
        <v>20</v>
      </c>
      <c r="GH350" s="119">
        <v>20.97833197260768</v>
      </c>
      <c r="GI350" s="143">
        <v>18.805254996737197</v>
      </c>
      <c r="GJ350" s="143">
        <v>21.622311155383485</v>
      </c>
      <c r="GK350" s="143">
        <v>21.590413348451637</v>
      </c>
      <c r="GN350" s="119">
        <v>30</v>
      </c>
      <c r="GO350" s="119">
        <v>21.272475665567278</v>
      </c>
      <c r="GP350" s="143">
        <v>23.008735032663967</v>
      </c>
      <c r="GQ350" s="143">
        <v>21.69296191676515</v>
      </c>
      <c r="GR350" s="143">
        <v>21.676007342394634</v>
      </c>
      <c r="GV350" s="119">
        <v>30.26123296764726</v>
      </c>
      <c r="GW350" s="143">
        <v>27.18468140625038</v>
      </c>
      <c r="GX350" s="143">
        <v>20.821807608577526</v>
      </c>
      <c r="GY350" s="143">
        <v>23.385004348884962</v>
      </c>
      <c r="HC350" s="143">
        <v>31.693928634754354</v>
      </c>
      <c r="HD350" s="143">
        <v>31.948367011893538</v>
      </c>
      <c r="HE350" s="143">
        <v>28.134207351860905</v>
      </c>
      <c r="HF350" s="143">
        <v>28.133382939272302</v>
      </c>
      <c r="HI350" s="119">
        <v>20</v>
      </c>
      <c r="HJ350" s="119">
        <v>28</v>
      </c>
      <c r="HK350" s="119">
        <v>30</v>
      </c>
      <c r="HL350" s="119">
        <v>8.6119919311374886</v>
      </c>
      <c r="HM350" s="143">
        <v>21.020926826953087</v>
      </c>
      <c r="HN350" s="143">
        <v>21.001513673832733</v>
      </c>
      <c r="HO350" s="143">
        <v>21.040952667403396</v>
      </c>
      <c r="HR350" s="119">
        <v>15</v>
      </c>
      <c r="HS350" s="119">
        <v>22</v>
      </c>
      <c r="HT350" s="119">
        <v>22.104505845826893</v>
      </c>
      <c r="HU350" s="143">
        <v>21.020926826953087</v>
      </c>
      <c r="HV350" s="143">
        <v>23.854757224300812</v>
      </c>
      <c r="HW350" s="143">
        <v>24.233900119625122</v>
      </c>
      <c r="HZ350" s="119">
        <v>22</v>
      </c>
      <c r="IA350" s="143">
        <v>22.435218829051049</v>
      </c>
      <c r="IB350" s="143">
        <v>24.5594340215955</v>
      </c>
      <c r="IC350" s="143">
        <v>25.998965445203428</v>
      </c>
      <c r="IE350" s="119">
        <v>23.968009823422378</v>
      </c>
      <c r="IF350" s="143">
        <v>21.175416333638637</v>
      </c>
      <c r="IG350" s="143">
        <v>24.484087186379316</v>
      </c>
      <c r="IH350" s="143">
        <v>25.975639304571907</v>
      </c>
      <c r="IK350" s="143">
        <v>24.484087186379316</v>
      </c>
      <c r="IL350" s="143">
        <v>25.975639304571907</v>
      </c>
      <c r="IO350" s="143">
        <v>25.244654759347096</v>
      </c>
      <c r="IP350" s="143">
        <v>28.152980716914428</v>
      </c>
      <c r="IS350" s="157">
        <v>24</v>
      </c>
      <c r="IT350" s="157">
        <v>28</v>
      </c>
      <c r="IU350" s="157">
        <v>28</v>
      </c>
      <c r="IX350" s="143">
        <v>26.391556462475886</v>
      </c>
      <c r="IY350" s="143">
        <v>24.559941865207502</v>
      </c>
      <c r="IZ350" s="143">
        <v>28.1503557590943</v>
      </c>
      <c r="JA350" s="143">
        <v>28.144226553711768</v>
      </c>
      <c r="JD350" s="143">
        <v>27.225660509391599</v>
      </c>
      <c r="JE350" s="143">
        <v>27.231883459599935</v>
      </c>
      <c r="JH350" s="143">
        <v>24.795423593762553</v>
      </c>
      <c r="JI350" s="143">
        <v>25.182302977118518</v>
      </c>
      <c r="JJ350" s="143">
        <v>25.167677906055577</v>
      </c>
      <c r="JM350" s="143">
        <v>26.0172864192992</v>
      </c>
      <c r="JN350" s="143">
        <v>26.006467323797615</v>
      </c>
      <c r="JQ350" s="143">
        <v>21.317446016893964</v>
      </c>
      <c r="JR350" s="143">
        <v>23.278657609363343</v>
      </c>
      <c r="JS350" s="143">
        <v>24.040179829702396</v>
      </c>
      <c r="JV350" s="143">
        <v>23.28839991226041</v>
      </c>
      <c r="JW350" s="143">
        <v>24.051770627039531</v>
      </c>
      <c r="JY350" s="143">
        <v>23.253114782398814</v>
      </c>
      <c r="JZ350" s="143">
        <v>24.022887441524325</v>
      </c>
      <c r="KB350" s="143">
        <v>19.652386430059995</v>
      </c>
      <c r="KC350" s="143">
        <v>21.683789434907982</v>
      </c>
      <c r="KD350" s="143">
        <v>21.645583828915068</v>
      </c>
    </row>
    <row r="351" spans="2:290" x14ac:dyDescent="0.25">
      <c r="B351" s="11" t="s">
        <v>255</v>
      </c>
      <c r="C351" s="23"/>
      <c r="D351" s="23"/>
      <c r="E351" s="23"/>
      <c r="F351" s="23"/>
      <c r="G351" s="23"/>
      <c r="H351" s="197"/>
      <c r="I351" s="198"/>
      <c r="J351" s="198"/>
      <c r="K351" s="198"/>
      <c r="L351" s="198"/>
      <c r="M351" s="197"/>
      <c r="N351" s="198"/>
      <c r="O351" s="198"/>
      <c r="P351" s="198"/>
      <c r="Q351" s="198"/>
      <c r="R351" s="197"/>
      <c r="S351" s="198"/>
      <c r="T351" s="198"/>
      <c r="U351" s="198"/>
      <c r="V351" s="198"/>
      <c r="W351" s="197" t="e">
        <f t="shared" ref="W351:CH351" si="461">W350/W299</f>
        <v>#DIV/0!</v>
      </c>
      <c r="X351" s="198">
        <f t="shared" si="461"/>
        <v>0</v>
      </c>
      <c r="Y351" s="198">
        <f t="shared" si="461"/>
        <v>0</v>
      </c>
      <c r="Z351" s="198">
        <f t="shared" si="461"/>
        <v>0</v>
      </c>
      <c r="AA351" s="198">
        <f t="shared" si="461"/>
        <v>0</v>
      </c>
      <c r="AB351" s="42">
        <f t="shared" si="461"/>
        <v>0.26835940298937472</v>
      </c>
      <c r="AC351" s="24">
        <f t="shared" si="461"/>
        <v>-1.1018332027581546E-4</v>
      </c>
      <c r="AD351" s="24">
        <f t="shared" si="461"/>
        <v>1.5915742004900442E-4</v>
      </c>
      <c r="AE351" s="24">
        <f t="shared" si="461"/>
        <v>8.4946099635329822E-5</v>
      </c>
      <c r="AF351" s="24">
        <f t="shared" si="461"/>
        <v>1.8213391069307549E-5</v>
      </c>
      <c r="AG351" s="42">
        <f t="shared" si="461"/>
        <v>0.27443254359723507</v>
      </c>
      <c r="AH351" s="24">
        <f t="shared" si="461"/>
        <v>3.8437094867578445E-4</v>
      </c>
      <c r="AI351" s="24">
        <f t="shared" si="461"/>
        <v>0</v>
      </c>
      <c r="AJ351" s="24">
        <f t="shared" si="461"/>
        <v>3.9458368329095854E-4</v>
      </c>
      <c r="AK351" s="42">
        <f t="shared" si="461"/>
        <v>0.31058951845221783</v>
      </c>
      <c r="AL351" s="24">
        <f t="shared" si="461"/>
        <v>0</v>
      </c>
      <c r="AM351" s="24">
        <f t="shared" si="461"/>
        <v>0</v>
      </c>
      <c r="AN351" s="24">
        <f t="shared" si="461"/>
        <v>0</v>
      </c>
      <c r="AO351" s="24">
        <f t="shared" si="461"/>
        <v>0</v>
      </c>
      <c r="AP351" s="42">
        <f t="shared" si="461"/>
        <v>0.31147814524688483</v>
      </c>
      <c r="AQ351" s="24">
        <f t="shared" si="461"/>
        <v>-2.0897627840278426E-4</v>
      </c>
      <c r="AR351" s="24">
        <f t="shared" si="461"/>
        <v>3.0569554040585785E-4</v>
      </c>
      <c r="AS351" s="24">
        <f t="shared" si="461"/>
        <v>2.7761164829063768E-4</v>
      </c>
      <c r="AT351" s="24">
        <f t="shared" si="461"/>
        <v>1.6908532166310864E-5</v>
      </c>
      <c r="AU351" s="42">
        <f t="shared" si="461"/>
        <v>0.29473038513040406</v>
      </c>
      <c r="AV351" s="207">
        <f t="shared" si="461"/>
        <v>1.6473773829962221E-4</v>
      </c>
      <c r="AW351" s="207">
        <f t="shared" si="461"/>
        <v>3.0432723131387362E-4</v>
      </c>
      <c r="AX351" s="207">
        <f t="shared" si="461"/>
        <v>2.6206312662823246E-4</v>
      </c>
      <c r="AY351" s="207">
        <f t="shared" si="461"/>
        <v>1.571677564287789E-4</v>
      </c>
      <c r="AZ351" s="42">
        <f t="shared" si="461"/>
        <v>0.24283496080659972</v>
      </c>
      <c r="BA351" s="207">
        <f t="shared" si="461"/>
        <v>2.5409953977541689E-4</v>
      </c>
      <c r="BB351" s="207">
        <f t="shared" si="461"/>
        <v>2.7187671398430451E-4</v>
      </c>
      <c r="BC351" s="207">
        <f t="shared" si="461"/>
        <v>-2.2536396009851535E-6</v>
      </c>
      <c r="BD351" s="207">
        <f t="shared" si="461"/>
        <v>-5.1310526590511695E-6</v>
      </c>
      <c r="BE351" s="42">
        <f t="shared" si="461"/>
        <v>0.27606686501427213</v>
      </c>
      <c r="BF351" s="207">
        <f t="shared" si="461"/>
        <v>-2.3713985954975828E-4</v>
      </c>
      <c r="BG351" s="207">
        <f t="shared" si="461"/>
        <v>5.7544714157769275E-5</v>
      </c>
      <c r="BH351" s="207">
        <f t="shared" si="461"/>
        <v>3.7481679850929117E-4</v>
      </c>
      <c r="BI351" s="207">
        <f t="shared" si="461"/>
        <v>3.1453006210151706E-4</v>
      </c>
      <c r="BJ351" s="42">
        <f t="shared" si="461"/>
        <v>0.32222861182893758</v>
      </c>
      <c r="BK351" s="207">
        <f t="shared" si="461"/>
        <v>9.3273167479936156E-5</v>
      </c>
      <c r="BL351" s="207">
        <f t="shared" si="461"/>
        <v>3.8021502798798106E-4</v>
      </c>
      <c r="BM351" s="207">
        <f t="shared" si="461"/>
        <v>5.0857096443525539E-6</v>
      </c>
      <c r="BN351" s="207">
        <f t="shared" si="461"/>
        <v>1.9139636730644086E-4</v>
      </c>
      <c r="BO351" s="42">
        <f t="shared" si="461"/>
        <v>0.23516112557602664</v>
      </c>
      <c r="BP351" s="207">
        <f t="shared" si="461"/>
        <v>5.4401206129574221E-4</v>
      </c>
      <c r="BQ351" s="207">
        <f t="shared" si="461"/>
        <v>1.9379130233831862E-5</v>
      </c>
      <c r="BR351" s="207">
        <f t="shared" si="461"/>
        <v>2.753654687230439E-4</v>
      </c>
      <c r="BS351" s="207">
        <f t="shared" si="461"/>
        <v>-1.1996055425856997E-5</v>
      </c>
      <c r="BT351" s="42">
        <f t="shared" si="461"/>
        <v>0.21087123033922325</v>
      </c>
      <c r="BU351" s="207">
        <f t="shared" si="461"/>
        <v>9.2275303182348415E-5</v>
      </c>
      <c r="BV351" s="207">
        <f t="shared" si="461"/>
        <v>1.4395749887870034E-4</v>
      </c>
      <c r="BW351" s="207">
        <f t="shared" si="461"/>
        <v>7.2986564186058923E-5</v>
      </c>
      <c r="BX351" s="207">
        <f t="shared" si="461"/>
        <v>1.4442346716520075E-4</v>
      </c>
      <c r="BY351" s="42">
        <f t="shared" si="461"/>
        <v>0.30733001973293134</v>
      </c>
      <c r="BZ351" s="207">
        <f t="shared" si="461"/>
        <v>1.0361214604323141E-4</v>
      </c>
      <c r="CA351" s="207">
        <f t="shared" si="461"/>
        <v>-4.3762862463876831E-5</v>
      </c>
      <c r="CB351" s="207">
        <f t="shared" si="461"/>
        <v>1.008026172658757E-5</v>
      </c>
      <c r="CC351" s="207">
        <f t="shared" si="461"/>
        <v>-2.3133629622085148E-5</v>
      </c>
      <c r="CD351" s="42">
        <f t="shared" si="461"/>
        <v>0.27089518726832434</v>
      </c>
      <c r="CE351" s="207">
        <f t="shared" si="461"/>
        <v>-2.68750977306474E-5</v>
      </c>
      <c r="CF351" s="207">
        <f t="shared" si="461"/>
        <v>9.7462944965578168E-5</v>
      </c>
      <c r="CG351" s="207">
        <f t="shared" si="461"/>
        <v>7.2585452493399138E-5</v>
      </c>
      <c r="CH351" s="207">
        <f t="shared" si="461"/>
        <v>1.1910533093872662E-4</v>
      </c>
      <c r="CI351" s="42">
        <f t="shared" ref="CI351:CN351" si="462">CI350/CI299</f>
        <v>0.27193449661240821</v>
      </c>
      <c r="CJ351" s="42">
        <f t="shared" si="462"/>
        <v>0.27722287242421439</v>
      </c>
      <c r="CK351" s="42">
        <f t="shared" si="462"/>
        <v>0.27582262181498934</v>
      </c>
      <c r="CL351" s="42">
        <f t="shared" si="462"/>
        <v>0.27830386947578428</v>
      </c>
      <c r="CM351" s="42">
        <f t="shared" si="462"/>
        <v>0.28937257829856378</v>
      </c>
      <c r="CN351" s="42">
        <f t="shared" si="462"/>
        <v>0.28907715102640669</v>
      </c>
      <c r="CO351" s="74"/>
      <c r="CP351" s="74"/>
      <c r="CQ351" s="6"/>
      <c r="CR351" s="6"/>
      <c r="CS351" s="6"/>
      <c r="CT351" s="124"/>
      <c r="CU351" s="124"/>
      <c r="CV351" s="124"/>
      <c r="CW351" s="124"/>
      <c r="CX351" s="124"/>
      <c r="CY351" s="124"/>
      <c r="CZ351" s="124"/>
      <c r="DA351" s="124"/>
      <c r="DB351" s="124"/>
      <c r="DC351" s="124"/>
      <c r="DD351" s="124"/>
      <c r="DE351" s="124"/>
      <c r="DF351" s="124"/>
      <c r="DG351" s="124"/>
      <c r="DH351" s="124"/>
      <c r="DI351" s="124"/>
      <c r="DK351" s="124"/>
      <c r="DL351" s="124"/>
      <c r="DM351" s="6"/>
      <c r="DN351" s="124"/>
      <c r="DO351" s="124"/>
      <c r="DQ351" s="136"/>
      <c r="DR351" s="124"/>
      <c r="DS351" s="124"/>
      <c r="DT351" s="124"/>
      <c r="DV351" s="124"/>
      <c r="DW351" s="124"/>
      <c r="DX351" s="124"/>
      <c r="EA351" s="111"/>
      <c r="EB351" s="111"/>
      <c r="EC351" s="111"/>
      <c r="ED351" s="124"/>
      <c r="EE351" s="124"/>
      <c r="EF351" s="124"/>
      <c r="EJ351" s="111"/>
      <c r="EK351" s="111"/>
      <c r="EL351" s="124"/>
      <c r="EM351" s="124"/>
      <c r="EN351" s="124"/>
      <c r="EP351" s="111"/>
      <c r="EQ351" s="124"/>
      <c r="ER351" s="124"/>
      <c r="ES351" s="124"/>
      <c r="EV351" s="111"/>
      <c r="EW351" s="111"/>
      <c r="EX351" s="111"/>
      <c r="EY351" s="111"/>
      <c r="EZ351" s="124"/>
      <c r="FA351" s="124"/>
      <c r="FD351" s="111"/>
      <c r="FE351" s="111"/>
      <c r="FF351" s="111"/>
      <c r="FG351" s="124"/>
      <c r="FH351" s="124"/>
      <c r="FK351" s="124"/>
      <c r="FL351" s="124"/>
      <c r="FO351" s="111"/>
      <c r="FP351" s="111"/>
      <c r="FQ351" s="124"/>
      <c r="FR351" s="124"/>
      <c r="FU351" s="111"/>
      <c r="FV351" s="124"/>
      <c r="FW351" s="124"/>
      <c r="FX351" s="124"/>
      <c r="FY351" s="124"/>
      <c r="GA351" s="124"/>
      <c r="GB351" s="124"/>
      <c r="GC351" s="124"/>
      <c r="GF351" s="111"/>
      <c r="GG351" s="111"/>
      <c r="GH351" s="111"/>
      <c r="GI351" s="124"/>
      <c r="GJ351" s="124"/>
      <c r="GK351" s="124"/>
      <c r="GN351" s="111"/>
      <c r="GO351" s="111"/>
      <c r="GP351" s="124"/>
      <c r="GQ351" s="124"/>
      <c r="GR351" s="124"/>
      <c r="GV351" s="111"/>
      <c r="GW351" s="124"/>
      <c r="GX351" s="124"/>
      <c r="GY351" s="124"/>
      <c r="HC351" s="124"/>
      <c r="HD351" s="124"/>
      <c r="HE351" s="124"/>
      <c r="HF351" s="124"/>
      <c r="HI351" s="111"/>
      <c r="HJ351" s="111"/>
      <c r="HK351" s="111"/>
      <c r="HL351" s="111"/>
      <c r="HM351" s="124"/>
      <c r="HN351" s="124"/>
      <c r="HO351" s="124"/>
      <c r="HR351" s="111"/>
      <c r="HS351" s="111"/>
      <c r="HT351" s="111"/>
      <c r="HU351" s="124"/>
      <c r="HV351" s="124"/>
      <c r="HW351" s="124"/>
      <c r="HZ351" s="111"/>
      <c r="IA351" s="124"/>
      <c r="IB351" s="124"/>
      <c r="IC351" s="124"/>
      <c r="IE351" s="111"/>
      <c r="IF351" s="124"/>
      <c r="IG351" s="124"/>
      <c r="IH351" s="124"/>
      <c r="IK351" s="124"/>
      <c r="IL351" s="124"/>
      <c r="IO351" s="124"/>
      <c r="IP351" s="124"/>
      <c r="IS351" s="160"/>
      <c r="IT351" s="160"/>
      <c r="IU351" s="160"/>
      <c r="IX351" s="124"/>
      <c r="IY351" s="124"/>
      <c r="IZ351" s="124"/>
      <c r="JA351" s="124"/>
      <c r="JD351" s="124"/>
      <c r="JE351" s="124"/>
      <c r="JH351" s="124"/>
      <c r="JI351" s="124"/>
      <c r="JJ351" s="124"/>
      <c r="JM351" s="124"/>
      <c r="JN351" s="124"/>
      <c r="JQ351" s="124"/>
      <c r="JR351" s="124"/>
      <c r="JS351" s="124"/>
      <c r="JV351" s="124"/>
      <c r="JW351" s="124"/>
      <c r="JY351" s="124"/>
      <c r="JZ351" s="124"/>
      <c r="KB351" s="124"/>
      <c r="KC351" s="124"/>
      <c r="KD351" s="124"/>
    </row>
    <row r="352" spans="2:290" ht="15" x14ac:dyDescent="0.25">
      <c r="B352" s="213"/>
      <c r="C352" s="213"/>
      <c r="D352" s="213"/>
      <c r="E352" s="213"/>
      <c r="F352" s="213"/>
      <c r="G352" s="213"/>
      <c r="H352" s="213"/>
      <c r="I352" s="213"/>
      <c r="J352" s="213"/>
      <c r="K352" s="213"/>
      <c r="L352" s="213"/>
      <c r="M352" s="213"/>
      <c r="N352" s="213"/>
      <c r="O352" s="213"/>
      <c r="P352" s="213"/>
      <c r="Q352" s="213"/>
      <c r="R352" s="213"/>
      <c r="S352" s="213"/>
      <c r="T352" s="213"/>
      <c r="U352" s="213"/>
      <c r="V352" s="213"/>
      <c r="W352" s="213"/>
      <c r="X352" s="213"/>
      <c r="Y352" s="213"/>
      <c r="Z352" s="213"/>
      <c r="AA352" s="213"/>
      <c r="AB352" s="213"/>
      <c r="AC352" s="213"/>
      <c r="AD352" s="213"/>
      <c r="AE352" s="213"/>
      <c r="AF352" s="213"/>
      <c r="AG352" s="213"/>
      <c r="AH352" s="213"/>
      <c r="AI352" s="213"/>
      <c r="AJ352" s="213"/>
      <c r="AK352" s="213"/>
      <c r="AL352" s="213"/>
      <c r="AM352" s="213"/>
      <c r="AN352" s="213"/>
      <c r="AO352" s="213"/>
      <c r="AP352" s="213"/>
      <c r="AQ352" s="213"/>
      <c r="AR352" s="213"/>
      <c r="AS352" s="213"/>
      <c r="AT352" s="213"/>
      <c r="AU352" s="213"/>
      <c r="AV352" s="213"/>
      <c r="AW352" s="213"/>
      <c r="AX352" s="213"/>
      <c r="AY352" s="213"/>
      <c r="AZ352" s="213"/>
      <c r="BA352" s="213"/>
      <c r="BB352" s="213"/>
      <c r="BC352" s="213"/>
      <c r="BD352" s="213"/>
      <c r="BE352" s="213"/>
      <c r="BF352" s="213"/>
      <c r="BG352" s="213"/>
      <c r="BH352" s="213"/>
      <c r="BI352" s="213"/>
      <c r="BJ352" s="213"/>
      <c r="BK352" s="213"/>
      <c r="BL352" s="213"/>
      <c r="BM352" s="213"/>
      <c r="BN352" s="213"/>
      <c r="BO352" s="213"/>
      <c r="BP352" s="213"/>
      <c r="BQ352" s="213"/>
      <c r="BR352" s="213"/>
      <c r="BS352" s="213"/>
      <c r="BT352" s="213"/>
      <c r="BU352" s="213"/>
      <c r="BV352" s="213"/>
      <c r="BW352" s="213"/>
      <c r="BX352" s="213"/>
      <c r="BY352" s="213"/>
      <c r="BZ352" s="213"/>
      <c r="CA352" s="213"/>
      <c r="CB352" s="213"/>
      <c r="CC352" s="213"/>
      <c r="CD352" s="213"/>
      <c r="CE352" s="213"/>
      <c r="CF352" s="213"/>
      <c r="CG352" s="213"/>
      <c r="CH352" s="213"/>
      <c r="CI352" s="213"/>
      <c r="CJ352" s="215"/>
      <c r="CK352" s="216"/>
      <c r="CL352" s="216"/>
      <c r="CM352" s="216"/>
      <c r="CN352" s="216"/>
      <c r="CO352" s="188"/>
      <c r="CP352" s="188"/>
    </row>
    <row r="353" spans="2:290" s="60" customFormat="1" x14ac:dyDescent="0.25">
      <c r="B353" s="34" t="s">
        <v>251</v>
      </c>
      <c r="C353" s="99"/>
      <c r="D353" s="99"/>
      <c r="E353" s="99"/>
      <c r="F353" s="99"/>
      <c r="G353" s="99"/>
      <c r="H353" s="196"/>
      <c r="I353" s="196"/>
      <c r="J353" s="196"/>
      <c r="K353" s="196"/>
      <c r="L353" s="196"/>
      <c r="M353" s="196"/>
      <c r="N353" s="196"/>
      <c r="O353" s="196"/>
      <c r="P353" s="196"/>
      <c r="Q353" s="196"/>
      <c r="R353" s="196"/>
      <c r="S353" s="196"/>
      <c r="T353" s="196"/>
      <c r="U353" s="196"/>
      <c r="V353" s="196"/>
      <c r="W353" s="196"/>
      <c r="X353" s="196"/>
      <c r="Y353" s="196"/>
      <c r="Z353" s="196"/>
      <c r="AA353" s="196"/>
      <c r="AB353" s="196"/>
      <c r="AC353" s="196"/>
      <c r="AD353" s="196"/>
      <c r="AE353" s="196"/>
      <c r="AF353" s="196"/>
      <c r="AG353" s="196"/>
      <c r="AH353" s="196"/>
      <c r="AI353" s="196"/>
      <c r="AJ353" s="196"/>
      <c r="AK353" s="196"/>
      <c r="AL353" s="196"/>
      <c r="AM353" s="196"/>
      <c r="AN353" s="196"/>
      <c r="AO353" s="196"/>
      <c r="AP353" s="196"/>
      <c r="AQ353" s="196"/>
      <c r="AR353" s="196"/>
      <c r="AS353" s="196"/>
      <c r="AT353" s="196"/>
      <c r="AU353" s="196"/>
      <c r="AV353" s="196"/>
      <c r="AW353" s="196"/>
      <c r="AX353" s="196"/>
      <c r="AY353" s="196"/>
      <c r="AZ353" s="196"/>
      <c r="BA353" s="196"/>
      <c r="BB353" s="196"/>
      <c r="BC353" s="196"/>
      <c r="BD353" s="196"/>
      <c r="BE353" s="196"/>
      <c r="BF353" s="196"/>
      <c r="BG353" s="196"/>
      <c r="BH353" s="196"/>
      <c r="BI353" s="196"/>
      <c r="BJ353" s="196"/>
      <c r="BK353" s="196"/>
      <c r="BL353" s="196"/>
      <c r="BM353" s="196"/>
      <c r="BN353" s="196"/>
      <c r="BO353" s="196"/>
      <c r="BP353" s="196"/>
      <c r="BQ353" s="196"/>
      <c r="BR353" s="196"/>
      <c r="BS353" s="196"/>
      <c r="BT353" s="196"/>
      <c r="BU353" s="196"/>
      <c r="BV353" s="196"/>
      <c r="BW353" s="196"/>
      <c r="BX353" s="196"/>
      <c r="BY353" s="196"/>
      <c r="BZ353" s="196"/>
      <c r="CA353" s="196"/>
      <c r="CB353" s="196"/>
      <c r="CC353" s="196"/>
      <c r="CD353" s="196"/>
      <c r="CE353" s="196"/>
      <c r="CF353" s="196"/>
      <c r="CG353" s="196"/>
      <c r="CH353" s="196"/>
      <c r="CI353" s="196"/>
      <c r="CJ353" s="196"/>
      <c r="CK353" s="196"/>
      <c r="CL353" s="196"/>
      <c r="CM353" s="196"/>
      <c r="CN353" s="196"/>
      <c r="CO353" s="148"/>
      <c r="CP353" s="148"/>
      <c r="CQ353" s="58"/>
      <c r="CR353" s="58"/>
      <c r="CS353" s="58"/>
      <c r="CT353" s="143"/>
      <c r="CU353" s="143"/>
      <c r="CV353" s="143"/>
      <c r="CW353" s="143"/>
      <c r="CX353" s="143"/>
      <c r="CY353" s="143"/>
      <c r="CZ353" s="143"/>
      <c r="DA353" s="143"/>
      <c r="DB353" s="143"/>
      <c r="DC353" s="143"/>
      <c r="DD353" s="143"/>
      <c r="DE353" s="143"/>
      <c r="DF353" s="143"/>
      <c r="DG353" s="143"/>
      <c r="DH353" s="143"/>
      <c r="DI353" s="143"/>
      <c r="DK353" s="143"/>
      <c r="DL353" s="143"/>
      <c r="DM353" s="58"/>
      <c r="DN353" s="143"/>
      <c r="DO353" s="143"/>
      <c r="DQ353" s="4"/>
      <c r="DR353" s="143"/>
      <c r="DS353" s="143"/>
      <c r="DT353" s="143"/>
      <c r="DV353" s="143"/>
      <c r="DW353" s="143"/>
      <c r="DX353" s="143"/>
      <c r="EA353" s="119"/>
      <c r="EB353" s="119"/>
      <c r="EC353" s="119"/>
      <c r="ED353" s="143"/>
      <c r="EE353" s="143"/>
      <c r="EF353" s="143"/>
      <c r="EJ353" s="119"/>
      <c r="EK353" s="119"/>
      <c r="EL353" s="143"/>
      <c r="EM353" s="143"/>
      <c r="EN353" s="143"/>
      <c r="EP353" s="119"/>
      <c r="EQ353" s="143"/>
      <c r="ER353" s="143"/>
      <c r="ES353" s="143"/>
      <c r="EV353" s="119"/>
      <c r="EW353" s="119"/>
      <c r="EX353" s="119"/>
      <c r="EY353" s="119"/>
      <c r="EZ353" s="143"/>
      <c r="FA353" s="143"/>
      <c r="FD353" s="119"/>
      <c r="FE353" s="119"/>
      <c r="FF353" s="119"/>
      <c r="FG353" s="143"/>
      <c r="FH353" s="143"/>
      <c r="FK353" s="143"/>
      <c r="FL353" s="143"/>
      <c r="FO353" s="119" t="s">
        <v>85</v>
      </c>
      <c r="FP353" s="119" t="s">
        <v>86</v>
      </c>
      <c r="FQ353" s="143" t="s">
        <v>87</v>
      </c>
      <c r="FR353" s="143" t="s">
        <v>92</v>
      </c>
      <c r="FU353" s="119" t="s">
        <v>86</v>
      </c>
      <c r="FV353" s="143" t="s">
        <v>87</v>
      </c>
      <c r="FW353" s="143" t="s">
        <v>92</v>
      </c>
      <c r="FX353" s="143" t="s">
        <v>92</v>
      </c>
      <c r="FY353" s="143" t="s">
        <v>92</v>
      </c>
      <c r="GA353" s="143" t="s">
        <v>92</v>
      </c>
      <c r="GB353" s="143" t="s">
        <v>92</v>
      </c>
      <c r="GC353" s="143" t="s">
        <v>92</v>
      </c>
      <c r="GF353" s="119"/>
      <c r="GG353" s="119"/>
      <c r="GH353" s="119"/>
      <c r="GI353" s="143" t="s">
        <v>92</v>
      </c>
      <c r="GJ353" s="143" t="s">
        <v>92</v>
      </c>
      <c r="GK353" s="143" t="s">
        <v>92</v>
      </c>
      <c r="GN353" s="119"/>
      <c r="GO353" s="119"/>
      <c r="GP353" s="143" t="s">
        <v>92</v>
      </c>
      <c r="GQ353" s="143" t="s">
        <v>92</v>
      </c>
      <c r="GR353" s="143" t="s">
        <v>92</v>
      </c>
      <c r="GV353" s="119"/>
      <c r="GW353" s="143" t="s">
        <v>92</v>
      </c>
      <c r="GX353" s="143" t="s">
        <v>97</v>
      </c>
      <c r="GY353" s="143" t="s">
        <v>102</v>
      </c>
      <c r="HC353" s="143"/>
      <c r="HD353" s="143" t="s">
        <v>97</v>
      </c>
      <c r="HE353" s="143" t="s">
        <v>102</v>
      </c>
      <c r="HF353" s="143" t="s">
        <v>107</v>
      </c>
      <c r="HI353" s="119"/>
      <c r="HJ353" s="119"/>
      <c r="HK353" s="119"/>
      <c r="HL353" s="119"/>
      <c r="HM353" s="143" t="s">
        <v>102</v>
      </c>
      <c r="HN353" s="143" t="s">
        <v>107</v>
      </c>
      <c r="HO353" s="143" t="s">
        <v>107</v>
      </c>
      <c r="HR353" s="119"/>
      <c r="HS353" s="119"/>
      <c r="HT353" s="119"/>
      <c r="HU353" s="143" t="s">
        <v>102</v>
      </c>
      <c r="HV353" s="143" t="s">
        <v>107</v>
      </c>
      <c r="HW353" s="143" t="s">
        <v>107</v>
      </c>
      <c r="HZ353" s="119"/>
      <c r="IA353" s="143" t="s">
        <v>102</v>
      </c>
      <c r="IB353" s="143" t="s">
        <v>107</v>
      </c>
      <c r="IC353" s="143" t="s">
        <v>107</v>
      </c>
      <c r="IE353" s="119"/>
      <c r="IF353" s="143" t="s">
        <v>102</v>
      </c>
      <c r="IG353" s="143" t="s">
        <v>107</v>
      </c>
      <c r="IH353" s="143" t="s">
        <v>107</v>
      </c>
      <c r="IK353" s="143" t="s">
        <v>107</v>
      </c>
      <c r="IL353" s="143" t="s">
        <v>107</v>
      </c>
      <c r="IO353" s="143" t="s">
        <v>107</v>
      </c>
      <c r="IP353" s="143" t="s">
        <v>107</v>
      </c>
      <c r="IS353" s="157">
        <v>1111.6363439999998</v>
      </c>
      <c r="IT353" s="157">
        <v>1504.4145188799996</v>
      </c>
      <c r="IU353" s="157">
        <v>1745.1208419007994</v>
      </c>
      <c r="IX353" s="143"/>
      <c r="IY353" s="143" t="s">
        <v>107</v>
      </c>
      <c r="IZ353" s="143" t="s">
        <v>107</v>
      </c>
      <c r="JA353" s="143" t="s">
        <v>107</v>
      </c>
      <c r="JD353" s="143" t="s">
        <v>107</v>
      </c>
      <c r="JE353" s="143" t="s">
        <v>107</v>
      </c>
      <c r="JH353" s="143" t="s">
        <v>107</v>
      </c>
      <c r="JI353" s="143" t="s">
        <v>107</v>
      </c>
      <c r="JJ353" s="143" t="s">
        <v>107</v>
      </c>
      <c r="JM353" s="143" t="s">
        <v>107</v>
      </c>
      <c r="JN353" s="143" t="s">
        <v>107</v>
      </c>
      <c r="JQ353" s="143" t="s">
        <v>107</v>
      </c>
      <c r="JR353" s="143" t="s">
        <v>107</v>
      </c>
      <c r="JS353" s="143" t="s">
        <v>107</v>
      </c>
      <c r="JV353" s="143" t="s">
        <v>107</v>
      </c>
      <c r="JW353" s="143" t="s">
        <v>107</v>
      </c>
      <c r="JY353" s="143" t="s">
        <v>107</v>
      </c>
      <c r="JZ353" s="143" t="s">
        <v>107</v>
      </c>
      <c r="KB353" s="143" t="s">
        <v>107</v>
      </c>
      <c r="KC353" s="143" t="s">
        <v>107</v>
      </c>
      <c r="KD353" s="143" t="s">
        <v>107</v>
      </c>
    </row>
    <row r="354" spans="2:290" x14ac:dyDescent="0.25">
      <c r="B354" s="11" t="s">
        <v>233</v>
      </c>
      <c r="C354" s="23"/>
      <c r="D354" s="23"/>
      <c r="E354" s="23"/>
      <c r="F354" s="23"/>
      <c r="G354" s="23"/>
      <c r="H354" s="197"/>
      <c r="I354" s="198"/>
      <c r="J354" s="198"/>
      <c r="K354" s="198"/>
      <c r="L354" s="198"/>
      <c r="M354" s="197"/>
      <c r="N354" s="198"/>
      <c r="O354" s="198"/>
      <c r="P354" s="198"/>
      <c r="Q354" s="198"/>
      <c r="R354" s="197"/>
      <c r="S354" s="198"/>
      <c r="T354" s="198"/>
      <c r="U354" s="198"/>
      <c r="V354" s="198"/>
      <c r="W354" s="197">
        <v>270.56</v>
      </c>
      <c r="X354" s="198">
        <v>56.150999999999996</v>
      </c>
      <c r="Y354" s="198">
        <v>61.695000000000007</v>
      </c>
      <c r="Z354" s="198">
        <v>74.254000000000005</v>
      </c>
      <c r="AA354" s="198">
        <v>117.98</v>
      </c>
      <c r="AB354" s="197">
        <v>311.06</v>
      </c>
      <c r="AC354" s="198">
        <v>44.321759999999998</v>
      </c>
      <c r="AD354" s="198">
        <v>37.391999999999996</v>
      </c>
      <c r="AE354" s="198">
        <v>76.112000000000009</v>
      </c>
      <c r="AF354" s="198">
        <v>125.658</v>
      </c>
      <c r="AG354" s="197">
        <v>283.24384000000003</v>
      </c>
      <c r="AH354" s="198">
        <v>54.199800000000003</v>
      </c>
      <c r="AI354" s="198">
        <v>63.96</v>
      </c>
      <c r="AJ354" s="198">
        <v>109.62336000000002</v>
      </c>
      <c r="AK354" s="197">
        <v>227.78316000000001</v>
      </c>
      <c r="AL354" s="198" t="e">
        <f>#REF!*AL272</f>
        <v>#REF!</v>
      </c>
      <c r="AM354" s="198" t="e">
        <f>#REF!*AM272</f>
        <v>#REF!</v>
      </c>
      <c r="AN354" s="198" t="e">
        <f>#REF!*AN272</f>
        <v>#REF!</v>
      </c>
      <c r="AO354" s="198" t="e">
        <f>#REF!*AO272</f>
        <v>#REF!</v>
      </c>
      <c r="AP354" s="197">
        <v>398.91713400000003</v>
      </c>
      <c r="AQ354" s="198" t="e">
        <f>#REF!*AQ272</f>
        <v>#REF!</v>
      </c>
      <c r="AR354" s="198" t="e">
        <f>#REF!*AR272</f>
        <v>#REF!</v>
      </c>
      <c r="AS354" s="198" t="e">
        <f>#REF!*AS272</f>
        <v>#REF!</v>
      </c>
      <c r="AT354" s="198" t="e">
        <f>#REF!*AT272</f>
        <v>#REF!</v>
      </c>
      <c r="AU354" s="197">
        <v>388.62457499999999</v>
      </c>
      <c r="AV354" s="199" t="e">
        <f>#REF!*AV272</f>
        <v>#REF!</v>
      </c>
      <c r="AW354" s="199" t="e">
        <f>#REF!*AW272</f>
        <v>#REF!</v>
      </c>
      <c r="AX354" s="199" t="e">
        <f>#REF!*AX272</f>
        <v>#REF!</v>
      </c>
      <c r="AY354" s="199" t="e">
        <f>AZ354-AV354-AW354-AX354</f>
        <v>#REF!</v>
      </c>
      <c r="AZ354" s="197">
        <v>404.5575</v>
      </c>
      <c r="BA354" s="199" t="e">
        <f>#REF!*BA272</f>
        <v>#REF!</v>
      </c>
      <c r="BB354" s="199" t="e">
        <f>#REF!*BB272</f>
        <v>#REF!</v>
      </c>
      <c r="BC354" s="199" t="e">
        <f>#REF!*BC272</f>
        <v>#REF!</v>
      </c>
      <c r="BD354" s="199" t="e">
        <f>BE354-BA354-BB354-BC354</f>
        <v>#REF!</v>
      </c>
      <c r="BE354" s="197">
        <v>555.65753099999995</v>
      </c>
      <c r="BF354" s="199" t="e">
        <f>#REF!*BF272</f>
        <v>#REF!</v>
      </c>
      <c r="BG354" s="199" t="e">
        <f>#REF!*BG272</f>
        <v>#REF!</v>
      </c>
      <c r="BH354" s="199" t="e">
        <f>#REF!*BH272</f>
        <v>#REF!</v>
      </c>
      <c r="BI354" s="199" t="e">
        <f>BJ354-BF354-BG354-BH354</f>
        <v>#REF!</v>
      </c>
      <c r="BJ354" s="197">
        <v>901.73379999999997</v>
      </c>
      <c r="BK354" s="199" t="e">
        <f>#REF!*BK272</f>
        <v>#REF!</v>
      </c>
      <c r="BL354" s="199"/>
      <c r="BM354" s="199"/>
      <c r="BN354" s="199"/>
      <c r="BO354" s="197">
        <f>BO345*BO247/10000</f>
        <v>918.88824999999997</v>
      </c>
      <c r="BP354" s="199"/>
      <c r="BQ354" s="199"/>
      <c r="BR354" s="199"/>
      <c r="BS354" s="199"/>
      <c r="BT354" s="197">
        <f>BT345*BT247/10000</f>
        <v>693.83510000000001</v>
      </c>
      <c r="BU354" s="199"/>
      <c r="BV354" s="199"/>
      <c r="BW354" s="199"/>
      <c r="BX354" s="199"/>
      <c r="BY354" s="197">
        <f>BY345*BY247/10000</f>
        <v>1162.32232</v>
      </c>
      <c r="BZ354" s="199"/>
      <c r="CA354" s="199"/>
      <c r="CB354" s="199"/>
      <c r="CC354" s="199"/>
      <c r="CD354" s="197">
        <f>CD345*CD247/10000</f>
        <v>1035.7093500000001</v>
      </c>
      <c r="CE354" s="199"/>
      <c r="CF354" s="199"/>
      <c r="CG354" s="199"/>
      <c r="CH354" s="199"/>
      <c r="CI354" s="197">
        <f t="shared" ref="CI354:CN357" si="463">CI345*CI247/10000</f>
        <v>1154.2253000000001</v>
      </c>
      <c r="CJ354" s="197">
        <f t="shared" si="463"/>
        <v>1428.8094240000003</v>
      </c>
      <c r="CK354" s="197">
        <f t="shared" si="463"/>
        <v>1685.9951203200001</v>
      </c>
      <c r="CL354" s="197">
        <f t="shared" si="463"/>
        <v>1989.4742419776001</v>
      </c>
      <c r="CM354" s="197">
        <f t="shared" si="463"/>
        <v>2292.6322217075203</v>
      </c>
      <c r="CN354" s="197">
        <f t="shared" si="463"/>
        <v>2521.8954438782721</v>
      </c>
      <c r="CO354" s="137"/>
      <c r="CP354" s="137"/>
      <c r="CQ354" s="6"/>
      <c r="CR354" s="6"/>
      <c r="CS354" s="6"/>
      <c r="CT354" s="124"/>
      <c r="CU354" s="124"/>
      <c r="CV354" s="124"/>
      <c r="CW354" s="124"/>
      <c r="CX354" s="124"/>
      <c r="CY354" s="124"/>
      <c r="CZ354" s="124"/>
      <c r="DA354" s="124"/>
      <c r="DB354" s="124"/>
      <c r="DC354" s="124"/>
      <c r="DD354" s="124"/>
      <c r="DE354" s="124"/>
      <c r="DF354" s="124"/>
      <c r="DG354" s="124"/>
      <c r="DH354" s="124"/>
      <c r="DI354" s="124"/>
      <c r="DK354" s="124"/>
      <c r="DL354" s="124"/>
      <c r="DM354" s="6"/>
      <c r="DN354" s="124"/>
      <c r="DO354" s="124"/>
      <c r="DQ354" s="136"/>
      <c r="DR354" s="124"/>
      <c r="DS354" s="124"/>
      <c r="DT354" s="124"/>
      <c r="DV354" s="124"/>
      <c r="DW354" s="124"/>
      <c r="DX354" s="124"/>
      <c r="EA354" s="111"/>
      <c r="EB354" s="111"/>
      <c r="EC354" s="111"/>
      <c r="ED354" s="124"/>
      <c r="EE354" s="124"/>
      <c r="EF354" s="124"/>
      <c r="EJ354" s="111">
        <v>0.49373604070587357</v>
      </c>
      <c r="EK354" s="111"/>
      <c r="EL354" s="124"/>
      <c r="EM354" s="124"/>
      <c r="EN354" s="124"/>
      <c r="EP354" s="111"/>
      <c r="EQ354" s="124"/>
      <c r="ER354" s="124"/>
      <c r="ES354" s="124"/>
      <c r="EV354" s="111"/>
      <c r="EW354" s="111"/>
      <c r="EX354" s="111"/>
      <c r="EY354" s="111"/>
      <c r="EZ354" s="124"/>
      <c r="FA354" s="124"/>
      <c r="FD354" s="111"/>
      <c r="FE354" s="111"/>
      <c r="FF354" s="111"/>
      <c r="FG354" s="124"/>
      <c r="FH354" s="124"/>
      <c r="FK354" s="124"/>
      <c r="FL354" s="124"/>
      <c r="FO354" s="111">
        <v>143.84384284310741</v>
      </c>
      <c r="FP354" s="111">
        <v>200.08176115689255</v>
      </c>
      <c r="FQ354" s="124">
        <v>579.07835999999998</v>
      </c>
      <c r="FR354" s="124">
        <v>702.93678699999987</v>
      </c>
      <c r="FU354" s="111">
        <v>135.77865400000002</v>
      </c>
      <c r="FV354" s="124">
        <v>498.51093600000002</v>
      </c>
      <c r="FW354" s="124">
        <v>398.80874880000005</v>
      </c>
      <c r="FX354" s="124">
        <v>595.55439820800018</v>
      </c>
      <c r="FY354" s="124">
        <v>667.0209259929602</v>
      </c>
      <c r="GA354" s="124">
        <v>470.40740800000003</v>
      </c>
      <c r="GB354" s="124">
        <v>668.25522959999989</v>
      </c>
      <c r="GC354" s="124">
        <v>748.44585715200003</v>
      </c>
      <c r="GF354" s="111"/>
      <c r="GG354" s="111"/>
      <c r="GH354" s="111"/>
      <c r="GI354" s="124">
        <v>545.29963600000008</v>
      </c>
      <c r="GJ354" s="124">
        <v>755.16630671999997</v>
      </c>
      <c r="GK354" s="124">
        <v>845.78626352640003</v>
      </c>
      <c r="GN354" s="111"/>
      <c r="GO354" s="111"/>
      <c r="GP354" s="124">
        <v>705.61111200000005</v>
      </c>
      <c r="GQ354" s="124">
        <v>785.98942127999999</v>
      </c>
      <c r="GR354" s="124">
        <v>880.30815183360016</v>
      </c>
      <c r="GV354" s="111"/>
      <c r="GW354" s="124">
        <v>803.96355599999993</v>
      </c>
      <c r="GX354" s="124">
        <v>656.27247311999986</v>
      </c>
      <c r="GY354" s="124">
        <v>873.87860894399978</v>
      </c>
      <c r="HC354" s="124"/>
      <c r="HD354" s="124">
        <v>877.62539549999997</v>
      </c>
      <c r="HE354" s="124">
        <v>854.57135526000025</v>
      </c>
      <c r="HF354" s="124">
        <v>948.57420433860034</v>
      </c>
      <c r="HI354" s="111"/>
      <c r="HJ354" s="111"/>
      <c r="HK354" s="111"/>
      <c r="HL354" s="111"/>
      <c r="HM354" s="124">
        <v>612.22643999999991</v>
      </c>
      <c r="HN354" s="124">
        <v>679.57134840000015</v>
      </c>
      <c r="HO354" s="124">
        <v>733.93705627200018</v>
      </c>
      <c r="HR354" s="111"/>
      <c r="HS354" s="111"/>
      <c r="HT354" s="111"/>
      <c r="HU354" s="124">
        <v>612.22643999999991</v>
      </c>
      <c r="HV354" s="124">
        <v>830.58720360000007</v>
      </c>
      <c r="HW354" s="124">
        <v>917.42132034000008</v>
      </c>
      <c r="HZ354" s="111"/>
      <c r="IA354" s="124">
        <v>680.25160000000005</v>
      </c>
      <c r="IB354" s="124">
        <v>868.34116740000002</v>
      </c>
      <c r="IC354" s="124">
        <v>1019.3570226000002</v>
      </c>
      <c r="IE354" s="111"/>
      <c r="IF354" s="124">
        <v>690.12621999999988</v>
      </c>
      <c r="IG354" s="124">
        <v>952.37418359999992</v>
      </c>
      <c r="IH354" s="124">
        <v>1118.0044763999999</v>
      </c>
      <c r="IK354" s="124">
        <v>952.37418359999992</v>
      </c>
      <c r="IL354" s="124">
        <v>1118.0044763999999</v>
      </c>
      <c r="IO354" s="124">
        <v>1098.1346879999999</v>
      </c>
      <c r="IP354" s="124">
        <v>1434.8959923200002</v>
      </c>
      <c r="IS354" s="160">
        <v>155.94575</v>
      </c>
      <c r="IT354" s="160">
        <v>164.67871200000002</v>
      </c>
      <c r="IU354" s="160">
        <v>181.14658320000004</v>
      </c>
      <c r="IX354" s="124"/>
      <c r="IY354" s="124">
        <v>1131.1387359999999</v>
      </c>
      <c r="IZ354" s="124">
        <v>1583.5942303999998</v>
      </c>
      <c r="JA354" s="124">
        <v>1836.9693072639993</v>
      </c>
      <c r="JD354" s="124">
        <v>1690.878375</v>
      </c>
      <c r="JE354" s="124">
        <v>2029.05405</v>
      </c>
      <c r="JH354" s="124">
        <v>1503.0029999999999</v>
      </c>
      <c r="JI354" s="124">
        <v>1841.1786750000001</v>
      </c>
      <c r="JJ354" s="124">
        <v>2117.3554762499998</v>
      </c>
      <c r="JM354" s="124">
        <v>1718.5636902599997</v>
      </c>
      <c r="JN354" s="124">
        <v>1976.3482437989994</v>
      </c>
      <c r="JQ354" s="124">
        <v>1045.3385865000002</v>
      </c>
      <c r="JR354" s="124">
        <v>1320.8791164800002</v>
      </c>
      <c r="JS354" s="124">
        <v>1546.6293654784006</v>
      </c>
      <c r="JV354" s="124">
        <v>1308.711712</v>
      </c>
      <c r="JW354" s="124">
        <v>1532.3824409600002</v>
      </c>
      <c r="JY354" s="124">
        <v>1355.4514159999999</v>
      </c>
      <c r="JZ354" s="124">
        <v>1587.1103852799999</v>
      </c>
      <c r="KB354" s="124">
        <v>1160.5256049999998</v>
      </c>
      <c r="KC354" s="124">
        <v>1462.2622623</v>
      </c>
      <c r="KD354" s="124">
        <v>1666.9789790220002</v>
      </c>
    </row>
    <row r="355" spans="2:290" x14ac:dyDescent="0.25">
      <c r="B355" s="11" t="s">
        <v>224</v>
      </c>
      <c r="C355" s="23"/>
      <c r="D355" s="23"/>
      <c r="E355" s="23"/>
      <c r="F355" s="23"/>
      <c r="G355" s="23"/>
      <c r="H355" s="197"/>
      <c r="I355" s="198"/>
      <c r="J355" s="198"/>
      <c r="K355" s="198"/>
      <c r="L355" s="198"/>
      <c r="M355" s="197"/>
      <c r="N355" s="198"/>
      <c r="O355" s="198"/>
      <c r="P355" s="198"/>
      <c r="Q355" s="198"/>
      <c r="R355" s="197"/>
      <c r="S355" s="198"/>
      <c r="T355" s="198"/>
      <c r="U355" s="198"/>
      <c r="V355" s="198"/>
      <c r="W355" s="197">
        <v>72.78</v>
      </c>
      <c r="X355" s="198">
        <v>12.059999999999999</v>
      </c>
      <c r="Y355" s="198">
        <v>12.059999999999999</v>
      </c>
      <c r="Z355" s="198">
        <v>15.196999999999999</v>
      </c>
      <c r="AA355" s="198">
        <v>26.400000000000002</v>
      </c>
      <c r="AB355" s="197">
        <v>65.400000000000006</v>
      </c>
      <c r="AC355" s="198">
        <v>14.764679999999998</v>
      </c>
      <c r="AD355" s="198">
        <v>18.170000000000002</v>
      </c>
      <c r="AE355" s="198">
        <v>21.948</v>
      </c>
      <c r="AF355" s="198">
        <v>24.64</v>
      </c>
      <c r="AG355" s="197">
        <v>79.674480000000003</v>
      </c>
      <c r="AH355" s="198">
        <v>13.616859999999999</v>
      </c>
      <c r="AI355" s="198">
        <v>13.75</v>
      </c>
      <c r="AJ355" s="198">
        <v>24.044800000000006</v>
      </c>
      <c r="AK355" s="197">
        <v>51.411660000000005</v>
      </c>
      <c r="AL355" s="198" t="e">
        <f>#REF!*AL273</f>
        <v>#REF!</v>
      </c>
      <c r="AM355" s="198" t="e">
        <f>#REF!*AM273</f>
        <v>#REF!</v>
      </c>
      <c r="AN355" s="198" t="e">
        <f>#REF!*AN273</f>
        <v>#REF!</v>
      </c>
      <c r="AO355" s="198" t="e">
        <f>#REF!*AO273</f>
        <v>#REF!</v>
      </c>
      <c r="AP355" s="197">
        <v>83.438159000000013</v>
      </c>
      <c r="AQ355" s="198" t="e">
        <f>#REF!*AQ273</f>
        <v>#REF!</v>
      </c>
      <c r="AR355" s="198" t="e">
        <f>#REF!*AR273</f>
        <v>#REF!</v>
      </c>
      <c r="AS355" s="198" t="e">
        <f>#REF!*AS273</f>
        <v>#REF!</v>
      </c>
      <c r="AT355" s="198" t="e">
        <f>#REF!*AT273</f>
        <v>#REF!</v>
      </c>
      <c r="AU355" s="197">
        <v>109.174065</v>
      </c>
      <c r="AV355" s="199" t="e">
        <f>#REF!*AV273</f>
        <v>#REF!</v>
      </c>
      <c r="AW355" s="199" t="e">
        <f>#REF!*AW273</f>
        <v>#REF!</v>
      </c>
      <c r="AX355" s="199" t="e">
        <f>#REF!*AX273</f>
        <v>#REF!</v>
      </c>
      <c r="AY355" s="199" t="e">
        <f>AZ355-AV355-AW355-AX355</f>
        <v>#REF!</v>
      </c>
      <c r="AZ355" s="197">
        <v>98.500500000000002</v>
      </c>
      <c r="BA355" s="199" t="e">
        <f>#REF!*BA273</f>
        <v>#REF!</v>
      </c>
      <c r="BB355" s="199" t="e">
        <f>#REF!*BB273</f>
        <v>#REF!</v>
      </c>
      <c r="BC355" s="199" t="e">
        <f>#REF!*BC273</f>
        <v>#REF!</v>
      </c>
      <c r="BD355" s="199" t="e">
        <f>BE355-BA355-BB355-BC355</f>
        <v>#REF!</v>
      </c>
      <c r="BE355" s="197">
        <v>66.241896000000011</v>
      </c>
      <c r="BF355" s="199" t="e">
        <f>#REF!*BF273</f>
        <v>#REF!</v>
      </c>
      <c r="BG355" s="199" t="e">
        <f>#REF!*BG273</f>
        <v>#REF!</v>
      </c>
      <c r="BH355" s="199" t="e">
        <f>#REF!*BH273</f>
        <v>#REF!</v>
      </c>
      <c r="BI355" s="199" t="e">
        <f>BJ355-BF355-BG355-BH355</f>
        <v>#REF!</v>
      </c>
      <c r="BJ355" s="197">
        <v>98.945599999999999</v>
      </c>
      <c r="BK355" s="199" t="e">
        <f>#REF!*BK273</f>
        <v>#REF!</v>
      </c>
      <c r="BL355" s="199"/>
      <c r="BM355" s="199"/>
      <c r="BN355" s="199"/>
      <c r="BO355" s="197">
        <f>BO346*BO248/10000</f>
        <v>129.9888</v>
      </c>
      <c r="BP355" s="199"/>
      <c r="BQ355" s="199"/>
      <c r="BR355" s="199"/>
      <c r="BS355" s="199"/>
      <c r="BT355" s="197">
        <f>BT346*BT248/10000</f>
        <v>130.1808</v>
      </c>
      <c r="BU355" s="199"/>
      <c r="BV355" s="199"/>
      <c r="BW355" s="199"/>
      <c r="BX355" s="199"/>
      <c r="BY355" s="197">
        <f>BY346*BY248/10000</f>
        <v>146.26750000000001</v>
      </c>
      <c r="BZ355" s="199"/>
      <c r="CA355" s="199"/>
      <c r="CB355" s="199"/>
      <c r="CC355" s="199"/>
      <c r="CD355" s="197">
        <f>CD346*CD248/10000</f>
        <v>141.12110000000001</v>
      </c>
      <c r="CE355" s="199"/>
      <c r="CF355" s="199"/>
      <c r="CG355" s="199"/>
      <c r="CH355" s="199"/>
      <c r="CI355" s="197">
        <f t="shared" si="463"/>
        <v>121.116</v>
      </c>
      <c r="CJ355" s="197">
        <f t="shared" si="463"/>
        <v>130.80528000000001</v>
      </c>
      <c r="CK355" s="197">
        <f t="shared" si="463"/>
        <v>141.26970240000003</v>
      </c>
      <c r="CL355" s="197">
        <f t="shared" si="463"/>
        <v>160.1998425216</v>
      </c>
      <c r="CM355" s="197">
        <f t="shared" si="463"/>
        <v>181.25467896729603</v>
      </c>
      <c r="CN355" s="197">
        <f t="shared" si="463"/>
        <v>195.75505328467969</v>
      </c>
      <c r="CO355" s="137"/>
      <c r="CP355" s="137"/>
      <c r="CQ355" s="6"/>
      <c r="CR355" s="6"/>
      <c r="CS355" s="6"/>
      <c r="CT355" s="124"/>
      <c r="CU355" s="124"/>
      <c r="CV355" s="124"/>
      <c r="CW355" s="124"/>
      <c r="CX355" s="124"/>
      <c r="CY355" s="124"/>
      <c r="CZ355" s="124"/>
      <c r="DA355" s="124"/>
      <c r="DB355" s="124"/>
      <c r="DC355" s="124"/>
      <c r="DD355" s="124"/>
      <c r="DE355" s="124"/>
      <c r="DF355" s="124"/>
      <c r="DG355" s="124"/>
      <c r="DH355" s="124"/>
      <c r="DI355" s="124"/>
      <c r="DK355" s="124"/>
      <c r="DL355" s="124"/>
      <c r="DM355" s="6"/>
      <c r="DN355" s="124"/>
      <c r="DO355" s="124"/>
      <c r="DQ355" s="136"/>
      <c r="DR355" s="124"/>
      <c r="DS355" s="124"/>
      <c r="DT355" s="124"/>
      <c r="DV355" s="124"/>
      <c r="DW355" s="124"/>
      <c r="DX355" s="124"/>
      <c r="EA355" s="111"/>
      <c r="EB355" s="111"/>
      <c r="EC355" s="111"/>
      <c r="ED355" s="124"/>
      <c r="EE355" s="124"/>
      <c r="EF355" s="124"/>
      <c r="EJ355" s="111">
        <v>0.13870242405762859</v>
      </c>
      <c r="EK355" s="111"/>
      <c r="EL355" s="124"/>
      <c r="EM355" s="124"/>
      <c r="EN355" s="124"/>
      <c r="EP355" s="111"/>
      <c r="EQ355" s="124"/>
      <c r="ER355" s="124"/>
      <c r="ES355" s="124"/>
      <c r="EV355" s="111"/>
      <c r="EW355" s="111"/>
      <c r="EX355" s="111"/>
      <c r="EY355" s="111"/>
      <c r="EZ355" s="124"/>
      <c r="FA355" s="124"/>
      <c r="FD355" s="111"/>
      <c r="FE355" s="111"/>
      <c r="FF355" s="111"/>
      <c r="FG355" s="124"/>
      <c r="FH355" s="124"/>
      <c r="FK355" s="124"/>
      <c r="FL355" s="124"/>
      <c r="FO355" s="111">
        <v>15.667483248166382</v>
      </c>
      <c r="FP355" s="111">
        <v>23.328358751833626</v>
      </c>
      <c r="FQ355" s="124">
        <v>65.877840000000006</v>
      </c>
      <c r="FR355" s="124">
        <v>81.523827000000011</v>
      </c>
      <c r="FU355" s="111">
        <v>18.124264000000014</v>
      </c>
      <c r="FV355" s="124">
        <v>61.930398000000011</v>
      </c>
      <c r="FW355" s="124">
        <v>45.774642</v>
      </c>
      <c r="FX355" s="124">
        <v>67.975343370000004</v>
      </c>
      <c r="FY355" s="124">
        <v>74.772877707000006</v>
      </c>
      <c r="GA355" s="124">
        <v>52.38006</v>
      </c>
      <c r="GB355" s="124">
        <v>76.824088000000003</v>
      </c>
      <c r="GC355" s="124">
        <v>84.506496800000008</v>
      </c>
      <c r="GF355" s="111"/>
      <c r="GG355" s="111"/>
      <c r="GH355" s="111"/>
      <c r="GI355" s="124">
        <v>55.461240000000004</v>
      </c>
      <c r="GJ355" s="124">
        <v>81.343152000000018</v>
      </c>
      <c r="GK355" s="124">
        <v>89.477467200000021</v>
      </c>
      <c r="GN355" s="111"/>
      <c r="GO355" s="111"/>
      <c r="GP355" s="124">
        <v>79.699855999999997</v>
      </c>
      <c r="GQ355" s="124">
        <v>87.669841599999998</v>
      </c>
      <c r="GR355" s="124">
        <v>96.436825760000005</v>
      </c>
      <c r="GV355" s="111"/>
      <c r="GW355" s="124">
        <v>118.62543000000001</v>
      </c>
      <c r="GX355" s="124">
        <v>106.76288700000001</v>
      </c>
      <c r="GY355" s="124">
        <v>136.41924450000002</v>
      </c>
      <c r="HC355" s="124"/>
      <c r="HD355" s="124">
        <v>138.17916</v>
      </c>
      <c r="HE355" s="124">
        <v>163.05140879999999</v>
      </c>
      <c r="HF355" s="124">
        <v>179.35654968000003</v>
      </c>
      <c r="HI355" s="111"/>
      <c r="HJ355" s="111"/>
      <c r="HK355" s="111"/>
      <c r="HL355" s="111"/>
      <c r="HM355" s="124">
        <v>151.928304</v>
      </c>
      <c r="HN355" s="124">
        <v>167.12113440000002</v>
      </c>
      <c r="HO355" s="124">
        <v>183.83324784000004</v>
      </c>
      <c r="HR355" s="111"/>
      <c r="HS355" s="111"/>
      <c r="HT355" s="111"/>
      <c r="HU355" s="124">
        <v>151.928304</v>
      </c>
      <c r="HV355" s="124">
        <v>167.12113440000002</v>
      </c>
      <c r="HW355" s="124">
        <v>183.83324784000004</v>
      </c>
      <c r="HZ355" s="111"/>
      <c r="IA355" s="124">
        <v>153.38678399999998</v>
      </c>
      <c r="IB355" s="124">
        <v>168.72546239999997</v>
      </c>
      <c r="IC355" s="124">
        <v>185.59800864000005</v>
      </c>
      <c r="IE355" s="111"/>
      <c r="IF355" s="124">
        <v>136.48824000000002</v>
      </c>
      <c r="IG355" s="124">
        <v>150.13706400000001</v>
      </c>
      <c r="IH355" s="124">
        <v>165.15077040000003</v>
      </c>
      <c r="IK355" s="124">
        <v>150.13706400000001</v>
      </c>
      <c r="IL355" s="124">
        <v>165.15077040000003</v>
      </c>
      <c r="IO355" s="124">
        <v>161.36994999999999</v>
      </c>
      <c r="IP355" s="124">
        <v>170.40666720000002</v>
      </c>
      <c r="IS355" s="160">
        <v>197.39807999999999</v>
      </c>
      <c r="IT355" s="160">
        <v>217.13788800000003</v>
      </c>
      <c r="IU355" s="160">
        <v>238.85167680000006</v>
      </c>
      <c r="IX355" s="124"/>
      <c r="IY355" s="124">
        <v>155.94575</v>
      </c>
      <c r="IZ355" s="124">
        <v>164.67871200000002</v>
      </c>
      <c r="JA355" s="124">
        <v>181.14658320000004</v>
      </c>
      <c r="JD355" s="124">
        <v>148.02271000000002</v>
      </c>
      <c r="JE355" s="124">
        <v>168.74588940000007</v>
      </c>
      <c r="JH355" s="124">
        <v>143.985727</v>
      </c>
      <c r="JI355" s="124">
        <v>164.14372878000006</v>
      </c>
      <c r="JJ355" s="124">
        <v>183.84097623360009</v>
      </c>
      <c r="JM355" s="124">
        <v>174.88210356000005</v>
      </c>
      <c r="JN355" s="124">
        <v>195.86795598720011</v>
      </c>
      <c r="JQ355" s="124">
        <v>148.02271000000002</v>
      </c>
      <c r="JR355" s="124">
        <v>168.74588940000007</v>
      </c>
      <c r="JS355" s="124">
        <v>188.99539612800007</v>
      </c>
      <c r="JV355" s="124">
        <v>160.87805400000002</v>
      </c>
      <c r="JW355" s="124">
        <v>180.18342048000002</v>
      </c>
      <c r="JY355" s="124">
        <v>160.87805400000002</v>
      </c>
      <c r="JZ355" s="124">
        <v>180.18342048000002</v>
      </c>
      <c r="KB355" s="124">
        <v>122.40721500000001</v>
      </c>
      <c r="KC355" s="124">
        <v>141.73467000000002</v>
      </c>
      <c r="KD355" s="124">
        <v>155.90813700000001</v>
      </c>
    </row>
    <row r="356" spans="2:290" x14ac:dyDescent="0.25">
      <c r="B356" s="11" t="s">
        <v>223</v>
      </c>
      <c r="C356" s="23"/>
      <c r="D356" s="23"/>
      <c r="E356" s="23"/>
      <c r="F356" s="23"/>
      <c r="G356" s="23"/>
      <c r="H356" s="197"/>
      <c r="I356" s="198"/>
      <c r="J356" s="198"/>
      <c r="K356" s="198"/>
      <c r="L356" s="198"/>
      <c r="M356" s="197"/>
      <c r="N356" s="198"/>
      <c r="O356" s="198"/>
      <c r="P356" s="198"/>
      <c r="Q356" s="198"/>
      <c r="R356" s="197"/>
      <c r="S356" s="198"/>
      <c r="T356" s="198"/>
      <c r="U356" s="198"/>
      <c r="V356" s="198"/>
      <c r="W356" s="197">
        <v>140</v>
      </c>
      <c r="X356" s="198">
        <v>20.253</v>
      </c>
      <c r="Y356" s="198">
        <v>43.295999999999999</v>
      </c>
      <c r="Z356" s="198">
        <v>30.38</v>
      </c>
      <c r="AA356" s="198">
        <v>54.97</v>
      </c>
      <c r="AB356" s="197">
        <v>149.04</v>
      </c>
      <c r="AC356" s="198">
        <v>20.877470000000002</v>
      </c>
      <c r="AD356" s="198">
        <v>39.515999999999998</v>
      </c>
      <c r="AE356" s="198">
        <v>35.154000000000003</v>
      </c>
      <c r="AF356" s="198">
        <v>72.63000000000001</v>
      </c>
      <c r="AG356" s="197">
        <v>167.87608</v>
      </c>
      <c r="AH356" s="198">
        <v>24.564399999999999</v>
      </c>
      <c r="AI356" s="198">
        <v>64.539000000000001</v>
      </c>
      <c r="AJ356" s="198">
        <v>57.519800000000004</v>
      </c>
      <c r="AK356" s="197">
        <v>146.6232</v>
      </c>
      <c r="AL356" s="198">
        <f t="shared" ref="AL356:AO357" si="464">AL361*AL274</f>
        <v>0</v>
      </c>
      <c r="AM356" s="198">
        <f t="shared" si="464"/>
        <v>0</v>
      </c>
      <c r="AN356" s="198">
        <f t="shared" si="464"/>
        <v>0</v>
      </c>
      <c r="AO356" s="198">
        <f t="shared" si="464"/>
        <v>0</v>
      </c>
      <c r="AP356" s="197">
        <v>214.601562</v>
      </c>
      <c r="AQ356" s="198">
        <f t="shared" ref="AQ356:AT357" si="465">AQ361*AQ274</f>
        <v>0</v>
      </c>
      <c r="AR356" s="198">
        <f t="shared" si="465"/>
        <v>0</v>
      </c>
      <c r="AS356" s="198">
        <f t="shared" si="465"/>
        <v>0</v>
      </c>
      <c r="AT356" s="198">
        <f t="shared" si="465"/>
        <v>0</v>
      </c>
      <c r="AU356" s="197">
        <v>208.09627800000001</v>
      </c>
      <c r="AV356" s="199">
        <f t="shared" ref="AV356:AX357" si="466">AV361*AV274</f>
        <v>0</v>
      </c>
      <c r="AW356" s="199">
        <f t="shared" si="466"/>
        <v>0</v>
      </c>
      <c r="AX356" s="199">
        <f t="shared" si="466"/>
        <v>0</v>
      </c>
      <c r="AY356" s="199">
        <f>AZ356-AV356-AW356-AX356</f>
        <v>164.11500000000001</v>
      </c>
      <c r="AZ356" s="197">
        <v>164.11500000000001</v>
      </c>
      <c r="BA356" s="199">
        <f t="shared" ref="BA356:BC357" si="467">BA361*BA274</f>
        <v>0</v>
      </c>
      <c r="BB356" s="199">
        <f t="shared" si="467"/>
        <v>0</v>
      </c>
      <c r="BC356" s="199">
        <f t="shared" si="467"/>
        <v>0</v>
      </c>
      <c r="BD356" s="199">
        <f>BE356-BA356-BB356-BC356</f>
        <v>142.35566800000001</v>
      </c>
      <c r="BE356" s="197">
        <v>142.35566800000001</v>
      </c>
      <c r="BF356" s="199">
        <f t="shared" ref="BF356:BH357" si="468">BF361*BF274</f>
        <v>0</v>
      </c>
      <c r="BG356" s="199">
        <f t="shared" si="468"/>
        <v>0</v>
      </c>
      <c r="BH356" s="199">
        <f t="shared" si="468"/>
        <v>0</v>
      </c>
      <c r="BI356" s="199">
        <f>BJ356-BF356-BG356-BH356</f>
        <v>165.6096</v>
      </c>
      <c r="BJ356" s="197">
        <v>165.6096</v>
      </c>
      <c r="BK356" s="199">
        <f>BK361*BK274</f>
        <v>0</v>
      </c>
      <c r="BL356" s="199"/>
      <c r="BM356" s="199"/>
      <c r="BN356" s="199"/>
      <c r="BO356" s="197">
        <f>BO347*BO249/10000</f>
        <v>158.499</v>
      </c>
      <c r="BP356" s="199"/>
      <c r="BQ356" s="199"/>
      <c r="BR356" s="199"/>
      <c r="BS356" s="199"/>
      <c r="BT356" s="197">
        <f>BT347*BT249/10000</f>
        <v>182.77600000000001</v>
      </c>
      <c r="BU356" s="199"/>
      <c r="BV356" s="199"/>
      <c r="BW356" s="199"/>
      <c r="BX356" s="199"/>
      <c r="BY356" s="197">
        <f>BY347*BY249/10000</f>
        <v>192.0016</v>
      </c>
      <c r="BZ356" s="199"/>
      <c r="CA356" s="199"/>
      <c r="CB356" s="199"/>
      <c r="CC356" s="199"/>
      <c r="CD356" s="197">
        <f>CD347*CD249/10000</f>
        <v>199.2432</v>
      </c>
      <c r="CE356" s="199"/>
      <c r="CF356" s="199"/>
      <c r="CG356" s="199"/>
      <c r="CH356" s="199"/>
      <c r="CI356" s="197">
        <f t="shared" si="463"/>
        <v>215.5104</v>
      </c>
      <c r="CJ356" s="197">
        <f t="shared" si="463"/>
        <v>226.28592000000003</v>
      </c>
      <c r="CK356" s="197">
        <f t="shared" si="463"/>
        <v>237.60021600000002</v>
      </c>
      <c r="CL356" s="197">
        <f t="shared" si="463"/>
        <v>280.66525515000006</v>
      </c>
      <c r="CM356" s="197">
        <f t="shared" si="463"/>
        <v>303.11847556200007</v>
      </c>
      <c r="CN356" s="197">
        <f t="shared" si="463"/>
        <v>327.3679536069601</v>
      </c>
      <c r="CO356" s="137"/>
      <c r="CP356" s="137"/>
      <c r="CQ356" s="6"/>
      <c r="CR356" s="6"/>
      <c r="CS356" s="6"/>
      <c r="CT356" s="124"/>
      <c r="CU356" s="124"/>
      <c r="CV356" s="124"/>
      <c r="CW356" s="124"/>
      <c r="CX356" s="124"/>
      <c r="CY356" s="124"/>
      <c r="CZ356" s="124"/>
      <c r="DA356" s="124"/>
      <c r="DB356" s="124"/>
      <c r="DC356" s="124"/>
      <c r="DD356" s="124"/>
      <c r="DE356" s="124"/>
      <c r="DF356" s="124"/>
      <c r="DG356" s="124"/>
      <c r="DH356" s="124"/>
      <c r="DI356" s="124"/>
      <c r="DK356" s="124"/>
      <c r="DL356" s="124"/>
      <c r="DM356" s="6"/>
      <c r="DN356" s="124"/>
      <c r="DO356" s="124"/>
      <c r="DQ356" s="136"/>
      <c r="DR356" s="124"/>
      <c r="DS356" s="124"/>
      <c r="DT356" s="124"/>
      <c r="DV356" s="124"/>
      <c r="DW356" s="124"/>
      <c r="DX356" s="124"/>
      <c r="EA356" s="111"/>
      <c r="EB356" s="111"/>
      <c r="EC356" s="111"/>
      <c r="ED356" s="124"/>
      <c r="EE356" s="124"/>
      <c r="EF356" s="124"/>
      <c r="EJ356" s="111">
        <v>0.26438017303807615</v>
      </c>
      <c r="EK356" s="111"/>
      <c r="EL356" s="124"/>
      <c r="EM356" s="124"/>
      <c r="EN356" s="124"/>
      <c r="EP356" s="111">
        <v>0.24776801402269535</v>
      </c>
      <c r="EQ356" s="124"/>
      <c r="ER356" s="124"/>
      <c r="ES356" s="124"/>
      <c r="EV356" s="111">
        <v>0.24849984707701717</v>
      </c>
      <c r="EW356" s="111">
        <v>0.1858276629909508</v>
      </c>
      <c r="EX356" s="111">
        <v>0.24704286498020556</v>
      </c>
      <c r="EY356" s="111">
        <v>0.19400370168859873</v>
      </c>
      <c r="EZ356" s="124">
        <v>0.21823493251452225</v>
      </c>
      <c r="FA356" s="124"/>
      <c r="FD356" s="111">
        <v>0.1858276629909508</v>
      </c>
      <c r="FE356" s="111">
        <v>0.24704286498020556</v>
      </c>
      <c r="FF356" s="111">
        <v>0.19400370168859873</v>
      </c>
      <c r="FG356" s="124">
        <v>0.21823493251452225</v>
      </c>
      <c r="FH356" s="124"/>
      <c r="FK356" s="124">
        <v>0.21823493251452225</v>
      </c>
      <c r="FL356" s="124"/>
      <c r="FO356" s="111">
        <v>17.519241260621943</v>
      </c>
      <c r="FP356" s="111">
        <v>22.508529739378059</v>
      </c>
      <c r="FQ356" s="124">
        <v>84.593699999999998</v>
      </c>
      <c r="FR356" s="124">
        <v>90.515259000000015</v>
      </c>
      <c r="FU356" s="111">
        <v>34.636637000000022</v>
      </c>
      <c r="FV356" s="124">
        <v>133.212816</v>
      </c>
      <c r="FW356" s="124">
        <v>86.588330400000004</v>
      </c>
      <c r="FX356" s="124">
        <v>92.649513528</v>
      </c>
      <c r="FY356" s="124">
        <v>99.134979474960005</v>
      </c>
      <c r="GA356" s="124">
        <v>86.502079999999992</v>
      </c>
      <c r="GB356" s="124">
        <v>86.772398999999993</v>
      </c>
      <c r="GC356" s="124">
        <v>99.036231392000005</v>
      </c>
      <c r="GF356" s="111"/>
      <c r="GG356" s="111"/>
      <c r="GH356" s="111"/>
      <c r="GI356" s="124">
        <v>92.680800000000005</v>
      </c>
      <c r="GJ356" s="124">
        <v>92.9704275</v>
      </c>
      <c r="GK356" s="124">
        <v>106.11024792000002</v>
      </c>
      <c r="GN356" s="111"/>
      <c r="GO356" s="111"/>
      <c r="GP356" s="124">
        <v>111.21696000000001</v>
      </c>
      <c r="GQ356" s="124">
        <v>111.56451300000001</v>
      </c>
      <c r="GR356" s="124">
        <v>127.33229750400001</v>
      </c>
      <c r="GV356" s="111"/>
      <c r="GW356" s="124">
        <v>139.17566800000003</v>
      </c>
      <c r="GX356" s="124">
        <v>151.29213792000004</v>
      </c>
      <c r="GY356" s="124">
        <v>179.25826038400001</v>
      </c>
      <c r="HC356" s="124"/>
      <c r="HD356" s="124">
        <v>157.30654499999997</v>
      </c>
      <c r="HE356" s="124">
        <v>169.93873724999995</v>
      </c>
      <c r="HF356" s="124">
        <v>186.93261097499999</v>
      </c>
      <c r="HI356" s="111"/>
      <c r="HJ356" s="111"/>
      <c r="HK356" s="111"/>
      <c r="HL356" s="111"/>
      <c r="HM356" s="124">
        <v>173.06292499999998</v>
      </c>
      <c r="HN356" s="124">
        <v>190.36921749999999</v>
      </c>
      <c r="HO356" s="124">
        <v>209.40613925000002</v>
      </c>
      <c r="HR356" s="111"/>
      <c r="HS356" s="111"/>
      <c r="HT356" s="111"/>
      <c r="HU356" s="124">
        <v>173.06292499999998</v>
      </c>
      <c r="HV356" s="124">
        <v>190.36921749999999</v>
      </c>
      <c r="HW356" s="124">
        <v>209.40613925000002</v>
      </c>
      <c r="HZ356" s="111"/>
      <c r="IA356" s="124">
        <v>171.22694999999999</v>
      </c>
      <c r="IB356" s="124">
        <v>188.34964500000001</v>
      </c>
      <c r="IC356" s="124">
        <v>207.18460949999997</v>
      </c>
      <c r="IE356" s="111"/>
      <c r="IF356" s="124">
        <v>178.67160000000001</v>
      </c>
      <c r="IG356" s="124">
        <v>196.53876</v>
      </c>
      <c r="IH356" s="124">
        <v>216.19263600000002</v>
      </c>
      <c r="IK356" s="124">
        <v>196.53876</v>
      </c>
      <c r="IL356" s="124">
        <v>216.19263600000002</v>
      </c>
      <c r="IO356" s="124">
        <v>201.05360000000002</v>
      </c>
      <c r="IP356" s="124">
        <v>221.15896000000006</v>
      </c>
      <c r="IS356" s="160">
        <v>70.967663999999999</v>
      </c>
      <c r="IT356" s="160">
        <v>78.064430400000006</v>
      </c>
      <c r="IU356" s="160">
        <v>85.870873440000025</v>
      </c>
      <c r="IX356" s="124"/>
      <c r="IY356" s="124">
        <v>197.39807999999999</v>
      </c>
      <c r="IZ356" s="124">
        <v>217.13788800000003</v>
      </c>
      <c r="JA356" s="124">
        <v>238.85167680000006</v>
      </c>
      <c r="JD356" s="124">
        <v>211.20176000000001</v>
      </c>
      <c r="JE356" s="124">
        <v>236.54597120000003</v>
      </c>
      <c r="JH356" s="124">
        <v>205.44171200000002</v>
      </c>
      <c r="JI356" s="124">
        <v>230.09471744000004</v>
      </c>
      <c r="JJ356" s="124">
        <v>257.70608353280011</v>
      </c>
      <c r="JM356" s="124">
        <v>230.09471744000004</v>
      </c>
      <c r="JN356" s="124">
        <v>257.70608353280011</v>
      </c>
      <c r="JQ356" s="124">
        <v>199.68166400000001</v>
      </c>
      <c r="JR356" s="124">
        <v>219.64983040000004</v>
      </c>
      <c r="JS356" s="124">
        <v>241.61481344000009</v>
      </c>
      <c r="JV356" s="124">
        <v>219.16752000000002</v>
      </c>
      <c r="JW356" s="124">
        <v>241.08427200000006</v>
      </c>
      <c r="JY356" s="124">
        <v>219.16752000000002</v>
      </c>
      <c r="JZ356" s="124">
        <v>241.08427200000006</v>
      </c>
      <c r="KB356" s="124">
        <v>160.68</v>
      </c>
      <c r="KC356" s="124">
        <v>192.55891200000002</v>
      </c>
      <c r="KD356" s="124">
        <v>206.03803584000002</v>
      </c>
    </row>
    <row r="357" spans="2:290" x14ac:dyDescent="0.25">
      <c r="B357" s="11" t="s">
        <v>225</v>
      </c>
      <c r="C357" s="23"/>
      <c r="D357" s="23"/>
      <c r="E357" s="23"/>
      <c r="F357" s="23"/>
      <c r="G357" s="23"/>
      <c r="H357" s="197"/>
      <c r="I357" s="198"/>
      <c r="J357" s="198"/>
      <c r="K357" s="198"/>
      <c r="L357" s="198"/>
      <c r="M357" s="197"/>
      <c r="N357" s="198"/>
      <c r="O357" s="198"/>
      <c r="P357" s="198"/>
      <c r="Q357" s="198"/>
      <c r="R357" s="197"/>
      <c r="S357" s="198"/>
      <c r="T357" s="198"/>
      <c r="U357" s="198"/>
      <c r="V357" s="198"/>
      <c r="W357" s="197">
        <v>34.248799999999996</v>
      </c>
      <c r="X357" s="198">
        <v>2.016</v>
      </c>
      <c r="Y357" s="198">
        <v>4.7600000000000007</v>
      </c>
      <c r="Z357" s="198">
        <v>5.5439999999999996</v>
      </c>
      <c r="AA357" s="198">
        <v>12.246</v>
      </c>
      <c r="AB357" s="197">
        <v>24.642999999999997</v>
      </c>
      <c r="AC357" s="198">
        <v>4.04</v>
      </c>
      <c r="AD357" s="198">
        <v>6.0720000000000001</v>
      </c>
      <c r="AE357" s="198">
        <v>12.555999999999999</v>
      </c>
      <c r="AF357" s="198">
        <v>18.059999999999999</v>
      </c>
      <c r="AG357" s="197">
        <v>40.4985</v>
      </c>
      <c r="AH357" s="198">
        <v>6.5083200000000003</v>
      </c>
      <c r="AI357" s="198">
        <v>12.062000000000001</v>
      </c>
      <c r="AJ357" s="198">
        <v>17.906700000000004</v>
      </c>
      <c r="AK357" s="197">
        <v>36.47702000000001</v>
      </c>
      <c r="AL357" s="198">
        <f t="shared" si="464"/>
        <v>0</v>
      </c>
      <c r="AM357" s="198">
        <f t="shared" si="464"/>
        <v>0</v>
      </c>
      <c r="AN357" s="198">
        <f t="shared" si="464"/>
        <v>0</v>
      </c>
      <c r="AO357" s="198">
        <f t="shared" si="464"/>
        <v>0</v>
      </c>
      <c r="AP357" s="197">
        <v>61.626092</v>
      </c>
      <c r="AQ357" s="198">
        <f t="shared" si="465"/>
        <v>0</v>
      </c>
      <c r="AR357" s="198">
        <f t="shared" si="465"/>
        <v>0</v>
      </c>
      <c r="AS357" s="198">
        <f t="shared" si="465"/>
        <v>0</v>
      </c>
      <c r="AT357" s="198">
        <f t="shared" si="465"/>
        <v>0</v>
      </c>
      <c r="AU357" s="197">
        <v>72.290789999999987</v>
      </c>
      <c r="AV357" s="199">
        <f t="shared" si="466"/>
        <v>0</v>
      </c>
      <c r="AW357" s="199">
        <f t="shared" si="466"/>
        <v>0</v>
      </c>
      <c r="AX357" s="199">
        <f t="shared" si="466"/>
        <v>0</v>
      </c>
      <c r="AY357" s="199">
        <f>AZ357-AV357-AW357-AX357</f>
        <v>69.465900000000005</v>
      </c>
      <c r="AZ357" s="197">
        <v>69.465900000000005</v>
      </c>
      <c r="BA357" s="199">
        <f t="shared" si="467"/>
        <v>0</v>
      </c>
      <c r="BB357" s="199">
        <f t="shared" si="467"/>
        <v>0</v>
      </c>
      <c r="BC357" s="199">
        <f t="shared" si="467"/>
        <v>0</v>
      </c>
      <c r="BD357" s="199">
        <f>BE357-BA357-BB357-BC357</f>
        <v>73.076240000000013</v>
      </c>
      <c r="BE357" s="197">
        <v>73.076240000000013</v>
      </c>
      <c r="BF357" s="199">
        <f t="shared" si="468"/>
        <v>0</v>
      </c>
      <c r="BG357" s="199">
        <f t="shared" si="468"/>
        <v>0</v>
      </c>
      <c r="BH357" s="199">
        <f t="shared" si="468"/>
        <v>0</v>
      </c>
      <c r="BI357" s="199">
        <f>BJ357-BF357-BG357-BH357</f>
        <v>74.384099999999989</v>
      </c>
      <c r="BJ357" s="197">
        <v>74.384099999999989</v>
      </c>
      <c r="BK357" s="199">
        <f>BK362*BK275</f>
        <v>0</v>
      </c>
      <c r="BL357" s="199"/>
      <c r="BM357" s="199"/>
      <c r="BN357" s="199"/>
      <c r="BO357" s="197">
        <f>BO348*BO250/10000</f>
        <v>55.744</v>
      </c>
      <c r="BP357" s="199"/>
      <c r="BQ357" s="199"/>
      <c r="BR357" s="199"/>
      <c r="BS357" s="199"/>
      <c r="BT357" s="197">
        <f>BT348*BT250/10000</f>
        <v>65.710800000000006</v>
      </c>
      <c r="BU357" s="199"/>
      <c r="BV357" s="199"/>
      <c r="BW357" s="199"/>
      <c r="BX357" s="199"/>
      <c r="BY357" s="197">
        <f>BY348*BY250/10000</f>
        <v>65.725200000000001</v>
      </c>
      <c r="BZ357" s="199"/>
      <c r="CA357" s="199"/>
      <c r="CB357" s="199"/>
      <c r="CC357" s="199"/>
      <c r="CD357" s="197">
        <f>CD348*CD250/10000</f>
        <v>62.118000000000002</v>
      </c>
      <c r="CE357" s="199"/>
      <c r="CF357" s="199"/>
      <c r="CG357" s="199"/>
      <c r="CH357" s="199"/>
      <c r="CI357" s="197">
        <f t="shared" si="463"/>
        <v>64.795500000000004</v>
      </c>
      <c r="CJ357" s="197">
        <f t="shared" si="463"/>
        <v>68.035274999999999</v>
      </c>
      <c r="CK357" s="197">
        <f t="shared" si="463"/>
        <v>71.437038750000013</v>
      </c>
      <c r="CL357" s="197">
        <f t="shared" si="463"/>
        <v>75.008890687500028</v>
      </c>
      <c r="CM357" s="197">
        <f t="shared" si="463"/>
        <v>78.759335221875034</v>
      </c>
      <c r="CN357" s="197">
        <f t="shared" si="463"/>
        <v>82.697301982968796</v>
      </c>
      <c r="CO357" s="137"/>
      <c r="CP357" s="137"/>
      <c r="CQ357" s="6"/>
      <c r="CR357" s="6"/>
      <c r="CS357" s="6"/>
      <c r="CT357" s="124"/>
      <c r="CU357" s="124"/>
      <c r="CV357" s="124"/>
      <c r="CW357" s="124"/>
      <c r="CX357" s="124"/>
      <c r="CY357" s="124"/>
      <c r="CZ357" s="124"/>
      <c r="DA357" s="124"/>
      <c r="DB357" s="124"/>
      <c r="DC357" s="124"/>
      <c r="DD357" s="124"/>
      <c r="DE357" s="124"/>
      <c r="DF357" s="124"/>
      <c r="DG357" s="124"/>
      <c r="DH357" s="124"/>
      <c r="DI357" s="124"/>
      <c r="DK357" s="124"/>
      <c r="DL357" s="124"/>
      <c r="DM357" s="6"/>
      <c r="DN357" s="124"/>
      <c r="DO357" s="124"/>
      <c r="DQ357" s="136"/>
      <c r="DR357" s="124"/>
      <c r="DS357" s="124"/>
      <c r="DT357" s="124"/>
      <c r="DV357" s="124"/>
      <c r="DW357" s="124"/>
      <c r="DX357" s="124"/>
      <c r="EA357" s="111"/>
      <c r="EB357" s="111"/>
      <c r="EC357" s="111"/>
      <c r="ED357" s="124"/>
      <c r="EE357" s="124"/>
      <c r="EF357" s="124"/>
      <c r="EJ357" s="111">
        <v>9.184331287875902E-2</v>
      </c>
      <c r="EK357" s="111"/>
      <c r="EL357" s="124"/>
      <c r="EM357" s="124"/>
      <c r="EN357" s="124"/>
      <c r="EP357" s="111">
        <v>9.4141928620216794E-2</v>
      </c>
      <c r="EQ357" s="124"/>
      <c r="ER357" s="124"/>
      <c r="ES357" s="124"/>
      <c r="EV357" s="111"/>
      <c r="EW357" s="111"/>
      <c r="EX357" s="111"/>
      <c r="EY357" s="111"/>
      <c r="EZ357" s="124"/>
      <c r="FA357" s="124"/>
      <c r="FD357" s="111"/>
      <c r="FE357" s="111"/>
      <c r="FF357" s="111"/>
      <c r="FG357" s="124"/>
      <c r="FH357" s="124"/>
      <c r="FK357" s="124"/>
      <c r="FL357" s="124"/>
      <c r="FO357" s="111">
        <v>18.132124578643271</v>
      </c>
      <c r="FP357" s="111">
        <v>19.258319421356738</v>
      </c>
      <c r="FQ357" s="124">
        <v>68.419604000000007</v>
      </c>
      <c r="FR357" s="124">
        <v>73.893172320000005</v>
      </c>
      <c r="FU357" s="111">
        <v>12.214580000000005</v>
      </c>
      <c r="FV357" s="124">
        <v>62.355480000000007</v>
      </c>
      <c r="FW357" s="124">
        <v>43.233132800000007</v>
      </c>
      <c r="FX357" s="124">
        <v>55.670972544000008</v>
      </c>
      <c r="FY357" s="124">
        <v>60.124650347520003</v>
      </c>
      <c r="GA357" s="124">
        <v>27.012699999999999</v>
      </c>
      <c r="GB357" s="124">
        <v>49.595317200000011</v>
      </c>
      <c r="GC357" s="124">
        <v>48.836800584000002</v>
      </c>
      <c r="GF357" s="111"/>
      <c r="GG357" s="111"/>
      <c r="GH357" s="111"/>
      <c r="GI357" s="124">
        <v>37.402200000000008</v>
      </c>
      <c r="GJ357" s="124">
        <v>68.670439200000004</v>
      </c>
      <c r="GK357" s="124">
        <v>67.620185423999999</v>
      </c>
      <c r="GN357" s="111"/>
      <c r="GO357" s="111"/>
      <c r="GP357" s="124">
        <v>49.350124999999998</v>
      </c>
      <c r="GQ357" s="124">
        <v>72.485463600000003</v>
      </c>
      <c r="GR357" s="124">
        <v>71.376862392000007</v>
      </c>
      <c r="GV357" s="111"/>
      <c r="GW357" s="124">
        <v>59.220149999999997</v>
      </c>
      <c r="GX357" s="124">
        <v>68.221612800000003</v>
      </c>
      <c r="GY357" s="124">
        <v>75.981821256000003</v>
      </c>
      <c r="HC357" s="124"/>
      <c r="HD357" s="124">
        <v>62.052480000000003</v>
      </c>
      <c r="HE357" s="124">
        <v>75.393763200000009</v>
      </c>
      <c r="HF357" s="124">
        <v>82.933139520000026</v>
      </c>
      <c r="HI357" s="111"/>
      <c r="HJ357" s="111"/>
      <c r="HK357" s="111"/>
      <c r="HL357" s="111"/>
      <c r="HM357" s="124">
        <v>67.728960000000015</v>
      </c>
      <c r="HN357" s="124">
        <v>74.501856000000004</v>
      </c>
      <c r="HO357" s="124">
        <v>81.952041600000015</v>
      </c>
      <c r="HR357" s="111"/>
      <c r="HS357" s="111"/>
      <c r="HT357" s="111"/>
      <c r="HU357" s="124">
        <v>67.728960000000015</v>
      </c>
      <c r="HV357" s="124">
        <v>74.501856000000004</v>
      </c>
      <c r="HW357" s="124">
        <v>81.952041600000015</v>
      </c>
      <c r="HZ357" s="111"/>
      <c r="IA357" s="124">
        <v>67.728960000000015</v>
      </c>
      <c r="IB357" s="124">
        <v>74.501856000000004</v>
      </c>
      <c r="IC357" s="124">
        <v>81.952041600000015</v>
      </c>
      <c r="IE357" s="111"/>
      <c r="IF357" s="124">
        <v>65.8476</v>
      </c>
      <c r="IG357" s="124">
        <v>72.432360000000003</v>
      </c>
      <c r="IH357" s="124">
        <v>79.675596000000013</v>
      </c>
      <c r="IK357" s="124">
        <v>72.432360000000003</v>
      </c>
      <c r="IL357" s="124">
        <v>79.675596000000013</v>
      </c>
      <c r="IO357" s="124">
        <v>70.967663999999999</v>
      </c>
      <c r="IP357" s="124">
        <v>78.064430400000006</v>
      </c>
      <c r="IS357" s="160">
        <v>1535.9478379999998</v>
      </c>
      <c r="IT357" s="160">
        <v>1964.2955492799997</v>
      </c>
      <c r="IU357" s="160">
        <v>2250.9899753407999</v>
      </c>
      <c r="IX357" s="124"/>
      <c r="IY357" s="124">
        <v>70.967663999999999</v>
      </c>
      <c r="IZ357" s="124">
        <v>78.064430400000006</v>
      </c>
      <c r="JA357" s="124">
        <v>85.870873440000025</v>
      </c>
      <c r="JD357" s="124">
        <v>70.289450000000002</v>
      </c>
      <c r="JE357" s="124">
        <v>80.973446400000014</v>
      </c>
      <c r="JH357" s="124">
        <v>68.372465000000005</v>
      </c>
      <c r="JI357" s="124">
        <v>78.765079680000014</v>
      </c>
      <c r="JJ357" s="124">
        <v>88.216889241600029</v>
      </c>
      <c r="JM357" s="124">
        <v>75.084468479999998</v>
      </c>
      <c r="JN357" s="124">
        <v>84.094604697600005</v>
      </c>
      <c r="JQ357" s="124">
        <v>61.982514999999999</v>
      </c>
      <c r="JR357" s="124">
        <v>68.216185080000017</v>
      </c>
      <c r="JS357" s="124">
        <v>72.991318035600003</v>
      </c>
      <c r="JV357" s="124">
        <v>68.365296000000001</v>
      </c>
      <c r="JW357" s="124">
        <v>73.15086672000001</v>
      </c>
      <c r="JY357" s="124">
        <v>68.365296000000001</v>
      </c>
      <c r="JZ357" s="124">
        <v>73.15086672000001</v>
      </c>
      <c r="KB357" s="124">
        <v>45.257399999999997</v>
      </c>
      <c r="KC357" s="124">
        <v>58.110501599999992</v>
      </c>
      <c r="KD357" s="124">
        <v>62.178236712000007</v>
      </c>
    </row>
    <row r="358" spans="2:290" x14ac:dyDescent="0.25">
      <c r="B358" s="11" t="s">
        <v>226</v>
      </c>
      <c r="C358" s="23"/>
      <c r="D358" s="23"/>
      <c r="E358" s="23"/>
      <c r="F358" s="23"/>
      <c r="G358" s="23"/>
      <c r="H358" s="197"/>
      <c r="I358" s="198"/>
      <c r="J358" s="198"/>
      <c r="K358" s="198"/>
      <c r="L358" s="198"/>
      <c r="M358" s="197"/>
      <c r="N358" s="198"/>
      <c r="O358" s="198"/>
      <c r="P358" s="198"/>
      <c r="Q358" s="198"/>
      <c r="R358" s="197"/>
      <c r="S358" s="198"/>
      <c r="T358" s="198"/>
      <c r="U358" s="198"/>
      <c r="V358" s="198"/>
      <c r="W358" s="197"/>
      <c r="X358" s="198"/>
      <c r="Y358" s="198"/>
      <c r="Z358" s="198"/>
      <c r="AA358" s="198"/>
      <c r="AB358" s="197"/>
      <c r="AC358" s="198"/>
      <c r="AD358" s="198"/>
      <c r="AE358" s="198"/>
      <c r="AF358" s="198"/>
      <c r="AG358" s="197"/>
      <c r="AH358" s="198"/>
      <c r="AI358" s="198"/>
      <c r="AJ358" s="198"/>
      <c r="AK358" s="197"/>
      <c r="AL358" s="198"/>
      <c r="AM358" s="198"/>
      <c r="AN358" s="198"/>
      <c r="AO358" s="198"/>
      <c r="AP358" s="197"/>
      <c r="AQ358" s="198"/>
      <c r="AR358" s="198"/>
      <c r="AS358" s="198"/>
      <c r="AT358" s="198"/>
      <c r="AU358" s="197"/>
      <c r="AV358" s="199"/>
      <c r="AW358" s="199"/>
      <c r="AX358" s="199"/>
      <c r="AY358" s="199"/>
      <c r="AZ358" s="197"/>
      <c r="BA358" s="199"/>
      <c r="BB358" s="199"/>
      <c r="BC358" s="199"/>
      <c r="BD358" s="199"/>
      <c r="BE358" s="197"/>
      <c r="BF358" s="199"/>
      <c r="BG358" s="199"/>
      <c r="BH358" s="199"/>
      <c r="BI358" s="199"/>
      <c r="BJ358" s="197"/>
      <c r="BK358" s="199"/>
      <c r="BL358" s="199"/>
      <c r="BM358" s="199"/>
      <c r="BN358" s="199"/>
      <c r="BO358" s="197"/>
      <c r="BP358" s="199"/>
      <c r="BQ358" s="199"/>
      <c r="BR358" s="199"/>
      <c r="BS358" s="199"/>
      <c r="BT358" s="197"/>
      <c r="BU358" s="199"/>
      <c r="BV358" s="199"/>
      <c r="BW358" s="199"/>
      <c r="BX358" s="199"/>
      <c r="BY358" s="197"/>
      <c r="BZ358" s="199"/>
      <c r="CA358" s="199"/>
      <c r="CB358" s="199"/>
      <c r="CC358" s="199"/>
      <c r="CD358" s="197"/>
      <c r="CE358" s="199"/>
      <c r="CF358" s="199"/>
      <c r="CG358" s="199"/>
      <c r="CH358" s="199"/>
      <c r="CI358" s="197"/>
      <c r="CJ358" s="197"/>
      <c r="CK358" s="197"/>
      <c r="CL358" s="197">
        <f t="shared" ref="CL358:CN358" si="469">CL349*CL251/10000</f>
        <v>0</v>
      </c>
      <c r="CM358" s="197">
        <f t="shared" si="469"/>
        <v>0</v>
      </c>
      <c r="CN358" s="197">
        <f t="shared" si="469"/>
        <v>0</v>
      </c>
      <c r="CO358" s="137"/>
      <c r="CP358" s="137"/>
      <c r="CQ358" s="6"/>
      <c r="CR358" s="6"/>
      <c r="CS358" s="6"/>
      <c r="CT358" s="124"/>
      <c r="CU358" s="124"/>
      <c r="CV358" s="124"/>
      <c r="CW358" s="124"/>
      <c r="CX358" s="124"/>
      <c r="CY358" s="124"/>
      <c r="CZ358" s="124"/>
      <c r="DA358" s="124"/>
      <c r="DB358" s="124"/>
      <c r="DC358" s="124"/>
      <c r="DD358" s="124"/>
      <c r="DE358" s="124"/>
      <c r="DF358" s="124"/>
      <c r="DG358" s="124"/>
      <c r="DH358" s="124"/>
      <c r="DI358" s="124"/>
      <c r="DK358" s="124"/>
      <c r="DL358" s="124"/>
      <c r="DM358" s="6"/>
      <c r="DN358" s="124"/>
      <c r="DO358" s="124"/>
      <c r="DQ358" s="136"/>
      <c r="DR358" s="124"/>
      <c r="DS358" s="124"/>
      <c r="DT358" s="124"/>
      <c r="DV358" s="124"/>
      <c r="DW358" s="124"/>
      <c r="DX358" s="124"/>
      <c r="EA358" s="111"/>
      <c r="EB358" s="111"/>
      <c r="EC358" s="111"/>
      <c r="ED358" s="124"/>
      <c r="EE358" s="124"/>
      <c r="EF358" s="124"/>
      <c r="EJ358" s="111"/>
      <c r="EK358" s="111"/>
      <c r="EL358" s="124"/>
      <c r="EM358" s="124"/>
      <c r="EN358" s="124"/>
      <c r="EP358" s="111"/>
      <c r="EQ358" s="124"/>
      <c r="ER358" s="124"/>
      <c r="ES358" s="124"/>
      <c r="EV358" s="111"/>
      <c r="EW358" s="111"/>
      <c r="EX358" s="111"/>
      <c r="EY358" s="111"/>
      <c r="EZ358" s="124"/>
      <c r="FA358" s="124"/>
      <c r="FD358" s="111"/>
      <c r="FE358" s="111"/>
      <c r="FF358" s="111"/>
      <c r="FG358" s="124"/>
      <c r="FH358" s="124"/>
      <c r="FK358" s="124"/>
      <c r="FL358" s="124"/>
      <c r="FO358" s="111"/>
      <c r="FP358" s="111"/>
      <c r="FQ358" s="124"/>
      <c r="FR358" s="124"/>
      <c r="FU358" s="111"/>
      <c r="FV358" s="124"/>
      <c r="FW358" s="124"/>
      <c r="FX358" s="124"/>
      <c r="FY358" s="124"/>
      <c r="GA358" s="124"/>
      <c r="GB358" s="124"/>
      <c r="GC358" s="124"/>
      <c r="GF358" s="111"/>
      <c r="GG358" s="111"/>
      <c r="GH358" s="111"/>
      <c r="GI358" s="124"/>
      <c r="GJ358" s="124"/>
      <c r="GK358" s="124"/>
      <c r="GN358" s="111"/>
      <c r="GO358" s="111"/>
      <c r="GP358" s="124"/>
      <c r="GQ358" s="124"/>
      <c r="GR358" s="124"/>
      <c r="GV358" s="111"/>
      <c r="GW358" s="124"/>
      <c r="GX358" s="124"/>
      <c r="GY358" s="124"/>
      <c r="HC358" s="124"/>
      <c r="HD358" s="124"/>
      <c r="HE358" s="124"/>
      <c r="HF358" s="124"/>
      <c r="HI358" s="111"/>
      <c r="HJ358" s="111"/>
      <c r="HK358" s="111"/>
      <c r="HL358" s="111"/>
      <c r="HM358" s="124"/>
      <c r="HN358" s="124"/>
      <c r="HO358" s="124"/>
      <c r="HR358" s="111"/>
      <c r="HS358" s="111"/>
      <c r="HT358" s="111"/>
      <c r="HU358" s="124"/>
      <c r="HV358" s="124"/>
      <c r="HW358" s="124"/>
      <c r="HZ358" s="111"/>
      <c r="IA358" s="124"/>
      <c r="IB358" s="124"/>
      <c r="IC358" s="124"/>
      <c r="IE358" s="111"/>
      <c r="IF358" s="124"/>
      <c r="IG358" s="124"/>
      <c r="IH358" s="124"/>
      <c r="IK358" s="124"/>
      <c r="IL358" s="124"/>
      <c r="IO358" s="124"/>
      <c r="IP358" s="124"/>
      <c r="IS358" s="160"/>
      <c r="IT358" s="160"/>
      <c r="IU358" s="160"/>
      <c r="IX358" s="124"/>
      <c r="IY358" s="124"/>
      <c r="IZ358" s="124"/>
      <c r="JA358" s="124"/>
      <c r="JD358" s="124"/>
      <c r="JE358" s="124"/>
      <c r="JH358" s="124"/>
      <c r="JI358" s="124"/>
      <c r="JJ358" s="124"/>
      <c r="JM358" s="124"/>
      <c r="JN358" s="124"/>
      <c r="JQ358" s="124"/>
      <c r="JR358" s="124"/>
      <c r="JS358" s="124"/>
      <c r="JV358" s="124"/>
      <c r="JW358" s="124"/>
      <c r="JY358" s="124"/>
      <c r="JZ358" s="124"/>
      <c r="KB358" s="124"/>
      <c r="KC358" s="124"/>
      <c r="KD358" s="124"/>
    </row>
    <row r="359" spans="2:290" s="60" customFormat="1" x14ac:dyDescent="0.25">
      <c r="B359" s="34" t="s">
        <v>250</v>
      </c>
      <c r="C359" s="99"/>
      <c r="D359" s="99"/>
      <c r="E359" s="99"/>
      <c r="F359" s="99"/>
      <c r="G359" s="99"/>
      <c r="H359" s="83"/>
      <c r="I359" s="62"/>
      <c r="J359" s="62"/>
      <c r="K359" s="62"/>
      <c r="L359" s="62"/>
      <c r="M359" s="83"/>
      <c r="N359" s="62"/>
      <c r="O359" s="62"/>
      <c r="P359" s="62"/>
      <c r="Q359" s="62"/>
      <c r="R359" s="83"/>
      <c r="S359" s="62"/>
      <c r="T359" s="62"/>
      <c r="U359" s="62"/>
      <c r="V359" s="62"/>
      <c r="W359" s="83">
        <v>517.58879999999999</v>
      </c>
      <c r="X359" s="62">
        <v>90.48</v>
      </c>
      <c r="Y359" s="62">
        <v>121.81100000000002</v>
      </c>
      <c r="Z359" s="62">
        <v>125.375</v>
      </c>
      <c r="AA359" s="62">
        <v>211.596</v>
      </c>
      <c r="AB359" s="83">
        <v>550.14300000000003</v>
      </c>
      <c r="AC359" s="62">
        <v>84.003910000000005</v>
      </c>
      <c r="AD359" s="62">
        <v>101.15</v>
      </c>
      <c r="AE359" s="62">
        <v>145.77000000000001</v>
      </c>
      <c r="AF359" s="62">
        <v>240.988</v>
      </c>
      <c r="AG359" s="83">
        <v>571.29290000000003</v>
      </c>
      <c r="AH359" s="62">
        <v>98.889379999999989</v>
      </c>
      <c r="AI359" s="62">
        <v>154.31100000000004</v>
      </c>
      <c r="AJ359" s="62">
        <v>209.09466000000003</v>
      </c>
      <c r="AK359" s="83">
        <v>462.29503999999997</v>
      </c>
      <c r="AL359" s="62">
        <f t="shared" ref="AL359:AO359" si="470">AL363*AL279</f>
        <v>0</v>
      </c>
      <c r="AM359" s="62">
        <f t="shared" si="470"/>
        <v>0</v>
      </c>
      <c r="AN359" s="62">
        <f t="shared" si="470"/>
        <v>0</v>
      </c>
      <c r="AO359" s="62">
        <f t="shared" si="470"/>
        <v>0</v>
      </c>
      <c r="AP359" s="83">
        <f>SUM(AP353:AP357)</f>
        <v>758.5829470000001</v>
      </c>
      <c r="AQ359" s="83" t="e">
        <f t="shared" ref="AQ359:BJ359" si="471">SUM(AQ353:AQ357)</f>
        <v>#REF!</v>
      </c>
      <c r="AR359" s="83" t="e">
        <f t="shared" si="471"/>
        <v>#REF!</v>
      </c>
      <c r="AS359" s="83" t="e">
        <f t="shared" si="471"/>
        <v>#REF!</v>
      </c>
      <c r="AT359" s="83" t="e">
        <f t="shared" si="471"/>
        <v>#REF!</v>
      </c>
      <c r="AU359" s="83">
        <f t="shared" si="471"/>
        <v>778.18570799999998</v>
      </c>
      <c r="AV359" s="83" t="e">
        <f t="shared" si="471"/>
        <v>#REF!</v>
      </c>
      <c r="AW359" s="83" t="e">
        <f t="shared" si="471"/>
        <v>#REF!</v>
      </c>
      <c r="AX359" s="83" t="e">
        <f t="shared" si="471"/>
        <v>#REF!</v>
      </c>
      <c r="AY359" s="83" t="e">
        <f t="shared" si="471"/>
        <v>#REF!</v>
      </c>
      <c r="AZ359" s="83">
        <f t="shared" si="471"/>
        <v>736.63890000000004</v>
      </c>
      <c r="BA359" s="83" t="e">
        <f t="shared" si="471"/>
        <v>#REF!</v>
      </c>
      <c r="BB359" s="83" t="e">
        <f t="shared" si="471"/>
        <v>#REF!</v>
      </c>
      <c r="BC359" s="83" t="e">
        <f t="shared" si="471"/>
        <v>#REF!</v>
      </c>
      <c r="BD359" s="83" t="e">
        <f t="shared" si="471"/>
        <v>#REF!</v>
      </c>
      <c r="BE359" s="83">
        <f t="shared" si="471"/>
        <v>837.33133499999997</v>
      </c>
      <c r="BF359" s="83" t="e">
        <f t="shared" si="471"/>
        <v>#REF!</v>
      </c>
      <c r="BG359" s="83" t="e">
        <f t="shared" si="471"/>
        <v>#REF!</v>
      </c>
      <c r="BH359" s="83" t="e">
        <f t="shared" si="471"/>
        <v>#REF!</v>
      </c>
      <c r="BI359" s="83" t="e">
        <f t="shared" si="471"/>
        <v>#REF!</v>
      </c>
      <c r="BJ359" s="83">
        <f t="shared" si="471"/>
        <v>1240.6731</v>
      </c>
      <c r="BK359" s="196">
        <f>BK363*BK131</f>
        <v>0</v>
      </c>
      <c r="BL359" s="196"/>
      <c r="BM359" s="196"/>
      <c r="BN359" s="196"/>
      <c r="BO359" s="83">
        <f>SUM(BO354:BO357)</f>
        <v>1263.12005</v>
      </c>
      <c r="BP359" s="196"/>
      <c r="BQ359" s="196"/>
      <c r="BR359" s="196"/>
      <c r="BS359" s="196"/>
      <c r="BT359" s="83">
        <f>SUM(BT354:BT357)</f>
        <v>1072.5027</v>
      </c>
      <c r="BU359" s="196"/>
      <c r="BV359" s="196"/>
      <c r="BW359" s="196"/>
      <c r="BX359" s="196"/>
      <c r="BY359" s="83">
        <f>SUM(BY354:BY357)</f>
        <v>1566.3166200000001</v>
      </c>
      <c r="BZ359" s="196"/>
      <c r="CA359" s="196"/>
      <c r="CB359" s="196"/>
      <c r="CC359" s="196"/>
      <c r="CD359" s="83">
        <f>SUM(CD354:CD357)</f>
        <v>1438.1916500000002</v>
      </c>
      <c r="CE359" s="196"/>
      <c r="CF359" s="196"/>
      <c r="CG359" s="196"/>
      <c r="CH359" s="196"/>
      <c r="CI359" s="83">
        <f>SUM(CI354:CI357)</f>
        <v>1555.6472000000001</v>
      </c>
      <c r="CJ359" s="83">
        <f>SUM(CJ354:CJ358)</f>
        <v>1853.9358990000003</v>
      </c>
      <c r="CK359" s="83">
        <f t="shared" ref="CK359:CN359" si="472">SUM(CK354:CK358)</f>
        <v>2136.3020774699999</v>
      </c>
      <c r="CL359" s="83">
        <f t="shared" si="472"/>
        <v>2505.3482303367</v>
      </c>
      <c r="CM359" s="83">
        <f t="shared" si="472"/>
        <v>2855.7647114586916</v>
      </c>
      <c r="CN359" s="83">
        <f t="shared" si="472"/>
        <v>3127.7157527528811</v>
      </c>
      <c r="CO359" s="148"/>
      <c r="CP359" s="148"/>
      <c r="CQ359" s="58"/>
      <c r="CR359" s="58"/>
      <c r="CS359" s="58"/>
      <c r="CT359" s="143"/>
      <c r="CU359" s="143"/>
      <c r="CV359" s="143"/>
      <c r="CW359" s="143"/>
      <c r="CX359" s="143"/>
      <c r="CY359" s="143"/>
      <c r="CZ359" s="143"/>
      <c r="DA359" s="143"/>
      <c r="DB359" s="143"/>
      <c r="DC359" s="143"/>
      <c r="DD359" s="143"/>
      <c r="DE359" s="143"/>
      <c r="DF359" s="143"/>
      <c r="DG359" s="143"/>
      <c r="DH359" s="143"/>
      <c r="DI359" s="143"/>
      <c r="DK359" s="143"/>
      <c r="DL359" s="143"/>
      <c r="DM359" s="58"/>
      <c r="DN359" s="143"/>
      <c r="DO359" s="143"/>
      <c r="DQ359" s="4"/>
      <c r="DR359" s="143"/>
      <c r="DS359" s="143"/>
      <c r="DT359" s="143"/>
      <c r="DV359" s="143"/>
      <c r="DW359" s="143"/>
      <c r="DX359" s="143"/>
      <c r="EA359" s="119"/>
      <c r="EB359" s="119"/>
      <c r="EC359" s="119"/>
      <c r="ED359" s="143"/>
      <c r="EE359" s="143"/>
      <c r="EF359" s="143"/>
      <c r="EJ359" s="119"/>
      <c r="EK359" s="119"/>
      <c r="EL359" s="143"/>
      <c r="EM359" s="143"/>
      <c r="EN359" s="143"/>
      <c r="EP359" s="119"/>
      <c r="EQ359" s="143"/>
      <c r="ER359" s="143"/>
      <c r="ES359" s="143"/>
      <c r="EV359" s="119"/>
      <c r="EW359" s="119"/>
      <c r="EX359" s="119"/>
      <c r="EY359" s="119"/>
      <c r="EZ359" s="143"/>
      <c r="FA359" s="143"/>
      <c r="FD359" s="119"/>
      <c r="FE359" s="119"/>
      <c r="FF359" s="119"/>
      <c r="FG359" s="143"/>
      <c r="FH359" s="143"/>
      <c r="FK359" s="143"/>
      <c r="FL359" s="143"/>
      <c r="FO359" s="119">
        <v>195.16269193053901</v>
      </c>
      <c r="FP359" s="119">
        <v>265.17696906946099</v>
      </c>
      <c r="FQ359" s="143">
        <v>797.96950400000003</v>
      </c>
      <c r="FR359" s="143">
        <v>948.86904531999983</v>
      </c>
      <c r="FU359" s="119">
        <v>200.75413500000008</v>
      </c>
      <c r="FV359" s="143">
        <v>756.00963000000002</v>
      </c>
      <c r="FW359" s="143">
        <v>574.40485400000011</v>
      </c>
      <c r="FX359" s="143">
        <v>811.85022765000031</v>
      </c>
      <c r="FY359" s="143">
        <v>901.05343352244017</v>
      </c>
      <c r="GA359" s="143">
        <v>636.30224799999996</v>
      </c>
      <c r="GB359" s="143">
        <v>881.44703379999987</v>
      </c>
      <c r="GC359" s="143">
        <v>980.82538592800006</v>
      </c>
      <c r="GF359" s="119"/>
      <c r="GG359" s="119"/>
      <c r="GH359" s="119"/>
      <c r="GI359" s="143">
        <v>730.84387600000002</v>
      </c>
      <c r="GJ359" s="143">
        <v>998.15032542000006</v>
      </c>
      <c r="GK359" s="143">
        <v>1108.9941640704001</v>
      </c>
      <c r="GN359" s="119"/>
      <c r="GO359" s="119"/>
      <c r="GP359" s="143">
        <v>945.87805300000002</v>
      </c>
      <c r="GQ359" s="143">
        <v>1057.7092394800002</v>
      </c>
      <c r="GR359" s="143">
        <v>1175.4541374896003</v>
      </c>
      <c r="GV359" s="119"/>
      <c r="GW359" s="143">
        <v>1120.9848040000002</v>
      </c>
      <c r="GX359" s="143">
        <v>982.54911083999991</v>
      </c>
      <c r="GY359" s="143">
        <v>1265.5379350839999</v>
      </c>
      <c r="HC359" s="143"/>
      <c r="HD359" s="143">
        <v>1235.1635805000001</v>
      </c>
      <c r="HE359" s="143">
        <v>1262.9552645100002</v>
      </c>
      <c r="HF359" s="143">
        <v>1397.7965045136002</v>
      </c>
      <c r="HI359" s="119"/>
      <c r="HJ359" s="119"/>
      <c r="HK359" s="119"/>
      <c r="HL359" s="119"/>
      <c r="HM359" s="143">
        <v>1004.9466289999999</v>
      </c>
      <c r="HN359" s="143">
        <v>1111.5635563000003</v>
      </c>
      <c r="HO359" s="143">
        <v>1209.1284849620001</v>
      </c>
      <c r="HR359" s="119"/>
      <c r="HS359" s="119"/>
      <c r="HT359" s="119"/>
      <c r="HU359" s="143">
        <v>1004.9466289999999</v>
      </c>
      <c r="HV359" s="143">
        <v>1262.5794115000001</v>
      </c>
      <c r="HW359" s="143">
        <v>1392.6127490300003</v>
      </c>
      <c r="HZ359" s="119"/>
      <c r="IA359" s="143">
        <v>1072.594294</v>
      </c>
      <c r="IB359" s="143">
        <v>1299.9181308000002</v>
      </c>
      <c r="IC359" s="143">
        <v>1494.0916823400003</v>
      </c>
      <c r="IE359" s="119"/>
      <c r="IF359" s="143">
        <v>1071.13366</v>
      </c>
      <c r="IG359" s="143">
        <v>1371.4823675999999</v>
      </c>
      <c r="IH359" s="143">
        <v>1579.0234788</v>
      </c>
      <c r="IK359" s="143">
        <v>1371.4823675999999</v>
      </c>
      <c r="IL359" s="143">
        <v>1579.0234788</v>
      </c>
      <c r="IO359" s="143">
        <v>1531.5259019999999</v>
      </c>
      <c r="IP359" s="143">
        <v>1904.5260499200003</v>
      </c>
      <c r="IS359" s="157"/>
      <c r="IT359" s="157"/>
      <c r="IU359" s="157"/>
      <c r="IX359" s="143"/>
      <c r="IY359" s="143">
        <v>1555.4502299999999</v>
      </c>
      <c r="IZ359" s="143">
        <v>2043.4752607999999</v>
      </c>
      <c r="JA359" s="143">
        <v>2342.8384407039998</v>
      </c>
      <c r="JD359" s="143">
        <v>2120.3922950000001</v>
      </c>
      <c r="JE359" s="143">
        <v>2515.3193569999999</v>
      </c>
      <c r="JH359" s="143">
        <v>1920.8029039999999</v>
      </c>
      <c r="JI359" s="143">
        <v>2314.1822008999998</v>
      </c>
      <c r="JJ359" s="143">
        <v>2647.1194252579999</v>
      </c>
      <c r="JM359" s="143">
        <v>2198.6249797399996</v>
      </c>
      <c r="JN359" s="143">
        <v>2514.0168880165998</v>
      </c>
      <c r="JQ359" s="143">
        <v>1455.0254755000001</v>
      </c>
      <c r="JR359" s="143">
        <v>1777.4910213600003</v>
      </c>
      <c r="JS359" s="143">
        <v>2050.2308930820009</v>
      </c>
      <c r="JV359" s="143">
        <v>1757.122582</v>
      </c>
      <c r="JW359" s="143">
        <v>2026.8010001600003</v>
      </c>
      <c r="JY359" s="143">
        <v>1803.8622859999998</v>
      </c>
      <c r="JZ359" s="143">
        <v>2081.5289444800001</v>
      </c>
      <c r="KB359" s="143">
        <v>1488.8702199999998</v>
      </c>
      <c r="KC359" s="143">
        <v>1854.6663458999999</v>
      </c>
      <c r="KD359" s="143">
        <v>2091.1033885740003</v>
      </c>
    </row>
    <row r="360" spans="2:290" s="60" customFormat="1" x14ac:dyDescent="0.25">
      <c r="B360" s="34" t="s">
        <v>256</v>
      </c>
      <c r="C360" s="99"/>
      <c r="D360" s="99"/>
      <c r="E360" s="99"/>
      <c r="F360" s="99"/>
      <c r="G360" s="99"/>
      <c r="H360" s="83"/>
      <c r="I360" s="62"/>
      <c r="J360" s="62"/>
      <c r="K360" s="62"/>
      <c r="L360" s="62"/>
      <c r="M360" s="83"/>
      <c r="N360" s="62"/>
      <c r="O360" s="62"/>
      <c r="P360" s="62"/>
      <c r="Q360" s="62"/>
      <c r="R360" s="83"/>
      <c r="S360" s="62"/>
      <c r="T360" s="62"/>
      <c r="U360" s="62"/>
      <c r="V360" s="62"/>
      <c r="W360" s="217">
        <f t="shared" ref="W360:CH360" si="473">W359/W279</f>
        <v>0.15809065363469763</v>
      </c>
      <c r="X360" s="217">
        <f t="shared" si="473"/>
        <v>0.13298059964726633</v>
      </c>
      <c r="Y360" s="217">
        <f t="shared" si="473"/>
        <v>0.13459779005524863</v>
      </c>
      <c r="Z360" s="217">
        <f t="shared" si="473"/>
        <v>0.12951962809917356</v>
      </c>
      <c r="AA360" s="217">
        <f t="shared" si="473"/>
        <v>0.17992857142857144</v>
      </c>
      <c r="AB360" s="217">
        <f t="shared" si="473"/>
        <v>0.14751514989006276</v>
      </c>
      <c r="AC360" s="217">
        <f t="shared" si="473"/>
        <v>0.11660893404961202</v>
      </c>
      <c r="AD360" s="217">
        <f t="shared" si="473"/>
        <v>0.10289928789420143</v>
      </c>
      <c r="AE360" s="217">
        <f t="shared" si="473"/>
        <v>0.14084057971014494</v>
      </c>
      <c r="AF360" s="217">
        <f t="shared" si="473"/>
        <v>0.19899917423616845</v>
      </c>
      <c r="AG360" s="217">
        <f t="shared" si="473"/>
        <v>0.14465345281170003</v>
      </c>
      <c r="AH360" s="217">
        <f t="shared" si="473"/>
        <v>0.13038351901905199</v>
      </c>
      <c r="AI360" s="217">
        <f t="shared" si="473"/>
        <v>0.15524245472837025</v>
      </c>
      <c r="AJ360" s="217">
        <f t="shared" si="473"/>
        <v>0.17892442367921138</v>
      </c>
      <c r="AK360" s="217">
        <f t="shared" si="473"/>
        <v>0.15826222582820673</v>
      </c>
      <c r="AL360" s="217">
        <f t="shared" si="473"/>
        <v>0</v>
      </c>
      <c r="AM360" s="217">
        <f t="shared" si="473"/>
        <v>0</v>
      </c>
      <c r="AN360" s="217">
        <f t="shared" si="473"/>
        <v>0</v>
      </c>
      <c r="AO360" s="217">
        <f t="shared" si="473"/>
        <v>0</v>
      </c>
      <c r="AP360" s="217">
        <f t="shared" si="473"/>
        <v>0.16999971920058446</v>
      </c>
      <c r="AQ360" s="217" t="e">
        <f t="shared" si="473"/>
        <v>#REF!</v>
      </c>
      <c r="AR360" s="217" t="e">
        <f t="shared" si="473"/>
        <v>#REF!</v>
      </c>
      <c r="AS360" s="217" t="e">
        <f t="shared" si="473"/>
        <v>#REF!</v>
      </c>
      <c r="AT360" s="217" t="e">
        <f t="shared" si="473"/>
        <v>#REF!</v>
      </c>
      <c r="AU360" s="217">
        <f t="shared" si="473"/>
        <v>0.15669356964655709</v>
      </c>
      <c r="AV360" s="217" t="e">
        <f t="shared" si="473"/>
        <v>#REF!</v>
      </c>
      <c r="AW360" s="217" t="e">
        <f t="shared" si="473"/>
        <v>#REF!</v>
      </c>
      <c r="AX360" s="217" t="e">
        <f t="shared" si="473"/>
        <v>#REF!</v>
      </c>
      <c r="AY360" s="217" t="e">
        <f t="shared" si="473"/>
        <v>#REF!</v>
      </c>
      <c r="AZ360" s="217">
        <f t="shared" si="473"/>
        <v>0.13126091852844429</v>
      </c>
      <c r="BA360" s="217" t="e">
        <f t="shared" si="473"/>
        <v>#REF!</v>
      </c>
      <c r="BB360" s="217" t="e">
        <f t="shared" si="473"/>
        <v>#REF!</v>
      </c>
      <c r="BC360" s="217" t="e">
        <f t="shared" si="473"/>
        <v>#REF!</v>
      </c>
      <c r="BD360" s="217" t="e">
        <f t="shared" si="473"/>
        <v>#REF!</v>
      </c>
      <c r="BE360" s="217">
        <f t="shared" si="473"/>
        <v>0.15192329820703471</v>
      </c>
      <c r="BF360" s="217" t="e">
        <f t="shared" si="473"/>
        <v>#REF!</v>
      </c>
      <c r="BG360" s="217" t="e">
        <f t="shared" si="473"/>
        <v>#REF!</v>
      </c>
      <c r="BH360" s="217" t="e">
        <f t="shared" si="473"/>
        <v>#REF!</v>
      </c>
      <c r="BI360" s="217" t="e">
        <f t="shared" si="473"/>
        <v>#REF!</v>
      </c>
      <c r="BJ360" s="217">
        <f t="shared" si="473"/>
        <v>0.19516460439259659</v>
      </c>
      <c r="BK360" s="217">
        <f t="shared" si="473"/>
        <v>0</v>
      </c>
      <c r="BL360" s="217">
        <f t="shared" si="473"/>
        <v>0</v>
      </c>
      <c r="BM360" s="217">
        <f t="shared" si="473"/>
        <v>0</v>
      </c>
      <c r="BN360" s="217">
        <f t="shared" si="473"/>
        <v>0</v>
      </c>
      <c r="BO360" s="217">
        <f t="shared" si="473"/>
        <v>0.16250473444644287</v>
      </c>
      <c r="BP360" s="217">
        <f t="shared" si="473"/>
        <v>0</v>
      </c>
      <c r="BQ360" s="217">
        <f t="shared" si="473"/>
        <v>0</v>
      </c>
      <c r="BR360" s="217">
        <f t="shared" si="473"/>
        <v>0</v>
      </c>
      <c r="BS360" s="217">
        <f t="shared" si="473"/>
        <v>0</v>
      </c>
      <c r="BT360" s="217">
        <f t="shared" si="473"/>
        <v>0.11655623647652197</v>
      </c>
      <c r="BU360" s="217">
        <f t="shared" si="473"/>
        <v>0</v>
      </c>
      <c r="BV360" s="217">
        <f t="shared" si="473"/>
        <v>0</v>
      </c>
      <c r="BW360" s="217">
        <f t="shared" si="473"/>
        <v>0</v>
      </c>
      <c r="BX360" s="217">
        <f t="shared" si="473"/>
        <v>0</v>
      </c>
      <c r="BY360" s="217">
        <f t="shared" si="473"/>
        <v>0.15455658528595081</v>
      </c>
      <c r="BZ360" s="217">
        <f t="shared" si="473"/>
        <v>0</v>
      </c>
      <c r="CA360" s="217">
        <f t="shared" si="473"/>
        <v>0</v>
      </c>
      <c r="CB360" s="217">
        <f t="shared" si="473"/>
        <v>0</v>
      </c>
      <c r="CC360" s="217">
        <f t="shared" si="473"/>
        <v>0</v>
      </c>
      <c r="CD360" s="217">
        <f t="shared" si="473"/>
        <v>0.13770506032171584</v>
      </c>
      <c r="CE360" s="218">
        <f t="shared" si="473"/>
        <v>0</v>
      </c>
      <c r="CF360" s="218">
        <f t="shared" si="473"/>
        <v>0</v>
      </c>
      <c r="CG360" s="218">
        <f t="shared" si="473"/>
        <v>0</v>
      </c>
      <c r="CH360" s="218">
        <f t="shared" si="473"/>
        <v>0</v>
      </c>
      <c r="CI360" s="217">
        <f>CI359/CI279</f>
        <v>0.138752125012264</v>
      </c>
      <c r="CJ360" s="217">
        <f t="shared" ref="CJ360:CN360" si="474">CJ359/CJ279</f>
        <v>0.14720852497864137</v>
      </c>
      <c r="CK360" s="217">
        <f t="shared" si="474"/>
        <v>0.14808478582797779</v>
      </c>
      <c r="CL360" s="217">
        <f t="shared" si="474"/>
        <v>0.14561546415266385</v>
      </c>
      <c r="CM360" s="217">
        <f t="shared" si="474"/>
        <v>0.15083592015350042</v>
      </c>
      <c r="CN360" s="217">
        <f t="shared" si="474"/>
        <v>0.15055581130490178</v>
      </c>
      <c r="CO360" s="148"/>
      <c r="CP360" s="148"/>
      <c r="CQ360" s="58"/>
      <c r="CR360" s="58"/>
      <c r="CS360" s="58"/>
      <c r="CT360" s="143"/>
      <c r="CU360" s="143"/>
      <c r="CV360" s="143"/>
      <c r="CW360" s="143"/>
      <c r="CX360" s="143"/>
      <c r="CY360" s="143"/>
      <c r="CZ360" s="143"/>
      <c r="DA360" s="143"/>
      <c r="DB360" s="143"/>
      <c r="DC360" s="143"/>
      <c r="DD360" s="143"/>
      <c r="DE360" s="143"/>
      <c r="DF360" s="143"/>
      <c r="DG360" s="143"/>
      <c r="DH360" s="143"/>
      <c r="DI360" s="143"/>
      <c r="DK360" s="143"/>
      <c r="DL360" s="143"/>
      <c r="DM360" s="58"/>
      <c r="DN360" s="143"/>
      <c r="DO360" s="143"/>
      <c r="DQ360" s="4"/>
      <c r="DR360" s="143"/>
      <c r="DS360" s="143"/>
      <c r="DT360" s="143"/>
      <c r="DV360" s="143"/>
      <c r="DW360" s="143"/>
      <c r="DX360" s="143"/>
      <c r="EA360" s="119"/>
      <c r="EB360" s="119"/>
      <c r="EC360" s="119"/>
      <c r="ED360" s="143"/>
      <c r="EE360" s="143"/>
      <c r="EF360" s="143"/>
      <c r="EJ360" s="119"/>
      <c r="EK360" s="119"/>
      <c r="EL360" s="143"/>
      <c r="EM360" s="143"/>
      <c r="EN360" s="143"/>
      <c r="EP360" s="119"/>
      <c r="EQ360" s="143"/>
      <c r="ER360" s="143"/>
      <c r="ES360" s="143"/>
      <c r="EV360" s="119"/>
      <c r="EW360" s="119"/>
      <c r="EX360" s="119"/>
      <c r="EY360" s="119"/>
      <c r="EZ360" s="143"/>
      <c r="FA360" s="143"/>
      <c r="FD360" s="119"/>
      <c r="FE360" s="119"/>
      <c r="FF360" s="119"/>
      <c r="FG360" s="143"/>
      <c r="FH360" s="143"/>
      <c r="FK360" s="143"/>
      <c r="FL360" s="143"/>
      <c r="FO360" s="119"/>
      <c r="FP360" s="119"/>
      <c r="FQ360" s="143"/>
      <c r="FR360" s="143"/>
      <c r="FU360" s="119"/>
      <c r="FV360" s="143"/>
      <c r="FW360" s="143"/>
      <c r="FX360" s="143"/>
      <c r="FY360" s="143"/>
      <c r="GA360" s="143"/>
      <c r="GB360" s="143"/>
      <c r="GC360" s="143"/>
      <c r="GF360" s="119"/>
      <c r="GG360" s="119"/>
      <c r="GH360" s="119"/>
      <c r="GI360" s="143"/>
      <c r="GJ360" s="143"/>
      <c r="GK360" s="143"/>
      <c r="GN360" s="119">
        <v>233.21549999999999</v>
      </c>
      <c r="GO360" s="119"/>
      <c r="GP360" s="143"/>
      <c r="GQ360" s="143"/>
      <c r="GR360" s="143"/>
      <c r="GV360" s="119"/>
      <c r="GW360" s="143"/>
      <c r="GX360" s="143"/>
      <c r="GY360" s="143"/>
      <c r="HC360" s="143"/>
      <c r="HD360" s="143"/>
      <c r="HE360" s="143"/>
      <c r="HF360" s="143"/>
      <c r="HI360" s="119"/>
      <c r="HJ360" s="119"/>
      <c r="HK360" s="119"/>
      <c r="HL360" s="119"/>
      <c r="HM360" s="143"/>
      <c r="HN360" s="143"/>
      <c r="HO360" s="143"/>
      <c r="HR360" s="119"/>
      <c r="HS360" s="119"/>
      <c r="HT360" s="119"/>
      <c r="HU360" s="143"/>
      <c r="HV360" s="143"/>
      <c r="HW360" s="143"/>
      <c r="HZ360" s="119"/>
      <c r="IA360" s="143"/>
      <c r="IB360" s="143"/>
      <c r="IC360" s="143"/>
      <c r="IE360" s="119"/>
      <c r="IF360" s="143"/>
      <c r="IG360" s="143"/>
      <c r="IH360" s="143"/>
      <c r="IK360" s="143"/>
      <c r="IL360" s="143"/>
      <c r="IO360" s="143"/>
      <c r="IP360" s="143"/>
      <c r="IS360" s="157"/>
      <c r="IT360" s="157"/>
      <c r="IU360" s="157"/>
      <c r="IX360" s="143"/>
      <c r="IY360" s="143"/>
      <c r="IZ360" s="143"/>
      <c r="JA360" s="143"/>
      <c r="JD360" s="143"/>
      <c r="JE360" s="143"/>
      <c r="JH360" s="143"/>
      <c r="JI360" s="143"/>
      <c r="JJ360" s="143"/>
      <c r="JM360" s="143"/>
      <c r="JN360" s="143"/>
      <c r="JQ360" s="143"/>
      <c r="JR360" s="143"/>
      <c r="JS360" s="143"/>
      <c r="JV360" s="143"/>
      <c r="JW360" s="143"/>
      <c r="JY360" s="143"/>
      <c r="JZ360" s="143"/>
      <c r="KB360" s="143"/>
      <c r="KC360" s="143"/>
      <c r="KD360" s="143"/>
    </row>
  </sheetData>
  <hyperlinks>
    <hyperlink ref="CQ2" location="SMC!A1" display="SMC!A1" xr:uid="{BEDC3FE0-B97E-4376-BFA0-E441BFEAD927}"/>
    <hyperlink ref="CQ3" location="'TP-Self'!A1" display="'TP-Self'!A1" xr:uid="{F0B3756C-FE22-4AE2-B350-DADE2B518B7F}"/>
    <hyperlink ref="CQ1" location="'TP-Self'!A1" display="'TP-Self'!A1" xr:uid="{C7D209DF-4DFB-4F0E-8D50-93E08A9B3651}"/>
  </hyperlinks>
  <pageMargins left="0.23622047244094491" right="0.23622047244094491" top="0.74803149606299213" bottom="0.74803149606299213" header="0.31496062992125984" footer="0.31496062992125984"/>
  <pageSetup paperSize="9" scale="43"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Supreme</vt:lpstr>
      <vt:lpstr>Supreme!Print_Area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Vipin Vijay</dc:creator>
  <cp:lastModifiedBy>Vignesh Pokala</cp:lastModifiedBy>
  <dcterms:created xsi:type="dcterms:W3CDTF">2026-07-09T10:46:10Z</dcterms:created>
  <dcterms:modified xsi:type="dcterms:W3CDTF">2026-07-17T11:05:57Z</dcterms:modified>
</cp:coreProperties>
</file>